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06 R Projects\04 Menstruation_Materials\data\"/>
    </mc:Choice>
  </mc:AlternateContent>
  <xr:revisionPtr revIDLastSave="0" documentId="13_ncr:1_{3B192822-BC44-4445-AE34-F6B0BF1BEE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" sheetId="3" r:id="rId1"/>
    <sheet name="final" sheetId="7" r:id="rId2"/>
    <sheet name="coded" sheetId="4" r:id="rId3"/>
    <sheet name="codebook" sheetId="5" r:id="rId4"/>
  </sheets>
  <definedNames>
    <definedName name="ExternalData_1" localSheetId="2" hidden="1">coded!$A$1:$BF$626</definedName>
    <definedName name="ExternalData_1" localSheetId="0" hidden="1">raw!$A$1:$BH$626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2" i="4" l="1"/>
  <c r="BL3" i="4"/>
  <c r="BL4" i="4"/>
  <c r="BL5" i="4"/>
  <c r="BL6" i="4"/>
  <c r="BL7" i="4"/>
  <c r="BL8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2" i="4"/>
  <c r="BL23" i="4"/>
  <c r="BL24" i="4"/>
  <c r="BL25" i="4"/>
  <c r="BL26" i="4"/>
  <c r="BL27" i="4"/>
  <c r="BL28" i="4"/>
  <c r="BL29" i="4"/>
  <c r="BL30" i="4"/>
  <c r="BL31" i="4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L49" i="4"/>
  <c r="BL50" i="4"/>
  <c r="BL51" i="4"/>
  <c r="BL52" i="4"/>
  <c r="BL53" i="4"/>
  <c r="BL54" i="4"/>
  <c r="BL55" i="4"/>
  <c r="BL56" i="4"/>
  <c r="BL57" i="4"/>
  <c r="BL58" i="4"/>
  <c r="BL59" i="4"/>
  <c r="BL60" i="4"/>
  <c r="BL61" i="4"/>
  <c r="BL62" i="4"/>
  <c r="BL63" i="4"/>
  <c r="BL64" i="4"/>
  <c r="BL65" i="4"/>
  <c r="BL66" i="4"/>
  <c r="BL67" i="4"/>
  <c r="BL68" i="4"/>
  <c r="BL69" i="4"/>
  <c r="BL70" i="4"/>
  <c r="BL71" i="4"/>
  <c r="BL72" i="4"/>
  <c r="BL73" i="4"/>
  <c r="BL74" i="4"/>
  <c r="BL75" i="4"/>
  <c r="BL76" i="4"/>
  <c r="BL77" i="4"/>
  <c r="BL78" i="4"/>
  <c r="BL79" i="4"/>
  <c r="BL80" i="4"/>
  <c r="BL81" i="4"/>
  <c r="BL82" i="4"/>
  <c r="BL83" i="4"/>
  <c r="BL84" i="4"/>
  <c r="BL85" i="4"/>
  <c r="BL86" i="4"/>
  <c r="BL87" i="4"/>
  <c r="BL88" i="4"/>
  <c r="BL89" i="4"/>
  <c r="BL90" i="4"/>
  <c r="BL91" i="4"/>
  <c r="BL92" i="4"/>
  <c r="BL93" i="4"/>
  <c r="BL94" i="4"/>
  <c r="BL95" i="4"/>
  <c r="BL96" i="4"/>
  <c r="BL97" i="4"/>
  <c r="BL98" i="4"/>
  <c r="BL99" i="4"/>
  <c r="BL100" i="4"/>
  <c r="BL101" i="4"/>
  <c r="BL102" i="4"/>
  <c r="BL103" i="4"/>
  <c r="BL104" i="4"/>
  <c r="BL105" i="4"/>
  <c r="BL106" i="4"/>
  <c r="BL107" i="4"/>
  <c r="BL108" i="4"/>
  <c r="BL109" i="4"/>
  <c r="BL110" i="4"/>
  <c r="BL111" i="4"/>
  <c r="BL112" i="4"/>
  <c r="BL113" i="4"/>
  <c r="BL114" i="4"/>
  <c r="BL115" i="4"/>
  <c r="BL116" i="4"/>
  <c r="BL117" i="4"/>
  <c r="BL118" i="4"/>
  <c r="BL119" i="4"/>
  <c r="BL120" i="4"/>
  <c r="BL121" i="4"/>
  <c r="BL122" i="4"/>
  <c r="BL123" i="4"/>
  <c r="BL124" i="4"/>
  <c r="BL125" i="4"/>
  <c r="BL126" i="4"/>
  <c r="BL127" i="4"/>
  <c r="BL128" i="4"/>
  <c r="BL129" i="4"/>
  <c r="BL130" i="4"/>
  <c r="BL131" i="4"/>
  <c r="BL132" i="4"/>
  <c r="BL133" i="4"/>
  <c r="BL134" i="4"/>
  <c r="BL135" i="4"/>
  <c r="BL136" i="4"/>
  <c r="BL137" i="4"/>
  <c r="BL138" i="4"/>
  <c r="BL139" i="4"/>
  <c r="BL140" i="4"/>
  <c r="BL141" i="4"/>
  <c r="BL142" i="4"/>
  <c r="BL143" i="4"/>
  <c r="BL144" i="4"/>
  <c r="BL145" i="4"/>
  <c r="BL146" i="4"/>
  <c r="BL147" i="4"/>
  <c r="BL148" i="4"/>
  <c r="BL149" i="4"/>
  <c r="BL150" i="4"/>
  <c r="BL151" i="4"/>
  <c r="BL152" i="4"/>
  <c r="BL153" i="4"/>
  <c r="BL154" i="4"/>
  <c r="BL155" i="4"/>
  <c r="BL156" i="4"/>
  <c r="BL157" i="4"/>
  <c r="BL158" i="4"/>
  <c r="BL159" i="4"/>
  <c r="BL160" i="4"/>
  <c r="BL161" i="4"/>
  <c r="BL162" i="4"/>
  <c r="BL163" i="4"/>
  <c r="BL164" i="4"/>
  <c r="BL165" i="4"/>
  <c r="BL166" i="4"/>
  <c r="BL167" i="4"/>
  <c r="BL168" i="4"/>
  <c r="BL169" i="4"/>
  <c r="BL170" i="4"/>
  <c r="BL171" i="4"/>
  <c r="BL172" i="4"/>
  <c r="BL173" i="4"/>
  <c r="BL174" i="4"/>
  <c r="BL175" i="4"/>
  <c r="BL176" i="4"/>
  <c r="BL177" i="4"/>
  <c r="BL178" i="4"/>
  <c r="BL179" i="4"/>
  <c r="BL180" i="4"/>
  <c r="BL181" i="4"/>
  <c r="BL182" i="4"/>
  <c r="BL183" i="4"/>
  <c r="BL184" i="4"/>
  <c r="BL185" i="4"/>
  <c r="BL186" i="4"/>
  <c r="BL187" i="4"/>
  <c r="BL188" i="4"/>
  <c r="BL189" i="4"/>
  <c r="BL190" i="4"/>
  <c r="BL191" i="4"/>
  <c r="BL192" i="4"/>
  <c r="BL193" i="4"/>
  <c r="BL194" i="4"/>
  <c r="BL195" i="4"/>
  <c r="BL196" i="4"/>
  <c r="BL197" i="4"/>
  <c r="BL198" i="4"/>
  <c r="BL199" i="4"/>
  <c r="BL200" i="4"/>
  <c r="BL201" i="4"/>
  <c r="BL202" i="4"/>
  <c r="BL203" i="4"/>
  <c r="BL204" i="4"/>
  <c r="BL205" i="4"/>
  <c r="BL206" i="4"/>
  <c r="BL207" i="4"/>
  <c r="BL208" i="4"/>
  <c r="BL209" i="4"/>
  <c r="BL210" i="4"/>
  <c r="BL211" i="4"/>
  <c r="BL212" i="4"/>
  <c r="BL213" i="4"/>
  <c r="BL214" i="4"/>
  <c r="BL215" i="4"/>
  <c r="BL216" i="4"/>
  <c r="BL217" i="4"/>
  <c r="BL218" i="4"/>
  <c r="BL219" i="4"/>
  <c r="BL220" i="4"/>
  <c r="BL221" i="4"/>
  <c r="BL222" i="4"/>
  <c r="BL223" i="4"/>
  <c r="BL224" i="4"/>
  <c r="BL225" i="4"/>
  <c r="BL226" i="4"/>
  <c r="BL227" i="4"/>
  <c r="BL228" i="4"/>
  <c r="BL229" i="4"/>
  <c r="BL230" i="4"/>
  <c r="BL231" i="4"/>
  <c r="BL232" i="4"/>
  <c r="BL233" i="4"/>
  <c r="BL234" i="4"/>
  <c r="BL235" i="4"/>
  <c r="BL236" i="4"/>
  <c r="BL237" i="4"/>
  <c r="BL238" i="4"/>
  <c r="BL239" i="4"/>
  <c r="BL240" i="4"/>
  <c r="BL241" i="4"/>
  <c r="BL242" i="4"/>
  <c r="BL243" i="4"/>
  <c r="BL244" i="4"/>
  <c r="BL245" i="4"/>
  <c r="BL246" i="4"/>
  <c r="BL247" i="4"/>
  <c r="BL248" i="4"/>
  <c r="BL249" i="4"/>
  <c r="BL250" i="4"/>
  <c r="BL251" i="4"/>
  <c r="BL252" i="4"/>
  <c r="BL253" i="4"/>
  <c r="BL254" i="4"/>
  <c r="BL255" i="4"/>
  <c r="BL256" i="4"/>
  <c r="BL257" i="4"/>
  <c r="BL258" i="4"/>
  <c r="BL259" i="4"/>
  <c r="BL260" i="4"/>
  <c r="BL261" i="4"/>
  <c r="BL262" i="4"/>
  <c r="BL263" i="4"/>
  <c r="BL264" i="4"/>
  <c r="BL265" i="4"/>
  <c r="BL266" i="4"/>
  <c r="BL267" i="4"/>
  <c r="BL268" i="4"/>
  <c r="BL269" i="4"/>
  <c r="BL270" i="4"/>
  <c r="BL271" i="4"/>
  <c r="BL272" i="4"/>
  <c r="BL273" i="4"/>
  <c r="BL274" i="4"/>
  <c r="BL275" i="4"/>
  <c r="BL276" i="4"/>
  <c r="BL277" i="4"/>
  <c r="BL278" i="4"/>
  <c r="BL279" i="4"/>
  <c r="BL280" i="4"/>
  <c r="BL281" i="4"/>
  <c r="BL282" i="4"/>
  <c r="BL283" i="4"/>
  <c r="BL284" i="4"/>
  <c r="BL285" i="4"/>
  <c r="BL286" i="4"/>
  <c r="BL287" i="4"/>
  <c r="BL288" i="4"/>
  <c r="BL289" i="4"/>
  <c r="BL290" i="4"/>
  <c r="BL291" i="4"/>
  <c r="BL292" i="4"/>
  <c r="BL293" i="4"/>
  <c r="BL294" i="4"/>
  <c r="BL295" i="4"/>
  <c r="BL296" i="4"/>
  <c r="BL297" i="4"/>
  <c r="BL298" i="4"/>
  <c r="BL299" i="4"/>
  <c r="BL300" i="4"/>
  <c r="BL301" i="4"/>
  <c r="BL302" i="4"/>
  <c r="BL303" i="4"/>
  <c r="BL304" i="4"/>
  <c r="BL305" i="4"/>
  <c r="BL306" i="4"/>
  <c r="BL307" i="4"/>
  <c r="BL308" i="4"/>
  <c r="BL309" i="4"/>
  <c r="BL310" i="4"/>
  <c r="BL311" i="4"/>
  <c r="BL312" i="4"/>
  <c r="BL313" i="4"/>
  <c r="BL314" i="4"/>
  <c r="BL315" i="4"/>
  <c r="BL316" i="4"/>
  <c r="BL317" i="4"/>
  <c r="BL318" i="4"/>
  <c r="BL319" i="4"/>
  <c r="BL320" i="4"/>
  <c r="BL321" i="4"/>
  <c r="BL322" i="4"/>
  <c r="BL323" i="4"/>
  <c r="BL324" i="4"/>
  <c r="BL325" i="4"/>
  <c r="BL326" i="4"/>
  <c r="BL327" i="4"/>
  <c r="BL328" i="4"/>
  <c r="BL329" i="4"/>
  <c r="BL330" i="4"/>
  <c r="BL331" i="4"/>
  <c r="BL332" i="4"/>
  <c r="BL333" i="4"/>
  <c r="BL334" i="4"/>
  <c r="BL335" i="4"/>
  <c r="BL336" i="4"/>
  <c r="BL337" i="4"/>
  <c r="BL338" i="4"/>
  <c r="BL339" i="4"/>
  <c r="BL340" i="4"/>
  <c r="BL341" i="4"/>
  <c r="BL342" i="4"/>
  <c r="BL343" i="4"/>
  <c r="BL344" i="4"/>
  <c r="BL345" i="4"/>
  <c r="BL346" i="4"/>
  <c r="BL347" i="4"/>
  <c r="BL348" i="4"/>
  <c r="BL349" i="4"/>
  <c r="BL350" i="4"/>
  <c r="BL351" i="4"/>
  <c r="BL352" i="4"/>
  <c r="BL353" i="4"/>
  <c r="BL354" i="4"/>
  <c r="BL355" i="4"/>
  <c r="BL356" i="4"/>
  <c r="BL357" i="4"/>
  <c r="BL358" i="4"/>
  <c r="BL359" i="4"/>
  <c r="BL360" i="4"/>
  <c r="BL361" i="4"/>
  <c r="BL362" i="4"/>
  <c r="BL363" i="4"/>
  <c r="BL364" i="4"/>
  <c r="BL365" i="4"/>
  <c r="BL366" i="4"/>
  <c r="BL367" i="4"/>
  <c r="BL368" i="4"/>
  <c r="BL369" i="4"/>
  <c r="BL370" i="4"/>
  <c r="BL371" i="4"/>
  <c r="BL372" i="4"/>
  <c r="BL373" i="4"/>
  <c r="BL374" i="4"/>
  <c r="BL375" i="4"/>
  <c r="BL376" i="4"/>
  <c r="BL377" i="4"/>
  <c r="BL378" i="4"/>
  <c r="BL379" i="4"/>
  <c r="BL380" i="4"/>
  <c r="BL381" i="4"/>
  <c r="BL382" i="4"/>
  <c r="BL383" i="4"/>
  <c r="BL384" i="4"/>
  <c r="BL385" i="4"/>
  <c r="BL386" i="4"/>
  <c r="BL387" i="4"/>
  <c r="BL388" i="4"/>
  <c r="BL389" i="4"/>
  <c r="BL390" i="4"/>
  <c r="BL391" i="4"/>
  <c r="BL392" i="4"/>
  <c r="BL393" i="4"/>
  <c r="BL394" i="4"/>
  <c r="BL395" i="4"/>
  <c r="BL396" i="4"/>
  <c r="BL397" i="4"/>
  <c r="BL398" i="4"/>
  <c r="BL399" i="4"/>
  <c r="BL400" i="4"/>
  <c r="BL401" i="4"/>
  <c r="BL402" i="4"/>
  <c r="BL403" i="4"/>
  <c r="BL404" i="4"/>
  <c r="BL405" i="4"/>
  <c r="BL406" i="4"/>
  <c r="BL407" i="4"/>
  <c r="BL408" i="4"/>
  <c r="BL409" i="4"/>
  <c r="BL410" i="4"/>
  <c r="BL411" i="4"/>
  <c r="BL412" i="4"/>
  <c r="BL413" i="4"/>
  <c r="BL414" i="4"/>
  <c r="BL415" i="4"/>
  <c r="BL416" i="4"/>
  <c r="BL417" i="4"/>
  <c r="BL418" i="4"/>
  <c r="BL419" i="4"/>
  <c r="BL420" i="4"/>
  <c r="BL421" i="4"/>
  <c r="BL422" i="4"/>
  <c r="BL423" i="4"/>
  <c r="BL424" i="4"/>
  <c r="BL425" i="4"/>
  <c r="BL426" i="4"/>
  <c r="BL427" i="4"/>
  <c r="BL428" i="4"/>
  <c r="BL429" i="4"/>
  <c r="BL430" i="4"/>
  <c r="BL431" i="4"/>
  <c r="BL432" i="4"/>
  <c r="BL433" i="4"/>
  <c r="BL434" i="4"/>
  <c r="BL435" i="4"/>
  <c r="BL436" i="4"/>
  <c r="BL437" i="4"/>
  <c r="BL438" i="4"/>
  <c r="BL439" i="4"/>
  <c r="BL440" i="4"/>
  <c r="BL441" i="4"/>
  <c r="BL442" i="4"/>
  <c r="BL443" i="4"/>
  <c r="BL444" i="4"/>
  <c r="BL445" i="4"/>
  <c r="BL446" i="4"/>
  <c r="BL447" i="4"/>
  <c r="BL448" i="4"/>
  <c r="BL449" i="4"/>
  <c r="BL450" i="4"/>
  <c r="BL451" i="4"/>
  <c r="BL452" i="4"/>
  <c r="BL453" i="4"/>
  <c r="BL454" i="4"/>
  <c r="BL455" i="4"/>
  <c r="BL456" i="4"/>
  <c r="BL457" i="4"/>
  <c r="BL458" i="4"/>
  <c r="BL459" i="4"/>
  <c r="BL460" i="4"/>
  <c r="BL461" i="4"/>
  <c r="BL462" i="4"/>
  <c r="BL463" i="4"/>
  <c r="BL464" i="4"/>
  <c r="BL465" i="4"/>
  <c r="BL466" i="4"/>
  <c r="BL467" i="4"/>
  <c r="BL468" i="4"/>
  <c r="BL469" i="4"/>
  <c r="BL470" i="4"/>
  <c r="BL471" i="4"/>
  <c r="BL472" i="4"/>
  <c r="BL473" i="4"/>
  <c r="BL474" i="4"/>
  <c r="BL475" i="4"/>
  <c r="BL476" i="4"/>
  <c r="BL477" i="4"/>
  <c r="BL478" i="4"/>
  <c r="BL479" i="4"/>
  <c r="BL480" i="4"/>
  <c r="BL481" i="4"/>
  <c r="BL482" i="4"/>
  <c r="BL483" i="4"/>
  <c r="BL484" i="4"/>
  <c r="BL485" i="4"/>
  <c r="BL486" i="4"/>
  <c r="BL487" i="4"/>
  <c r="BL488" i="4"/>
  <c r="BL489" i="4"/>
  <c r="BL490" i="4"/>
  <c r="BL491" i="4"/>
  <c r="BL492" i="4"/>
  <c r="BL493" i="4"/>
  <c r="BL494" i="4"/>
  <c r="BL495" i="4"/>
  <c r="BL496" i="4"/>
  <c r="BL497" i="4"/>
  <c r="BL498" i="4"/>
  <c r="BL499" i="4"/>
  <c r="BL500" i="4"/>
  <c r="BL501" i="4"/>
  <c r="BL502" i="4"/>
  <c r="BL503" i="4"/>
  <c r="BL504" i="4"/>
  <c r="BL505" i="4"/>
  <c r="BL506" i="4"/>
  <c r="BL507" i="4"/>
  <c r="BL508" i="4"/>
  <c r="BL509" i="4"/>
  <c r="BL510" i="4"/>
  <c r="BL511" i="4"/>
  <c r="BL512" i="4"/>
  <c r="BL513" i="4"/>
  <c r="BL514" i="4"/>
  <c r="BL515" i="4"/>
  <c r="BL516" i="4"/>
  <c r="BL517" i="4"/>
  <c r="BL518" i="4"/>
  <c r="BL519" i="4"/>
  <c r="BL520" i="4"/>
  <c r="BL521" i="4"/>
  <c r="BL522" i="4"/>
  <c r="BL523" i="4"/>
  <c r="BL524" i="4"/>
  <c r="BL525" i="4"/>
  <c r="BL526" i="4"/>
  <c r="BL527" i="4"/>
  <c r="BL528" i="4"/>
  <c r="BL529" i="4"/>
  <c r="BL530" i="4"/>
  <c r="BL531" i="4"/>
  <c r="BL532" i="4"/>
  <c r="BL533" i="4"/>
  <c r="BL534" i="4"/>
  <c r="BL535" i="4"/>
  <c r="BL536" i="4"/>
  <c r="BL537" i="4"/>
  <c r="BL538" i="4"/>
  <c r="BL539" i="4"/>
  <c r="BL540" i="4"/>
  <c r="BL541" i="4"/>
  <c r="BL542" i="4"/>
  <c r="BL543" i="4"/>
  <c r="BL544" i="4"/>
  <c r="BL545" i="4"/>
  <c r="BL546" i="4"/>
  <c r="BL547" i="4"/>
  <c r="BL548" i="4"/>
  <c r="BL549" i="4"/>
  <c r="BL550" i="4"/>
  <c r="BL551" i="4"/>
  <c r="BL552" i="4"/>
  <c r="BL553" i="4"/>
  <c r="BL554" i="4"/>
  <c r="BL555" i="4"/>
  <c r="BL556" i="4"/>
  <c r="BL557" i="4"/>
  <c r="BL558" i="4"/>
  <c r="BL559" i="4"/>
  <c r="BL560" i="4"/>
  <c r="BL561" i="4"/>
  <c r="BL562" i="4"/>
  <c r="BL563" i="4"/>
  <c r="BL564" i="4"/>
  <c r="BL565" i="4"/>
  <c r="BL566" i="4"/>
  <c r="BL567" i="4"/>
  <c r="BL568" i="4"/>
  <c r="BL569" i="4"/>
  <c r="BL570" i="4"/>
  <c r="BL571" i="4"/>
  <c r="BL572" i="4"/>
  <c r="BL573" i="4"/>
  <c r="BL574" i="4"/>
  <c r="BL575" i="4"/>
  <c r="BL576" i="4"/>
  <c r="BL577" i="4"/>
  <c r="BL578" i="4"/>
  <c r="BL579" i="4"/>
  <c r="BL580" i="4"/>
  <c r="BL581" i="4"/>
  <c r="BL582" i="4"/>
  <c r="BL583" i="4"/>
  <c r="BL584" i="4"/>
  <c r="BL585" i="4"/>
  <c r="BL586" i="4"/>
  <c r="BL587" i="4"/>
  <c r="BL588" i="4"/>
  <c r="BL589" i="4"/>
  <c r="BL590" i="4"/>
  <c r="BL591" i="4"/>
  <c r="BL592" i="4"/>
  <c r="BL593" i="4"/>
  <c r="BL594" i="4"/>
  <c r="BL595" i="4"/>
  <c r="BL596" i="4"/>
  <c r="BL597" i="4"/>
  <c r="BL598" i="4"/>
  <c r="BL599" i="4"/>
  <c r="BL600" i="4"/>
  <c r="BL601" i="4"/>
  <c r="BL602" i="4"/>
  <c r="BL603" i="4"/>
  <c r="BL604" i="4"/>
  <c r="BL605" i="4"/>
  <c r="BL606" i="4"/>
  <c r="BL607" i="4"/>
  <c r="BL608" i="4"/>
  <c r="BL609" i="4"/>
  <c r="BL610" i="4"/>
  <c r="BL611" i="4"/>
  <c r="BL612" i="4"/>
  <c r="BL613" i="4"/>
  <c r="BL614" i="4"/>
  <c r="BL615" i="4"/>
  <c r="BL616" i="4"/>
  <c r="BL617" i="4"/>
  <c r="BL618" i="4"/>
  <c r="BL619" i="4"/>
  <c r="BL620" i="4"/>
  <c r="BL621" i="4"/>
  <c r="BL622" i="4"/>
  <c r="BL623" i="4"/>
  <c r="BL624" i="4"/>
  <c r="BL625" i="4"/>
  <c r="BL626" i="4"/>
  <c r="BK2" i="4"/>
  <c r="BK3" i="4"/>
  <c r="BK4" i="4"/>
  <c r="BK5" i="4"/>
  <c r="BK6" i="4"/>
  <c r="BK7" i="4"/>
  <c r="BK8" i="4"/>
  <c r="BK9" i="4"/>
  <c r="BK10" i="4"/>
  <c r="BK11" i="4"/>
  <c r="BK12" i="4"/>
  <c r="BK13" i="4"/>
  <c r="BK14" i="4"/>
  <c r="BK15" i="4"/>
  <c r="BK16" i="4"/>
  <c r="BK17" i="4"/>
  <c r="BK18" i="4"/>
  <c r="BK19" i="4"/>
  <c r="BK20" i="4"/>
  <c r="BK21" i="4"/>
  <c r="BK22" i="4"/>
  <c r="BK23" i="4"/>
  <c r="BK24" i="4"/>
  <c r="BK25" i="4"/>
  <c r="BK26" i="4"/>
  <c r="BK27" i="4"/>
  <c r="BK28" i="4"/>
  <c r="BK29" i="4"/>
  <c r="BK30" i="4"/>
  <c r="BK31" i="4"/>
  <c r="BK32" i="4"/>
  <c r="BK33" i="4"/>
  <c r="BK34" i="4"/>
  <c r="BK35" i="4"/>
  <c r="BK36" i="4"/>
  <c r="BK37" i="4"/>
  <c r="BK38" i="4"/>
  <c r="BK39" i="4"/>
  <c r="BK40" i="4"/>
  <c r="BK41" i="4"/>
  <c r="BK42" i="4"/>
  <c r="BK43" i="4"/>
  <c r="BK44" i="4"/>
  <c r="BK45" i="4"/>
  <c r="BK46" i="4"/>
  <c r="BK47" i="4"/>
  <c r="BK48" i="4"/>
  <c r="BK49" i="4"/>
  <c r="BK50" i="4"/>
  <c r="BK51" i="4"/>
  <c r="BK52" i="4"/>
  <c r="BK53" i="4"/>
  <c r="BK54" i="4"/>
  <c r="BK55" i="4"/>
  <c r="BK56" i="4"/>
  <c r="BK57" i="4"/>
  <c r="BK58" i="4"/>
  <c r="BK59" i="4"/>
  <c r="BK60" i="4"/>
  <c r="BK61" i="4"/>
  <c r="BK62" i="4"/>
  <c r="BK63" i="4"/>
  <c r="BK64" i="4"/>
  <c r="BK65" i="4"/>
  <c r="BK66" i="4"/>
  <c r="BK67" i="4"/>
  <c r="BK68" i="4"/>
  <c r="BK69" i="4"/>
  <c r="BK70" i="4"/>
  <c r="BK71" i="4"/>
  <c r="BK72" i="4"/>
  <c r="BK73" i="4"/>
  <c r="BK74" i="4"/>
  <c r="BK75" i="4"/>
  <c r="BK76" i="4"/>
  <c r="BK77" i="4"/>
  <c r="BK78" i="4"/>
  <c r="BK79" i="4"/>
  <c r="BK80" i="4"/>
  <c r="BK81" i="4"/>
  <c r="BK82" i="4"/>
  <c r="BK83" i="4"/>
  <c r="BK84" i="4"/>
  <c r="BK85" i="4"/>
  <c r="BK86" i="4"/>
  <c r="BK87" i="4"/>
  <c r="BK88" i="4"/>
  <c r="BK89" i="4"/>
  <c r="BK90" i="4"/>
  <c r="BK91" i="4"/>
  <c r="BK92" i="4"/>
  <c r="BK93" i="4"/>
  <c r="BK94" i="4"/>
  <c r="BK95" i="4"/>
  <c r="BK96" i="4"/>
  <c r="BK97" i="4"/>
  <c r="BK98" i="4"/>
  <c r="BK99" i="4"/>
  <c r="BK100" i="4"/>
  <c r="BK101" i="4"/>
  <c r="BK102" i="4"/>
  <c r="BK103" i="4"/>
  <c r="BK104" i="4"/>
  <c r="BK105" i="4"/>
  <c r="BK106" i="4"/>
  <c r="BK107" i="4"/>
  <c r="BK108" i="4"/>
  <c r="BK109" i="4"/>
  <c r="BK110" i="4"/>
  <c r="BK111" i="4"/>
  <c r="BK112" i="4"/>
  <c r="BK113" i="4"/>
  <c r="BK114" i="4"/>
  <c r="BK115" i="4"/>
  <c r="BK116" i="4"/>
  <c r="BK117" i="4"/>
  <c r="BK118" i="4"/>
  <c r="BK119" i="4"/>
  <c r="BK120" i="4"/>
  <c r="BK121" i="4"/>
  <c r="BK122" i="4"/>
  <c r="BK123" i="4"/>
  <c r="BK124" i="4"/>
  <c r="BK125" i="4"/>
  <c r="BK126" i="4"/>
  <c r="BK127" i="4"/>
  <c r="BK128" i="4"/>
  <c r="BK129" i="4"/>
  <c r="BK130" i="4"/>
  <c r="BK131" i="4"/>
  <c r="BK132" i="4"/>
  <c r="BK133" i="4"/>
  <c r="BK134" i="4"/>
  <c r="BK135" i="4"/>
  <c r="BK136" i="4"/>
  <c r="BK137" i="4"/>
  <c r="BK138" i="4"/>
  <c r="BK139" i="4"/>
  <c r="BK140" i="4"/>
  <c r="BK141" i="4"/>
  <c r="BK142" i="4"/>
  <c r="BK143" i="4"/>
  <c r="BK144" i="4"/>
  <c r="BK145" i="4"/>
  <c r="BK146" i="4"/>
  <c r="BK147" i="4"/>
  <c r="BK148" i="4"/>
  <c r="BK149" i="4"/>
  <c r="BK150" i="4"/>
  <c r="BK151" i="4"/>
  <c r="BK152" i="4"/>
  <c r="BK153" i="4"/>
  <c r="BK154" i="4"/>
  <c r="BK155" i="4"/>
  <c r="BK156" i="4"/>
  <c r="BK157" i="4"/>
  <c r="BK158" i="4"/>
  <c r="BK159" i="4"/>
  <c r="BK160" i="4"/>
  <c r="BK161" i="4"/>
  <c r="BK162" i="4"/>
  <c r="BK163" i="4"/>
  <c r="BK164" i="4"/>
  <c r="BK165" i="4"/>
  <c r="BK166" i="4"/>
  <c r="BK167" i="4"/>
  <c r="BK168" i="4"/>
  <c r="BK169" i="4"/>
  <c r="BK170" i="4"/>
  <c r="BK171" i="4"/>
  <c r="BK172" i="4"/>
  <c r="BK173" i="4"/>
  <c r="BK174" i="4"/>
  <c r="BK175" i="4"/>
  <c r="BK176" i="4"/>
  <c r="BK177" i="4"/>
  <c r="BK178" i="4"/>
  <c r="BK179" i="4"/>
  <c r="BK180" i="4"/>
  <c r="BK181" i="4"/>
  <c r="BK182" i="4"/>
  <c r="BK183" i="4"/>
  <c r="BK184" i="4"/>
  <c r="BK185" i="4"/>
  <c r="BK186" i="4"/>
  <c r="BK187" i="4"/>
  <c r="BK188" i="4"/>
  <c r="BK189" i="4"/>
  <c r="BK190" i="4"/>
  <c r="BK191" i="4"/>
  <c r="BK192" i="4"/>
  <c r="BK193" i="4"/>
  <c r="BK194" i="4"/>
  <c r="BK195" i="4"/>
  <c r="BK196" i="4"/>
  <c r="BK197" i="4"/>
  <c r="BK198" i="4"/>
  <c r="BK199" i="4"/>
  <c r="BK200" i="4"/>
  <c r="BK201" i="4"/>
  <c r="BK202" i="4"/>
  <c r="BK203" i="4"/>
  <c r="BK204" i="4"/>
  <c r="BK205" i="4"/>
  <c r="BK206" i="4"/>
  <c r="BK207" i="4"/>
  <c r="BK208" i="4"/>
  <c r="BK209" i="4"/>
  <c r="BK210" i="4"/>
  <c r="BK211" i="4"/>
  <c r="BK212" i="4"/>
  <c r="BK213" i="4"/>
  <c r="BK214" i="4"/>
  <c r="BK215" i="4"/>
  <c r="BK216" i="4"/>
  <c r="BK217" i="4"/>
  <c r="BK218" i="4"/>
  <c r="BK219" i="4"/>
  <c r="BK220" i="4"/>
  <c r="BK221" i="4"/>
  <c r="BK222" i="4"/>
  <c r="BK223" i="4"/>
  <c r="BK224" i="4"/>
  <c r="BK225" i="4"/>
  <c r="BK226" i="4"/>
  <c r="BK227" i="4"/>
  <c r="BK228" i="4"/>
  <c r="BK229" i="4"/>
  <c r="BK230" i="4"/>
  <c r="BK231" i="4"/>
  <c r="BK232" i="4"/>
  <c r="BK233" i="4"/>
  <c r="BK234" i="4"/>
  <c r="BK235" i="4"/>
  <c r="BK236" i="4"/>
  <c r="BK237" i="4"/>
  <c r="BK238" i="4"/>
  <c r="BK239" i="4"/>
  <c r="BK240" i="4"/>
  <c r="BK241" i="4"/>
  <c r="BK242" i="4"/>
  <c r="BK243" i="4"/>
  <c r="BK244" i="4"/>
  <c r="BK245" i="4"/>
  <c r="BK246" i="4"/>
  <c r="BK247" i="4"/>
  <c r="BK248" i="4"/>
  <c r="BK249" i="4"/>
  <c r="BK250" i="4"/>
  <c r="BK251" i="4"/>
  <c r="BK252" i="4"/>
  <c r="BK253" i="4"/>
  <c r="BK254" i="4"/>
  <c r="BK255" i="4"/>
  <c r="BK256" i="4"/>
  <c r="BK257" i="4"/>
  <c r="BK258" i="4"/>
  <c r="BK259" i="4"/>
  <c r="BK260" i="4"/>
  <c r="BK261" i="4"/>
  <c r="BK262" i="4"/>
  <c r="BK263" i="4"/>
  <c r="BK264" i="4"/>
  <c r="BK265" i="4"/>
  <c r="BK266" i="4"/>
  <c r="BK267" i="4"/>
  <c r="BK268" i="4"/>
  <c r="BK269" i="4"/>
  <c r="BK270" i="4"/>
  <c r="BK271" i="4"/>
  <c r="BK272" i="4"/>
  <c r="BK273" i="4"/>
  <c r="BK274" i="4"/>
  <c r="BK275" i="4"/>
  <c r="BK276" i="4"/>
  <c r="BK277" i="4"/>
  <c r="BK278" i="4"/>
  <c r="BK279" i="4"/>
  <c r="BK280" i="4"/>
  <c r="BK281" i="4"/>
  <c r="BK282" i="4"/>
  <c r="BK283" i="4"/>
  <c r="BK284" i="4"/>
  <c r="BK285" i="4"/>
  <c r="BK286" i="4"/>
  <c r="BK287" i="4"/>
  <c r="BK288" i="4"/>
  <c r="BK289" i="4"/>
  <c r="BK290" i="4"/>
  <c r="BK291" i="4"/>
  <c r="BK292" i="4"/>
  <c r="BK293" i="4"/>
  <c r="BK294" i="4"/>
  <c r="BK295" i="4"/>
  <c r="BK296" i="4"/>
  <c r="BK297" i="4"/>
  <c r="BK298" i="4"/>
  <c r="BK299" i="4"/>
  <c r="BK300" i="4"/>
  <c r="BK301" i="4"/>
  <c r="BK302" i="4"/>
  <c r="BK303" i="4"/>
  <c r="BK304" i="4"/>
  <c r="BK305" i="4"/>
  <c r="BK306" i="4"/>
  <c r="BK307" i="4"/>
  <c r="BK308" i="4"/>
  <c r="BK309" i="4"/>
  <c r="BK310" i="4"/>
  <c r="BK311" i="4"/>
  <c r="BK312" i="4"/>
  <c r="BK313" i="4"/>
  <c r="BK314" i="4"/>
  <c r="BK315" i="4"/>
  <c r="BK316" i="4"/>
  <c r="BK317" i="4"/>
  <c r="BK318" i="4"/>
  <c r="BK319" i="4"/>
  <c r="BK320" i="4"/>
  <c r="BK321" i="4"/>
  <c r="BK322" i="4"/>
  <c r="BK323" i="4"/>
  <c r="BK324" i="4"/>
  <c r="BK325" i="4"/>
  <c r="BK326" i="4"/>
  <c r="BK327" i="4"/>
  <c r="BK328" i="4"/>
  <c r="BK329" i="4"/>
  <c r="BK330" i="4"/>
  <c r="BK331" i="4"/>
  <c r="BK332" i="4"/>
  <c r="BK333" i="4"/>
  <c r="BK334" i="4"/>
  <c r="BK335" i="4"/>
  <c r="BK336" i="4"/>
  <c r="BK337" i="4"/>
  <c r="BK338" i="4"/>
  <c r="BK339" i="4"/>
  <c r="BK340" i="4"/>
  <c r="BK341" i="4"/>
  <c r="BK342" i="4"/>
  <c r="BK343" i="4"/>
  <c r="BK344" i="4"/>
  <c r="BK345" i="4"/>
  <c r="BK346" i="4"/>
  <c r="BK347" i="4"/>
  <c r="BK348" i="4"/>
  <c r="BK349" i="4"/>
  <c r="BK350" i="4"/>
  <c r="BK351" i="4"/>
  <c r="BK352" i="4"/>
  <c r="BK353" i="4"/>
  <c r="BK354" i="4"/>
  <c r="BK355" i="4"/>
  <c r="BK356" i="4"/>
  <c r="BK357" i="4"/>
  <c r="BK358" i="4"/>
  <c r="BK359" i="4"/>
  <c r="BK360" i="4"/>
  <c r="BK361" i="4"/>
  <c r="BK362" i="4"/>
  <c r="BK363" i="4"/>
  <c r="BK364" i="4"/>
  <c r="BK365" i="4"/>
  <c r="BK366" i="4"/>
  <c r="BK367" i="4"/>
  <c r="BK368" i="4"/>
  <c r="BK369" i="4"/>
  <c r="BK370" i="4"/>
  <c r="BK371" i="4"/>
  <c r="BK372" i="4"/>
  <c r="BK373" i="4"/>
  <c r="BK374" i="4"/>
  <c r="BK375" i="4"/>
  <c r="BK376" i="4"/>
  <c r="BK377" i="4"/>
  <c r="BK378" i="4"/>
  <c r="BK379" i="4"/>
  <c r="BK380" i="4"/>
  <c r="BK381" i="4"/>
  <c r="BK382" i="4"/>
  <c r="BK383" i="4"/>
  <c r="BK384" i="4"/>
  <c r="BK385" i="4"/>
  <c r="BK386" i="4"/>
  <c r="BK387" i="4"/>
  <c r="BK388" i="4"/>
  <c r="BK389" i="4"/>
  <c r="BK390" i="4"/>
  <c r="BK391" i="4"/>
  <c r="BK392" i="4"/>
  <c r="BK393" i="4"/>
  <c r="BK394" i="4"/>
  <c r="BK395" i="4"/>
  <c r="BK396" i="4"/>
  <c r="BK397" i="4"/>
  <c r="BK398" i="4"/>
  <c r="BK399" i="4"/>
  <c r="BK400" i="4"/>
  <c r="BK401" i="4"/>
  <c r="BK402" i="4"/>
  <c r="BK403" i="4"/>
  <c r="BK404" i="4"/>
  <c r="BK405" i="4"/>
  <c r="BK406" i="4"/>
  <c r="BK407" i="4"/>
  <c r="BK408" i="4"/>
  <c r="BK409" i="4"/>
  <c r="BK410" i="4"/>
  <c r="BK411" i="4"/>
  <c r="BK412" i="4"/>
  <c r="BK413" i="4"/>
  <c r="BK414" i="4"/>
  <c r="BK415" i="4"/>
  <c r="BK416" i="4"/>
  <c r="BK417" i="4"/>
  <c r="BK418" i="4"/>
  <c r="BK419" i="4"/>
  <c r="BK420" i="4"/>
  <c r="BK421" i="4"/>
  <c r="BK422" i="4"/>
  <c r="BK423" i="4"/>
  <c r="BK424" i="4"/>
  <c r="BK425" i="4"/>
  <c r="BK426" i="4"/>
  <c r="BK427" i="4"/>
  <c r="BK428" i="4"/>
  <c r="BK429" i="4"/>
  <c r="BK430" i="4"/>
  <c r="BK431" i="4"/>
  <c r="BK432" i="4"/>
  <c r="BK433" i="4"/>
  <c r="BK434" i="4"/>
  <c r="BK435" i="4"/>
  <c r="BK436" i="4"/>
  <c r="BK437" i="4"/>
  <c r="BK438" i="4"/>
  <c r="BK439" i="4"/>
  <c r="BK440" i="4"/>
  <c r="BK441" i="4"/>
  <c r="BK442" i="4"/>
  <c r="BK443" i="4"/>
  <c r="BK444" i="4"/>
  <c r="BK445" i="4"/>
  <c r="BK446" i="4"/>
  <c r="BK447" i="4"/>
  <c r="BK448" i="4"/>
  <c r="BK449" i="4"/>
  <c r="BK450" i="4"/>
  <c r="BK451" i="4"/>
  <c r="BK452" i="4"/>
  <c r="BK453" i="4"/>
  <c r="BK454" i="4"/>
  <c r="BK455" i="4"/>
  <c r="BK456" i="4"/>
  <c r="BK457" i="4"/>
  <c r="BK458" i="4"/>
  <c r="BK459" i="4"/>
  <c r="BK460" i="4"/>
  <c r="BK461" i="4"/>
  <c r="BK462" i="4"/>
  <c r="BK463" i="4"/>
  <c r="BK464" i="4"/>
  <c r="BK465" i="4"/>
  <c r="BK466" i="4"/>
  <c r="BK467" i="4"/>
  <c r="BK468" i="4"/>
  <c r="BK469" i="4"/>
  <c r="BK470" i="4"/>
  <c r="BK471" i="4"/>
  <c r="BK472" i="4"/>
  <c r="BK473" i="4"/>
  <c r="BK474" i="4"/>
  <c r="BK475" i="4"/>
  <c r="BK476" i="4"/>
  <c r="BK477" i="4"/>
  <c r="BK478" i="4"/>
  <c r="BK479" i="4"/>
  <c r="BK480" i="4"/>
  <c r="BK481" i="4"/>
  <c r="BK482" i="4"/>
  <c r="BK483" i="4"/>
  <c r="BK484" i="4"/>
  <c r="BK485" i="4"/>
  <c r="BK486" i="4"/>
  <c r="BK487" i="4"/>
  <c r="BK488" i="4"/>
  <c r="BK489" i="4"/>
  <c r="BK490" i="4"/>
  <c r="BK491" i="4"/>
  <c r="BK492" i="4"/>
  <c r="BK493" i="4"/>
  <c r="BK494" i="4"/>
  <c r="BK495" i="4"/>
  <c r="BK496" i="4"/>
  <c r="BK497" i="4"/>
  <c r="BK498" i="4"/>
  <c r="BK499" i="4"/>
  <c r="BK500" i="4"/>
  <c r="BK501" i="4"/>
  <c r="BK502" i="4"/>
  <c r="BK503" i="4"/>
  <c r="BK504" i="4"/>
  <c r="BK505" i="4"/>
  <c r="BK506" i="4"/>
  <c r="BK507" i="4"/>
  <c r="BK508" i="4"/>
  <c r="BK509" i="4"/>
  <c r="BK510" i="4"/>
  <c r="BK511" i="4"/>
  <c r="BK512" i="4"/>
  <c r="BK513" i="4"/>
  <c r="BK514" i="4"/>
  <c r="BK515" i="4"/>
  <c r="BK516" i="4"/>
  <c r="BK517" i="4"/>
  <c r="BK518" i="4"/>
  <c r="BK519" i="4"/>
  <c r="BK520" i="4"/>
  <c r="BK521" i="4"/>
  <c r="BK522" i="4"/>
  <c r="BK523" i="4"/>
  <c r="BK524" i="4"/>
  <c r="BK525" i="4"/>
  <c r="BK526" i="4"/>
  <c r="BK527" i="4"/>
  <c r="BK528" i="4"/>
  <c r="BK529" i="4"/>
  <c r="BK530" i="4"/>
  <c r="BK531" i="4"/>
  <c r="BK532" i="4"/>
  <c r="BK533" i="4"/>
  <c r="BK534" i="4"/>
  <c r="BK535" i="4"/>
  <c r="BK536" i="4"/>
  <c r="BK537" i="4"/>
  <c r="BK538" i="4"/>
  <c r="BK539" i="4"/>
  <c r="BK540" i="4"/>
  <c r="BK541" i="4"/>
  <c r="BK542" i="4"/>
  <c r="BK543" i="4"/>
  <c r="BK544" i="4"/>
  <c r="BK545" i="4"/>
  <c r="BK546" i="4"/>
  <c r="BK547" i="4"/>
  <c r="BK548" i="4"/>
  <c r="BK549" i="4"/>
  <c r="BK550" i="4"/>
  <c r="BK551" i="4"/>
  <c r="BK552" i="4"/>
  <c r="BK553" i="4"/>
  <c r="BK554" i="4"/>
  <c r="BK555" i="4"/>
  <c r="BK556" i="4"/>
  <c r="BK557" i="4"/>
  <c r="BK558" i="4"/>
  <c r="BK559" i="4"/>
  <c r="BK560" i="4"/>
  <c r="BK561" i="4"/>
  <c r="BK562" i="4"/>
  <c r="BK563" i="4"/>
  <c r="BK564" i="4"/>
  <c r="BK565" i="4"/>
  <c r="BK566" i="4"/>
  <c r="BK567" i="4"/>
  <c r="BK568" i="4"/>
  <c r="BK569" i="4"/>
  <c r="BK570" i="4"/>
  <c r="BK571" i="4"/>
  <c r="BK572" i="4"/>
  <c r="BK573" i="4"/>
  <c r="BK574" i="4"/>
  <c r="BK575" i="4"/>
  <c r="BK576" i="4"/>
  <c r="BK577" i="4"/>
  <c r="BK578" i="4"/>
  <c r="BK579" i="4"/>
  <c r="BK580" i="4"/>
  <c r="BK581" i="4"/>
  <c r="BK582" i="4"/>
  <c r="BK583" i="4"/>
  <c r="BK584" i="4"/>
  <c r="BK585" i="4"/>
  <c r="BK586" i="4"/>
  <c r="BK587" i="4"/>
  <c r="BK588" i="4"/>
  <c r="BK589" i="4"/>
  <c r="BK590" i="4"/>
  <c r="BK591" i="4"/>
  <c r="BK592" i="4"/>
  <c r="BK593" i="4"/>
  <c r="BK594" i="4"/>
  <c r="BK595" i="4"/>
  <c r="BK596" i="4"/>
  <c r="BK597" i="4"/>
  <c r="BK598" i="4"/>
  <c r="BK599" i="4"/>
  <c r="BK600" i="4"/>
  <c r="BK601" i="4"/>
  <c r="BK602" i="4"/>
  <c r="BK603" i="4"/>
  <c r="BK604" i="4"/>
  <c r="BK605" i="4"/>
  <c r="BK606" i="4"/>
  <c r="BK607" i="4"/>
  <c r="BK608" i="4"/>
  <c r="BK609" i="4"/>
  <c r="BK610" i="4"/>
  <c r="BK611" i="4"/>
  <c r="BK612" i="4"/>
  <c r="BK613" i="4"/>
  <c r="BK614" i="4"/>
  <c r="BK615" i="4"/>
  <c r="BK616" i="4"/>
  <c r="BK617" i="4"/>
  <c r="BK618" i="4"/>
  <c r="BK619" i="4"/>
  <c r="BK620" i="4"/>
  <c r="BK621" i="4"/>
  <c r="BK622" i="4"/>
  <c r="BK623" i="4"/>
  <c r="BK624" i="4"/>
  <c r="BK625" i="4"/>
  <c r="BK626" i="4"/>
  <c r="BJ2" i="4"/>
  <c r="BJ3" i="4"/>
  <c r="BJ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17" i="4"/>
  <c r="BJ18" i="4"/>
  <c r="BJ19" i="4"/>
  <c r="BJ20" i="4"/>
  <c r="BJ21" i="4"/>
  <c r="BJ22" i="4"/>
  <c r="BJ23" i="4"/>
  <c r="BJ24" i="4"/>
  <c r="BJ25" i="4"/>
  <c r="BJ26" i="4"/>
  <c r="BJ27" i="4"/>
  <c r="BJ28" i="4"/>
  <c r="BJ29" i="4"/>
  <c r="BJ30" i="4"/>
  <c r="BJ31" i="4"/>
  <c r="BJ32" i="4"/>
  <c r="BJ33" i="4"/>
  <c r="BJ34" i="4"/>
  <c r="BJ35" i="4"/>
  <c r="BJ36" i="4"/>
  <c r="BJ37" i="4"/>
  <c r="BJ38" i="4"/>
  <c r="BJ39" i="4"/>
  <c r="BJ40" i="4"/>
  <c r="BJ41" i="4"/>
  <c r="BJ42" i="4"/>
  <c r="BJ43" i="4"/>
  <c r="BJ44" i="4"/>
  <c r="BJ45" i="4"/>
  <c r="BJ46" i="4"/>
  <c r="BJ47" i="4"/>
  <c r="BJ48" i="4"/>
  <c r="BJ49" i="4"/>
  <c r="BJ50" i="4"/>
  <c r="BJ51" i="4"/>
  <c r="BJ52" i="4"/>
  <c r="BJ53" i="4"/>
  <c r="BJ54" i="4"/>
  <c r="BJ55" i="4"/>
  <c r="BJ56" i="4"/>
  <c r="BJ57" i="4"/>
  <c r="BJ58" i="4"/>
  <c r="BJ59" i="4"/>
  <c r="BJ60" i="4"/>
  <c r="BJ61" i="4"/>
  <c r="BJ62" i="4"/>
  <c r="BJ63" i="4"/>
  <c r="BJ64" i="4"/>
  <c r="BJ65" i="4"/>
  <c r="BJ66" i="4"/>
  <c r="BJ67" i="4"/>
  <c r="BJ68" i="4"/>
  <c r="BJ69" i="4"/>
  <c r="BJ70" i="4"/>
  <c r="BJ71" i="4"/>
  <c r="BJ72" i="4"/>
  <c r="BJ73" i="4"/>
  <c r="BJ74" i="4"/>
  <c r="BJ75" i="4"/>
  <c r="BJ76" i="4"/>
  <c r="BJ77" i="4"/>
  <c r="BJ78" i="4"/>
  <c r="BJ79" i="4"/>
  <c r="BJ80" i="4"/>
  <c r="BJ81" i="4"/>
  <c r="BJ82" i="4"/>
  <c r="BJ83" i="4"/>
  <c r="BJ84" i="4"/>
  <c r="BJ85" i="4"/>
  <c r="BJ86" i="4"/>
  <c r="BJ87" i="4"/>
  <c r="BJ88" i="4"/>
  <c r="BJ89" i="4"/>
  <c r="BJ90" i="4"/>
  <c r="BJ91" i="4"/>
  <c r="BJ92" i="4"/>
  <c r="BJ93" i="4"/>
  <c r="BJ94" i="4"/>
  <c r="BJ95" i="4"/>
  <c r="BJ96" i="4"/>
  <c r="BJ97" i="4"/>
  <c r="BJ98" i="4"/>
  <c r="BJ99" i="4"/>
  <c r="BJ100" i="4"/>
  <c r="BJ101" i="4"/>
  <c r="BJ102" i="4"/>
  <c r="BJ103" i="4"/>
  <c r="BJ104" i="4"/>
  <c r="BJ105" i="4"/>
  <c r="BJ106" i="4"/>
  <c r="BJ107" i="4"/>
  <c r="BJ108" i="4"/>
  <c r="BJ109" i="4"/>
  <c r="BJ110" i="4"/>
  <c r="BJ111" i="4"/>
  <c r="BJ112" i="4"/>
  <c r="BJ113" i="4"/>
  <c r="BJ114" i="4"/>
  <c r="BJ115" i="4"/>
  <c r="BJ116" i="4"/>
  <c r="BJ117" i="4"/>
  <c r="BJ118" i="4"/>
  <c r="BJ119" i="4"/>
  <c r="BJ120" i="4"/>
  <c r="BJ121" i="4"/>
  <c r="BJ122" i="4"/>
  <c r="BJ123" i="4"/>
  <c r="BJ124" i="4"/>
  <c r="BJ125" i="4"/>
  <c r="BJ126" i="4"/>
  <c r="BJ127" i="4"/>
  <c r="BJ128" i="4"/>
  <c r="BJ129" i="4"/>
  <c r="BJ130" i="4"/>
  <c r="BJ131" i="4"/>
  <c r="BJ132" i="4"/>
  <c r="BJ133" i="4"/>
  <c r="BJ134" i="4"/>
  <c r="BJ135" i="4"/>
  <c r="BJ136" i="4"/>
  <c r="BJ137" i="4"/>
  <c r="BJ138" i="4"/>
  <c r="BJ139" i="4"/>
  <c r="BJ140" i="4"/>
  <c r="BJ141" i="4"/>
  <c r="BJ142" i="4"/>
  <c r="BJ143" i="4"/>
  <c r="BJ144" i="4"/>
  <c r="BJ145" i="4"/>
  <c r="BJ146" i="4"/>
  <c r="BJ147" i="4"/>
  <c r="BJ148" i="4"/>
  <c r="BJ149" i="4"/>
  <c r="BJ150" i="4"/>
  <c r="BJ151" i="4"/>
  <c r="BJ152" i="4"/>
  <c r="BJ153" i="4"/>
  <c r="BJ154" i="4"/>
  <c r="BJ155" i="4"/>
  <c r="BJ156" i="4"/>
  <c r="BJ157" i="4"/>
  <c r="BJ158" i="4"/>
  <c r="BJ159" i="4"/>
  <c r="BJ160" i="4"/>
  <c r="BJ161" i="4"/>
  <c r="BJ162" i="4"/>
  <c r="BJ163" i="4"/>
  <c r="BJ164" i="4"/>
  <c r="BJ165" i="4"/>
  <c r="BJ166" i="4"/>
  <c r="BJ167" i="4"/>
  <c r="BJ168" i="4"/>
  <c r="BJ169" i="4"/>
  <c r="BJ170" i="4"/>
  <c r="BJ171" i="4"/>
  <c r="BJ172" i="4"/>
  <c r="BJ173" i="4"/>
  <c r="BJ174" i="4"/>
  <c r="BJ175" i="4"/>
  <c r="BJ176" i="4"/>
  <c r="BJ177" i="4"/>
  <c r="BJ178" i="4"/>
  <c r="BJ179" i="4"/>
  <c r="BJ180" i="4"/>
  <c r="BJ181" i="4"/>
  <c r="BJ182" i="4"/>
  <c r="BJ183" i="4"/>
  <c r="BJ184" i="4"/>
  <c r="BJ185" i="4"/>
  <c r="BJ186" i="4"/>
  <c r="BJ187" i="4"/>
  <c r="BJ188" i="4"/>
  <c r="BJ189" i="4"/>
  <c r="BJ190" i="4"/>
  <c r="BJ191" i="4"/>
  <c r="BJ192" i="4"/>
  <c r="BJ193" i="4"/>
  <c r="BJ194" i="4"/>
  <c r="BJ195" i="4"/>
  <c r="BJ196" i="4"/>
  <c r="BJ197" i="4"/>
  <c r="BJ198" i="4"/>
  <c r="BJ199" i="4"/>
  <c r="BJ200" i="4"/>
  <c r="BJ201" i="4"/>
  <c r="BJ202" i="4"/>
  <c r="BJ203" i="4"/>
  <c r="BJ204" i="4"/>
  <c r="BJ205" i="4"/>
  <c r="BJ206" i="4"/>
  <c r="BJ207" i="4"/>
  <c r="BJ208" i="4"/>
  <c r="BJ209" i="4"/>
  <c r="BJ210" i="4"/>
  <c r="BJ211" i="4"/>
  <c r="BJ212" i="4"/>
  <c r="BJ213" i="4"/>
  <c r="BJ214" i="4"/>
  <c r="BJ215" i="4"/>
  <c r="BJ216" i="4"/>
  <c r="BJ217" i="4"/>
  <c r="BJ218" i="4"/>
  <c r="BJ219" i="4"/>
  <c r="BJ220" i="4"/>
  <c r="BJ221" i="4"/>
  <c r="BJ222" i="4"/>
  <c r="BJ223" i="4"/>
  <c r="BJ224" i="4"/>
  <c r="BJ225" i="4"/>
  <c r="BJ226" i="4"/>
  <c r="BJ227" i="4"/>
  <c r="BJ228" i="4"/>
  <c r="BJ229" i="4"/>
  <c r="BJ230" i="4"/>
  <c r="BJ231" i="4"/>
  <c r="BJ232" i="4"/>
  <c r="BJ233" i="4"/>
  <c r="BJ234" i="4"/>
  <c r="BJ235" i="4"/>
  <c r="BJ236" i="4"/>
  <c r="BJ237" i="4"/>
  <c r="BJ238" i="4"/>
  <c r="BJ239" i="4"/>
  <c r="BJ240" i="4"/>
  <c r="BJ241" i="4"/>
  <c r="BJ242" i="4"/>
  <c r="BJ243" i="4"/>
  <c r="BJ244" i="4"/>
  <c r="BJ245" i="4"/>
  <c r="BJ246" i="4"/>
  <c r="BJ247" i="4"/>
  <c r="BJ248" i="4"/>
  <c r="BJ249" i="4"/>
  <c r="BJ250" i="4"/>
  <c r="BJ251" i="4"/>
  <c r="BJ252" i="4"/>
  <c r="BJ253" i="4"/>
  <c r="BJ254" i="4"/>
  <c r="BJ255" i="4"/>
  <c r="BJ256" i="4"/>
  <c r="BJ257" i="4"/>
  <c r="BJ258" i="4"/>
  <c r="BJ259" i="4"/>
  <c r="BJ260" i="4"/>
  <c r="BJ261" i="4"/>
  <c r="BJ262" i="4"/>
  <c r="BJ263" i="4"/>
  <c r="BJ264" i="4"/>
  <c r="BJ265" i="4"/>
  <c r="BJ266" i="4"/>
  <c r="BJ267" i="4"/>
  <c r="BJ268" i="4"/>
  <c r="BJ269" i="4"/>
  <c r="BJ270" i="4"/>
  <c r="BJ271" i="4"/>
  <c r="BJ272" i="4"/>
  <c r="BJ273" i="4"/>
  <c r="BJ274" i="4"/>
  <c r="BJ275" i="4"/>
  <c r="BJ276" i="4"/>
  <c r="BJ277" i="4"/>
  <c r="BJ278" i="4"/>
  <c r="BJ279" i="4"/>
  <c r="BJ280" i="4"/>
  <c r="BJ281" i="4"/>
  <c r="BJ282" i="4"/>
  <c r="BJ283" i="4"/>
  <c r="BJ284" i="4"/>
  <c r="BJ285" i="4"/>
  <c r="BJ286" i="4"/>
  <c r="BJ287" i="4"/>
  <c r="BJ288" i="4"/>
  <c r="BJ289" i="4"/>
  <c r="BJ290" i="4"/>
  <c r="BJ291" i="4"/>
  <c r="BJ292" i="4"/>
  <c r="BJ293" i="4"/>
  <c r="BJ294" i="4"/>
  <c r="BJ295" i="4"/>
  <c r="BJ296" i="4"/>
  <c r="BJ297" i="4"/>
  <c r="BJ298" i="4"/>
  <c r="BJ299" i="4"/>
  <c r="BJ300" i="4"/>
  <c r="BJ301" i="4"/>
  <c r="BJ302" i="4"/>
  <c r="BJ303" i="4"/>
  <c r="BJ304" i="4"/>
  <c r="BJ305" i="4"/>
  <c r="BJ306" i="4"/>
  <c r="BJ307" i="4"/>
  <c r="BJ308" i="4"/>
  <c r="BJ309" i="4"/>
  <c r="BJ310" i="4"/>
  <c r="BJ311" i="4"/>
  <c r="BJ312" i="4"/>
  <c r="BJ313" i="4"/>
  <c r="BJ314" i="4"/>
  <c r="BJ315" i="4"/>
  <c r="BJ316" i="4"/>
  <c r="BJ317" i="4"/>
  <c r="BJ318" i="4"/>
  <c r="BJ319" i="4"/>
  <c r="BJ320" i="4"/>
  <c r="BJ321" i="4"/>
  <c r="BJ322" i="4"/>
  <c r="BJ323" i="4"/>
  <c r="BJ324" i="4"/>
  <c r="BJ325" i="4"/>
  <c r="BJ326" i="4"/>
  <c r="BJ327" i="4"/>
  <c r="BJ328" i="4"/>
  <c r="BJ329" i="4"/>
  <c r="BJ330" i="4"/>
  <c r="BJ331" i="4"/>
  <c r="BJ332" i="4"/>
  <c r="BJ333" i="4"/>
  <c r="BJ334" i="4"/>
  <c r="BJ335" i="4"/>
  <c r="BJ336" i="4"/>
  <c r="BJ337" i="4"/>
  <c r="BJ338" i="4"/>
  <c r="BJ339" i="4"/>
  <c r="BJ340" i="4"/>
  <c r="BJ341" i="4"/>
  <c r="BJ342" i="4"/>
  <c r="BJ343" i="4"/>
  <c r="BJ344" i="4"/>
  <c r="BJ345" i="4"/>
  <c r="BJ346" i="4"/>
  <c r="BJ347" i="4"/>
  <c r="BJ348" i="4"/>
  <c r="BJ349" i="4"/>
  <c r="BJ350" i="4"/>
  <c r="BJ351" i="4"/>
  <c r="BJ352" i="4"/>
  <c r="BJ353" i="4"/>
  <c r="BJ354" i="4"/>
  <c r="BJ355" i="4"/>
  <c r="BJ356" i="4"/>
  <c r="BJ357" i="4"/>
  <c r="BJ358" i="4"/>
  <c r="BJ359" i="4"/>
  <c r="BJ360" i="4"/>
  <c r="BJ361" i="4"/>
  <c r="BJ362" i="4"/>
  <c r="BJ363" i="4"/>
  <c r="BJ364" i="4"/>
  <c r="BJ365" i="4"/>
  <c r="BJ366" i="4"/>
  <c r="BJ367" i="4"/>
  <c r="BJ368" i="4"/>
  <c r="BJ369" i="4"/>
  <c r="BJ370" i="4"/>
  <c r="BJ371" i="4"/>
  <c r="BJ372" i="4"/>
  <c r="BJ373" i="4"/>
  <c r="BJ374" i="4"/>
  <c r="BJ375" i="4"/>
  <c r="BJ376" i="4"/>
  <c r="BJ377" i="4"/>
  <c r="BJ378" i="4"/>
  <c r="BJ379" i="4"/>
  <c r="BJ380" i="4"/>
  <c r="BJ381" i="4"/>
  <c r="BJ382" i="4"/>
  <c r="BJ383" i="4"/>
  <c r="BJ384" i="4"/>
  <c r="BJ385" i="4"/>
  <c r="BJ386" i="4"/>
  <c r="BJ387" i="4"/>
  <c r="BJ388" i="4"/>
  <c r="BJ389" i="4"/>
  <c r="BJ390" i="4"/>
  <c r="BJ391" i="4"/>
  <c r="BJ392" i="4"/>
  <c r="BJ393" i="4"/>
  <c r="BJ394" i="4"/>
  <c r="BJ395" i="4"/>
  <c r="BJ396" i="4"/>
  <c r="BJ397" i="4"/>
  <c r="BJ398" i="4"/>
  <c r="BJ399" i="4"/>
  <c r="BJ400" i="4"/>
  <c r="BJ401" i="4"/>
  <c r="BJ402" i="4"/>
  <c r="BJ403" i="4"/>
  <c r="BJ404" i="4"/>
  <c r="BJ405" i="4"/>
  <c r="BJ406" i="4"/>
  <c r="BJ407" i="4"/>
  <c r="BJ408" i="4"/>
  <c r="BJ409" i="4"/>
  <c r="BJ410" i="4"/>
  <c r="BJ411" i="4"/>
  <c r="BJ412" i="4"/>
  <c r="BJ413" i="4"/>
  <c r="BJ414" i="4"/>
  <c r="BJ415" i="4"/>
  <c r="BJ416" i="4"/>
  <c r="BJ417" i="4"/>
  <c r="BJ418" i="4"/>
  <c r="BJ419" i="4"/>
  <c r="BJ420" i="4"/>
  <c r="BJ421" i="4"/>
  <c r="BJ422" i="4"/>
  <c r="BJ423" i="4"/>
  <c r="BJ424" i="4"/>
  <c r="BJ425" i="4"/>
  <c r="BJ426" i="4"/>
  <c r="BJ427" i="4"/>
  <c r="BJ428" i="4"/>
  <c r="BJ429" i="4"/>
  <c r="BJ430" i="4"/>
  <c r="BJ431" i="4"/>
  <c r="BJ432" i="4"/>
  <c r="BJ433" i="4"/>
  <c r="BJ434" i="4"/>
  <c r="BJ435" i="4"/>
  <c r="BJ436" i="4"/>
  <c r="BJ437" i="4"/>
  <c r="BJ438" i="4"/>
  <c r="BJ439" i="4"/>
  <c r="BJ440" i="4"/>
  <c r="BJ441" i="4"/>
  <c r="BJ442" i="4"/>
  <c r="BJ443" i="4"/>
  <c r="BJ444" i="4"/>
  <c r="BJ445" i="4"/>
  <c r="BJ446" i="4"/>
  <c r="BJ447" i="4"/>
  <c r="BJ448" i="4"/>
  <c r="BJ449" i="4"/>
  <c r="BJ450" i="4"/>
  <c r="BJ451" i="4"/>
  <c r="BJ452" i="4"/>
  <c r="BJ453" i="4"/>
  <c r="BJ454" i="4"/>
  <c r="BJ455" i="4"/>
  <c r="BJ456" i="4"/>
  <c r="BJ457" i="4"/>
  <c r="BJ458" i="4"/>
  <c r="BJ459" i="4"/>
  <c r="BJ460" i="4"/>
  <c r="BJ461" i="4"/>
  <c r="BJ462" i="4"/>
  <c r="BJ463" i="4"/>
  <c r="BJ464" i="4"/>
  <c r="BJ465" i="4"/>
  <c r="BJ466" i="4"/>
  <c r="BJ467" i="4"/>
  <c r="BJ468" i="4"/>
  <c r="BJ469" i="4"/>
  <c r="BJ470" i="4"/>
  <c r="BJ471" i="4"/>
  <c r="BJ472" i="4"/>
  <c r="BJ473" i="4"/>
  <c r="BJ474" i="4"/>
  <c r="BJ475" i="4"/>
  <c r="BJ476" i="4"/>
  <c r="BJ477" i="4"/>
  <c r="BJ478" i="4"/>
  <c r="BJ479" i="4"/>
  <c r="BJ480" i="4"/>
  <c r="BJ481" i="4"/>
  <c r="BJ482" i="4"/>
  <c r="BJ483" i="4"/>
  <c r="BJ484" i="4"/>
  <c r="BJ485" i="4"/>
  <c r="BJ486" i="4"/>
  <c r="BJ487" i="4"/>
  <c r="BJ488" i="4"/>
  <c r="BJ489" i="4"/>
  <c r="BJ490" i="4"/>
  <c r="BJ491" i="4"/>
  <c r="BJ492" i="4"/>
  <c r="BJ493" i="4"/>
  <c r="BJ494" i="4"/>
  <c r="BJ495" i="4"/>
  <c r="BJ496" i="4"/>
  <c r="BJ497" i="4"/>
  <c r="BJ498" i="4"/>
  <c r="BJ499" i="4"/>
  <c r="BJ500" i="4"/>
  <c r="BJ501" i="4"/>
  <c r="BJ502" i="4"/>
  <c r="BJ503" i="4"/>
  <c r="BJ504" i="4"/>
  <c r="BJ505" i="4"/>
  <c r="BJ506" i="4"/>
  <c r="BJ507" i="4"/>
  <c r="BJ508" i="4"/>
  <c r="BJ509" i="4"/>
  <c r="BJ510" i="4"/>
  <c r="BJ511" i="4"/>
  <c r="BJ512" i="4"/>
  <c r="BJ513" i="4"/>
  <c r="BJ514" i="4"/>
  <c r="BJ515" i="4"/>
  <c r="BJ516" i="4"/>
  <c r="BJ517" i="4"/>
  <c r="BJ518" i="4"/>
  <c r="BJ519" i="4"/>
  <c r="BJ520" i="4"/>
  <c r="BJ521" i="4"/>
  <c r="BJ522" i="4"/>
  <c r="BJ523" i="4"/>
  <c r="BJ524" i="4"/>
  <c r="BJ525" i="4"/>
  <c r="BJ526" i="4"/>
  <c r="BJ527" i="4"/>
  <c r="BJ528" i="4"/>
  <c r="BJ529" i="4"/>
  <c r="BJ530" i="4"/>
  <c r="BJ531" i="4"/>
  <c r="BJ532" i="4"/>
  <c r="BJ533" i="4"/>
  <c r="BJ534" i="4"/>
  <c r="BJ535" i="4"/>
  <c r="BJ536" i="4"/>
  <c r="BJ537" i="4"/>
  <c r="BJ538" i="4"/>
  <c r="BJ539" i="4"/>
  <c r="BJ540" i="4"/>
  <c r="BJ541" i="4"/>
  <c r="BJ542" i="4"/>
  <c r="BJ543" i="4"/>
  <c r="BJ544" i="4"/>
  <c r="BJ545" i="4"/>
  <c r="BJ546" i="4"/>
  <c r="BJ547" i="4"/>
  <c r="BJ548" i="4"/>
  <c r="BJ549" i="4"/>
  <c r="BJ550" i="4"/>
  <c r="BJ551" i="4"/>
  <c r="BJ552" i="4"/>
  <c r="BJ553" i="4"/>
  <c r="BJ554" i="4"/>
  <c r="BJ555" i="4"/>
  <c r="BJ556" i="4"/>
  <c r="BJ557" i="4"/>
  <c r="BJ558" i="4"/>
  <c r="BJ559" i="4"/>
  <c r="BJ560" i="4"/>
  <c r="BJ561" i="4"/>
  <c r="BJ562" i="4"/>
  <c r="BJ563" i="4"/>
  <c r="BJ564" i="4"/>
  <c r="BJ565" i="4"/>
  <c r="BJ566" i="4"/>
  <c r="BJ567" i="4"/>
  <c r="BJ568" i="4"/>
  <c r="BJ569" i="4"/>
  <c r="BJ570" i="4"/>
  <c r="BJ571" i="4"/>
  <c r="BJ572" i="4"/>
  <c r="BJ573" i="4"/>
  <c r="BJ574" i="4"/>
  <c r="BJ575" i="4"/>
  <c r="BJ576" i="4"/>
  <c r="BJ577" i="4"/>
  <c r="BJ578" i="4"/>
  <c r="BJ579" i="4"/>
  <c r="BJ580" i="4"/>
  <c r="BJ581" i="4"/>
  <c r="BJ582" i="4"/>
  <c r="BJ583" i="4"/>
  <c r="BJ584" i="4"/>
  <c r="BJ585" i="4"/>
  <c r="BJ586" i="4"/>
  <c r="BJ587" i="4"/>
  <c r="BJ588" i="4"/>
  <c r="BJ589" i="4"/>
  <c r="BJ590" i="4"/>
  <c r="BJ591" i="4"/>
  <c r="BJ592" i="4"/>
  <c r="BJ593" i="4"/>
  <c r="BJ594" i="4"/>
  <c r="BJ595" i="4"/>
  <c r="BJ596" i="4"/>
  <c r="BJ597" i="4"/>
  <c r="BJ598" i="4"/>
  <c r="BJ599" i="4"/>
  <c r="BJ600" i="4"/>
  <c r="BJ601" i="4"/>
  <c r="BJ602" i="4"/>
  <c r="BJ603" i="4"/>
  <c r="BJ604" i="4"/>
  <c r="BJ605" i="4"/>
  <c r="BJ606" i="4"/>
  <c r="BJ607" i="4"/>
  <c r="BJ608" i="4"/>
  <c r="BJ609" i="4"/>
  <c r="BJ610" i="4"/>
  <c r="BJ611" i="4"/>
  <c r="BJ612" i="4"/>
  <c r="BJ613" i="4"/>
  <c r="BJ614" i="4"/>
  <c r="BJ615" i="4"/>
  <c r="BJ616" i="4"/>
  <c r="BJ617" i="4"/>
  <c r="BJ618" i="4"/>
  <c r="BJ619" i="4"/>
  <c r="BJ620" i="4"/>
  <c r="BJ621" i="4"/>
  <c r="BJ622" i="4"/>
  <c r="BJ623" i="4"/>
  <c r="BJ624" i="4"/>
  <c r="BJ625" i="4"/>
  <c r="BJ626" i="4"/>
  <c r="BI2" i="4"/>
  <c r="BI3" i="4"/>
  <c r="BI4" i="4"/>
  <c r="BI5" i="4"/>
  <c r="BI6" i="4"/>
  <c r="BI7" i="4"/>
  <c r="BI8" i="4"/>
  <c r="BI9" i="4"/>
  <c r="BI10" i="4"/>
  <c r="BI11" i="4"/>
  <c r="BI12" i="4"/>
  <c r="BI13" i="4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1" i="4"/>
  <c r="BI32" i="4"/>
  <c r="BI33" i="4"/>
  <c r="BI34" i="4"/>
  <c r="BI35" i="4"/>
  <c r="BI36" i="4"/>
  <c r="BI37" i="4"/>
  <c r="BI38" i="4"/>
  <c r="BI39" i="4"/>
  <c r="BI40" i="4"/>
  <c r="BI41" i="4"/>
  <c r="BI42" i="4"/>
  <c r="BI43" i="4"/>
  <c r="BI44" i="4"/>
  <c r="BI45" i="4"/>
  <c r="BI46" i="4"/>
  <c r="BI47" i="4"/>
  <c r="BI48" i="4"/>
  <c r="BI49" i="4"/>
  <c r="BI50" i="4"/>
  <c r="BI51" i="4"/>
  <c r="BI52" i="4"/>
  <c r="BI53" i="4"/>
  <c r="BI54" i="4"/>
  <c r="BI55" i="4"/>
  <c r="BI56" i="4"/>
  <c r="BI57" i="4"/>
  <c r="BI58" i="4"/>
  <c r="BI59" i="4"/>
  <c r="BI60" i="4"/>
  <c r="BI61" i="4"/>
  <c r="BI62" i="4"/>
  <c r="BI63" i="4"/>
  <c r="BI64" i="4"/>
  <c r="BI65" i="4"/>
  <c r="BI66" i="4"/>
  <c r="BI67" i="4"/>
  <c r="BI68" i="4"/>
  <c r="BI69" i="4"/>
  <c r="BI70" i="4"/>
  <c r="BI71" i="4"/>
  <c r="BI72" i="4"/>
  <c r="BI73" i="4"/>
  <c r="BI74" i="4"/>
  <c r="BI75" i="4"/>
  <c r="BI76" i="4"/>
  <c r="BI77" i="4"/>
  <c r="BI78" i="4"/>
  <c r="BI79" i="4"/>
  <c r="BI80" i="4"/>
  <c r="BI81" i="4"/>
  <c r="BI82" i="4"/>
  <c r="BI83" i="4"/>
  <c r="BI84" i="4"/>
  <c r="BI85" i="4"/>
  <c r="BI86" i="4"/>
  <c r="BI87" i="4"/>
  <c r="BI88" i="4"/>
  <c r="BI89" i="4"/>
  <c r="BI90" i="4"/>
  <c r="BI91" i="4"/>
  <c r="BI92" i="4"/>
  <c r="BI93" i="4"/>
  <c r="BI94" i="4"/>
  <c r="BI95" i="4"/>
  <c r="BI96" i="4"/>
  <c r="BI97" i="4"/>
  <c r="BI98" i="4"/>
  <c r="BI99" i="4"/>
  <c r="BI100" i="4"/>
  <c r="BI101" i="4"/>
  <c r="BI102" i="4"/>
  <c r="BI103" i="4"/>
  <c r="BI104" i="4"/>
  <c r="BI105" i="4"/>
  <c r="BI106" i="4"/>
  <c r="BI107" i="4"/>
  <c r="BI108" i="4"/>
  <c r="BI109" i="4"/>
  <c r="BI110" i="4"/>
  <c r="BI111" i="4"/>
  <c r="BI112" i="4"/>
  <c r="BI113" i="4"/>
  <c r="BI114" i="4"/>
  <c r="BI115" i="4"/>
  <c r="BI116" i="4"/>
  <c r="BI117" i="4"/>
  <c r="BI118" i="4"/>
  <c r="BI119" i="4"/>
  <c r="BI120" i="4"/>
  <c r="BI121" i="4"/>
  <c r="BI122" i="4"/>
  <c r="BI123" i="4"/>
  <c r="BI124" i="4"/>
  <c r="BI125" i="4"/>
  <c r="BI126" i="4"/>
  <c r="BI127" i="4"/>
  <c r="BI128" i="4"/>
  <c r="BI129" i="4"/>
  <c r="BI130" i="4"/>
  <c r="BI131" i="4"/>
  <c r="BI132" i="4"/>
  <c r="BI133" i="4"/>
  <c r="BI134" i="4"/>
  <c r="BI135" i="4"/>
  <c r="BI136" i="4"/>
  <c r="BI137" i="4"/>
  <c r="BI138" i="4"/>
  <c r="BI139" i="4"/>
  <c r="BI140" i="4"/>
  <c r="BI141" i="4"/>
  <c r="BI142" i="4"/>
  <c r="BI143" i="4"/>
  <c r="BI144" i="4"/>
  <c r="BI145" i="4"/>
  <c r="BI146" i="4"/>
  <c r="BI147" i="4"/>
  <c r="BI148" i="4"/>
  <c r="BI149" i="4"/>
  <c r="BI150" i="4"/>
  <c r="BI151" i="4"/>
  <c r="BI152" i="4"/>
  <c r="BI153" i="4"/>
  <c r="BI154" i="4"/>
  <c r="BI155" i="4"/>
  <c r="BI156" i="4"/>
  <c r="BI157" i="4"/>
  <c r="BI158" i="4"/>
  <c r="BI159" i="4"/>
  <c r="BI160" i="4"/>
  <c r="BI161" i="4"/>
  <c r="BI162" i="4"/>
  <c r="BI163" i="4"/>
  <c r="BI164" i="4"/>
  <c r="BI165" i="4"/>
  <c r="BI166" i="4"/>
  <c r="BI167" i="4"/>
  <c r="BI168" i="4"/>
  <c r="BI169" i="4"/>
  <c r="BI170" i="4"/>
  <c r="BI171" i="4"/>
  <c r="BI172" i="4"/>
  <c r="BI173" i="4"/>
  <c r="BI174" i="4"/>
  <c r="BI175" i="4"/>
  <c r="BI176" i="4"/>
  <c r="BI177" i="4"/>
  <c r="BI178" i="4"/>
  <c r="BI179" i="4"/>
  <c r="BI180" i="4"/>
  <c r="BI181" i="4"/>
  <c r="BI182" i="4"/>
  <c r="BI183" i="4"/>
  <c r="BI184" i="4"/>
  <c r="BI185" i="4"/>
  <c r="BI186" i="4"/>
  <c r="BI187" i="4"/>
  <c r="BI188" i="4"/>
  <c r="BI189" i="4"/>
  <c r="BI190" i="4"/>
  <c r="BI191" i="4"/>
  <c r="BI192" i="4"/>
  <c r="BI193" i="4"/>
  <c r="BI194" i="4"/>
  <c r="BI195" i="4"/>
  <c r="BI196" i="4"/>
  <c r="BI197" i="4"/>
  <c r="BI198" i="4"/>
  <c r="BI199" i="4"/>
  <c r="BI200" i="4"/>
  <c r="BI201" i="4"/>
  <c r="BI202" i="4"/>
  <c r="BI203" i="4"/>
  <c r="BI204" i="4"/>
  <c r="BI205" i="4"/>
  <c r="BI206" i="4"/>
  <c r="BI207" i="4"/>
  <c r="BI208" i="4"/>
  <c r="BI209" i="4"/>
  <c r="BI210" i="4"/>
  <c r="BI211" i="4"/>
  <c r="BI212" i="4"/>
  <c r="BI213" i="4"/>
  <c r="BI214" i="4"/>
  <c r="BI215" i="4"/>
  <c r="BI216" i="4"/>
  <c r="BI217" i="4"/>
  <c r="BI218" i="4"/>
  <c r="BI219" i="4"/>
  <c r="BI220" i="4"/>
  <c r="BI221" i="4"/>
  <c r="BI222" i="4"/>
  <c r="BI223" i="4"/>
  <c r="BI224" i="4"/>
  <c r="BI225" i="4"/>
  <c r="BI226" i="4"/>
  <c r="BI227" i="4"/>
  <c r="BI228" i="4"/>
  <c r="BI229" i="4"/>
  <c r="BI230" i="4"/>
  <c r="BI231" i="4"/>
  <c r="BI232" i="4"/>
  <c r="BI233" i="4"/>
  <c r="BI234" i="4"/>
  <c r="BI235" i="4"/>
  <c r="BI236" i="4"/>
  <c r="BI237" i="4"/>
  <c r="BI238" i="4"/>
  <c r="BI239" i="4"/>
  <c r="BI240" i="4"/>
  <c r="BI241" i="4"/>
  <c r="BI242" i="4"/>
  <c r="BI243" i="4"/>
  <c r="BI244" i="4"/>
  <c r="BI245" i="4"/>
  <c r="BI246" i="4"/>
  <c r="BI247" i="4"/>
  <c r="BI248" i="4"/>
  <c r="BI249" i="4"/>
  <c r="BI250" i="4"/>
  <c r="BI251" i="4"/>
  <c r="BI252" i="4"/>
  <c r="BI253" i="4"/>
  <c r="BI254" i="4"/>
  <c r="BI255" i="4"/>
  <c r="BI256" i="4"/>
  <c r="BI257" i="4"/>
  <c r="BI258" i="4"/>
  <c r="BI259" i="4"/>
  <c r="BI260" i="4"/>
  <c r="BI261" i="4"/>
  <c r="BI262" i="4"/>
  <c r="BI263" i="4"/>
  <c r="BI264" i="4"/>
  <c r="BI265" i="4"/>
  <c r="BI266" i="4"/>
  <c r="BI267" i="4"/>
  <c r="BI268" i="4"/>
  <c r="BI269" i="4"/>
  <c r="BI270" i="4"/>
  <c r="BI271" i="4"/>
  <c r="BI272" i="4"/>
  <c r="BI273" i="4"/>
  <c r="BI274" i="4"/>
  <c r="BI275" i="4"/>
  <c r="BI276" i="4"/>
  <c r="BI277" i="4"/>
  <c r="BI278" i="4"/>
  <c r="BI279" i="4"/>
  <c r="BI280" i="4"/>
  <c r="BI281" i="4"/>
  <c r="BI282" i="4"/>
  <c r="BI283" i="4"/>
  <c r="BI284" i="4"/>
  <c r="BI285" i="4"/>
  <c r="BI286" i="4"/>
  <c r="BI287" i="4"/>
  <c r="BI288" i="4"/>
  <c r="BI289" i="4"/>
  <c r="BI290" i="4"/>
  <c r="BI291" i="4"/>
  <c r="BI292" i="4"/>
  <c r="BI293" i="4"/>
  <c r="BI294" i="4"/>
  <c r="BI295" i="4"/>
  <c r="BI296" i="4"/>
  <c r="BI297" i="4"/>
  <c r="BI298" i="4"/>
  <c r="BI299" i="4"/>
  <c r="BI300" i="4"/>
  <c r="BI301" i="4"/>
  <c r="BI302" i="4"/>
  <c r="BI303" i="4"/>
  <c r="BI304" i="4"/>
  <c r="BI305" i="4"/>
  <c r="BI306" i="4"/>
  <c r="BI307" i="4"/>
  <c r="BI308" i="4"/>
  <c r="BI309" i="4"/>
  <c r="BI310" i="4"/>
  <c r="BI311" i="4"/>
  <c r="BI312" i="4"/>
  <c r="BI313" i="4"/>
  <c r="BI314" i="4"/>
  <c r="BI315" i="4"/>
  <c r="BI316" i="4"/>
  <c r="BI317" i="4"/>
  <c r="BI318" i="4"/>
  <c r="BI319" i="4"/>
  <c r="BI320" i="4"/>
  <c r="BI321" i="4"/>
  <c r="BI322" i="4"/>
  <c r="BI323" i="4"/>
  <c r="BI324" i="4"/>
  <c r="BI325" i="4"/>
  <c r="BI326" i="4"/>
  <c r="BI327" i="4"/>
  <c r="BI328" i="4"/>
  <c r="BI329" i="4"/>
  <c r="BI330" i="4"/>
  <c r="BI331" i="4"/>
  <c r="BI332" i="4"/>
  <c r="BI333" i="4"/>
  <c r="BI334" i="4"/>
  <c r="BI335" i="4"/>
  <c r="BI336" i="4"/>
  <c r="BI337" i="4"/>
  <c r="BI338" i="4"/>
  <c r="BI339" i="4"/>
  <c r="BI340" i="4"/>
  <c r="BI341" i="4"/>
  <c r="BI342" i="4"/>
  <c r="BI343" i="4"/>
  <c r="BI344" i="4"/>
  <c r="BI345" i="4"/>
  <c r="BI346" i="4"/>
  <c r="BI347" i="4"/>
  <c r="BI348" i="4"/>
  <c r="BI349" i="4"/>
  <c r="BI350" i="4"/>
  <c r="BI351" i="4"/>
  <c r="BI352" i="4"/>
  <c r="BI353" i="4"/>
  <c r="BI354" i="4"/>
  <c r="BI355" i="4"/>
  <c r="BI356" i="4"/>
  <c r="BI357" i="4"/>
  <c r="BI358" i="4"/>
  <c r="BI359" i="4"/>
  <c r="BI360" i="4"/>
  <c r="BI361" i="4"/>
  <c r="BI362" i="4"/>
  <c r="BI363" i="4"/>
  <c r="BI364" i="4"/>
  <c r="BI365" i="4"/>
  <c r="BI366" i="4"/>
  <c r="BI367" i="4"/>
  <c r="BI368" i="4"/>
  <c r="BI369" i="4"/>
  <c r="BI370" i="4"/>
  <c r="BI371" i="4"/>
  <c r="BI372" i="4"/>
  <c r="BI373" i="4"/>
  <c r="BI374" i="4"/>
  <c r="BI375" i="4"/>
  <c r="BI376" i="4"/>
  <c r="BI377" i="4"/>
  <c r="BI378" i="4"/>
  <c r="BI379" i="4"/>
  <c r="BI380" i="4"/>
  <c r="BI381" i="4"/>
  <c r="BI382" i="4"/>
  <c r="BI383" i="4"/>
  <c r="BI384" i="4"/>
  <c r="BI385" i="4"/>
  <c r="BI386" i="4"/>
  <c r="BI387" i="4"/>
  <c r="BI388" i="4"/>
  <c r="BI389" i="4"/>
  <c r="BI390" i="4"/>
  <c r="BI391" i="4"/>
  <c r="BI392" i="4"/>
  <c r="BI393" i="4"/>
  <c r="BI394" i="4"/>
  <c r="BI395" i="4"/>
  <c r="BI396" i="4"/>
  <c r="BI397" i="4"/>
  <c r="BI398" i="4"/>
  <c r="BI399" i="4"/>
  <c r="BI400" i="4"/>
  <c r="BI401" i="4"/>
  <c r="BI402" i="4"/>
  <c r="BI403" i="4"/>
  <c r="BI404" i="4"/>
  <c r="BI405" i="4"/>
  <c r="BI406" i="4"/>
  <c r="BI407" i="4"/>
  <c r="BI408" i="4"/>
  <c r="BI409" i="4"/>
  <c r="BI410" i="4"/>
  <c r="BI411" i="4"/>
  <c r="BI412" i="4"/>
  <c r="BI413" i="4"/>
  <c r="BI414" i="4"/>
  <c r="BI415" i="4"/>
  <c r="BI416" i="4"/>
  <c r="BI417" i="4"/>
  <c r="BI418" i="4"/>
  <c r="BI419" i="4"/>
  <c r="BI420" i="4"/>
  <c r="BI421" i="4"/>
  <c r="BI422" i="4"/>
  <c r="BI423" i="4"/>
  <c r="BI424" i="4"/>
  <c r="BI425" i="4"/>
  <c r="BI426" i="4"/>
  <c r="BI427" i="4"/>
  <c r="BI428" i="4"/>
  <c r="BI429" i="4"/>
  <c r="BI430" i="4"/>
  <c r="BI431" i="4"/>
  <c r="BI432" i="4"/>
  <c r="BI433" i="4"/>
  <c r="BI434" i="4"/>
  <c r="BI435" i="4"/>
  <c r="BI436" i="4"/>
  <c r="BI437" i="4"/>
  <c r="BI438" i="4"/>
  <c r="BI439" i="4"/>
  <c r="BI440" i="4"/>
  <c r="BI441" i="4"/>
  <c r="BI442" i="4"/>
  <c r="BI443" i="4"/>
  <c r="BI444" i="4"/>
  <c r="BI445" i="4"/>
  <c r="BI446" i="4"/>
  <c r="BI447" i="4"/>
  <c r="BI448" i="4"/>
  <c r="BI449" i="4"/>
  <c r="BI450" i="4"/>
  <c r="BI451" i="4"/>
  <c r="BI452" i="4"/>
  <c r="BI453" i="4"/>
  <c r="BI454" i="4"/>
  <c r="BI455" i="4"/>
  <c r="BI456" i="4"/>
  <c r="BI457" i="4"/>
  <c r="BI458" i="4"/>
  <c r="BI459" i="4"/>
  <c r="BI460" i="4"/>
  <c r="BI461" i="4"/>
  <c r="BI462" i="4"/>
  <c r="BI463" i="4"/>
  <c r="BI464" i="4"/>
  <c r="BI465" i="4"/>
  <c r="BI466" i="4"/>
  <c r="BI467" i="4"/>
  <c r="BI468" i="4"/>
  <c r="BI469" i="4"/>
  <c r="BI470" i="4"/>
  <c r="BI471" i="4"/>
  <c r="BI472" i="4"/>
  <c r="BI473" i="4"/>
  <c r="BI474" i="4"/>
  <c r="BI475" i="4"/>
  <c r="BI476" i="4"/>
  <c r="BI477" i="4"/>
  <c r="BI478" i="4"/>
  <c r="BI479" i="4"/>
  <c r="BI480" i="4"/>
  <c r="BI481" i="4"/>
  <c r="BI482" i="4"/>
  <c r="BI483" i="4"/>
  <c r="BI484" i="4"/>
  <c r="BI485" i="4"/>
  <c r="BI486" i="4"/>
  <c r="BI487" i="4"/>
  <c r="BI488" i="4"/>
  <c r="BI489" i="4"/>
  <c r="BI490" i="4"/>
  <c r="BI491" i="4"/>
  <c r="BI492" i="4"/>
  <c r="BI493" i="4"/>
  <c r="BI494" i="4"/>
  <c r="BI495" i="4"/>
  <c r="BI496" i="4"/>
  <c r="BI497" i="4"/>
  <c r="BI498" i="4"/>
  <c r="BI499" i="4"/>
  <c r="BI500" i="4"/>
  <c r="BI501" i="4"/>
  <c r="BI502" i="4"/>
  <c r="BI503" i="4"/>
  <c r="BI504" i="4"/>
  <c r="BI505" i="4"/>
  <c r="BI506" i="4"/>
  <c r="BI507" i="4"/>
  <c r="BI508" i="4"/>
  <c r="BI509" i="4"/>
  <c r="BI510" i="4"/>
  <c r="BI511" i="4"/>
  <c r="BI512" i="4"/>
  <c r="BI513" i="4"/>
  <c r="BI514" i="4"/>
  <c r="BI515" i="4"/>
  <c r="BI516" i="4"/>
  <c r="BI517" i="4"/>
  <c r="BI518" i="4"/>
  <c r="BI519" i="4"/>
  <c r="BI520" i="4"/>
  <c r="BI521" i="4"/>
  <c r="BI522" i="4"/>
  <c r="BI523" i="4"/>
  <c r="BI524" i="4"/>
  <c r="BI525" i="4"/>
  <c r="BI526" i="4"/>
  <c r="BI527" i="4"/>
  <c r="BI528" i="4"/>
  <c r="BI529" i="4"/>
  <c r="BI530" i="4"/>
  <c r="BI531" i="4"/>
  <c r="BI532" i="4"/>
  <c r="BI533" i="4"/>
  <c r="BI534" i="4"/>
  <c r="BI535" i="4"/>
  <c r="BI536" i="4"/>
  <c r="BI537" i="4"/>
  <c r="BI538" i="4"/>
  <c r="BI539" i="4"/>
  <c r="BI540" i="4"/>
  <c r="BI541" i="4"/>
  <c r="BI542" i="4"/>
  <c r="BI543" i="4"/>
  <c r="BI544" i="4"/>
  <c r="BI545" i="4"/>
  <c r="BI546" i="4"/>
  <c r="BI547" i="4"/>
  <c r="BI548" i="4"/>
  <c r="BI549" i="4"/>
  <c r="BI550" i="4"/>
  <c r="BI551" i="4"/>
  <c r="BI552" i="4"/>
  <c r="BI553" i="4"/>
  <c r="BI554" i="4"/>
  <c r="BI555" i="4"/>
  <c r="BI556" i="4"/>
  <c r="BI557" i="4"/>
  <c r="BI558" i="4"/>
  <c r="BI559" i="4"/>
  <c r="BI560" i="4"/>
  <c r="BI561" i="4"/>
  <c r="BI562" i="4"/>
  <c r="BI563" i="4"/>
  <c r="BI564" i="4"/>
  <c r="BI565" i="4"/>
  <c r="BI566" i="4"/>
  <c r="BI567" i="4"/>
  <c r="BI568" i="4"/>
  <c r="BI569" i="4"/>
  <c r="BI570" i="4"/>
  <c r="BI571" i="4"/>
  <c r="BI572" i="4"/>
  <c r="BI573" i="4"/>
  <c r="BI574" i="4"/>
  <c r="BI575" i="4"/>
  <c r="BI576" i="4"/>
  <c r="BI577" i="4"/>
  <c r="BI578" i="4"/>
  <c r="BI579" i="4"/>
  <c r="BI580" i="4"/>
  <c r="BI581" i="4"/>
  <c r="BI582" i="4"/>
  <c r="BI583" i="4"/>
  <c r="BI584" i="4"/>
  <c r="BI585" i="4"/>
  <c r="BI586" i="4"/>
  <c r="BI587" i="4"/>
  <c r="BI588" i="4"/>
  <c r="BI589" i="4"/>
  <c r="BI590" i="4"/>
  <c r="BI591" i="4"/>
  <c r="BI592" i="4"/>
  <c r="BI593" i="4"/>
  <c r="BI594" i="4"/>
  <c r="BI595" i="4"/>
  <c r="BI596" i="4"/>
  <c r="BI597" i="4"/>
  <c r="BI598" i="4"/>
  <c r="BI599" i="4"/>
  <c r="BI600" i="4"/>
  <c r="BI601" i="4"/>
  <c r="BI602" i="4"/>
  <c r="BI603" i="4"/>
  <c r="BI604" i="4"/>
  <c r="BI605" i="4"/>
  <c r="BI606" i="4"/>
  <c r="BI607" i="4"/>
  <c r="BI608" i="4"/>
  <c r="BI609" i="4"/>
  <c r="BI610" i="4"/>
  <c r="BI611" i="4"/>
  <c r="BI612" i="4"/>
  <c r="BI613" i="4"/>
  <c r="BI614" i="4"/>
  <c r="BI615" i="4"/>
  <c r="BI616" i="4"/>
  <c r="BI617" i="4"/>
  <c r="BI618" i="4"/>
  <c r="BI619" i="4"/>
  <c r="BI620" i="4"/>
  <c r="BI621" i="4"/>
  <c r="BI622" i="4"/>
  <c r="BI623" i="4"/>
  <c r="BI624" i="4"/>
  <c r="BI625" i="4"/>
  <c r="BI626" i="4"/>
  <c r="BH2" i="4"/>
  <c r="BH3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104" i="4"/>
  <c r="BH105" i="4"/>
  <c r="BH106" i="4"/>
  <c r="BH107" i="4"/>
  <c r="BH108" i="4"/>
  <c r="BH109" i="4"/>
  <c r="BH110" i="4"/>
  <c r="BH111" i="4"/>
  <c r="BH112" i="4"/>
  <c r="BH113" i="4"/>
  <c r="BH114" i="4"/>
  <c r="BH115" i="4"/>
  <c r="BH116" i="4"/>
  <c r="BH117" i="4"/>
  <c r="BH118" i="4"/>
  <c r="BH119" i="4"/>
  <c r="BH120" i="4"/>
  <c r="BH121" i="4"/>
  <c r="BH122" i="4"/>
  <c r="BH123" i="4"/>
  <c r="BH124" i="4"/>
  <c r="BH125" i="4"/>
  <c r="BH126" i="4"/>
  <c r="BH127" i="4"/>
  <c r="BH128" i="4"/>
  <c r="BH129" i="4"/>
  <c r="BH130" i="4"/>
  <c r="BH131" i="4"/>
  <c r="BH132" i="4"/>
  <c r="BH133" i="4"/>
  <c r="BH134" i="4"/>
  <c r="BH135" i="4"/>
  <c r="BH136" i="4"/>
  <c r="BH137" i="4"/>
  <c r="BH138" i="4"/>
  <c r="BH139" i="4"/>
  <c r="BH140" i="4"/>
  <c r="BH141" i="4"/>
  <c r="BH142" i="4"/>
  <c r="BH143" i="4"/>
  <c r="BH144" i="4"/>
  <c r="BH145" i="4"/>
  <c r="BH146" i="4"/>
  <c r="BH147" i="4"/>
  <c r="BH148" i="4"/>
  <c r="BH149" i="4"/>
  <c r="BH150" i="4"/>
  <c r="BH151" i="4"/>
  <c r="BH152" i="4"/>
  <c r="BH153" i="4"/>
  <c r="BH154" i="4"/>
  <c r="BH155" i="4"/>
  <c r="BH156" i="4"/>
  <c r="BH157" i="4"/>
  <c r="BH158" i="4"/>
  <c r="BH159" i="4"/>
  <c r="BH160" i="4"/>
  <c r="BH161" i="4"/>
  <c r="BH162" i="4"/>
  <c r="BH163" i="4"/>
  <c r="BH164" i="4"/>
  <c r="BH165" i="4"/>
  <c r="BH166" i="4"/>
  <c r="BH167" i="4"/>
  <c r="BH168" i="4"/>
  <c r="BH169" i="4"/>
  <c r="BH170" i="4"/>
  <c r="BH171" i="4"/>
  <c r="BH172" i="4"/>
  <c r="BH173" i="4"/>
  <c r="BH174" i="4"/>
  <c r="BH175" i="4"/>
  <c r="BH176" i="4"/>
  <c r="BH177" i="4"/>
  <c r="BH178" i="4"/>
  <c r="BH179" i="4"/>
  <c r="BH180" i="4"/>
  <c r="BH181" i="4"/>
  <c r="BH182" i="4"/>
  <c r="BH183" i="4"/>
  <c r="BH184" i="4"/>
  <c r="BH185" i="4"/>
  <c r="BH186" i="4"/>
  <c r="BH187" i="4"/>
  <c r="BH188" i="4"/>
  <c r="BH189" i="4"/>
  <c r="BH190" i="4"/>
  <c r="BH191" i="4"/>
  <c r="BH192" i="4"/>
  <c r="BH193" i="4"/>
  <c r="BH194" i="4"/>
  <c r="BH195" i="4"/>
  <c r="BH196" i="4"/>
  <c r="BH197" i="4"/>
  <c r="BH198" i="4"/>
  <c r="BH199" i="4"/>
  <c r="BH200" i="4"/>
  <c r="BH201" i="4"/>
  <c r="BH202" i="4"/>
  <c r="BH203" i="4"/>
  <c r="BH204" i="4"/>
  <c r="BH205" i="4"/>
  <c r="BH206" i="4"/>
  <c r="BH207" i="4"/>
  <c r="BH208" i="4"/>
  <c r="BH209" i="4"/>
  <c r="BH210" i="4"/>
  <c r="BH211" i="4"/>
  <c r="BH212" i="4"/>
  <c r="BH213" i="4"/>
  <c r="BH214" i="4"/>
  <c r="BH215" i="4"/>
  <c r="BH216" i="4"/>
  <c r="BH217" i="4"/>
  <c r="BH218" i="4"/>
  <c r="BH219" i="4"/>
  <c r="BH220" i="4"/>
  <c r="BH221" i="4"/>
  <c r="BH222" i="4"/>
  <c r="BH223" i="4"/>
  <c r="BH224" i="4"/>
  <c r="BH225" i="4"/>
  <c r="BH226" i="4"/>
  <c r="BH227" i="4"/>
  <c r="BH228" i="4"/>
  <c r="BH229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242" i="4"/>
  <c r="BH243" i="4"/>
  <c r="BH244" i="4"/>
  <c r="BH245" i="4"/>
  <c r="BH246" i="4"/>
  <c r="BH247" i="4"/>
  <c r="BH248" i="4"/>
  <c r="BH249" i="4"/>
  <c r="BH250" i="4"/>
  <c r="BH251" i="4"/>
  <c r="BH252" i="4"/>
  <c r="BH253" i="4"/>
  <c r="BH254" i="4"/>
  <c r="BH255" i="4"/>
  <c r="BH256" i="4"/>
  <c r="BH257" i="4"/>
  <c r="BH258" i="4"/>
  <c r="BH259" i="4"/>
  <c r="BH260" i="4"/>
  <c r="BH261" i="4"/>
  <c r="BH262" i="4"/>
  <c r="BH263" i="4"/>
  <c r="BH264" i="4"/>
  <c r="BH265" i="4"/>
  <c r="BH266" i="4"/>
  <c r="BH267" i="4"/>
  <c r="BH268" i="4"/>
  <c r="BH269" i="4"/>
  <c r="BH270" i="4"/>
  <c r="BH271" i="4"/>
  <c r="BH272" i="4"/>
  <c r="BH273" i="4"/>
  <c r="BH274" i="4"/>
  <c r="BH275" i="4"/>
  <c r="BH276" i="4"/>
  <c r="BH277" i="4"/>
  <c r="BH278" i="4"/>
  <c r="BH279" i="4"/>
  <c r="BH280" i="4"/>
  <c r="BH281" i="4"/>
  <c r="BH282" i="4"/>
  <c r="BH283" i="4"/>
  <c r="BH284" i="4"/>
  <c r="BH285" i="4"/>
  <c r="BH286" i="4"/>
  <c r="BH287" i="4"/>
  <c r="BH288" i="4"/>
  <c r="BH289" i="4"/>
  <c r="BH290" i="4"/>
  <c r="BH291" i="4"/>
  <c r="BH292" i="4"/>
  <c r="BH293" i="4"/>
  <c r="BH294" i="4"/>
  <c r="BH295" i="4"/>
  <c r="BH296" i="4"/>
  <c r="BH297" i="4"/>
  <c r="BH298" i="4"/>
  <c r="BH299" i="4"/>
  <c r="BH300" i="4"/>
  <c r="BH301" i="4"/>
  <c r="BH302" i="4"/>
  <c r="BH303" i="4"/>
  <c r="BH304" i="4"/>
  <c r="BH305" i="4"/>
  <c r="BH306" i="4"/>
  <c r="BH307" i="4"/>
  <c r="BH308" i="4"/>
  <c r="BH309" i="4"/>
  <c r="BH310" i="4"/>
  <c r="BH311" i="4"/>
  <c r="BH312" i="4"/>
  <c r="BH313" i="4"/>
  <c r="BH314" i="4"/>
  <c r="BH315" i="4"/>
  <c r="BH316" i="4"/>
  <c r="BH317" i="4"/>
  <c r="BH318" i="4"/>
  <c r="BH319" i="4"/>
  <c r="BH320" i="4"/>
  <c r="BH321" i="4"/>
  <c r="BH322" i="4"/>
  <c r="BH323" i="4"/>
  <c r="BH324" i="4"/>
  <c r="BH325" i="4"/>
  <c r="BH326" i="4"/>
  <c r="BH327" i="4"/>
  <c r="BH328" i="4"/>
  <c r="BH329" i="4"/>
  <c r="BH330" i="4"/>
  <c r="BH331" i="4"/>
  <c r="BH332" i="4"/>
  <c r="BH333" i="4"/>
  <c r="BH334" i="4"/>
  <c r="BH335" i="4"/>
  <c r="BH336" i="4"/>
  <c r="BH337" i="4"/>
  <c r="BH338" i="4"/>
  <c r="BH339" i="4"/>
  <c r="BH340" i="4"/>
  <c r="BH341" i="4"/>
  <c r="BH342" i="4"/>
  <c r="BH343" i="4"/>
  <c r="BH344" i="4"/>
  <c r="BH345" i="4"/>
  <c r="BH346" i="4"/>
  <c r="BH347" i="4"/>
  <c r="BH348" i="4"/>
  <c r="BH349" i="4"/>
  <c r="BH350" i="4"/>
  <c r="BH351" i="4"/>
  <c r="BH352" i="4"/>
  <c r="BH353" i="4"/>
  <c r="BH354" i="4"/>
  <c r="BH355" i="4"/>
  <c r="BH356" i="4"/>
  <c r="BH357" i="4"/>
  <c r="BH358" i="4"/>
  <c r="BH359" i="4"/>
  <c r="BH360" i="4"/>
  <c r="BH361" i="4"/>
  <c r="BH362" i="4"/>
  <c r="BH363" i="4"/>
  <c r="BH364" i="4"/>
  <c r="BH365" i="4"/>
  <c r="BH366" i="4"/>
  <c r="BH367" i="4"/>
  <c r="BH368" i="4"/>
  <c r="BH369" i="4"/>
  <c r="BH370" i="4"/>
  <c r="BH371" i="4"/>
  <c r="BH372" i="4"/>
  <c r="BH373" i="4"/>
  <c r="BH374" i="4"/>
  <c r="BH375" i="4"/>
  <c r="BH376" i="4"/>
  <c r="BH377" i="4"/>
  <c r="BH378" i="4"/>
  <c r="BH379" i="4"/>
  <c r="BH380" i="4"/>
  <c r="BH381" i="4"/>
  <c r="BH382" i="4"/>
  <c r="BH383" i="4"/>
  <c r="BH384" i="4"/>
  <c r="BH385" i="4"/>
  <c r="BH386" i="4"/>
  <c r="BH387" i="4"/>
  <c r="BH388" i="4"/>
  <c r="BH389" i="4"/>
  <c r="BH390" i="4"/>
  <c r="BH391" i="4"/>
  <c r="BH392" i="4"/>
  <c r="BH393" i="4"/>
  <c r="BH394" i="4"/>
  <c r="BH395" i="4"/>
  <c r="BH396" i="4"/>
  <c r="BH397" i="4"/>
  <c r="BH398" i="4"/>
  <c r="BH399" i="4"/>
  <c r="BH400" i="4"/>
  <c r="BH401" i="4"/>
  <c r="BH402" i="4"/>
  <c r="BH403" i="4"/>
  <c r="BH404" i="4"/>
  <c r="BH405" i="4"/>
  <c r="BH406" i="4"/>
  <c r="BH407" i="4"/>
  <c r="BH408" i="4"/>
  <c r="BH409" i="4"/>
  <c r="BH410" i="4"/>
  <c r="BH411" i="4"/>
  <c r="BH412" i="4"/>
  <c r="BH413" i="4"/>
  <c r="BH414" i="4"/>
  <c r="BH415" i="4"/>
  <c r="BH416" i="4"/>
  <c r="BH417" i="4"/>
  <c r="BH418" i="4"/>
  <c r="BH419" i="4"/>
  <c r="BH420" i="4"/>
  <c r="BH421" i="4"/>
  <c r="BH422" i="4"/>
  <c r="BH423" i="4"/>
  <c r="BH424" i="4"/>
  <c r="BH425" i="4"/>
  <c r="BH426" i="4"/>
  <c r="BH427" i="4"/>
  <c r="BH428" i="4"/>
  <c r="BH429" i="4"/>
  <c r="BH430" i="4"/>
  <c r="BH431" i="4"/>
  <c r="BH432" i="4"/>
  <c r="BH433" i="4"/>
  <c r="BH434" i="4"/>
  <c r="BH435" i="4"/>
  <c r="BH436" i="4"/>
  <c r="BH437" i="4"/>
  <c r="BH438" i="4"/>
  <c r="BH439" i="4"/>
  <c r="BH440" i="4"/>
  <c r="BH441" i="4"/>
  <c r="BH442" i="4"/>
  <c r="BH443" i="4"/>
  <c r="BH444" i="4"/>
  <c r="BH445" i="4"/>
  <c r="BH446" i="4"/>
  <c r="BH447" i="4"/>
  <c r="BH448" i="4"/>
  <c r="BH449" i="4"/>
  <c r="BH450" i="4"/>
  <c r="BH451" i="4"/>
  <c r="BH452" i="4"/>
  <c r="BH453" i="4"/>
  <c r="BH454" i="4"/>
  <c r="BH455" i="4"/>
  <c r="BH456" i="4"/>
  <c r="BH457" i="4"/>
  <c r="BH458" i="4"/>
  <c r="BH459" i="4"/>
  <c r="BH460" i="4"/>
  <c r="BH461" i="4"/>
  <c r="BH462" i="4"/>
  <c r="BH463" i="4"/>
  <c r="BH464" i="4"/>
  <c r="BH465" i="4"/>
  <c r="BH466" i="4"/>
  <c r="BH467" i="4"/>
  <c r="BH468" i="4"/>
  <c r="BH469" i="4"/>
  <c r="BH470" i="4"/>
  <c r="BH471" i="4"/>
  <c r="BH472" i="4"/>
  <c r="BH473" i="4"/>
  <c r="BH474" i="4"/>
  <c r="BH475" i="4"/>
  <c r="BH476" i="4"/>
  <c r="BH477" i="4"/>
  <c r="BH478" i="4"/>
  <c r="BH479" i="4"/>
  <c r="BH480" i="4"/>
  <c r="BH481" i="4"/>
  <c r="BH482" i="4"/>
  <c r="BH483" i="4"/>
  <c r="BH484" i="4"/>
  <c r="BH485" i="4"/>
  <c r="BH486" i="4"/>
  <c r="BH487" i="4"/>
  <c r="BH488" i="4"/>
  <c r="BH489" i="4"/>
  <c r="BH490" i="4"/>
  <c r="BH491" i="4"/>
  <c r="BH492" i="4"/>
  <c r="BH493" i="4"/>
  <c r="BH494" i="4"/>
  <c r="BH495" i="4"/>
  <c r="BH496" i="4"/>
  <c r="BH497" i="4"/>
  <c r="BH498" i="4"/>
  <c r="BH499" i="4"/>
  <c r="BH500" i="4"/>
  <c r="BH501" i="4"/>
  <c r="BH502" i="4"/>
  <c r="BH503" i="4"/>
  <c r="BH504" i="4"/>
  <c r="BH505" i="4"/>
  <c r="BH506" i="4"/>
  <c r="BH507" i="4"/>
  <c r="BH508" i="4"/>
  <c r="BH509" i="4"/>
  <c r="BH510" i="4"/>
  <c r="BH511" i="4"/>
  <c r="BH512" i="4"/>
  <c r="BH513" i="4"/>
  <c r="BH514" i="4"/>
  <c r="BH515" i="4"/>
  <c r="BH516" i="4"/>
  <c r="BH517" i="4"/>
  <c r="BH518" i="4"/>
  <c r="BH519" i="4"/>
  <c r="BH520" i="4"/>
  <c r="BH521" i="4"/>
  <c r="BH522" i="4"/>
  <c r="BH523" i="4"/>
  <c r="BH524" i="4"/>
  <c r="BH525" i="4"/>
  <c r="BH526" i="4"/>
  <c r="BH527" i="4"/>
  <c r="BH528" i="4"/>
  <c r="BH529" i="4"/>
  <c r="BH530" i="4"/>
  <c r="BH531" i="4"/>
  <c r="BH532" i="4"/>
  <c r="BH533" i="4"/>
  <c r="BH534" i="4"/>
  <c r="BH535" i="4"/>
  <c r="BH536" i="4"/>
  <c r="BH537" i="4"/>
  <c r="BH538" i="4"/>
  <c r="BH539" i="4"/>
  <c r="BH540" i="4"/>
  <c r="BH541" i="4"/>
  <c r="BH542" i="4"/>
  <c r="BH543" i="4"/>
  <c r="BH544" i="4"/>
  <c r="BH545" i="4"/>
  <c r="BH546" i="4"/>
  <c r="BH547" i="4"/>
  <c r="BH548" i="4"/>
  <c r="BH549" i="4"/>
  <c r="BH550" i="4"/>
  <c r="BH551" i="4"/>
  <c r="BH552" i="4"/>
  <c r="BH553" i="4"/>
  <c r="BH554" i="4"/>
  <c r="BH555" i="4"/>
  <c r="BH556" i="4"/>
  <c r="BH557" i="4"/>
  <c r="BH558" i="4"/>
  <c r="BH559" i="4"/>
  <c r="BH560" i="4"/>
  <c r="BH561" i="4"/>
  <c r="BH562" i="4"/>
  <c r="BH563" i="4"/>
  <c r="BH564" i="4"/>
  <c r="BH565" i="4"/>
  <c r="BH566" i="4"/>
  <c r="BH567" i="4"/>
  <c r="BH568" i="4"/>
  <c r="BH569" i="4"/>
  <c r="BH570" i="4"/>
  <c r="BH571" i="4"/>
  <c r="BH572" i="4"/>
  <c r="BH573" i="4"/>
  <c r="BH574" i="4"/>
  <c r="BH575" i="4"/>
  <c r="BH576" i="4"/>
  <c r="BH577" i="4"/>
  <c r="BH578" i="4"/>
  <c r="BH579" i="4"/>
  <c r="BH580" i="4"/>
  <c r="BH581" i="4"/>
  <c r="BH582" i="4"/>
  <c r="BH583" i="4"/>
  <c r="BH584" i="4"/>
  <c r="BH585" i="4"/>
  <c r="BH586" i="4"/>
  <c r="BH587" i="4"/>
  <c r="BH588" i="4"/>
  <c r="BH589" i="4"/>
  <c r="BH590" i="4"/>
  <c r="BH591" i="4"/>
  <c r="BH592" i="4"/>
  <c r="BH593" i="4"/>
  <c r="BH594" i="4"/>
  <c r="BH595" i="4"/>
  <c r="BH596" i="4"/>
  <c r="BH597" i="4"/>
  <c r="BH598" i="4"/>
  <c r="BH599" i="4"/>
  <c r="BH600" i="4"/>
  <c r="BH601" i="4"/>
  <c r="BH602" i="4"/>
  <c r="BH603" i="4"/>
  <c r="BH604" i="4"/>
  <c r="BH605" i="4"/>
  <c r="BH606" i="4"/>
  <c r="BH607" i="4"/>
  <c r="BH608" i="4"/>
  <c r="BH609" i="4"/>
  <c r="BH610" i="4"/>
  <c r="BH611" i="4"/>
  <c r="BH612" i="4"/>
  <c r="BH613" i="4"/>
  <c r="BH614" i="4"/>
  <c r="BH615" i="4"/>
  <c r="BH616" i="4"/>
  <c r="BH617" i="4"/>
  <c r="BH618" i="4"/>
  <c r="BH619" i="4"/>
  <c r="BH620" i="4"/>
  <c r="BH621" i="4"/>
  <c r="BH622" i="4"/>
  <c r="BH623" i="4"/>
  <c r="BH624" i="4"/>
  <c r="BH625" i="4"/>
  <c r="BH626" i="4"/>
  <c r="BG2" i="4"/>
  <c r="BG3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39" i="4"/>
  <c r="BG140" i="4"/>
  <c r="BG141" i="4"/>
  <c r="BG142" i="4"/>
  <c r="BG143" i="4"/>
  <c r="BG144" i="4"/>
  <c r="BG145" i="4"/>
  <c r="BG146" i="4"/>
  <c r="BG147" i="4"/>
  <c r="BG148" i="4"/>
  <c r="BG149" i="4"/>
  <c r="BG150" i="4"/>
  <c r="BG151" i="4"/>
  <c r="BG152" i="4"/>
  <c r="BG153" i="4"/>
  <c r="BG154" i="4"/>
  <c r="BG155" i="4"/>
  <c r="BG156" i="4"/>
  <c r="BG157" i="4"/>
  <c r="BG158" i="4"/>
  <c r="BG159" i="4"/>
  <c r="BG160" i="4"/>
  <c r="BG161" i="4"/>
  <c r="BG162" i="4"/>
  <c r="BG163" i="4"/>
  <c r="BG164" i="4"/>
  <c r="BG165" i="4"/>
  <c r="BG166" i="4"/>
  <c r="BG167" i="4"/>
  <c r="BG168" i="4"/>
  <c r="BG169" i="4"/>
  <c r="BG170" i="4"/>
  <c r="BG171" i="4"/>
  <c r="BG172" i="4"/>
  <c r="BG173" i="4"/>
  <c r="BG174" i="4"/>
  <c r="BG175" i="4"/>
  <c r="BG176" i="4"/>
  <c r="BG177" i="4"/>
  <c r="BG178" i="4"/>
  <c r="BG179" i="4"/>
  <c r="BG180" i="4"/>
  <c r="BG181" i="4"/>
  <c r="BG182" i="4"/>
  <c r="BG183" i="4"/>
  <c r="BG184" i="4"/>
  <c r="BG185" i="4"/>
  <c r="BG186" i="4"/>
  <c r="BG187" i="4"/>
  <c r="BG188" i="4"/>
  <c r="BG189" i="4"/>
  <c r="BG190" i="4"/>
  <c r="BG191" i="4"/>
  <c r="BG192" i="4"/>
  <c r="BG193" i="4"/>
  <c r="BG194" i="4"/>
  <c r="BG195" i="4"/>
  <c r="BG196" i="4"/>
  <c r="BG197" i="4"/>
  <c r="BG198" i="4"/>
  <c r="BG199" i="4"/>
  <c r="BG200" i="4"/>
  <c r="BG201" i="4"/>
  <c r="BG202" i="4"/>
  <c r="BG203" i="4"/>
  <c r="BG204" i="4"/>
  <c r="BG205" i="4"/>
  <c r="BG206" i="4"/>
  <c r="BG207" i="4"/>
  <c r="BG208" i="4"/>
  <c r="BG209" i="4"/>
  <c r="BG210" i="4"/>
  <c r="BG211" i="4"/>
  <c r="BG212" i="4"/>
  <c r="BG213" i="4"/>
  <c r="BG214" i="4"/>
  <c r="BG215" i="4"/>
  <c r="BG216" i="4"/>
  <c r="BG217" i="4"/>
  <c r="BG218" i="4"/>
  <c r="BG219" i="4"/>
  <c r="BG220" i="4"/>
  <c r="BG221" i="4"/>
  <c r="BG222" i="4"/>
  <c r="BG223" i="4"/>
  <c r="BG224" i="4"/>
  <c r="BG225" i="4"/>
  <c r="BG226" i="4"/>
  <c r="BG227" i="4"/>
  <c r="BG228" i="4"/>
  <c r="BG229" i="4"/>
  <c r="BG230" i="4"/>
  <c r="BG231" i="4"/>
  <c r="BG232" i="4"/>
  <c r="BG233" i="4"/>
  <c r="BG234" i="4"/>
  <c r="BG235" i="4"/>
  <c r="BG236" i="4"/>
  <c r="BG237" i="4"/>
  <c r="BG238" i="4"/>
  <c r="BG239" i="4"/>
  <c r="BG240" i="4"/>
  <c r="BG241" i="4"/>
  <c r="BG242" i="4"/>
  <c r="BG243" i="4"/>
  <c r="BG244" i="4"/>
  <c r="BG245" i="4"/>
  <c r="BG246" i="4"/>
  <c r="BG247" i="4"/>
  <c r="BG248" i="4"/>
  <c r="BG249" i="4"/>
  <c r="BG250" i="4"/>
  <c r="BG251" i="4"/>
  <c r="BG252" i="4"/>
  <c r="BG253" i="4"/>
  <c r="BG254" i="4"/>
  <c r="BG255" i="4"/>
  <c r="BG256" i="4"/>
  <c r="BG257" i="4"/>
  <c r="BG258" i="4"/>
  <c r="BG259" i="4"/>
  <c r="BG260" i="4"/>
  <c r="BG261" i="4"/>
  <c r="BG262" i="4"/>
  <c r="BG263" i="4"/>
  <c r="BG264" i="4"/>
  <c r="BG265" i="4"/>
  <c r="BG266" i="4"/>
  <c r="BG267" i="4"/>
  <c r="BG268" i="4"/>
  <c r="BG269" i="4"/>
  <c r="BG270" i="4"/>
  <c r="BG271" i="4"/>
  <c r="BG272" i="4"/>
  <c r="BG273" i="4"/>
  <c r="BG274" i="4"/>
  <c r="BG275" i="4"/>
  <c r="BG276" i="4"/>
  <c r="BG277" i="4"/>
  <c r="BG278" i="4"/>
  <c r="BG279" i="4"/>
  <c r="BG280" i="4"/>
  <c r="BG281" i="4"/>
  <c r="BG282" i="4"/>
  <c r="BG283" i="4"/>
  <c r="BG284" i="4"/>
  <c r="BG285" i="4"/>
  <c r="BG286" i="4"/>
  <c r="BG287" i="4"/>
  <c r="BG288" i="4"/>
  <c r="BG289" i="4"/>
  <c r="BG290" i="4"/>
  <c r="BG291" i="4"/>
  <c r="BG292" i="4"/>
  <c r="BG293" i="4"/>
  <c r="BG294" i="4"/>
  <c r="BG295" i="4"/>
  <c r="BG296" i="4"/>
  <c r="BG297" i="4"/>
  <c r="BG298" i="4"/>
  <c r="BG299" i="4"/>
  <c r="BG300" i="4"/>
  <c r="BG301" i="4"/>
  <c r="BG302" i="4"/>
  <c r="BG303" i="4"/>
  <c r="BG304" i="4"/>
  <c r="BG305" i="4"/>
  <c r="BG306" i="4"/>
  <c r="BG307" i="4"/>
  <c r="BG308" i="4"/>
  <c r="BG309" i="4"/>
  <c r="BG310" i="4"/>
  <c r="BG311" i="4"/>
  <c r="BG312" i="4"/>
  <c r="BG313" i="4"/>
  <c r="BG314" i="4"/>
  <c r="BG315" i="4"/>
  <c r="BG316" i="4"/>
  <c r="BG317" i="4"/>
  <c r="BG318" i="4"/>
  <c r="BG319" i="4"/>
  <c r="BG320" i="4"/>
  <c r="BG321" i="4"/>
  <c r="BG322" i="4"/>
  <c r="BG323" i="4"/>
  <c r="BG324" i="4"/>
  <c r="BG325" i="4"/>
  <c r="BG326" i="4"/>
  <c r="BG327" i="4"/>
  <c r="BG328" i="4"/>
  <c r="BG329" i="4"/>
  <c r="BG330" i="4"/>
  <c r="BG331" i="4"/>
  <c r="BG332" i="4"/>
  <c r="BG333" i="4"/>
  <c r="BG334" i="4"/>
  <c r="BG335" i="4"/>
  <c r="BG336" i="4"/>
  <c r="BG337" i="4"/>
  <c r="BG338" i="4"/>
  <c r="BG339" i="4"/>
  <c r="BG340" i="4"/>
  <c r="BG341" i="4"/>
  <c r="BG342" i="4"/>
  <c r="BG343" i="4"/>
  <c r="BG344" i="4"/>
  <c r="BG345" i="4"/>
  <c r="BG346" i="4"/>
  <c r="BG347" i="4"/>
  <c r="BG348" i="4"/>
  <c r="BG349" i="4"/>
  <c r="BG350" i="4"/>
  <c r="BG351" i="4"/>
  <c r="BG352" i="4"/>
  <c r="BG353" i="4"/>
  <c r="BG354" i="4"/>
  <c r="BG355" i="4"/>
  <c r="BG356" i="4"/>
  <c r="BG357" i="4"/>
  <c r="BG358" i="4"/>
  <c r="BG359" i="4"/>
  <c r="BG360" i="4"/>
  <c r="BG361" i="4"/>
  <c r="BG362" i="4"/>
  <c r="BG363" i="4"/>
  <c r="BG364" i="4"/>
  <c r="BG365" i="4"/>
  <c r="BG366" i="4"/>
  <c r="BG367" i="4"/>
  <c r="BG368" i="4"/>
  <c r="BG369" i="4"/>
  <c r="BG370" i="4"/>
  <c r="BG371" i="4"/>
  <c r="BG372" i="4"/>
  <c r="BG373" i="4"/>
  <c r="BG374" i="4"/>
  <c r="BG375" i="4"/>
  <c r="BG376" i="4"/>
  <c r="BG377" i="4"/>
  <c r="BG378" i="4"/>
  <c r="BG379" i="4"/>
  <c r="BG380" i="4"/>
  <c r="BG381" i="4"/>
  <c r="BG382" i="4"/>
  <c r="BG383" i="4"/>
  <c r="BG384" i="4"/>
  <c r="BG385" i="4"/>
  <c r="BG386" i="4"/>
  <c r="BG387" i="4"/>
  <c r="BG388" i="4"/>
  <c r="BG389" i="4"/>
  <c r="BG390" i="4"/>
  <c r="BG391" i="4"/>
  <c r="BG392" i="4"/>
  <c r="BG393" i="4"/>
  <c r="BG394" i="4"/>
  <c r="BG395" i="4"/>
  <c r="BG396" i="4"/>
  <c r="BG397" i="4"/>
  <c r="BG398" i="4"/>
  <c r="BG399" i="4"/>
  <c r="BG400" i="4"/>
  <c r="BG401" i="4"/>
  <c r="BG402" i="4"/>
  <c r="BG403" i="4"/>
  <c r="BG404" i="4"/>
  <c r="BG405" i="4"/>
  <c r="BG406" i="4"/>
  <c r="BG407" i="4"/>
  <c r="BG408" i="4"/>
  <c r="BG409" i="4"/>
  <c r="BG410" i="4"/>
  <c r="BG411" i="4"/>
  <c r="BG412" i="4"/>
  <c r="BG413" i="4"/>
  <c r="BG414" i="4"/>
  <c r="BG415" i="4"/>
  <c r="BG416" i="4"/>
  <c r="BG417" i="4"/>
  <c r="BG418" i="4"/>
  <c r="BG419" i="4"/>
  <c r="BG420" i="4"/>
  <c r="BG421" i="4"/>
  <c r="BG422" i="4"/>
  <c r="BG423" i="4"/>
  <c r="BG424" i="4"/>
  <c r="BG425" i="4"/>
  <c r="BG426" i="4"/>
  <c r="BG427" i="4"/>
  <c r="BG428" i="4"/>
  <c r="BG429" i="4"/>
  <c r="BG430" i="4"/>
  <c r="BG431" i="4"/>
  <c r="BG432" i="4"/>
  <c r="BG433" i="4"/>
  <c r="BG434" i="4"/>
  <c r="BG435" i="4"/>
  <c r="BG436" i="4"/>
  <c r="BG437" i="4"/>
  <c r="BG438" i="4"/>
  <c r="BG439" i="4"/>
  <c r="BG440" i="4"/>
  <c r="BG441" i="4"/>
  <c r="BG442" i="4"/>
  <c r="BG443" i="4"/>
  <c r="BG444" i="4"/>
  <c r="BG445" i="4"/>
  <c r="BG446" i="4"/>
  <c r="BG447" i="4"/>
  <c r="BG448" i="4"/>
  <c r="BG449" i="4"/>
  <c r="BG450" i="4"/>
  <c r="BG451" i="4"/>
  <c r="BG452" i="4"/>
  <c r="BG453" i="4"/>
  <c r="BG454" i="4"/>
  <c r="BG455" i="4"/>
  <c r="BG456" i="4"/>
  <c r="BG457" i="4"/>
  <c r="BG458" i="4"/>
  <c r="BG459" i="4"/>
  <c r="BG460" i="4"/>
  <c r="BG461" i="4"/>
  <c r="BG462" i="4"/>
  <c r="BG463" i="4"/>
  <c r="BG464" i="4"/>
  <c r="BG465" i="4"/>
  <c r="BG466" i="4"/>
  <c r="BG467" i="4"/>
  <c r="BG468" i="4"/>
  <c r="BG469" i="4"/>
  <c r="BG470" i="4"/>
  <c r="BG471" i="4"/>
  <c r="BG472" i="4"/>
  <c r="BG473" i="4"/>
  <c r="BG474" i="4"/>
  <c r="BG475" i="4"/>
  <c r="BG476" i="4"/>
  <c r="BG477" i="4"/>
  <c r="BG478" i="4"/>
  <c r="BG479" i="4"/>
  <c r="BG480" i="4"/>
  <c r="BG481" i="4"/>
  <c r="BG482" i="4"/>
  <c r="BG483" i="4"/>
  <c r="BG484" i="4"/>
  <c r="BG485" i="4"/>
  <c r="BG486" i="4"/>
  <c r="BG487" i="4"/>
  <c r="BG488" i="4"/>
  <c r="BG489" i="4"/>
  <c r="BG490" i="4"/>
  <c r="BG491" i="4"/>
  <c r="BG492" i="4"/>
  <c r="BG493" i="4"/>
  <c r="BG494" i="4"/>
  <c r="BG495" i="4"/>
  <c r="BG496" i="4"/>
  <c r="BG497" i="4"/>
  <c r="BG498" i="4"/>
  <c r="BG499" i="4"/>
  <c r="BG500" i="4"/>
  <c r="BG501" i="4"/>
  <c r="BG502" i="4"/>
  <c r="BG503" i="4"/>
  <c r="BG504" i="4"/>
  <c r="BG505" i="4"/>
  <c r="BG506" i="4"/>
  <c r="BG507" i="4"/>
  <c r="BG508" i="4"/>
  <c r="BG509" i="4"/>
  <c r="BG510" i="4"/>
  <c r="BG511" i="4"/>
  <c r="BG512" i="4"/>
  <c r="BG513" i="4"/>
  <c r="BG514" i="4"/>
  <c r="BG515" i="4"/>
  <c r="BG516" i="4"/>
  <c r="BG517" i="4"/>
  <c r="BG518" i="4"/>
  <c r="BG519" i="4"/>
  <c r="BG520" i="4"/>
  <c r="BG521" i="4"/>
  <c r="BG522" i="4"/>
  <c r="BG523" i="4"/>
  <c r="BG524" i="4"/>
  <c r="BG525" i="4"/>
  <c r="BG526" i="4"/>
  <c r="BG527" i="4"/>
  <c r="BG528" i="4"/>
  <c r="BG529" i="4"/>
  <c r="BG530" i="4"/>
  <c r="BG531" i="4"/>
  <c r="BG532" i="4"/>
  <c r="BG533" i="4"/>
  <c r="BG534" i="4"/>
  <c r="BG535" i="4"/>
  <c r="BG536" i="4"/>
  <c r="BG537" i="4"/>
  <c r="BG538" i="4"/>
  <c r="BG539" i="4"/>
  <c r="BG540" i="4"/>
  <c r="BG541" i="4"/>
  <c r="BG542" i="4"/>
  <c r="BG543" i="4"/>
  <c r="BG544" i="4"/>
  <c r="BG545" i="4"/>
  <c r="BG546" i="4"/>
  <c r="BG547" i="4"/>
  <c r="BG548" i="4"/>
  <c r="BG549" i="4"/>
  <c r="BG550" i="4"/>
  <c r="BG551" i="4"/>
  <c r="BG552" i="4"/>
  <c r="BG553" i="4"/>
  <c r="BG554" i="4"/>
  <c r="BG555" i="4"/>
  <c r="BG556" i="4"/>
  <c r="BG557" i="4"/>
  <c r="BG558" i="4"/>
  <c r="BG559" i="4"/>
  <c r="BG560" i="4"/>
  <c r="BG561" i="4"/>
  <c r="BG562" i="4"/>
  <c r="BG563" i="4"/>
  <c r="BG564" i="4"/>
  <c r="BG565" i="4"/>
  <c r="BG566" i="4"/>
  <c r="BG567" i="4"/>
  <c r="BG568" i="4"/>
  <c r="BG569" i="4"/>
  <c r="BG570" i="4"/>
  <c r="BG571" i="4"/>
  <c r="BG572" i="4"/>
  <c r="BG573" i="4"/>
  <c r="BG574" i="4"/>
  <c r="BG575" i="4"/>
  <c r="BG576" i="4"/>
  <c r="BG577" i="4"/>
  <c r="BG578" i="4"/>
  <c r="BG579" i="4"/>
  <c r="BG580" i="4"/>
  <c r="BG581" i="4"/>
  <c r="BG582" i="4"/>
  <c r="BG583" i="4"/>
  <c r="BG584" i="4"/>
  <c r="BG585" i="4"/>
  <c r="BG586" i="4"/>
  <c r="BG587" i="4"/>
  <c r="BG588" i="4"/>
  <c r="BG589" i="4"/>
  <c r="BG590" i="4"/>
  <c r="BG591" i="4"/>
  <c r="BG592" i="4"/>
  <c r="BG593" i="4"/>
  <c r="BG594" i="4"/>
  <c r="BG595" i="4"/>
  <c r="BG596" i="4"/>
  <c r="BG597" i="4"/>
  <c r="BG598" i="4"/>
  <c r="BG599" i="4"/>
  <c r="BG600" i="4"/>
  <c r="BG601" i="4"/>
  <c r="BG602" i="4"/>
  <c r="BG603" i="4"/>
  <c r="BG604" i="4"/>
  <c r="BG605" i="4"/>
  <c r="BG606" i="4"/>
  <c r="BG607" i="4"/>
  <c r="BG608" i="4"/>
  <c r="BG609" i="4"/>
  <c r="BG610" i="4"/>
  <c r="BG611" i="4"/>
  <c r="BG612" i="4"/>
  <c r="BG613" i="4"/>
  <c r="BG614" i="4"/>
  <c r="BG615" i="4"/>
  <c r="BG616" i="4"/>
  <c r="BG617" i="4"/>
  <c r="BG618" i="4"/>
  <c r="BG619" i="4"/>
  <c r="BG620" i="4"/>
  <c r="BG621" i="4"/>
  <c r="BG622" i="4"/>
  <c r="BG623" i="4"/>
  <c r="BG624" i="4"/>
  <c r="BG625" i="4"/>
  <c r="BG62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AEF24B-56F3-487A-B5F3-689A8D3D2211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43CD1D53-42A0-44CA-8154-E8BB0084CAEA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  <connection id="3" xr16:uid="{1B74E95B-369A-4366-B921-3139153BDEAB}" keepAlive="1" name="Query - data (3)" description="Connection to the 'data (3)' query in the workbook." type="5" refreshedVersion="8" background="1" saveData="1">
    <dbPr connection="Provider=Microsoft.Mashup.OleDb.1;Data Source=$Workbook$;Location=&quot;data (3)&quot;;Extended Properties=&quot;&quot;" command="SELECT * FROM [data (3)]"/>
  </connection>
  <connection id="4" xr16:uid="{E92DC1B9-1602-4762-AFD5-DCD84D352BA3}" keepAlive="1" name="Query - data (4)" description="Connection to the 'data (4)' query in the workbook." type="5" refreshedVersion="8" background="1" saveData="1">
    <dbPr connection="Provider=Microsoft.Mashup.OleDb.1;Data Source=$Workbook$;Location=&quot;data (4)&quot;;Extended Properties=&quot;&quot;" command="SELECT * FROM [data (4)]"/>
  </connection>
  <connection id="5" xr16:uid="{688FD0F4-0929-4A54-928F-76103CADF43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559F7863-B5C3-47C1-8858-420984FF66E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5B9B68C5-804F-4882-9605-4AEA2186F2B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49A32C6E-D232-4FA5-91F8-943B9AA8B92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<sst xmlns="http://schemas.openxmlformats.org/spreadsheetml/2006/main" count="63708" uniqueCount="491">
  <si>
    <t>Age (In years)</t>
  </si>
  <si>
    <t>Religion</t>
  </si>
  <si>
    <t>Educational Level</t>
  </si>
  <si>
    <t>Residency</t>
  </si>
  <si>
    <t>Permanent residence</t>
  </si>
  <si>
    <t>Father’s educational status</t>
  </si>
  <si>
    <t>Father’s occupation</t>
  </si>
  <si>
    <t>Mother's educational status</t>
  </si>
  <si>
    <t>Mother's occupation</t>
  </si>
  <si>
    <t>Family structure</t>
  </si>
  <si>
    <t>Monthly family income (Total in taka)</t>
  </si>
  <si>
    <t>Have you ever heard any information regarding menses and its hygienic practice before the onset of your first menstrual bleeding?</t>
  </si>
  <si>
    <t xml:space="preserve">At what age have you experienced menstrual bleeding for the first time? </t>
  </si>
  <si>
    <t>Was your menstrual bleeding available for every month for the last six consecutive menstrual cycles?</t>
  </si>
  <si>
    <t>Do you have any of these menstrual problems mentioned?</t>
  </si>
  <si>
    <t>Do you have any family history of dysmenorrhea (severe pain during menstrual flow)?</t>
  </si>
  <si>
    <t>For how many days does your menstrual bleeding stay?</t>
  </si>
  <si>
    <t>Do you have severe pain during your menstrual flow (dysmenorrhea)?</t>
  </si>
  <si>
    <t>What were all the materials you usually used during your last menstrual period? (select all that apply)</t>
  </si>
  <si>
    <t>Do you have any problems associated with menstruation? (Select all that apply)</t>
  </si>
  <si>
    <t>Do you take any medications for problems associated with menstruation?</t>
  </si>
  <si>
    <t>What other remedies do you use to ease the discomfort of menstruation?</t>
  </si>
  <si>
    <t>What are your eating habits during menstruation?</t>
  </si>
  <si>
    <t xml:space="preserve">If you answered “Yes” to the above question, which of the following was/were your sources of information?  </t>
  </si>
  <si>
    <t>I always use  absorbent materials during my menstrual flow</t>
  </si>
  <si>
    <t>I always use commercially made sanitary pads during my menstruation period</t>
  </si>
  <si>
    <t>I change  pads or clothes more than three times a day during menstruation</t>
  </si>
  <si>
    <t>I use clean clothes and wash with soap and water during my menstrual bleeding</t>
  </si>
  <si>
    <t>I commonly dry sanitary clothes with  sunlight</t>
  </si>
  <si>
    <t>I frequently clean my external genitalia during menstruation</t>
  </si>
  <si>
    <t>I dispose of the pads by wrapping them in paper</t>
  </si>
  <si>
    <t>I wash and bathe daily with soap during menstruation</t>
  </si>
  <si>
    <t>I always clean external genitalia with water and soap during menstruation</t>
  </si>
  <si>
    <t>I dispose of used sanitary pads in the dustbin</t>
  </si>
  <si>
    <t>During your last menstrual period… [Were your menstrual materials comfortable?]</t>
  </si>
  <si>
    <t>During your last menstrual period… [Did you have enough of your menstrual materials to change them as often as you wanted to?]</t>
  </si>
  <si>
    <t>During your last menstrual period… [Were you satisfied with the cleanliness of your menstrual materials?]</t>
  </si>
  <si>
    <t>During your last menstrual period… [Could you get more of your menstrual materials when you needed to?]</t>
  </si>
  <si>
    <t>During your last menstrual period… [Were you worried that your menstrual materials would allow blood to pass through to your outer garments?]</t>
  </si>
  <si>
    <t>During your last menstrual period… [Were you worried that your menstrual materials would move from place while you were wearing them?]</t>
  </si>
  <si>
    <t>During your last menstrual period… [Were you worried about how you would get more of your menstrual material if you ran out?]</t>
  </si>
  <si>
    <t>During your last menstrual period… [Did you feel comfortable carrying spare menstrual materials with you outside your home?]</t>
  </si>
  <si>
    <t>During your last menstrual period… [Did you feel comfortable carrying menstrual materials to the place where you changed them?]</t>
  </si>
  <si>
    <t>During your last menstrual period… [Did you feel comfortable storing [keeping] your leftover or cleaned menstrual materials until your next period?]</t>
  </si>
  <si>
    <t>During your last menstrual period… [Were you able to wash your hands when you wanted to?]</t>
  </si>
  <si>
    <t>During your last menstrual period… [Were you able to immediately dispose of your used menstrual materials?]</t>
  </si>
  <si>
    <t>During your last menstrual period… [Were you able to dispose of your used materials in the way that you wanted to?]</t>
  </si>
  <si>
    <t>During your last menstrual period… [Were you worried about where to dispose of your used menstrual materials?]</t>
  </si>
  <si>
    <t>During your last menstrual period… [Were you concerned that others would see your used menstrual materials in the place you disposed of them?]</t>
  </si>
  <si>
    <t>At home during your last menstrual period… [When at home, were you able to change your menstrual materials when you wanted to?]</t>
  </si>
  <si>
    <t>At home during your last menstrual period… [When at home, were you satisfied with the place you used to change your menstrual materials?]</t>
  </si>
  <si>
    <t>At home during your last menstrual period… [When at home, did you have a clean place to change your menstrual materials?]</t>
  </si>
  <si>
    <t>At home during your last menstrual period… [When at home, were you worried that you would not be able to change your menstrual materials when you needed to?]</t>
  </si>
  <si>
    <t>At home during your last menstrual period… [When at home, were you worried that someone would see you while you were changing your menstrual materials?]</t>
  </si>
  <si>
    <t>At home during your last menstrual period… [When at home, were you worried that someone would harm you while you were changing your menstrual materials?]</t>
  </si>
  <si>
    <t>At home during your last menstrual period… [When at home, were you worried that something else would harm you while you were changing your menstrual materials (e.g., animals, insects, unsafe structure)]</t>
  </si>
  <si>
    <t>At university [work/away from home] during your last menstrual period… [When at university, were you able to change your menstrual materials when you wanted to?]</t>
  </si>
  <si>
    <t>At university [work/away from home] during your last menstrual period… [When at university, were you satisfied with the place you used to change your menstrual materials?]</t>
  </si>
  <si>
    <t>At university [work/away from home] during your last menstrual period… [When at university, did you have a clean place to change your menstrual materials?]</t>
  </si>
  <si>
    <t>At university [work/away from home] during your last menstrual period… [When at university, were you worried that you would not be able to change your menstrual materials when you needed to?]</t>
  </si>
  <si>
    <t>At university [work/away from home] during your last menstrual period… [When at university, were you worried that someone would see you while you were changing your menstrual materials?]</t>
  </si>
  <si>
    <t>At university [work/away from home] during your last menstrual period… [When at university, were you worried that someone would harm you while you were changing your menstrual materials?]</t>
  </si>
  <si>
    <t>If you washed and reused any materials during your last period, please answer these items.
During your last menstrual period… [Did you have enough water to soak or wash your menstrual material?]</t>
  </si>
  <si>
    <t>If you washed and reused any materials during your last period, please answer these items.
During your last menstrual period… [Did you have access to a basin to soak or wash your menstrual materials whenever you needed it?]</t>
  </si>
  <si>
    <t>If you washed and reused any materials during your last period, please answer these items.
During your last menstrual period… [Were you able to wash your menstrual materials when you wanted to?]</t>
  </si>
  <si>
    <t>If you washed and reused any materials during your last period, please answer these items.
During your last menstrual period… [Did you have enough soap to wash your menstrual materials?]</t>
  </si>
  <si>
    <t>If you washed and reused any materials during your last period, please answer these items.
During your last menstrual period… [Were you able to dry your materials when you wanted to?]</t>
  </si>
  <si>
    <t>If you washed and reused any materials during your last period, please answer these items.
During your last menstrual period… [Were you worried that someone would see you while you were washing your menstrual materials?]</t>
  </si>
  <si>
    <t>If you washed and reused any materials during your last period, please answer these items.
During your last menstrual period… [Were you worried that your menstrual materials would not be dry when you needed them?]</t>
  </si>
  <si>
    <t>If you washed and reused any materials during your last period, please answer these items.
During your last menstrual period… [Were you worried that others would see your menstrual materials while they were drying?]</t>
  </si>
  <si>
    <t>Muslim</t>
  </si>
  <si>
    <t>4th year</t>
  </si>
  <si>
    <t>Hall</t>
  </si>
  <si>
    <t>Sub-urban</t>
  </si>
  <si>
    <t>Graduate</t>
  </si>
  <si>
    <t>Non-Government employee</t>
  </si>
  <si>
    <t>Housewife</t>
  </si>
  <si>
    <t>Nuclear</t>
  </si>
  <si>
    <t>50,000 - 70,000</t>
  </si>
  <si>
    <t>Yes</t>
  </si>
  <si>
    <t>12-14 years</t>
  </si>
  <si>
    <t>Polymenorrhea (Interval less than 21 between two periods)</t>
  </si>
  <si>
    <t>No</t>
  </si>
  <si>
    <t>3 - 5 days</t>
  </si>
  <si>
    <t>Disposable sanitary pad</t>
  </si>
  <si>
    <t>Weakness</t>
  </si>
  <si>
    <t>Hot bottle packs</t>
  </si>
  <si>
    <t>Eat the same amount</t>
  </si>
  <si>
    <t>Media</t>
  </si>
  <si>
    <t>Strongly disagree</t>
  </si>
  <si>
    <t>Strongly agree</t>
  </si>
  <si>
    <t>Agree</t>
  </si>
  <si>
    <t>Often</t>
  </si>
  <si>
    <t>Always</t>
  </si>
  <si>
    <t>Sometimes</t>
  </si>
  <si>
    <t>Never</t>
  </si>
  <si>
    <t>2nd year</t>
  </si>
  <si>
    <t>Home (with family)</t>
  </si>
  <si>
    <t>Secondary</t>
  </si>
  <si>
    <t>Retired</t>
  </si>
  <si>
    <t>Primary</t>
  </si>
  <si>
    <t>Extended</t>
  </si>
  <si>
    <t>15-16 years</t>
  </si>
  <si>
    <t>&gt; 5 days</t>
  </si>
  <si>
    <t>Disposable sanitary pad, Reusable sanitary pad, Toilet paper, Period underwear</t>
  </si>
  <si>
    <t>Headache, Vomiting, Weakness, Abdominal pain, Back pain</t>
  </si>
  <si>
    <t>Rest</t>
  </si>
  <si>
    <t>Disagree</t>
  </si>
  <si>
    <t>Urban</t>
  </si>
  <si>
    <t>Menorrhagia (Excessive menstruation)</t>
  </si>
  <si>
    <t>Period underwear</t>
  </si>
  <si>
    <t>Headache, Abdominal pain, Back pain</t>
  </si>
  <si>
    <t>Mother</t>
  </si>
  <si>
    <t>3rd year</t>
  </si>
  <si>
    <t>Rural</t>
  </si>
  <si>
    <t>Government employee</t>
  </si>
  <si>
    <t xml:space="preserve">Businesswoman </t>
  </si>
  <si>
    <t>Oligomenorrhea (Interval more than 35 between two periods)</t>
  </si>
  <si>
    <t>&lt; 3 days</t>
  </si>
  <si>
    <t>Headache, Weakness, Abdominal pain, Back pain</t>
  </si>
  <si>
    <t>Eat more</t>
  </si>
  <si>
    <t>Books</t>
  </si>
  <si>
    <t>30,000 - 50,000</t>
  </si>
  <si>
    <t>Disposable sanitary pad, Period underwear</t>
  </si>
  <si>
    <t>Abdominal pain</t>
  </si>
  <si>
    <t>&lt; 30,000</t>
  </si>
  <si>
    <t>Disposable sanitary pad, Toilet paper, Period underwear</t>
  </si>
  <si>
    <t>Relatives</t>
  </si>
  <si>
    <t>Hindu</t>
  </si>
  <si>
    <t xml:space="preserve">Lawyer </t>
  </si>
  <si>
    <t>Abdominal pain, Back pain</t>
  </si>
  <si>
    <t>&gt; 70,000</t>
  </si>
  <si>
    <t>Before 11 years</t>
  </si>
  <si>
    <t>Both 2+3</t>
  </si>
  <si>
    <t xml:space="preserve">Grand mother </t>
  </si>
  <si>
    <t>Businessman</t>
  </si>
  <si>
    <t>Higher-secondary</t>
  </si>
  <si>
    <t>Cloth/towel, Disposable sanitary pad</t>
  </si>
  <si>
    <t>Both 1+3</t>
  </si>
  <si>
    <t>Headache, Weakness, Abdominal pain</t>
  </si>
  <si>
    <t>Weakness, Back pain</t>
  </si>
  <si>
    <t>Eat less</t>
  </si>
  <si>
    <t>Reusable sanitary pad</t>
  </si>
  <si>
    <t>upset about any thing</t>
  </si>
  <si>
    <t>From books and social media</t>
  </si>
  <si>
    <t>Disposable sanitary pad, Toilet paper</t>
  </si>
  <si>
    <t xml:space="preserve">Farmer </t>
  </si>
  <si>
    <t>Anorexia, Back pain</t>
  </si>
  <si>
    <t>Massage</t>
  </si>
  <si>
    <t>House beside campus</t>
  </si>
  <si>
    <t>Weakness, Abdominal pain</t>
  </si>
  <si>
    <t>Headache, Abdominal pain</t>
  </si>
  <si>
    <t>Weakness, Abdominal pain, Back pain</t>
  </si>
  <si>
    <t>Masters</t>
  </si>
  <si>
    <t>Cloth/towel</t>
  </si>
  <si>
    <t>Vomiting</t>
  </si>
  <si>
    <t>Headache, Weakness, Back pain</t>
  </si>
  <si>
    <t>1st year</t>
  </si>
  <si>
    <t>Headache, Vomiting, Weakness, Anorexia, Abdominal pain, Back pain</t>
  </si>
  <si>
    <t>Back pain</t>
  </si>
  <si>
    <t>Teacher</t>
  </si>
  <si>
    <t>Cloth/towel, Disposable sanitary pad, Reusable sanitary pad</t>
  </si>
  <si>
    <t>Christian</t>
  </si>
  <si>
    <t>Disposable sanitary pad, Toilet paper, Underwear alone, Period underwear, Menstrual cup</t>
  </si>
  <si>
    <t>Headache, Weakness, Anorexia, Abdominal pain, Back pain</t>
  </si>
  <si>
    <t>Illiterate</t>
  </si>
  <si>
    <t>Unemployed</t>
  </si>
  <si>
    <t>Headache</t>
  </si>
  <si>
    <t>Headache, Anorexia, Abdominal pain, Back pain</t>
  </si>
  <si>
    <t>Disposable sanitary pad, Cotton wool</t>
  </si>
  <si>
    <t>None</t>
  </si>
  <si>
    <t xml:space="preserve">None </t>
  </si>
  <si>
    <t>Beka</t>
  </si>
  <si>
    <t>Bekar</t>
  </si>
  <si>
    <t xml:space="preserve">Toilet paper, Cotton wool, Mattress or foam, Underwear alone, Menstrual cup, Tampon, </t>
  </si>
  <si>
    <t>Weakness, Anorexia, Abdominal pain</t>
  </si>
  <si>
    <t>Cloth/towel, Disposable sanitary pad, Toilet paper, Underwear alone</t>
  </si>
  <si>
    <t>Headache, Weakness, Abdominal pain, Back pain, Fever</t>
  </si>
  <si>
    <t>মৃত</t>
  </si>
  <si>
    <t>Both 1+2</t>
  </si>
  <si>
    <t>Cloth/towel, Disposable sanitary pad, Toilet paper, Cotton wool</t>
  </si>
  <si>
    <t>Vomiting, Abdominal pain</t>
  </si>
  <si>
    <t>Vomiting, Weakness, Back pain</t>
  </si>
  <si>
    <t>Disposable sanitary pad, Reusable sanitary pad</t>
  </si>
  <si>
    <t>Reusable sanitary pad, Toilet paper, Period underwear</t>
  </si>
  <si>
    <t>House wife</t>
  </si>
  <si>
    <t>Weakness, Anorexia</t>
  </si>
  <si>
    <t xml:space="preserve">Back pain, </t>
  </si>
  <si>
    <t>Headache, Vomiting, Weakness, Abdominal pain</t>
  </si>
  <si>
    <t>Disposable sanitary pad, Mattress or foam</t>
  </si>
  <si>
    <t>Headache, Vomiting, Weakness</t>
  </si>
  <si>
    <t>Vomiting, Weakness, Abdominal pain, Back pain</t>
  </si>
  <si>
    <t>Disposable sanitary pad, Toilet paper, Underwear alone</t>
  </si>
  <si>
    <t>Cloth/towel, Disposable sanitary pad, Toilet paper</t>
  </si>
  <si>
    <t>Sisters also</t>
  </si>
  <si>
    <t>Headache, Anorexia</t>
  </si>
  <si>
    <t>Late</t>
  </si>
  <si>
    <t>2003 22</t>
  </si>
  <si>
    <t>Dead</t>
  </si>
  <si>
    <t>Cloth/towel, Disposable sanitary pad, Toilet paper, Period underwear</t>
  </si>
  <si>
    <t>Headache, Weakness, Anorexia, Abdominal pain</t>
  </si>
  <si>
    <t>Above 16 years</t>
  </si>
  <si>
    <t xml:space="preserve">Toilet paper, Cotton wool, Period underwear, </t>
  </si>
  <si>
    <t xml:space="preserve">Teacher </t>
  </si>
  <si>
    <t>Disposable sanitary pad, Menstrual cup</t>
  </si>
  <si>
    <t>Weakness, Anorexia, Abdominal pain, Back pain</t>
  </si>
  <si>
    <t>Headache, Weakness</t>
  </si>
  <si>
    <t xml:space="preserve">Sometimes I take painkiller like Napa ,Napaextra </t>
  </si>
  <si>
    <t>Retired employe</t>
  </si>
  <si>
    <t>Me</t>
  </si>
  <si>
    <t>Farmer</t>
  </si>
  <si>
    <t>Cloth/towel, Disposable sanitary pad, Period underwear</t>
  </si>
  <si>
    <t>Headache, Weakness, Anorexia, Abdominal pain, Back pain, Vaginal pain</t>
  </si>
  <si>
    <t xml:space="preserve">eat paracetamol </t>
  </si>
  <si>
    <t>Cloth/towel, Disposable sanitary pad, Toilet paper, Cotton wool, Mattress or foam, Underwear alone, Period underwear, Menstrual cup</t>
  </si>
  <si>
    <t>Headache, Back pain</t>
  </si>
  <si>
    <t>Headache, Vomiting, Weakness, Back pain</t>
  </si>
  <si>
    <t>Cloth/towel, Disposable sanitary pad, Toilet paper, Period underwear, Menstrual cup</t>
  </si>
  <si>
    <t>Cloth/towel, Disposable sanitary pad, Reusable sanitary pad, Toilet paper, Period underwear, Menstrual cup</t>
  </si>
  <si>
    <t>Headache, Weakness, Anorexia</t>
  </si>
  <si>
    <t>Cloth/towel, Disposable sanitary pad, Menstrual cup</t>
  </si>
  <si>
    <t>Cloth/towel, Period underwear</t>
  </si>
  <si>
    <t>Cloth/towel, Toilet paper, Underwear alone, Period underwear</t>
  </si>
  <si>
    <t>Toilet paper</t>
  </si>
  <si>
    <t>Lawyer</t>
  </si>
  <si>
    <t>Cloth/towel, Toilet paper, Cotton wool, Underwear alone</t>
  </si>
  <si>
    <t>Cloth/towel, Toilet paper</t>
  </si>
  <si>
    <t>Headache, Weakness, Abdominal pain, Back pain, nausea</t>
  </si>
  <si>
    <t>Anorexia</t>
  </si>
  <si>
    <t>Mariam Jamila</t>
  </si>
  <si>
    <t xml:space="preserve">Reporter </t>
  </si>
  <si>
    <t>23yr</t>
  </si>
  <si>
    <t>Anorexia, Abdominal pain, Back pain</t>
  </si>
  <si>
    <t>Vomiting, Weakness</t>
  </si>
  <si>
    <t>Y</t>
  </si>
  <si>
    <t>Disposable sanitary pad, Cotton wool, Period underwear</t>
  </si>
  <si>
    <t>Headache, Vomiting, Anorexia, Abdominal pain</t>
  </si>
  <si>
    <t>Friend</t>
  </si>
  <si>
    <t>Vomiting, Weakness, Abdominal pain</t>
  </si>
  <si>
    <t>Reusable sanitary pad, Menstrual cup</t>
  </si>
  <si>
    <t>Reusable sanitary pad, Toilet paper</t>
  </si>
  <si>
    <t>Mattress or foam</t>
  </si>
  <si>
    <t>Headache, Vomiting</t>
  </si>
  <si>
    <t>Vomiting, Anorexia</t>
  </si>
  <si>
    <t>Toilet paper, Cotton wool</t>
  </si>
  <si>
    <t>Disposable sanitary pad, Reusable sanitary pad, Underwear alone</t>
  </si>
  <si>
    <t>Cloth/towel, Reusable sanitary pad</t>
  </si>
  <si>
    <t>Anorexia, Abdominal pain</t>
  </si>
  <si>
    <t>Toilet paper, Underwear alone</t>
  </si>
  <si>
    <t>Disposable sanitary pad, Reusable sanitary pad, Period underwear</t>
  </si>
  <si>
    <t>22+</t>
  </si>
  <si>
    <t>Headache, Vomiting, Weakness, Anorexia, Back pain</t>
  </si>
  <si>
    <t xml:space="preserve">Abdominal pain, Mood swings </t>
  </si>
  <si>
    <t>Disposable sanitary pad, Underwear alone</t>
  </si>
  <si>
    <t>10.10.2001</t>
  </si>
  <si>
    <t xml:space="preserve">Friends </t>
  </si>
  <si>
    <t>Disposable sanitary pad, Toilet paper, Underwear alone, Period underwear</t>
  </si>
  <si>
    <t>None of the above apply</t>
  </si>
  <si>
    <t>Usually don't feel discomfort</t>
  </si>
  <si>
    <t>Disposable sanitary pad, Tampon</t>
  </si>
  <si>
    <t>Sister</t>
  </si>
  <si>
    <t xml:space="preserve">Headache, Vomiting, Weakness, Anorexia, Abdominal pain, Back pain, </t>
  </si>
  <si>
    <t>23+</t>
  </si>
  <si>
    <t>Headache, Vomiting, Abdominal pain, Back pain</t>
  </si>
  <si>
    <t>Hot tea</t>
  </si>
  <si>
    <t xml:space="preserve">Classmate </t>
  </si>
  <si>
    <t>Vomiting, Abdominal pain, Back pain</t>
  </si>
  <si>
    <t xml:space="preserve">Businesses </t>
  </si>
  <si>
    <t>23 years</t>
  </si>
  <si>
    <t xml:space="preserve">Headache, Vomiting, Weakness, Anorexia, Abdominal pain, Back pain, Bloating and diarrhoea </t>
  </si>
  <si>
    <t xml:space="preserve">Self employed </t>
  </si>
  <si>
    <t xml:space="preserve">Facebook group </t>
  </si>
  <si>
    <t xml:space="preserve">Medical knowledge </t>
  </si>
  <si>
    <t xml:space="preserve">16 years </t>
  </si>
  <si>
    <t>Cloth/towel, Disposable sanitary pad, Toilet paper, Mattress or foam, Period underwear</t>
  </si>
  <si>
    <t>Weakness, Abdominal pain, Back pain, Leg pain</t>
  </si>
  <si>
    <t xml:space="preserve">Cloth/towel, </t>
  </si>
  <si>
    <t>Cloth/towel, Cotton wool, Period underwear</t>
  </si>
  <si>
    <t>Disposable sanitary pad, Toilet paper, Cotton wool</t>
  </si>
  <si>
    <t xml:space="preserve">২২বছর </t>
  </si>
  <si>
    <t>Reusable sanitary pad, Toilet paper, Period underwear, Sanitary pad</t>
  </si>
  <si>
    <t xml:space="preserve">Headache, Vomiting, Weakness, Back pain, Anxiety &amp; Panic attack </t>
  </si>
  <si>
    <t>Nusrat Jahan Noor (Ju university student my senior sister)</t>
  </si>
  <si>
    <t>Cloth/towel, Toilet paper, Cotton wool, Period underwear</t>
  </si>
  <si>
    <t>Reusable sanitary pad, Toilet paper, Menstrual cup</t>
  </si>
  <si>
    <t>Cloth/towel, Disposable sanitary pad, Toilet paper, Cotton wool, Period underwear</t>
  </si>
  <si>
    <t xml:space="preserve">Headache, Weakness, Anorexia, Abdominal pain, Back pain, </t>
  </si>
  <si>
    <t>Death</t>
  </si>
  <si>
    <t>Cotton wool</t>
  </si>
  <si>
    <t>Weakness, Anorexia, Back pain</t>
  </si>
  <si>
    <t>Vomiting, Back pain</t>
  </si>
  <si>
    <t>Headache, Vomiting, Anorexia, Abdominal pain, Back pain</t>
  </si>
  <si>
    <t>Disposable sanitary pad, Toilet paper, Cotton wool, Mattress or foam, Underwear alone, Period underwear, Menstrual cup</t>
  </si>
  <si>
    <t>Headache, Vomiting, Weakness, Anorexia, Abdominal pain</t>
  </si>
  <si>
    <t>Underwear alone</t>
  </si>
  <si>
    <t xml:space="preserve">seminer </t>
  </si>
  <si>
    <t>Cloth/towel, Disposable sanitary pad, Reusable sanitary pad, Period underwear</t>
  </si>
  <si>
    <t xml:space="preserve">Nothing </t>
  </si>
  <si>
    <t>self employed professional</t>
  </si>
  <si>
    <t>Cloth/towel, Toilet paper, Period underwear</t>
  </si>
  <si>
    <t>Upsetment</t>
  </si>
  <si>
    <t>Died</t>
  </si>
  <si>
    <t xml:space="preserve">Farmar </t>
  </si>
  <si>
    <t xml:space="preserve">Friend </t>
  </si>
  <si>
    <t xml:space="preserve">20 years </t>
  </si>
  <si>
    <t>Ww</t>
  </si>
  <si>
    <t xml:space="preserve">Labour </t>
  </si>
  <si>
    <t xml:space="preserve">Sister </t>
  </si>
  <si>
    <t>Underwear alone, Period underwear</t>
  </si>
  <si>
    <t>Cloth/towel, Disposable sanitary pad, Reusable sanitary pad, Toilet paper, Cotton wool, Mattress or foam, Underwear alone, Period underwear, Menstrual cup</t>
  </si>
  <si>
    <t>Mood swing</t>
  </si>
  <si>
    <t xml:space="preserve">Cousin </t>
  </si>
  <si>
    <t xml:space="preserve">Day labour </t>
  </si>
  <si>
    <t>Disposable sanitary pad, Period underwear, Menstrual cup</t>
  </si>
  <si>
    <t>Headache, Anorexia, Abdominal pain</t>
  </si>
  <si>
    <t>Menses -</t>
  </si>
  <si>
    <t>Variable Name</t>
  </si>
  <si>
    <t>Label</t>
  </si>
  <si>
    <t>Response</t>
  </si>
  <si>
    <t xml:space="preserve">Sources of bleeding - 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</si>
  <si>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</si>
  <si>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</si>
  <si>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</si>
  <si>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</si>
  <si>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</si>
  <si>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</si>
  <si>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</si>
  <si>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</si>
  <si>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</si>
  <si>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</si>
  <si>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</si>
  <si>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Causes of menses-</t>
  </si>
  <si>
    <t>K12</t>
  </si>
  <si>
    <t>K13</t>
  </si>
  <si>
    <t>Which is good to be done during menstruation -</t>
  </si>
  <si>
    <t>Not allowed to touch others during menstruation</t>
  </si>
  <si>
    <t>Not allowed to go to kitchens during menses</t>
  </si>
  <si>
    <t>It is not good to discuss menses</t>
  </si>
  <si>
    <t>Activities done by a menstruating woman are not blessed</t>
  </si>
  <si>
    <t>Being free from menses is a fate</t>
  </si>
  <si>
    <t>K14</t>
  </si>
  <si>
    <t>K15</t>
  </si>
  <si>
    <t>K16</t>
  </si>
  <si>
    <t>K17</t>
  </si>
  <si>
    <t>K18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</si>
  <si>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</si>
  <si>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</si>
  <si>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</si>
  <si>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</si>
  <si>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</si>
  <si>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</si>
  <si>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</si>
  <si>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</si>
  <si>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</si>
  <si>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</si>
  <si>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During your last menstrual period…</t>
  </si>
  <si>
    <t>Were your menstrual materials comfortable?</t>
  </si>
  <si>
    <t>Did you have enough of your menstrual materials to change them as often as you wanted to?</t>
  </si>
  <si>
    <t>Were you satisfied with the cleanliness of your menstrual materials?</t>
  </si>
  <si>
    <t>Could you get more of your menstrual materials when you needed to?</t>
  </si>
  <si>
    <t>Were you worried that your menstrual materials would allow blood to pass through to your outer garments?</t>
  </si>
  <si>
    <t>Were you worried that your menstrual materials would move from place while you were wearing them?</t>
  </si>
  <si>
    <t>Were you worried about how you would get more of your menstrual material if you ran out?</t>
  </si>
  <si>
    <t>Did you feel comfortable carrying spare menstrual materials with you outside your home?</t>
  </si>
  <si>
    <t>Did you feel comfortable carrying menstrual materials to the place where you changed them?</t>
  </si>
  <si>
    <t>Were you able to wash your hands when you wanted to?</t>
  </si>
  <si>
    <t>Were you able to immediately dispose of your used menstrual materials?</t>
  </si>
  <si>
    <t>Were you able to dispose of your used materials in the way that you wanted to?</t>
  </si>
  <si>
    <t>Were you worried about where to dispose of your used menstrual materials?</t>
  </si>
  <si>
    <t>Were you concerned that others would see your used menstrual materials in the place you disposed of them?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</si>
  <si>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</si>
  <si>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</si>
  <si>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</si>
  <si>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</si>
  <si>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</si>
  <si>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</si>
  <si>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</si>
  <si>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</si>
  <si>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</si>
  <si>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</si>
  <si>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</si>
  <si>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</si>
  <si>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</si>
  <si>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</si>
  <si>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</si>
  <si>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At home during your last menstrual period…</t>
  </si>
  <si>
    <t>When at home, were you able to change your menstrual materials when you wanted to?</t>
  </si>
  <si>
    <t>When at home, were you satisfied with the place you used to change your menstrual materials?</t>
  </si>
  <si>
    <t>When at home, did you have a clean place to change your menstrual materials?</t>
  </si>
  <si>
    <t>When at home, were you worried that you would not be able to change your menstrual materials when you needed to?</t>
  </si>
  <si>
    <t>When at home, were you worried that someone would see you while you were changing your menstrual materials?</t>
  </si>
  <si>
    <t>When at home, were you worried that someone would harm you while you were changing your menstrual materials?</t>
  </si>
  <si>
    <t>When at home, were you worried that something else would harm you while you were changing your menstrual materials (e.g., animals, insects, unsafe structure)</t>
  </si>
  <si>
    <t>Did you feel comfortable storing [keeping your leftover or cleaned menstrual materials until your next period?</t>
  </si>
  <si>
    <t>When at university, were you able to change your menstrual materials when you wanted to?</t>
  </si>
  <si>
    <t>When at university, were you satisfied with the place you used to change your menstrual materials?</t>
  </si>
  <si>
    <t>When at university, did you have a clean place to change your menstrual materials?</t>
  </si>
  <si>
    <t>When at university, were you worried that you would not be able to change your menstrual materials when you needed to?</t>
  </si>
  <si>
    <t>When at university, were you worried that someone would see you while you were changing your menstrual materials?</t>
  </si>
  <si>
    <t>When at university, were you worried that someone would harm you while you were changing your menstrual materials?</t>
  </si>
  <si>
    <t>Did you have enough water to soak or wash your menstrual material?</t>
  </si>
  <si>
    <t>Did you have access to a basin to soak or wash your menstrual materials whenever you needed it?</t>
  </si>
  <si>
    <t>Were you able to wash your menstrual materials when you wanted to?</t>
  </si>
  <si>
    <t>Did you have enough soap to wash your menstrual materials?</t>
  </si>
  <si>
    <t>Were you able to dry your materials when you wanted to?</t>
  </si>
  <si>
    <t>Were you worried that someone would see you while you were washing your menstrual materials?</t>
  </si>
  <si>
    <t>Were you worried that your menstrual materials would not be dry when you needed them?</t>
  </si>
  <si>
    <t>Were you worried that others would see your menstrual materials while they were drying?</t>
  </si>
  <si>
    <t>Educational_Level</t>
  </si>
  <si>
    <t>Permanent_Residence</t>
  </si>
  <si>
    <t>Fathers_Educational_Status</t>
  </si>
  <si>
    <t>Fathers_Occupation</t>
  </si>
  <si>
    <t>Mothers_Educational_Status</t>
  </si>
  <si>
    <t>Mothers_Occupation</t>
  </si>
  <si>
    <t>Age</t>
  </si>
  <si>
    <t>Family_Structure</t>
  </si>
  <si>
    <t>Monthly_Family_Income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</si>
  <si>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</si>
  <si>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</si>
  <si>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</si>
  <si>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</si>
  <si>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</si>
  <si>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</si>
  <si>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</si>
  <si>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</si>
  <si>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</si>
  <si>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</si>
  <si>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</si>
  <si>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</si>
  <si>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</si>
  <si>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</si>
  <si>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</si>
  <si>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</si>
  <si>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</si>
  <si>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</si>
  <si>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</si>
  <si>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</si>
  <si>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</si>
  <si>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Others</t>
  </si>
  <si>
    <t>Service</t>
  </si>
  <si>
    <t>Business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</si>
  <si>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</si>
  <si>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</si>
  <si>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</si>
  <si>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</si>
  <si>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</si>
  <si>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</si>
  <si>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</si>
  <si>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</si>
  <si>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</si>
  <si>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</si>
  <si>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</si>
  <si>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</si>
  <si>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</si>
  <si>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Social Media</t>
  </si>
  <si>
    <t>Digital Media</t>
  </si>
  <si>
    <t>Seminar</t>
  </si>
  <si>
    <t>No Prior Information</t>
  </si>
  <si>
    <t>Material and Home Environment Needs</t>
  </si>
  <si>
    <t>Transport and School Environment Needs</t>
  </si>
  <si>
    <t>Material Reliability Concerns</t>
  </si>
  <si>
    <t>Change and Disposal Insecurity</t>
  </si>
  <si>
    <t>Reuse Needs</t>
  </si>
  <si>
    <t>Reuse Insecurity</t>
  </si>
  <si>
    <t>MHN</t>
  </si>
  <si>
    <t>TSN</t>
  </si>
  <si>
    <t>MRC</t>
  </si>
  <si>
    <t>CDI</t>
  </si>
  <si>
    <t>RI</t>
  </si>
  <si>
    <t>RN</t>
  </si>
  <si>
    <t>Menses - It is not a normal phenomenon</t>
  </si>
  <si>
    <t>Menses - It is not unique to females</t>
  </si>
  <si>
    <t>Menses - It is not life-long</t>
  </si>
  <si>
    <t>Menses - It is not a lifelong process</t>
  </si>
  <si>
    <t>Menses - It will be stopped after initiation of sexual intercourse</t>
  </si>
  <si>
    <t>Menses - It is a sign of conception</t>
  </si>
  <si>
    <t>Menses - It has a foul smell</t>
  </si>
  <si>
    <t>Menses - It is pathological</t>
  </si>
  <si>
    <t>Sources of bleeding - Bladder</t>
  </si>
  <si>
    <t>Sources of bleeding - Vagina</t>
  </si>
  <si>
    <t>Sources of bleeding - Abdomen</t>
  </si>
  <si>
    <t>Causes of menses - Diseases</t>
  </si>
  <si>
    <t>Causes of menses - Curses</t>
  </si>
  <si>
    <t>Overall</t>
  </si>
  <si>
    <t>Menstrual_material</t>
  </si>
  <si>
    <t>Reusable</t>
  </si>
  <si>
    <t>Disposable</t>
  </si>
  <si>
    <t>Multiple</t>
  </si>
  <si>
    <t>Menorrhagia</t>
  </si>
  <si>
    <t>Oligomenorrhea</t>
  </si>
  <si>
    <t>Polymenorrhea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</si>
</sst>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5">
    <xf numFmtId="0" fontId="0" fillId="0" borderId="0" xfId="0"/>
    <xf numFmtId="0" fontId="3" fillId="2" borderId="0" xfId="1" applyFont="1" applyAlignment="1">
      <alignment horizontal="left"/>
    </xf>
    <xf numFmtId="0" fontId="3" fillId="4" borderId="0" xfId="3" applyFont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4" applyFont="1" applyAlignment="1">
      <alignment horizontal="left"/>
    </xf>
    <xf numFmtId="0" fontId="3" fillId="6" borderId="0" xfId="5" applyFont="1" applyAlignment="1">
      <alignment horizontal="left"/>
    </xf>
    <xf numFmtId="0" fontId="3" fillId="3" borderId="0" xfId="2" applyFont="1" applyAlignment="1">
      <alignment horizontal="left"/>
    </xf>
    <xf numFmtId="0" fontId="1" fillId="2" borderId="0" xfId="1" applyAlignment="1">
      <alignment horizontal="left"/>
    </xf>
    <xf numFmtId="0" fontId="1" fillId="4" borderId="0" xfId="3" applyAlignment="1">
      <alignment horizontal="left"/>
    </xf>
    <xf numFmtId="0" fontId="1" fillId="5" borderId="0" xfId="4" applyAlignment="1">
      <alignment horizontal="left"/>
    </xf>
    <xf numFmtId="0" fontId="1" fillId="6" borderId="0" xfId="5" applyAlignment="1">
      <alignment horizontal="left"/>
    </xf>
    <xf numFmtId="0" fontId="1" fillId="3" borderId="0" xfId="2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/>
  </cellXfs>
  <cellStyles count="6">
    <cellStyle name="40% - Accent4" xfId="2" builtinId="43"/>
    <cellStyle name="40% - Accent6" xfId="4" builtinId="51"/>
    <cellStyle name="60% - Accent2" xfId="1" builtinId="36"/>
    <cellStyle name="60% - Accent4" xfId="3" builtinId="44"/>
    <cellStyle name="60% - Accent5" xfId="5" builtinId="48"/>
    <cellStyle name="Normal" xfId="0" builtinId="0"/>
  </cellStyles>
  <dxfs count="220">
    <dxf>
      <numFmt numFmtId="2" formatCode="0.0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28EFD6C-DAB8-476D-A378-BA31AD9B3C06}" autoFormatId="16" applyNumberFormats="0" applyBorderFormats="0" applyFontFormats="0" applyPatternFormats="0" applyAlignmentFormats="0" applyWidthHeightFormats="0">
  <queryTableRefresh nextId="92">
    <queryTableFields count="60">
      <queryTableField id="4" name="Age (In years)" tableColumnId="4"/>
      <queryTableField id="5" name="Religion" tableColumnId="5"/>
      <queryTableField id="6" name="Educational Level" tableColumnId="6"/>
      <queryTableField id="7" name="Residency" tableColumnId="7"/>
      <queryTableField id="8" name="Permanent residence" tableColumnId="8"/>
      <queryTableField id="9" name="Father’s educational status" tableColumnId="9"/>
      <queryTableField id="10" name="Father’s occupation" tableColumnId="10"/>
      <queryTableField id="11" name="Mother's educational status" tableColumnId="11"/>
      <queryTableField id="12" name="Mother's occupation" tableColumnId="12"/>
      <queryTableField id="13" name="Family structure" tableColumnId="13"/>
      <queryTableField id="14" name="Monthly family income (Total in taka)" tableColumnId="14"/>
      <queryTableField id="15" name="Have you ever heard any information regarding menses and its hygienic practice before the onset of your first menstrual bleeding?" tableColumnId="15"/>
      <queryTableField id="16" name="At what age have you experienced menstrual bleeding for the first time? " tableColumnId="16"/>
      <queryTableField id="17" name="Was your menstrual bleeding available for every month for the last six consecutive menstrual cycles?" tableColumnId="17"/>
      <queryTableField id="18" name="Do you have any of these menstrual problems mentioned?" tableColumnId="18"/>
      <queryTableField id="19" name="Do you have any family history of dysmenorrhea (severe pain during menstrual flow)?" tableColumnId="19"/>
      <queryTableField id="20" name="For how many days does your menstrual bleeding stay?" tableColumnId="20"/>
      <queryTableField id="21" name="Do you have severe pain during your menstrual flow (dysmenorrhea)?" tableColumnId="21"/>
      <queryTableField id="22" name="What were all the materials you usually used during your last menstrual period? (select all that apply)" tableColumnId="22"/>
      <queryTableField id="23" name="Do you have any problems associated with menstruation? (Select all that apply)" tableColumnId="23"/>
      <queryTableField id="24" name="Do you take any medications for problems associated with menstruation?" tableColumnId="24"/>
      <queryTableField id="25" name="What other remedies do you use to ease the discomfort of menstruation?" tableColumnId="25"/>
      <queryTableField id="26" name="What are your eating habits during menstruation?" tableColumnId="26"/>
      <queryTableField id="27" name="If you answered “Yes” to the above question, which of the following was/were your sources of information?  " tableColumnId="27"/>
      <queryTableField id="56" name="During your last menstrual period… [Were your menstrual materials comfortable?]" tableColumnId="56"/>
      <queryTableField id="57" name="During your last menstrual period… [Did you have enough of your menstrual materials to change them as often as you wanted to?]" tableColumnId="57"/>
      <queryTableField id="58" name="During your last menstrual period… [Were you satisfied with the cleanliness of your menstrual materials?]" tableColumnId="58"/>
      <queryTableField id="59" name="During your last menstrual period… [Could you get more of your menstrual materials when you needed to?]" tableColumnId="59"/>
      <queryTableField id="60" name="During your last menstrual period… [Were you worried that your menstrual materials would allow blood to pass through to your outer garments?]" tableColumnId="60"/>
      <queryTableField id="61" name="During your last menstrual period… [Were you worried that your menstrual materials would move from place while you were wearing them?]" tableColumnId="61"/>
      <queryTableField id="62" name="During your last menstrual period… [Were you worried about how you would get more of your menstrual material if you ran out?]" tableColumnId="62"/>
      <queryTableField id="63" name="During your last menstrual period… [Did you feel comfortable carrying spare menstrual materials with you outside your home?]" tableColumnId="63"/>
      <queryTableField id="64" name="During your last menstrual period… [Did you feel comfortable carrying menstrual materials to the place where you changed them?]" tableColumnId="64"/>
      <queryTableField id="65" name="During your last menstrual period… [Did you feel comfortable storing [keeping] your leftover or cleaned menstrual materials until your next period?]" tableColumnId="65"/>
      <queryTableField id="66" name="During your last menstrual period… [Were you able to wash your hands when you wanted to?]" tableColumnId="66"/>
      <queryTableField id="67" name="During your last menstrual period… [Were you able to immediately dispose of your used menstrual materials?]" tableColumnId="67"/>
      <queryTableField id="68" name="During your last menstrual period… [Were you able to dispose of your used materials in the way that you wanted to?]" tableColumnId="68"/>
      <queryTableField id="69" name="During your last menstrual period… [Were you worried about where to dispose of your used menstrual materials?]" tableColumnId="69"/>
      <queryTableField id="70" name="During your last menstrual period… [Were you concerned that others would see your used menstrual materials in the place you disposed of them?]" tableColumnId="70"/>
      <queryTableField id="71" name="At home during your last menstrual period… [When at home, were you able to change your menstrual materials when you wanted to?]" tableColumnId="71"/>
      <queryTableField id="72" name="At home during your last menstrual period… [When at home, were you satisfied with the place you used to change your menstrual materials?]" tableColumnId="72"/>
      <queryTableField id="73" name="At home during your last menstrual period… [When at home, did you have a clean place to change your menstrual materials?]" tableColumnId="73"/>
      <queryTableField id="74" name="At home during your last menstrual period… [When at home, were you worried that you would not be able to change your menstrual materials when you needed to?]" tableColumnId="74"/>
      <queryTableField id="75" name="At home during your last menstrual period… [When at home, were you worried that someone would see you while you were changing your menstrual materials?]" tableColumnId="75"/>
      <queryTableField id="76" name="At home during your last menstrual period… [When at home, were you worried that someone would harm you while you were changing your menstrual materials?]" tableColumnId="76"/>
      <queryTableField id="77" name="At home during your last menstrual period… [When at home, were you worried that something else would harm you while you were changing your menstrual materials (e.g., animals, insects, unsafe structure)]" tableColumnId="77"/>
      <queryTableField id="78" name="At university [work/away from home] during your last menstrual period… [When at university, were you able to change your menstrual materials when you wanted to?]" tableColumnId="78"/>
      <queryTableField id="79" name="At university [work/away from home] during your last menstrual period… [When at university, were you satisfied with the place you used to change your menstrual materials?]" tableColumnId="79"/>
      <queryTableField id="80" name="At university [work/away from home] during your last menstrual period… [When at university, did you have a clean place to change your menstrual materials?]" tableColumnId="80"/>
      <queryTableField id="81" name="At university [work/away from home] during your last menstrual period… [When at university, were you worried that you would not be able to change your menstrual materials when you needed to?]" tableColumnId="81"/>
      <queryTableField id="82" name="At university [work/away from home] during your last menstrual period… [When at university, were you worried that someone would see you while you were changing your menstrual materials?]" tableColumnId="82"/>
      <queryTableField id="83" name="At university [work/away from home] during your last menstrual period… [When at university, were you worried that someone would harm you while you were changing your menstrual materials?]" tableColumnId="83"/>
      <queryTableField id="84" name="If you washed and reused any materials during your last period, please answer these items._x000a_During your last menstrual period… [Did you have enough water to soak or wash your menstrual material?]" tableColumnId="84"/>
      <queryTableField id="85" name="If you washed and reused any materials during your last period, please answer these items._x000a_During your last menstrual period… [Did you have access to a basin to soak or wash your menstrual materials whenever you needed it?]" tableColumnId="85"/>
      <queryTableField id="86" name="If you washed and reused any materials during your last period, please answer these items._x000a_During your last menstrual period… [Were you able to wash your menstrual materials when you wanted to?]" tableColumnId="86"/>
      <queryTableField id="87" name="If you washed and reused any materials during your last period, please answer these items._x000a_During your last menstrual period… [Did you have enough soap to wash your menstrual materials?]" tableColumnId="87"/>
      <queryTableField id="88" name="If you washed and reused any materials during your last period, please answer these items._x000a_During your last menstrual period… [Were you able to dry your materials when you wanted to?]" tableColumnId="88"/>
      <queryTableField id="89" name="If you washed and reused any materials during your last period, please answer these items._x000a_During your last menstrual period… [Were you worried that someone would see you while you were washing your menstrual materials?]" tableColumnId="89"/>
      <queryTableField id="90" name="If you washed and reused any materials during your last period, please answer these items._x000a_During your last menstrual period… [Were you worried that your menstrual materials would not be dry when you needed them?]" tableColumnId="90"/>
      <queryTableField id="91" name="If you washed and reused any materials during your last period, please answer these items._x000a_During your last menstrual period… [Were you worried that others would see your menstrual materials while they were drying?]" tableColumnId="91"/>
    </queryTableFields>
    <queryTableDeletedFields count="31">
      <deletedField name="Source.Name"/>
      <deletedField name="Timestamp"/>
      <deletedField name="Consent: _x000a_By proceeding with the survey, you acknowledge that you have read and understood this consent form, and agree to participate in this research study."/>
      <deletedField name="Menses- [It is not a normal phenomenon]"/>
      <deletedField name="Menses- [It is not unique to females]"/>
      <deletedField name="Menses- [It is not life-long]"/>
      <deletedField name="Menses- [It is not a lifelong process]"/>
      <deletedField name="Menses- [It will be stopped after initiation of sexual intercourse]"/>
      <deletedField name="Menses- [It is a sign of conception]"/>
      <deletedField name="Menses- [It has a foul smell]"/>
      <deletedField name="Menses- [It is pathological]"/>
      <deletedField name="Sources of bleeding -  [Bladder]"/>
      <deletedField name="Sources of bleeding -  [Vagina]"/>
      <deletedField name="Sources of bleeding -  [Abdomen]"/>
      <deletedField name="Causes of menses [Diseases]"/>
      <deletedField name="Causes of menses [Curses]"/>
      <deletedField name="Which is good to be done during menstruation - [Not allowed to touch others during menstruation]"/>
      <deletedField name="Which is good to be done during menstruation - [Not allowed to go to kitchens during menses]"/>
      <deletedField name="Which is good to be done during menstruation - [It is not good to discuss menses]"/>
      <deletedField name="Which is good to be done during menstruation - [Activities done by a menstruating woman are not blessed]"/>
      <deletedField name="Which is good to be done during menstruation - [Being free from menses is a fate]"/>
      <deletedField name="I always use  absorbent materials during my menstrual flow"/>
      <deletedField name="I always use commercially made sanitary pads during my menstruation period"/>
      <deletedField name="I change  pads or clothes more than three times a day during menstruation"/>
      <deletedField name="I use clean clothes and wash with soap and water during my menstrual bleeding"/>
      <deletedField name="I commonly dry sanitary clothes with  sunlight"/>
      <deletedField name="I frequently clean my external genitalia during menstruation"/>
      <deletedField name="I dispose of the pads by wrapping them in paper"/>
      <deletedField name="I wash and bathe daily with soap during menstruation"/>
      <deletedField name="I always clean external genitalia with water and soap during menstruation"/>
      <deletedField name="I dispose of used sanitary pads in the dustbi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1ACFDF-627A-44FF-8E9C-D410E049CF37}" autoFormatId="16" applyNumberFormats="0" applyBorderFormats="0" applyFontFormats="0" applyPatternFormats="0" applyAlignmentFormats="0" applyWidthHeightFormats="0">
  <queryTableRefresh nextId="106" unboundColumnsRight="6">
    <queryTableFields count="64">
      <queryTableField id="4" name="Age (In years)" tableColumnId="4"/>
      <queryTableField id="5" name="Religion" tableColumnId="5"/>
      <queryTableField id="6" name="Educational Level" tableColumnId="6"/>
      <queryTableField id="7" name="Residency" tableColumnId="7"/>
      <queryTableField id="8" name="Permanent residence" tableColumnId="8"/>
      <queryTableField id="9" name="Father’s educational status" tableColumnId="9"/>
      <queryTableField id="10" name="Father’s occupation" tableColumnId="10"/>
      <queryTableField id="11" name="Mother's educational status" tableColumnId="11"/>
      <queryTableField id="12" name="Mother's occupation" tableColumnId="12"/>
      <queryTableField id="13" name="Family structure" tableColumnId="13"/>
      <queryTableField id="14" name="Monthly family income (Total in taka)" tableColumnId="14"/>
      <queryTableField id="15" name="Have you ever heard any information regarding menses and its hygienic practice before the onset of your first menstrual bleeding?" tableColumnId="15"/>
      <queryTableField id="16" name="At what age have you experienced menstrual bleeding for the first time? " tableColumnId="16"/>
      <queryTableField id="17" name="Was your menstrual bleeding available for every month for the last six consecutive menstrual cycles?" tableColumnId="17"/>
      <queryTableField id="18" name="Do you have any of these menstrual problems mentioned?" tableColumnId="18"/>
      <queryTableField id="19" name="Do you have any family history of dysmenorrhea (severe pain during menstrual flow)?" tableColumnId="19"/>
      <queryTableField id="20" name="For how many days does your menstrual bleeding stay?" tableColumnId="20"/>
      <queryTableField id="21" name="Do you have severe pain during your menstrual flow (dysmenorrhea)?" tableColumnId="21"/>
      <queryTableField id="24" name="Do you take any medications for problems associated with menstruation?" tableColumnId="24"/>
      <queryTableField id="25" name="What other remedies do you use to ease the discomfort of menstruation?" tableColumnId="25"/>
      <queryTableField id="26" name="What are your eating habits during menstruation?" tableColumnId="26"/>
      <queryTableField id="27" name="If you answered “Yes” to the above question, which of the following was/were your sources of information?  " tableColumnId="27"/>
      <queryTableField id="56" name="During your last menstrual period… [Were your menstrual materials comfortable?]" tableColumnId="56"/>
      <queryTableField id="57" name="During your last menstrual period… [Did you have enough of your menstrual materials to change them as often as you wanted to?]" tableColumnId="57"/>
      <queryTableField id="58" name="During your last menstrual period… [Were you satisfied with the cleanliness of your menstrual materials?]" tableColumnId="58"/>
      <queryTableField id="59" name="During your last menstrual period… [Could you get more of your menstrual materials when you needed to?]" tableColumnId="59"/>
      <queryTableField id="60" name="During your last menstrual period… [Were you worried that your menstrual materials would allow blood to pass through to your outer garments?]" tableColumnId="60"/>
      <queryTableField id="61" name="During your last menstrual period… [Were you worried that your menstrual materials would move from place while you were wearing them?]" tableColumnId="61"/>
      <queryTableField id="62" name="During your last menstrual period… [Were you worried about how you would get more of your menstrual material if you ran out?]" tableColumnId="62"/>
      <queryTableField id="63" name="During your last menstrual period… [Did you feel comfortable carrying spare menstrual materials with you outside your home?]" tableColumnId="63"/>
      <queryTableField id="64" name="During your last menstrual period… [Did you feel comfortable carrying menstrual materials to the place where you changed them?]" tableColumnId="64"/>
      <queryTableField id="65" name="During your last menstrual period… [Did you feel comfortable storing [keeping] your leftover or cleaned menstrual materials until your next period?]" tableColumnId="65"/>
      <queryTableField id="66" name="During your last menstrual period… [Were you able to wash your hands when you wanted to?]" tableColumnId="66"/>
      <queryTableField id="67" name="During your last menstrual period… [Were you able to immediately dispose of your used menstrual materials?]" tableColumnId="67"/>
      <queryTableField id="68" name="During your last menstrual period… [Were you able to dispose of your used materials in the way that you wanted to?]" tableColumnId="68"/>
      <queryTableField id="69" name="During your last menstrual period… [Were you worried about where to dispose of your used menstrual materials?]" tableColumnId="69"/>
      <queryTableField id="70" name="During your last menstrual period… [Were you concerned that others would see your used menstrual materials in the place you disposed of them?]" tableColumnId="70"/>
      <queryTableField id="71" name="At home during your last menstrual period… [When at home, were you able to change your menstrual materials when you wanted to?]" tableColumnId="71"/>
      <queryTableField id="72" name="At home during your last menstrual period… [When at home, were you satisfied with the place you used to change your menstrual materials?]" tableColumnId="72"/>
      <queryTableField id="73" name="At home during your last menstrual period… [When at home, did you have a clean place to change your menstrual materials?]" tableColumnId="73"/>
      <queryTableField id="74" name="At home during your last menstrual period… [When at home, were you worried that you would not be able to change your menstrual materials when you needed to?]" tableColumnId="74"/>
      <queryTableField id="75" name="At home during your last menstrual period… [When at home, were you worried that someone would see you while you were changing your menstrual materials?]" tableColumnId="75"/>
      <queryTableField id="76" name="At home during your last menstrual period… [When at home, were you worried that someone would harm you while you were changing your menstrual materials?]" tableColumnId="76"/>
      <queryTableField id="77" name="At home during your last menstrual period… [When at home, were you worried that something else would harm you while you were changing your menstrual materials (e.g., animals, insects, unsafe structure)]" tableColumnId="77"/>
      <queryTableField id="78" name="At university [work/away from home] during your last menstrual period… [When at university, were you able to change your menstrual materials when you wanted to?]" tableColumnId="78"/>
      <queryTableField id="79" name="At university [work/away from home] during your last menstrual period… [When at university, were you satisfied with the place you used to change your menstrual materials?]" tableColumnId="79"/>
      <queryTableField id="80" name="At university [work/away from home] during your last menstrual period… [When at university, did you have a clean place to change your menstrual materials?]" tableColumnId="80"/>
      <queryTableField id="81" name="At university [work/away from home] during your last menstrual period… [When at university, were you worried that you would not be able to change your menstrual materials when you needed to?]" tableColumnId="81"/>
      <queryTableField id="82" name="At university [work/away from home] during your last menstrual period… [When at university, were you worried that someone would see you while you were changing your menstrual materials?]" tableColumnId="82"/>
      <queryTableField id="83" name="At university [work/away from home] during your last menstrual period… [When at university, were you worried that someone would harm you while you were changing your menstrual materials?]" tableColumnId="83"/>
      <queryTableField id="84" name="If you washed and reused any materials during your last period, please answer these items._x000a_During your last menstrual period… [Did you have enough water to soak or wash your menstrual material?]" tableColumnId="84"/>
      <queryTableField id="85" name="If you washed and reused any materials during your last period, please answer these items._x000a_During your last menstrual period… [Did you have access to a basin to soak or wash your menstrual materials whenever you needed it?]" tableColumnId="85"/>
      <queryTableField id="86" name="If you washed and reused any materials during your last period, please answer these items._x000a_During your last menstrual period… [Were you able to wash your menstrual materials when you wanted to?]" tableColumnId="86"/>
      <queryTableField id="87" name="If you washed and reused any materials during your last period, please answer these items._x000a_During your last menstrual period… [Did you have enough soap to wash your menstrual materials?]" tableColumnId="87"/>
      <queryTableField id="88" name="If you washed and reused any materials during your last period, please answer these items._x000a_During your last menstrual period… [Were you able to dry your materials when you wanted to?]" tableColumnId="88"/>
      <queryTableField id="89" name="If you washed and reused any materials during your last period, please answer these items._x000a_During your last menstrual period… [Were you worried that someone would see you while you were washing your menstrual materials?]" tableColumnId="89"/>
      <queryTableField id="90" name="If you washed and reused any materials during your last period, please answer these items._x000a_During your last menstrual period… [Were you worried that your menstrual materials would not be dry when you needed them?]" tableColumnId="90"/>
      <queryTableField id="91" name="If you washed and reused any materials during your last period, please answer these items._x000a_During your last menstrual period… [Were you worried that others would see your menstrual materials while they were drying?]" tableColumnId="91"/>
      <queryTableField id="92" dataBound="0" tableColumnId="1"/>
      <queryTableField id="93" dataBound="0" tableColumnId="2"/>
      <queryTableField id="94" dataBound="0" tableColumnId="3"/>
      <queryTableField id="95" dataBound="0" tableColumnId="92"/>
      <queryTableField id="96" dataBound="0" tableColumnId="93"/>
      <queryTableField id="97" dataBound="0" tableColumnId="94"/>
    </queryTableFields>
    <queryTableDeletedFields count="33">
      <deletedField name="Source.Name"/>
      <deletedField name="Timestamp"/>
      <deletedField name="Consent: _x000a_By proceeding with the survey, you acknowledge that you have read and understood this consent form, and agree to participate in this research study."/>
      <deletedField name="What were all the materials you usually used during your last menstrual period? (select all that apply)"/>
      <deletedField name="Do you have any problems associated with menstruation? (Select all that apply)"/>
      <deletedField name="Menses- [It is not a normal phenomenon]"/>
      <deletedField name="Menses- [It is not unique to females]"/>
      <deletedField name="Menses- [It is not life-long]"/>
      <deletedField name="Menses- [It is not a lifelong process]"/>
      <deletedField name="Menses- [It will be stopped after initiation of sexual intercourse]"/>
      <deletedField name="Menses- [It is a sign of conception]"/>
      <deletedField name="Menses- [It has a foul smell]"/>
      <deletedField name="Menses- [It is pathological]"/>
      <deletedField name="Sources of bleeding -  [Bladder]"/>
      <deletedField name="Sources of bleeding -  [Vagina]"/>
      <deletedField name="Sources of bleeding -  [Abdomen]"/>
      <deletedField name="Causes of menses [Diseases]"/>
      <deletedField name="Causes of menses [Curses]"/>
      <deletedField name="Which is good to be done during menstruation - [Not allowed to touch others during menstruation]"/>
      <deletedField name="Which is good to be done during menstruation - [Not allowed to go to kitchens during menses]"/>
      <deletedField name="Which is good to be done during menstruation - [It is not good to discuss menses]"/>
      <deletedField name="Which is good to be done during menstruation - [Activities done by a menstruating woman are not blessed]"/>
      <deletedField name="Which is good to be done during menstruation - [Being free from menses is a fate]"/>
      <deletedField name="I always use  absorbent materials during my menstrual flow"/>
      <deletedField name="I always use commercially made sanitary pads during my menstruation period"/>
      <deletedField name="I change  pads or clothes more than three times a day during menstruation"/>
      <deletedField name="I use clean clothes and wash with soap and water during my menstrual bleeding"/>
      <deletedField name="I commonly dry sanitary clothes with  sunlight"/>
      <deletedField name="I frequently clean my external genitalia during menstruation"/>
      <deletedField name="I dispose of the pads by wrapping them in paper"/>
      <deletedField name="I wash and bathe daily with soap during menstruation"/>
      <deletedField name="I always clean external genitalia with water and soap during menstruation"/>
      <deletedField name="I dispose of used sanitary pads in the dustb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82B84-C8A7-4359-9B38-F2766CD2ED6D}" name="data__2" displayName="data__2" ref="A1:BH626" tableType="queryTable" totalsRowShown="0">
  <autoFilter ref="A1:BH626" xr:uid="{97182B84-C8A7-4359-9B38-F2766CD2ED6D}"/>
  <tableColumns count="60">
    <tableColumn id="4" xr3:uid="{14616BFA-4948-4B8E-B64F-5B6663B2CBB3}" uniqueName="4" name="Age (In years)" queryTableFieldId="4"/>
    <tableColumn id="5" xr3:uid="{516F19D9-D63F-442D-A874-7D9AF240B155}" uniqueName="5" name="Religion" queryTableFieldId="5" dataDxfId="219"/>
    <tableColumn id="6" xr3:uid="{6BDF1946-0CFA-4E59-B772-F4C061BDFD97}" uniqueName="6" name="Educational Level" queryTableFieldId="6" dataDxfId="218"/>
    <tableColumn id="7" xr3:uid="{C91EAE38-D15E-4502-ABAC-16362A80A9C1}" uniqueName="7" name="Residency" queryTableFieldId="7" dataDxfId="217"/>
    <tableColumn id="8" xr3:uid="{32CBD724-69E7-4291-AFF1-0961C0CD8B2A}" uniqueName="8" name="Permanent residence" queryTableFieldId="8" dataDxfId="216"/>
    <tableColumn id="9" xr3:uid="{DED7FC5C-70F0-455B-AA72-CFAADF0D39A5}" uniqueName="9" name="Father’s educational status" queryTableFieldId="9" dataDxfId="215"/>
    <tableColumn id="10" xr3:uid="{4B3A21C8-5FD8-4CED-B9B8-029A72D9507C}" uniqueName="10" name="Father’s occupation" queryTableFieldId="10" dataDxfId="214"/>
    <tableColumn id="11" xr3:uid="{F65CC54F-F312-42A0-9AFF-6B4BAC24F62B}" uniqueName="11" name="Mother's educational status" queryTableFieldId="11" dataDxfId="213"/>
    <tableColumn id="12" xr3:uid="{3CE11A9D-51A7-4763-BBC6-0E70FE9C461A}" uniqueName="12" name="Mother's occupation" queryTableFieldId="12" dataDxfId="212"/>
    <tableColumn id="13" xr3:uid="{4C55D56A-245E-45F5-958B-BCCA9DB5389F}" uniqueName="13" name="Family structure" queryTableFieldId="13" dataDxfId="211"/>
    <tableColumn id="14" xr3:uid="{EB231ADB-D853-444B-8546-8754812BCEBC}" uniqueName="14" name="Monthly family income (Total in taka)" queryTableFieldId="14" dataDxfId="210"/>
    <tableColumn id="15" xr3:uid="{D1815334-EC23-48D1-BE48-93DB550C7CDF}" uniqueName="15" name="Have you ever heard any information regarding menses and its hygienic practice before the onset of your first menstrual bleeding?" queryTableFieldId="15" dataDxfId="209"/>
    <tableColumn id="16" xr3:uid="{3C2CE8B1-283D-4C8D-B070-E608E61C61FF}" uniqueName="16" name="At what age have you experienced menstrual bleeding for the first time? " queryTableFieldId="16" dataDxfId="208"/>
    <tableColumn id="17" xr3:uid="{93C7D6E1-3E43-46EB-95DC-0D4BAB49C8B1}" uniqueName="17" name="Was your menstrual bleeding available for every month for the last six consecutive menstrual cycles?" queryTableFieldId="17" dataDxfId="207"/>
    <tableColumn id="18" xr3:uid="{EBEC25B4-A0E4-4726-AF83-0995BD375FCA}" uniqueName="18" name="Do you have any of these menstrual problems mentioned?" queryTableFieldId="18" dataDxfId="206"/>
    <tableColumn id="19" xr3:uid="{D63C7EF2-83FB-4344-94BB-AECBAF0303A1}" uniqueName="19" name="Do you have any family history of dysmenorrhea (severe pain during menstrual flow)?" queryTableFieldId="19" dataDxfId="205"/>
    <tableColumn id="20" xr3:uid="{2E12CF85-CB3E-4C87-AFFE-365D7B8349EF}" uniqueName="20" name="For how many days does your menstrual bleeding stay?" queryTableFieldId="20" dataDxfId="204"/>
    <tableColumn id="21" xr3:uid="{E82C932A-B3C7-4A76-BF40-FF5FB86AE158}" uniqueName="21" name="Do you have severe pain during your menstrual flow (dysmenorrhea)?" queryTableFieldId="21" dataDxfId="203"/>
    <tableColumn id="22" xr3:uid="{FEE632CB-7F41-4CCF-AB0D-1F9DA404E7B3}" uniqueName="22" name="What were all the materials you usually used during your last menstrual period? (select all that apply)" queryTableFieldId="22" dataDxfId="202"/>
    <tableColumn id="23" xr3:uid="{E22FD99A-9AB5-46F0-8E8C-87219FA430A6}" uniqueName="23" name="Do you have any problems associated with menstruation? (Select all that apply)" queryTableFieldId="23" dataDxfId="201"/>
    <tableColumn id="24" xr3:uid="{345A0DCA-BC26-4779-B26C-9D013C7A8EE3}" uniqueName="24" name="Do you take any medications for problems associated with menstruation?" queryTableFieldId="24" dataDxfId="200"/>
    <tableColumn id="25" xr3:uid="{77FEF1EC-746F-4305-8785-068ED57182EE}" uniqueName="25" name="What other remedies do you use to ease the discomfort of menstruation?" queryTableFieldId="25" dataDxfId="199"/>
    <tableColumn id="26" xr3:uid="{8FFDA587-24BC-4BCD-93A3-F87712A71A3E}" uniqueName="26" name="What are your eating habits during menstruation?" queryTableFieldId="26" dataDxfId="198"/>
    <tableColumn id="27" xr3:uid="{6C9DB396-686D-455F-962C-E4830784848D}" uniqueName="27" name="If you answered “Yes” to the above question, which of the following was/were your sources of information?  " queryTableFieldId="27" dataDxfId="197"/>
    <tableColumn id="56" xr3:uid="{3E63241E-A9A1-4FB1-8629-6FFD86B676A9}" uniqueName="56" name="During your last menstrual period… [Were your menstrual materials comfortable?]" queryTableFieldId="56" dataDxfId="196"/>
    <tableColumn id="57" xr3:uid="{0747080F-D9C3-4A84-8C6C-35AFE54F2C29}" uniqueName="57" name="During your last menstrual period… [Did you have enough of your menstrual materials to change them as often as you wanted to?]" queryTableFieldId="57" dataDxfId="195"/>
    <tableColumn id="58" xr3:uid="{BFD1FA4F-75B9-4067-A681-7074A38A5284}" uniqueName="58" name="During your last menstrual period… [Were you satisfied with the cleanliness of your menstrual materials?]" queryTableFieldId="58" dataDxfId="194"/>
    <tableColumn id="59" xr3:uid="{5DF46152-5C6B-437E-8EE4-9A3FA6B7A4C4}" uniqueName="59" name="During your last menstrual period… [Could you get more of your menstrual materials when you needed to?]" queryTableFieldId="59" dataDxfId="193"/>
    <tableColumn id="60" xr3:uid="{5DC1DCBC-6AA6-42A6-99D0-D798E313A344}" uniqueName="60" name="During your last menstrual period… [Were you worried that your menstrual materials would allow blood to pass through to your outer garments?]" queryTableFieldId="60" dataDxfId="192"/>
    <tableColumn id="61" xr3:uid="{8A435846-FD9E-47B2-9F8F-C5A82664272D}" uniqueName="61" name="During your last menstrual period… [Were you worried that your menstrual materials would move from place while you were wearing them?]" queryTableFieldId="61" dataDxfId="191"/>
    <tableColumn id="62" xr3:uid="{B0ED548A-66CC-47FE-80C3-17C81F35A73A}" uniqueName="62" name="During your last menstrual period… [Were you worried about how you would get more of your menstrual material if you ran out?]" queryTableFieldId="62" dataDxfId="190"/>
    <tableColumn id="63" xr3:uid="{5C68E084-88FD-4AD2-8C46-C75E9F866CC2}" uniqueName="63" name="During your last menstrual period… [Did you feel comfortable carrying spare menstrual materials with you outside your home?]" queryTableFieldId="63" dataDxfId="189"/>
    <tableColumn id="64" xr3:uid="{51A91782-7689-4A40-959E-1447F47742E6}" uniqueName="64" name="During your last menstrual period… [Did you feel comfortable carrying menstrual materials to the place where you changed them?]" queryTableFieldId="64" dataDxfId="188"/>
    <tableColumn id="65" xr3:uid="{755AD76F-427A-4458-871C-0CCC6AA52FEC}" uniqueName="65" name="During your last menstrual period… [Did you feel comfortable storing [keeping] your leftover or cleaned menstrual materials until your next period?]" queryTableFieldId="65" dataDxfId="187"/>
    <tableColumn id="66" xr3:uid="{8D4ADF8D-D7C6-48B3-A592-0A95B70BB158}" uniqueName="66" name="During your last menstrual period… [Were you able to wash your hands when you wanted to?]" queryTableFieldId="66" dataDxfId="186"/>
    <tableColumn id="67" xr3:uid="{B5E54392-5BEA-4AAC-9643-B9416EA3BC78}" uniqueName="67" name="During your last menstrual period… [Were you able to immediately dispose of your used menstrual materials?]" queryTableFieldId="67" dataDxfId="185"/>
    <tableColumn id="68" xr3:uid="{31937B03-D22C-4EAD-B77D-C335FD0CFD26}" uniqueName="68" name="During your last menstrual period… [Were you able to dispose of your used materials in the way that you wanted to?]" queryTableFieldId="68" dataDxfId="184"/>
    <tableColumn id="69" xr3:uid="{A2C42C1D-72A6-4E62-A61C-A628A6C633CB}" uniqueName="69" name="During your last menstrual period… [Were you worried about where to dispose of your used menstrual materials?]" queryTableFieldId="69" dataDxfId="183"/>
    <tableColumn id="70" xr3:uid="{ABBE7FF9-D14E-4712-9343-F9643BF3FA63}" uniqueName="70" name="During your last menstrual period… [Were you concerned that others would see your used menstrual materials in the place you disposed of them?]" queryTableFieldId="70" dataDxfId="182"/>
    <tableColumn id="71" xr3:uid="{100A12EA-5739-4EE2-9E78-7110472F329D}" uniqueName="71" name="At home during your last menstrual period… [When at home, were you able to change your menstrual materials when you wanted to?]" queryTableFieldId="71" dataDxfId="181"/>
    <tableColumn id="72" xr3:uid="{585DC92D-4AB8-4D82-9AD9-0FEBA3978D27}" uniqueName="72" name="At home during your last menstrual period… [When at home, were you satisfied with the place you used to change your menstrual materials?]" queryTableFieldId="72" dataDxfId="180"/>
    <tableColumn id="73" xr3:uid="{D6B4CFF2-18EC-4F9F-B77D-2BF2E2411C3C}" uniqueName="73" name="At home during your last menstrual period… [When at home, did you have a clean place to change your menstrual materials?]" queryTableFieldId="73" dataDxfId="179"/>
    <tableColumn id="74" xr3:uid="{0363A29E-5176-4927-929F-DB8834B912B9}" uniqueName="74" name="At home during your last menstrual period… [When at home, were you worried that you would not be able to change your menstrual materials when you needed to?]" queryTableFieldId="74" dataDxfId="178"/>
    <tableColumn id="75" xr3:uid="{0ACE467B-2595-431B-9350-AC6431006F9E}" uniqueName="75" name="At home during your last menstrual period… [When at home, were you worried that someone would see you while you were changing your menstrual materials?]" queryTableFieldId="75" dataDxfId="177"/>
    <tableColumn id="76" xr3:uid="{FAC700A9-EAEE-4C53-B1D1-188416047C28}" uniqueName="76" name="At home during your last menstrual period… [When at home, were you worried that someone would harm you while you were changing your menstrual materials?]" queryTableFieldId="76" dataDxfId="176"/>
    <tableColumn id="77" xr3:uid="{6DB51C41-655E-4554-9603-0DE1A9716BC6}" uniqueName="77" name="At home during your last menstrual period… [When at home, were you worried that something else would harm you while you were changing your menstrual materials (e.g., animals, insects, unsafe structure)]" queryTableFieldId="77" dataDxfId="175"/>
    <tableColumn id="78" xr3:uid="{2F9515C6-E4F3-404F-BF2F-B48C45383988}" uniqueName="78" name="At university [work/away from home] during your last menstrual period… [When at university, were you able to change your menstrual materials when you wanted to?]" queryTableFieldId="78" dataDxfId="174"/>
    <tableColumn id="79" xr3:uid="{0AD8DCA8-E035-4821-9F71-80D5595CA744}" uniqueName="79" name="At university [work/away from home] during your last menstrual period… [When at university, were you satisfied with the place you used to change your menstrual materials?]" queryTableFieldId="79" dataDxfId="173"/>
    <tableColumn id="80" xr3:uid="{4A72AE1D-8B17-4E9F-B13D-1E073E1FCB06}" uniqueName="80" name="At university [work/away from home] during your last menstrual period… [When at university, did you have a clean place to change your menstrual materials?]" queryTableFieldId="80" dataDxfId="172"/>
    <tableColumn id="81" xr3:uid="{F8C678AB-D804-4399-A146-D1AE283C5469}" uniqueName="81" name="At university [work/away from home] during your last menstrual period… [When at university, were you worried that you would not be able to change your menstrual materials when you needed to?]" queryTableFieldId="81" dataDxfId="171"/>
    <tableColumn id="82" xr3:uid="{91F954AB-9597-4AC0-A0EB-B5203933E854}" uniqueName="82" name="At university [work/away from home] during your last menstrual period… [When at university, were you worried that someone would see you while you were changing your menstrual materials?]" queryTableFieldId="82" dataDxfId="170"/>
    <tableColumn id="83" xr3:uid="{AF17FCF9-FC45-4294-A774-8466341D7599}" uniqueName="83" name="At university [work/away from home] during your last menstrual period… [When at university, were you worried that someone would harm you while you were changing your menstrual materials?]" queryTableFieldId="83" dataDxfId="169"/>
    <tableColumn id="84" xr3:uid="{7AA17A6E-915F-45DE-80CE-FC8465D5C819}" uniqueName="84" name="If you washed and reused any materials during your last period, please answer these items._x000a_During your last menstrual period… [Did you have enough water to soak or wash your menstrual material?]" queryTableFieldId="84" dataDxfId="168"/>
    <tableColumn id="85" xr3:uid="{213E7FFA-6DB6-491E-9E89-2764A248C27E}" uniqueName="85" name="If you washed and reused any materials during your last period, please answer these items._x000a_During your last menstrual period… [Did you have access to a basin to soak or wash your menstrual materials whenever you needed it?]" queryTableFieldId="85" dataDxfId="167"/>
    <tableColumn id="86" xr3:uid="{EAF3EE4A-3B1A-4B54-99D7-AEABCB81BB78}" uniqueName="86" name="If you washed and reused any materials during your last period, please answer these items._x000a_During your last menstrual period… [Were you able to wash your menstrual materials when you wanted to?]" queryTableFieldId="86" dataDxfId="166"/>
    <tableColumn id="87" xr3:uid="{F70B6E9C-59D5-494E-B4BE-7B64ADE6C52F}" uniqueName="87" name="If you washed and reused any materials during your last period, please answer these items._x000a_During your last menstrual period… [Did you have enough soap to wash your menstrual materials?]" queryTableFieldId="87" dataDxfId="165"/>
    <tableColumn id="88" xr3:uid="{696678DD-BDE7-4E4F-9963-91F873718AD1}" uniqueName="88" name="If you washed and reused any materials during your last period, please answer these items._x000a_During your last menstrual period… [Were you able to dry your materials when you wanted to?]" queryTableFieldId="88" dataDxfId="164"/>
    <tableColumn id="89" xr3:uid="{ED6CB655-9E07-4300-83BB-85D2A1F70919}" uniqueName="89" name="If you washed and reused any materials during your last period, please answer these items._x000a_During your last menstrual period… [Were you worried that someone would see you while you were washing your menstrual materials?]" queryTableFieldId="89" dataDxfId="163"/>
    <tableColumn id="90" xr3:uid="{4F7CC55D-6845-4DF2-A5AC-CCE8B9B8CD27}" uniqueName="90" name="If you washed and reused any materials during your last period, please answer these items._x000a_During your last menstrual period… [Were you worried that your menstrual materials would not be dry when you needed them?]" queryTableFieldId="90" dataDxfId="162"/>
    <tableColumn id="91" xr3:uid="{E79B95EB-8DA9-4E52-A02B-466189F9100D}" uniqueName="91" name="If you washed and reused any materials during your last period, please answer these items._x000a_During your last menstrual period… [Were you worried that others would see your menstrual materials while they were drying?]" queryTableFieldId="91" dataDxfId="16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81A334-BB68-4412-8D2C-834BC2974436}" name="Table4" displayName="Table4" ref="A1:AD626" totalsRowShown="0" headerRowDxfId="160" dataDxfId="159">
  <autoFilter ref="A1:AD626" xr:uid="{5681A334-BB68-4412-8D2C-834BC2974436}"/>
  <sortState xmlns:xlrd2="http://schemas.microsoft.com/office/spreadsheetml/2017/richdata2" ref="A2:AD626">
    <sortCondition descending="1" ref="AC1:AC626"/>
  </sortState>
  <tableColumns count="30">
    <tableColumn id="1" xr3:uid="{96E3AF36-B7D9-424B-8A32-A361FBC03755}" name="Age" dataDxfId="158"/>
    <tableColumn id="2" xr3:uid="{9F14CB25-41B3-4F61-83F1-BFAC32036C34}" name="Religion" dataDxfId="157"/>
    <tableColumn id="3" xr3:uid="{80048991-EF67-4ED5-A8EC-ED83F00EE2AD}" name="Educational_Level" dataDxfId="156"/>
    <tableColumn id="4" xr3:uid="{2A268D4C-614F-4FAA-AAE7-75E39BF52FCE}" name="Residency" dataDxfId="155"/>
    <tableColumn id="5" xr3:uid="{33788DE6-4297-4B7A-BDC4-18559D884BCA}" name="Permanent_Residence" dataDxfId="154"/>
    <tableColumn id="6" xr3:uid="{A8011B38-DA14-47B1-A5B1-F41A3F6570D8}" name="Fathers_Educational_Status" dataDxfId="153"/>
    <tableColumn id="7" xr3:uid="{D5012A58-6086-4A85-BFE4-4E4E665B4EFF}" name="Fathers_Occupation" dataDxfId="152"/>
    <tableColumn id="8" xr3:uid="{9EFCB5A3-3067-40C4-B759-FDC1680B5003}" name="Mothers_Educational_Status" dataDxfId="151"/>
    <tableColumn id="9" xr3:uid="{E85BC40B-C1EB-4461-9215-9D90708B6DEF}" name="Mothers_Occupation" dataDxfId="150"/>
    <tableColumn id="10" xr3:uid="{550E8B24-DAE3-43D3-97FA-16B582E32CCA}" name="Family_Structure" dataDxfId="149"/>
    <tableColumn id="11" xr3:uid="{DD55123E-C189-43BD-87E9-BC26EAF4D317}" name="Monthly_Family_Income" dataDxfId="148"/>
    <tableColumn id="12" xr3:uid="{A77278CA-CEE3-458A-89DB-71032DB70645}" name="M1" dataDxfId="147"/>
    <tableColumn id="13" xr3:uid="{321BEACC-F882-47F5-872A-EA14507A6D65}" name="M2" dataDxfId="146"/>
    <tableColumn id="14" xr3:uid="{F70D97C9-2AC8-487D-9550-3BD1C1AF1D49}" name="M3" dataDxfId="145"/>
    <tableColumn id="15" xr3:uid="{89858AB6-3BCA-4DB6-A480-0791F3ADF48C}" name="M4" dataDxfId="144"/>
    <tableColumn id="16" xr3:uid="{15633EA0-3F27-4A88-9FC4-03E85D0D6188}" name="M5" dataDxfId="143"/>
    <tableColumn id="17" xr3:uid="{0BFA171E-4070-4C2F-9689-94E02739FF84}" name="M6" dataDxfId="142"/>
    <tableColumn id="18" xr3:uid="{01026813-B40A-4C2D-AB44-746FFFCE6432}" name="M7" dataDxfId="141"/>
    <tableColumn id="19" xr3:uid="{CE0E9D95-08AC-49D1-86C7-6A269D5B0068}" name="M10" dataDxfId="140"/>
    <tableColumn id="20" xr3:uid="{3724F8FD-E414-42A9-8276-4CBA6B090569}" name="M11" dataDxfId="139"/>
    <tableColumn id="21" xr3:uid="{B094F0CE-7275-4F09-AF86-402FA0B3289F}" name="M12" dataDxfId="138"/>
    <tableColumn id="22" xr3:uid="{955F9A8A-65CE-4A34-AF9B-DF904C1B5083}" name="M13" dataDxfId="137"/>
    <tableColumn id="23" xr3:uid="{8B69758C-5BDF-4530-AB73-9C28BB0F6764}" name="Menstrual_material" dataDxfId="136"/>
    <tableColumn id="59" xr3:uid="{FC3B440F-25CE-4A20-AB55-E7E203BC659A}" name="MHN" dataDxfId="135"/>
    <tableColumn id="60" xr3:uid="{0B02FAB1-A81E-476D-9294-25200126D460}" name="TSN" dataDxfId="134"/>
    <tableColumn id="61" xr3:uid="{FAAB9FCC-4E61-4A81-8BDD-C071D7E8B443}" name="MRC" dataDxfId="133"/>
    <tableColumn id="62" xr3:uid="{EDDE09E6-AF6B-4664-97B2-FCACE2F61A5B}" name="CDI" dataDxfId="132"/>
    <tableColumn id="63" xr3:uid="{94FACD49-C44E-40B3-915C-8721C4FF38F5}" name="RN" dataDxfId="131"/>
    <tableColumn id="64" xr3:uid="{3542CC1C-5C4B-49B7-BB5F-D96C6DB11209}" name="RI" dataDxfId="130"/>
    <tableColumn id="65" xr3:uid="{A6C3C0E0-6D4F-4EEF-84A6-81F6106D3B89}" name="Overall" dataDxfId="1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8F9C4-F519-44D7-8866-859C8ED8E38F}" name="data__22" displayName="data__22" ref="A1:BL626" tableType="queryTable" totalsRowShown="0" headerRowDxfId="128" dataDxfId="127">
  <autoFilter ref="A1:BL626" xr:uid="{97182B84-C8A7-4359-9B38-F2766CD2ED6D}"/>
  <tableColumns count="64">
    <tableColumn id="4" xr3:uid="{2DCC7351-52AE-4B9B-B4BB-02D1EFD56411}" uniqueName="4" name="Age" queryTableFieldId="4" dataDxfId="126" totalsRowDxfId="125" dataCellStyle="60% - Accent2"/>
    <tableColumn id="5" xr3:uid="{92958750-50AF-4F3E-9CD6-A72668BBD912}" uniqueName="5" name="Religion" queryTableFieldId="5" dataDxfId="124" totalsRowDxfId="123" dataCellStyle="60% - Accent2"/>
    <tableColumn id="6" xr3:uid="{8CB11E35-2013-4A14-A730-C20ECED9E345}" uniqueName="6" name="Educational_Level" queryTableFieldId="6" dataDxfId="122" totalsRowDxfId="121" dataCellStyle="60% - Accent2"/>
    <tableColumn id="7" xr3:uid="{311F3248-B467-4E29-88C2-94C73983F1B6}" uniqueName="7" name="Residency" queryTableFieldId="7" dataDxfId="120" totalsRowDxfId="119" dataCellStyle="60% - Accent2"/>
    <tableColumn id="8" xr3:uid="{F091B203-F3C8-4C8B-B087-DAA939C1C551}" uniqueName="8" name="Permanent_Residence" queryTableFieldId="8" dataDxfId="118" totalsRowDxfId="117" dataCellStyle="60% - Accent2"/>
    <tableColumn id="9" xr3:uid="{950D882D-84EA-4F04-941C-602CDCFD26FB}" uniqueName="9" name="Fathers_Educational_Status" queryTableFieldId="9" dataDxfId="116" totalsRowDxfId="115" dataCellStyle="60% - Accent2"/>
    <tableColumn id="10" xr3:uid="{0081B286-B8DF-4ED2-8299-99C302694030}" uniqueName="10" name="Fathers_Occupation" queryTableFieldId="10" dataDxfId="114" totalsRowDxfId="113" dataCellStyle="60% - Accent2"/>
    <tableColumn id="11" xr3:uid="{57CC82A5-5923-42EC-9BE6-11D4BE1721AE}" uniqueName="11" name="Mothers_Educational_Status" queryTableFieldId="11" dataDxfId="112" totalsRowDxfId="111" dataCellStyle="60% - Accent2"/>
    <tableColumn id="12" xr3:uid="{25BF9FDE-904E-447C-8D73-95228BAC4CD1}" uniqueName="12" name="Mothers_Occupation" queryTableFieldId="12" dataDxfId="110" totalsRowDxfId="109" dataCellStyle="60% - Accent2"/>
    <tableColumn id="13" xr3:uid="{5E13F697-3D0B-4359-B2A2-B2E6238B9BAB}" uniqueName="13" name="Family_Structure" queryTableFieldId="13" dataDxfId="108" totalsRowDxfId="107" dataCellStyle="60% - Accent2"/>
    <tableColumn id="14" xr3:uid="{D633CA15-1879-43F5-AE22-9553800C6D38}" uniqueName="14" name="Monthly_Family_Income" queryTableFieldId="14" dataDxfId="106" totalsRowDxfId="105" dataCellStyle="60% - Accent2"/>
    <tableColumn id="15" xr3:uid="{04F72B16-CBDB-497D-BA91-0DBE965E790A}" uniqueName="15" name="M1" queryTableFieldId="15" dataDxfId="104" totalsRowDxfId="103" dataCellStyle="60% - Accent4"/>
    <tableColumn id="16" xr3:uid="{C3C67963-7393-417A-AA2F-A7A0047A0653}" uniqueName="16" name="M2" queryTableFieldId="16" dataDxfId="102" totalsRowDxfId="101" dataCellStyle="60% - Accent4"/>
    <tableColumn id="17" xr3:uid="{11AE4BD3-169E-42BE-89A5-91F6FD6EE705}" uniqueName="17" name="M3" queryTableFieldId="17" dataDxfId="100" totalsRowDxfId="99" dataCellStyle="60% - Accent4"/>
    <tableColumn id="18" xr3:uid="{B92CE52E-14A4-413A-B828-FB6E5CB361AE}" uniqueName="18" name="M4" queryTableFieldId="18" dataDxfId="98" totalsRowDxfId="97" dataCellStyle="60% - Accent4"/>
    <tableColumn id="19" xr3:uid="{CEC3D6CD-7EC4-4195-87DF-9892A4597833}" uniqueName="19" name="M5" queryTableFieldId="19" dataDxfId="96" totalsRowDxfId="95" dataCellStyle="60% - Accent4"/>
    <tableColumn id="20" xr3:uid="{C50781CC-E87F-41C6-A95F-652659A5D39B}" uniqueName="20" name="M6" queryTableFieldId="20" dataDxfId="94" totalsRowDxfId="93" dataCellStyle="60% - Accent4"/>
    <tableColumn id="21" xr3:uid="{957C1618-EA97-450C-8979-10508AE6DA27}" uniqueName="21" name="M7" queryTableFieldId="21" dataDxfId="92" totalsRowDxfId="91" dataCellStyle="60% - Accent4"/>
    <tableColumn id="24" xr3:uid="{4ABC9F6F-D498-4C6A-823E-BE20F3D58102}" uniqueName="24" name="M10" queryTableFieldId="24" dataDxfId="90" totalsRowDxfId="89" dataCellStyle="60% - Accent4"/>
    <tableColumn id="25" xr3:uid="{8C9DC629-FFDF-4258-B61D-CA9389A95A4E}" uniqueName="25" name="M11" queryTableFieldId="25" dataDxfId="88" totalsRowDxfId="87" dataCellStyle="60% - Accent4"/>
    <tableColumn id="26" xr3:uid="{EF5E6E40-C0DF-461D-901B-0AC6CEB430CC}" uniqueName="26" name="M12" queryTableFieldId="26" dataDxfId="86" totalsRowDxfId="85" dataCellStyle="60% - Accent4"/>
    <tableColumn id="27" xr3:uid="{7B02E58C-81CE-4E0F-92C1-6C2D7F4E7176}" uniqueName="27" name="M13" queryTableFieldId="27" dataDxfId="84" totalsRowDxfId="83" dataCellStyle="60% - Accent4"/>
    <tableColumn id="56" xr3:uid="{E52DE8F3-397F-4172-89E9-5BB3B614DDA8}" uniqueName="56" name="N1" queryTableFieldId="56" dataDxfId="82" totalsRowDxfId="81" dataCellStyle="40% - Accent6"/>
    <tableColumn id="57" xr3:uid="{5DF87C55-3C00-4A6E-B4B5-B5011DEE952C}" uniqueName="57" name="N2" queryTableFieldId="57" dataDxfId="80" totalsRowDxfId="79" dataCellStyle="40% - Accent6"/>
    <tableColumn id="58" xr3:uid="{8C3225C7-4C0A-4C63-8E96-662C159A1583}" uniqueName="58" name="N3" queryTableFieldId="58" dataDxfId="78" totalsRowDxfId="77" dataCellStyle="40% - Accent6"/>
    <tableColumn id="59" xr3:uid="{7FA42E2B-4374-471B-8017-73420B7E5B03}" uniqueName="59" name="N4" queryTableFieldId="59" dataDxfId="76" totalsRowDxfId="75" dataCellStyle="40% - Accent6"/>
    <tableColumn id="60" xr3:uid="{B6546BD1-0DAC-41C4-95E1-589FD6350A6E}" uniqueName="60" name="N5" queryTableFieldId="60" dataDxfId="74" totalsRowDxfId="73" dataCellStyle="40% - Accent6"/>
    <tableColumn id="61" xr3:uid="{BA642E19-765E-4F6E-ACD9-A953C005735B}" uniqueName="61" name="N6" queryTableFieldId="61" dataDxfId="72" totalsRowDxfId="71" dataCellStyle="40% - Accent6"/>
    <tableColumn id="62" xr3:uid="{CE8AD900-58F0-44F6-AFF4-BB6C9B89003B}" uniqueName="62" name="N7" queryTableFieldId="62" dataDxfId="70" totalsRowDxfId="69" dataCellStyle="40% - Accent6"/>
    <tableColumn id="63" xr3:uid="{9CD47F00-0F65-4B8E-8FA2-CFC24A8D50A8}" uniqueName="63" name="N8" queryTableFieldId="63" dataDxfId="68" totalsRowDxfId="67" dataCellStyle="40% - Accent6"/>
    <tableColumn id="64" xr3:uid="{255EF679-C80F-4853-B508-F0251DE7C29F}" uniqueName="64" name="N9" queryTableFieldId="64" dataDxfId="66" totalsRowDxfId="65" dataCellStyle="40% - Accent6"/>
    <tableColumn id="65" xr3:uid="{E99BFFFB-E7FE-45E7-B045-30B855AAD3A2}" uniqueName="65" name="N10" queryTableFieldId="65" dataDxfId="64" totalsRowDxfId="63" dataCellStyle="40% - Accent6"/>
    <tableColumn id="66" xr3:uid="{F431BC9C-656D-4F98-A2D3-29AC2C0714A4}" uniqueName="66" name="N11" queryTableFieldId="66" dataDxfId="62" totalsRowDxfId="61" dataCellStyle="40% - Accent6"/>
    <tableColumn id="67" xr3:uid="{4C04EE55-CCEA-43EA-B126-A127162F94BA}" uniqueName="67" name="N12" queryTableFieldId="67" dataDxfId="60" totalsRowDxfId="59" dataCellStyle="40% - Accent6"/>
    <tableColumn id="68" xr3:uid="{3E7E36C1-72BA-43F8-A8B0-A3CCBC06C9C8}" uniqueName="68" name="N13" queryTableFieldId="68" dataDxfId="58" totalsRowDxfId="57" dataCellStyle="40% - Accent6"/>
    <tableColumn id="69" xr3:uid="{E6B80C2F-F537-467C-8D8A-D5B36684AC0F}" uniqueName="69" name="N14" queryTableFieldId="69" dataDxfId="56" totalsRowDxfId="55" dataCellStyle="40% - Accent6"/>
    <tableColumn id="70" xr3:uid="{C578CB0A-AE9C-41A8-8803-6B391A15303F}" uniqueName="70" name="N15" queryTableFieldId="70" dataDxfId="54" totalsRowDxfId="53" dataCellStyle="40% - Accent6"/>
    <tableColumn id="71" xr3:uid="{7E7986B4-1922-4E8D-8B8D-141CF636B1D7}" uniqueName="71" name="N16" queryTableFieldId="71" dataDxfId="52" totalsRowDxfId="51" dataCellStyle="60% - Accent5"/>
    <tableColumn id="72" xr3:uid="{0ED7F2E3-A6C5-4419-9AAB-A157E062B5F0}" uniqueName="72" name="N17" queryTableFieldId="72" dataDxfId="50" totalsRowDxfId="49" dataCellStyle="60% - Accent5"/>
    <tableColumn id="73" xr3:uid="{D696A3AD-A13E-4594-AC2D-3BF8D618BF40}" uniqueName="73" name="N18" queryTableFieldId="73" dataDxfId="48" totalsRowDxfId="47" dataCellStyle="60% - Accent5"/>
    <tableColumn id="74" xr3:uid="{DB7945BF-D695-4B61-91C0-BC5EA0BF5E01}" uniqueName="74" name="N19" queryTableFieldId="74" dataDxfId="46" totalsRowDxfId="45" dataCellStyle="60% - Accent5"/>
    <tableColumn id="75" xr3:uid="{C3E09D89-0AA9-420D-826A-D449E82053A5}" uniqueName="75" name="N20" queryTableFieldId="75" dataDxfId="44" totalsRowDxfId="43" dataCellStyle="60% - Accent5"/>
    <tableColumn id="76" xr3:uid="{56573630-BB9C-4AA5-A49C-5645129B2BAD}" uniqueName="76" name="N21" queryTableFieldId="76" dataDxfId="42" totalsRowDxfId="41" dataCellStyle="60% - Accent5"/>
    <tableColumn id="77" xr3:uid="{9B020B0D-B94B-4010-92ED-2661EC89EBE0}" uniqueName="77" name="N22" queryTableFieldId="77" dataDxfId="40" totalsRowDxfId="39" dataCellStyle="60% - Accent5"/>
    <tableColumn id="78" xr3:uid="{7960372E-B8F2-46CF-BBA3-68CC1BE22CFA}" uniqueName="78" name="N23" queryTableFieldId="78" dataDxfId="38" totalsRowDxfId="37" dataCellStyle="40% - Accent4"/>
    <tableColumn id="79" xr3:uid="{885F3E10-5939-47C2-9C2F-AC373A3D0E4B}" uniqueName="79" name="N24" queryTableFieldId="79" dataDxfId="36" totalsRowDxfId="35" dataCellStyle="40% - Accent4"/>
    <tableColumn id="80" xr3:uid="{94992B56-7E16-4338-88BA-E895CE7E3F6F}" uniqueName="80" name="N25" queryTableFieldId="80" dataDxfId="34" totalsRowDxfId="33" dataCellStyle="40% - Accent4"/>
    <tableColumn id="81" xr3:uid="{399E3F72-2A06-4D1C-B344-1FE7BFDB33FF}" uniqueName="81" name="N26" queryTableFieldId="81" dataDxfId="32" totalsRowDxfId="31" dataCellStyle="40% - Accent4"/>
    <tableColumn id="82" xr3:uid="{1FF47F29-9A08-4906-B9EA-51F5F5AA122C}" uniqueName="82" name="N27" queryTableFieldId="82" dataDxfId="30" totalsRowDxfId="29" dataCellStyle="40% - Accent4"/>
    <tableColumn id="83" xr3:uid="{D2271794-CEFB-4362-8E58-366824FE943D}" uniqueName="83" name="N28" queryTableFieldId="83" dataDxfId="28" totalsRowDxfId="27" dataCellStyle="40% - Accent4"/>
    <tableColumn id="84" xr3:uid="{0A099E80-CA0B-44A2-87D4-3EF4FF2EF6D3}" uniqueName="84" name="N29" queryTableFieldId="84" dataDxfId="26" totalsRowDxfId="25" dataCellStyle="60% - Accent2"/>
    <tableColumn id="85" xr3:uid="{134ECE75-9DAF-477F-9ED6-834BE7F8FAAC}" uniqueName="85" name="N30" queryTableFieldId="85" dataDxfId="24" totalsRowDxfId="23" dataCellStyle="60% - Accent2"/>
    <tableColumn id="86" xr3:uid="{09E6033F-8005-40E1-A309-185E66B3EBE8}" uniqueName="86" name="N31" queryTableFieldId="86" dataDxfId="22" totalsRowDxfId="21" dataCellStyle="60% - Accent2"/>
    <tableColumn id="87" xr3:uid="{3F58BDA7-BEE1-4F80-B279-A4E55DDCA287}" uniqueName="87" name="N32" queryTableFieldId="87" dataDxfId="20" totalsRowDxfId="19" dataCellStyle="60% - Accent2"/>
    <tableColumn id="88" xr3:uid="{368E355C-CA79-4C76-9A20-D0F4605BB39F}" uniqueName="88" name="N33" queryTableFieldId="88" dataDxfId="18" totalsRowDxfId="17" dataCellStyle="60% - Accent2"/>
    <tableColumn id="89" xr3:uid="{49F3CCC7-FC60-4317-805E-49DD047F111F}" uniqueName="89" name="N34" queryTableFieldId="89" dataDxfId="16" totalsRowDxfId="15" dataCellStyle="60% - Accent2"/>
    <tableColumn id="90" xr3:uid="{0274A3C6-4CE6-444F-B0F8-7A40FB2F5FCF}" uniqueName="90" name="N35" queryTableFieldId="90" dataDxfId="14" totalsRowDxfId="13" dataCellStyle="60% - Accent2"/>
    <tableColumn id="91" xr3:uid="{8CDD2AF4-BEBB-4964-A954-D899F73B7DB7}" uniqueName="91" name="N36" queryTableFieldId="91" dataDxfId="12" totalsRowDxfId="11" dataCellStyle="60% - Accent2"/>
    <tableColumn id="1" xr3:uid="{CC23E568-BE1E-47FA-84D3-BE2A81A939EF}" uniqueName="1" name="MHN" queryTableFieldId="92" dataDxfId="10" totalsRowDxfId="9" dataCellStyle="Normal">
      <calculatedColumnFormula>SUM(data__22[[#This Row],[N1]:[N4]],data__22[[#This Row],[N10]:[N13]],data__22[[#This Row],[N16]:[N18]])/11</calculatedColumnFormula>
    </tableColumn>
    <tableColumn id="2" xr3:uid="{21F5E23F-E7C7-4425-AEC9-800B75FA3A0B}" uniqueName="2" name="TSN" queryTableFieldId="93" dataDxfId="8" dataCellStyle="Normal">
      <calculatedColumnFormula>SUM(data__22[[#This Row],[N8]:[N9]],data__22[[#This Row],[N23]:[N25]])/5</calculatedColumnFormula>
    </tableColumn>
    <tableColumn id="3" xr3:uid="{16B55354-320D-44DB-9770-BF4CA870935E}" uniqueName="3" name="MRC" queryTableFieldId="94" dataDxfId="7" totalsRowDxfId="6" dataCellStyle="Normal">
      <calculatedColumnFormula>SUM(data__22[[#This Row],[N5]:[N7]])/3</calculatedColumnFormula>
    </tableColumn>
    <tableColumn id="92" xr3:uid="{5847FC98-C308-4FFC-AB5C-B92AA89D1E97}" uniqueName="92" name="CDI" queryTableFieldId="95" dataDxfId="5" totalsRowDxfId="4" dataCellStyle="Normal">
      <calculatedColumnFormula>SUM(data__22[[#This Row],[N14]:[N15]],data__22[[#This Row],[N19]:[N22]],data__22[[#This Row],[N26]:[N28]])/9</calculatedColumnFormula>
    </tableColumn>
    <tableColumn id="93" xr3:uid="{C705AE40-2723-4496-AA10-AD62626372BC}" uniqueName="93" name="RN" queryTableFieldId="96" dataDxfId="3" totalsRowDxfId="2" dataCellStyle="Normal">
      <calculatedColumnFormula>SUM(data__22[[#This Row],[N29]:[N33]])/5</calculatedColumnFormula>
    </tableColumn>
    <tableColumn id="94" xr3:uid="{26C93015-372F-476B-A36B-07757EA22C1B}" uniqueName="94" name="RI" queryTableFieldId="97" dataDxfId="1" totalsRowDxfId="0" dataCellStyle="Normal">
      <calculatedColumnFormula>SUM(data__22[[#This Row],[N34]:[N36]])/3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AECC-0CF0-49CE-8228-8C5229DFAC73}">
  <dimension ref="A1:BH626"/>
  <sheetViews>
    <sheetView topLeftCell="S2" workbookViewId="0">
      <selection activeCell="S2" sqref="S2:S626"/>
    </sheetView>
  </sheetViews>
  <sheetFormatPr defaultRowHeight="14.4" x14ac:dyDescent="0.3"/>
  <cols>
    <col min="1" max="1" width="14.77734375" bestFit="1" customWidth="1"/>
    <col min="2" max="2" width="9.88671875" bestFit="1" customWidth="1"/>
    <col min="3" max="3" width="18" bestFit="1" customWidth="1"/>
    <col min="4" max="4" width="18.6640625" bestFit="1" customWidth="1"/>
    <col min="5" max="5" width="21.21875" bestFit="1" customWidth="1"/>
    <col min="6" max="6" width="26" bestFit="1" customWidth="1"/>
    <col min="7" max="7" width="24" bestFit="1" customWidth="1"/>
    <col min="8" max="8" width="26.88671875" bestFit="1" customWidth="1"/>
    <col min="9" max="9" width="24" bestFit="1" customWidth="1"/>
    <col min="10" max="10" width="16.77734375" bestFit="1" customWidth="1"/>
    <col min="11" max="11" width="35.44140625" bestFit="1" customWidth="1"/>
    <col min="12" max="12" width="80.88671875" bestFit="1" customWidth="1"/>
    <col min="13" max="13" width="65.44140625" bestFit="1" customWidth="1"/>
    <col min="14" max="14" width="80.88671875" bestFit="1" customWidth="1"/>
    <col min="15" max="15" width="53.44140625" bestFit="1" customWidth="1"/>
    <col min="16" max="16" width="77" bestFit="1" customWidth="1"/>
    <col min="17" max="17" width="50.6640625" bestFit="1" customWidth="1"/>
    <col min="18" max="18" width="63.21875" bestFit="1" customWidth="1"/>
    <col min="19" max="19" width="80.88671875" bestFit="1" customWidth="1"/>
    <col min="20" max="20" width="78.109375" bestFit="1" customWidth="1"/>
    <col min="21" max="21" width="66.21875" bestFit="1" customWidth="1"/>
    <col min="22" max="22" width="66.109375" bestFit="1" customWidth="1"/>
    <col min="23" max="23" width="45.88671875" bestFit="1" customWidth="1"/>
    <col min="24" max="24" width="33.21875" customWidth="1"/>
    <col min="25" max="25" width="24.21875" customWidth="1"/>
    <col min="26" max="26" width="16.77734375" customWidth="1"/>
    <col min="27" max="27" width="17.88671875" customWidth="1"/>
    <col min="28" max="60" width="80.8867187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</row>
    <row r="2" spans="1:60" x14ac:dyDescent="0.3">
      <c r="A2">
        <v>24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74</v>
      </c>
      <c r="I2" t="s">
        <v>76</v>
      </c>
      <c r="J2" t="s">
        <v>77</v>
      </c>
      <c r="K2" t="s">
        <v>78</v>
      </c>
      <c r="L2" t="s">
        <v>79</v>
      </c>
      <c r="M2" t="s">
        <v>80</v>
      </c>
      <c r="N2" t="s">
        <v>79</v>
      </c>
      <c r="O2" t="s">
        <v>81</v>
      </c>
      <c r="P2" t="s">
        <v>82</v>
      </c>
      <c r="Q2" t="s">
        <v>83</v>
      </c>
      <c r="R2" t="s">
        <v>82</v>
      </c>
      <c r="S2" t="s">
        <v>84</v>
      </c>
      <c r="T2" t="s">
        <v>85</v>
      </c>
      <c r="U2" t="s">
        <v>82</v>
      </c>
      <c r="V2" t="s">
        <v>86</v>
      </c>
      <c r="W2" t="s">
        <v>87</v>
      </c>
      <c r="X2" t="s">
        <v>88</v>
      </c>
      <c r="Y2" t="s">
        <v>92</v>
      </c>
      <c r="Z2" t="s">
        <v>93</v>
      </c>
      <c r="AA2" t="s">
        <v>93</v>
      </c>
      <c r="AB2" t="s">
        <v>93</v>
      </c>
      <c r="AC2" t="s">
        <v>92</v>
      </c>
      <c r="AD2" t="s">
        <v>92</v>
      </c>
      <c r="AE2" t="s">
        <v>92</v>
      </c>
      <c r="AF2" t="s">
        <v>93</v>
      </c>
      <c r="AG2" t="s">
        <v>94</v>
      </c>
      <c r="AH2" t="s">
        <v>93</v>
      </c>
      <c r="AI2" t="s">
        <v>93</v>
      </c>
      <c r="AJ2" t="s">
        <v>93</v>
      </c>
      <c r="AK2" t="s">
        <v>93</v>
      </c>
      <c r="AL2" t="s">
        <v>94</v>
      </c>
      <c r="AM2" t="s">
        <v>94</v>
      </c>
      <c r="AN2" t="s">
        <v>93</v>
      </c>
      <c r="AO2" t="s">
        <v>93</v>
      </c>
      <c r="AP2" t="s">
        <v>93</v>
      </c>
      <c r="AQ2" t="s">
        <v>95</v>
      </c>
      <c r="AR2" t="s">
        <v>95</v>
      </c>
      <c r="AS2" t="s">
        <v>95</v>
      </c>
      <c r="AT2" t="s">
        <v>95</v>
      </c>
      <c r="AU2" t="s">
        <v>92</v>
      </c>
      <c r="AV2" t="s">
        <v>94</v>
      </c>
      <c r="AW2" t="s">
        <v>93</v>
      </c>
      <c r="AX2" t="s">
        <v>92</v>
      </c>
      <c r="AY2" t="s">
        <v>95</v>
      </c>
      <c r="AZ2" t="s">
        <v>95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95</v>
      </c>
      <c r="BG2" t="s">
        <v>95</v>
      </c>
      <c r="BH2" t="s">
        <v>95</v>
      </c>
    </row>
    <row r="3" spans="1:60" x14ac:dyDescent="0.3">
      <c r="A3">
        <v>22</v>
      </c>
      <c r="B3" t="s">
        <v>70</v>
      </c>
      <c r="C3" t="s">
        <v>96</v>
      </c>
      <c r="D3" t="s">
        <v>97</v>
      </c>
      <c r="E3" t="s">
        <v>73</v>
      </c>
      <c r="F3" t="s">
        <v>98</v>
      </c>
      <c r="G3" t="s">
        <v>99</v>
      </c>
      <c r="H3" t="s">
        <v>100</v>
      </c>
      <c r="I3" t="s">
        <v>76</v>
      </c>
      <c r="J3" t="s">
        <v>101</v>
      </c>
      <c r="K3" t="s">
        <v>78</v>
      </c>
      <c r="L3" t="s">
        <v>79</v>
      </c>
      <c r="M3" t="s">
        <v>102</v>
      </c>
      <c r="N3" t="s">
        <v>79</v>
      </c>
      <c r="O3" t="s">
        <v>81</v>
      </c>
      <c r="P3" t="s">
        <v>82</v>
      </c>
      <c r="Q3" t="s">
        <v>103</v>
      </c>
      <c r="R3" t="s">
        <v>79</v>
      </c>
      <c r="S3" t="s">
        <v>104</v>
      </c>
      <c r="T3" t="s">
        <v>105</v>
      </c>
      <c r="U3" t="s">
        <v>82</v>
      </c>
      <c r="V3" t="s">
        <v>106</v>
      </c>
      <c r="W3" t="s">
        <v>87</v>
      </c>
      <c r="X3" t="s">
        <v>88</v>
      </c>
      <c r="Y3" t="s">
        <v>95</v>
      </c>
      <c r="Z3" t="s">
        <v>94</v>
      </c>
      <c r="AA3" t="s">
        <v>94</v>
      </c>
      <c r="AB3" t="s">
        <v>95</v>
      </c>
      <c r="AC3" t="s">
        <v>92</v>
      </c>
      <c r="AD3" t="s">
        <v>92</v>
      </c>
      <c r="AE3" t="s">
        <v>92</v>
      </c>
      <c r="AF3" t="s">
        <v>92</v>
      </c>
      <c r="AG3" t="s">
        <v>92</v>
      </c>
      <c r="AH3" t="s">
        <v>92</v>
      </c>
      <c r="AI3" t="s">
        <v>94</v>
      </c>
      <c r="AJ3" t="s">
        <v>92</v>
      </c>
      <c r="AK3" t="s">
        <v>92</v>
      </c>
      <c r="AL3" t="s">
        <v>92</v>
      </c>
      <c r="AM3" t="s">
        <v>92</v>
      </c>
      <c r="AN3" t="s">
        <v>93</v>
      </c>
      <c r="AO3" t="s">
        <v>93</v>
      </c>
      <c r="AP3" t="s">
        <v>93</v>
      </c>
      <c r="AQ3" t="s">
        <v>95</v>
      </c>
      <c r="AR3" t="s">
        <v>95</v>
      </c>
      <c r="AS3" t="s">
        <v>95</v>
      </c>
      <c r="AT3" t="s">
        <v>95</v>
      </c>
      <c r="AU3" t="s">
        <v>95</v>
      </c>
      <c r="AV3" t="s">
        <v>94</v>
      </c>
      <c r="AW3" t="s">
        <v>92</v>
      </c>
      <c r="AX3" t="s">
        <v>92</v>
      </c>
      <c r="AY3" t="s">
        <v>92</v>
      </c>
      <c r="AZ3" t="s">
        <v>92</v>
      </c>
      <c r="BA3" t="s">
        <v>92</v>
      </c>
      <c r="BB3" t="s">
        <v>92</v>
      </c>
      <c r="BC3" t="s">
        <v>92</v>
      </c>
      <c r="BD3" t="s">
        <v>92</v>
      </c>
      <c r="BE3" t="s">
        <v>92</v>
      </c>
      <c r="BF3" t="s">
        <v>92</v>
      </c>
      <c r="BG3" t="s">
        <v>92</v>
      </c>
      <c r="BH3" t="s">
        <v>92</v>
      </c>
    </row>
    <row r="4" spans="1:60" x14ac:dyDescent="0.3">
      <c r="A4">
        <v>21</v>
      </c>
      <c r="B4" t="s">
        <v>70</v>
      </c>
      <c r="C4" t="s">
        <v>96</v>
      </c>
      <c r="D4" t="s">
        <v>72</v>
      </c>
      <c r="E4" t="s">
        <v>108</v>
      </c>
      <c r="F4" t="s">
        <v>74</v>
      </c>
      <c r="G4" t="s">
        <v>99</v>
      </c>
      <c r="H4" t="s">
        <v>74</v>
      </c>
      <c r="I4" t="s">
        <v>76</v>
      </c>
      <c r="J4" t="s">
        <v>77</v>
      </c>
      <c r="K4" t="s">
        <v>78</v>
      </c>
      <c r="L4" t="s">
        <v>79</v>
      </c>
      <c r="M4" t="s">
        <v>102</v>
      </c>
      <c r="N4" t="s">
        <v>79</v>
      </c>
      <c r="O4" t="s">
        <v>109</v>
      </c>
      <c r="P4" t="s">
        <v>82</v>
      </c>
      <c r="Q4" t="s">
        <v>83</v>
      </c>
      <c r="R4" t="s">
        <v>79</v>
      </c>
      <c r="S4" t="s">
        <v>110</v>
      </c>
      <c r="T4" t="s">
        <v>111</v>
      </c>
      <c r="U4" t="s">
        <v>79</v>
      </c>
      <c r="V4" t="s">
        <v>86</v>
      </c>
      <c r="W4" t="s">
        <v>87</v>
      </c>
      <c r="X4" t="s">
        <v>112</v>
      </c>
      <c r="Y4" t="s">
        <v>95</v>
      </c>
      <c r="Z4" t="s">
        <v>95</v>
      </c>
      <c r="AA4" t="s">
        <v>95</v>
      </c>
      <c r="AB4" t="s">
        <v>94</v>
      </c>
      <c r="AC4" t="s">
        <v>94</v>
      </c>
      <c r="AD4" t="s">
        <v>95</v>
      </c>
      <c r="AE4" t="s">
        <v>94</v>
      </c>
      <c r="AF4" t="s">
        <v>95</v>
      </c>
      <c r="AG4" t="s">
        <v>94</v>
      </c>
      <c r="AH4" t="s">
        <v>95</v>
      </c>
      <c r="AI4" t="s">
        <v>94</v>
      </c>
      <c r="AJ4" t="s">
        <v>95</v>
      </c>
      <c r="AK4" t="s">
        <v>94</v>
      </c>
      <c r="AL4" t="s">
        <v>95</v>
      </c>
      <c r="AM4" t="s">
        <v>94</v>
      </c>
      <c r="AN4" t="s">
        <v>95</v>
      </c>
      <c r="AO4" t="s">
        <v>94</v>
      </c>
      <c r="AP4" t="s">
        <v>95</v>
      </c>
      <c r="AQ4" t="s">
        <v>94</v>
      </c>
      <c r="AR4" t="s">
        <v>95</v>
      </c>
      <c r="AS4" t="s">
        <v>94</v>
      </c>
      <c r="AT4" t="s">
        <v>95</v>
      </c>
      <c r="AU4" t="s">
        <v>95</v>
      </c>
      <c r="AV4" t="s">
        <v>95</v>
      </c>
      <c r="AW4" t="s">
        <v>95</v>
      </c>
      <c r="AX4" t="s">
        <v>95</v>
      </c>
      <c r="AY4" t="s">
        <v>95</v>
      </c>
      <c r="AZ4" t="s">
        <v>95</v>
      </c>
      <c r="BA4" t="s">
        <v>95</v>
      </c>
      <c r="BB4" t="s">
        <v>95</v>
      </c>
      <c r="BC4" t="s">
        <v>95</v>
      </c>
      <c r="BD4" t="s">
        <v>95</v>
      </c>
      <c r="BE4" t="s">
        <v>94</v>
      </c>
      <c r="BF4" t="s">
        <v>95</v>
      </c>
      <c r="BG4" t="s">
        <v>94</v>
      </c>
      <c r="BH4" t="s">
        <v>95</v>
      </c>
    </row>
    <row r="5" spans="1:60" x14ac:dyDescent="0.3">
      <c r="A5">
        <v>24</v>
      </c>
      <c r="B5" t="s">
        <v>70</v>
      </c>
      <c r="C5" t="s">
        <v>113</v>
      </c>
      <c r="D5" t="s">
        <v>97</v>
      </c>
      <c r="E5" t="s">
        <v>114</v>
      </c>
      <c r="F5" t="s">
        <v>74</v>
      </c>
      <c r="G5" t="s">
        <v>115</v>
      </c>
      <c r="H5" t="s">
        <v>74</v>
      </c>
      <c r="I5" t="s">
        <v>116</v>
      </c>
      <c r="J5" t="s">
        <v>77</v>
      </c>
      <c r="K5" t="s">
        <v>78</v>
      </c>
      <c r="L5" t="s">
        <v>79</v>
      </c>
      <c r="M5" t="s">
        <v>80</v>
      </c>
      <c r="N5" t="s">
        <v>79</v>
      </c>
      <c r="O5" t="s">
        <v>117</v>
      </c>
      <c r="P5" t="s">
        <v>79</v>
      </c>
      <c r="Q5" t="s">
        <v>118</v>
      </c>
      <c r="R5" t="s">
        <v>79</v>
      </c>
      <c r="S5" t="s">
        <v>84</v>
      </c>
      <c r="T5" t="s">
        <v>119</v>
      </c>
      <c r="U5" t="s">
        <v>82</v>
      </c>
      <c r="V5" t="s">
        <v>106</v>
      </c>
      <c r="W5" t="s">
        <v>120</v>
      </c>
      <c r="X5" t="s">
        <v>121</v>
      </c>
      <c r="Y5" t="s">
        <v>92</v>
      </c>
      <c r="Z5" t="s">
        <v>92</v>
      </c>
      <c r="AA5" t="s">
        <v>94</v>
      </c>
      <c r="AB5" t="s">
        <v>92</v>
      </c>
      <c r="AC5" t="s">
        <v>94</v>
      </c>
      <c r="AD5" t="s">
        <v>94</v>
      </c>
      <c r="AE5" t="s">
        <v>94</v>
      </c>
      <c r="AF5" t="s">
        <v>93</v>
      </c>
      <c r="AG5" t="s">
        <v>93</v>
      </c>
      <c r="AH5" t="s">
        <v>95</v>
      </c>
      <c r="AI5" t="s">
        <v>93</v>
      </c>
      <c r="AJ5" t="s">
        <v>92</v>
      </c>
      <c r="AK5" t="s">
        <v>92</v>
      </c>
      <c r="AL5" t="s">
        <v>94</v>
      </c>
      <c r="AM5" t="s">
        <v>95</v>
      </c>
      <c r="AN5" t="s">
        <v>93</v>
      </c>
      <c r="AO5" t="s">
        <v>93</v>
      </c>
      <c r="AP5" t="s">
        <v>93</v>
      </c>
      <c r="AQ5" t="s">
        <v>95</v>
      </c>
      <c r="AR5" t="s">
        <v>95</v>
      </c>
      <c r="AS5" t="s">
        <v>95</v>
      </c>
      <c r="AT5" t="s">
        <v>95</v>
      </c>
      <c r="AU5" t="s">
        <v>92</v>
      </c>
      <c r="AV5" t="s">
        <v>92</v>
      </c>
      <c r="AW5" t="s">
        <v>92</v>
      </c>
      <c r="AX5" t="s">
        <v>94</v>
      </c>
      <c r="AY5" t="s">
        <v>95</v>
      </c>
      <c r="AZ5" t="s">
        <v>95</v>
      </c>
      <c r="BA5" t="s">
        <v>94</v>
      </c>
      <c r="BB5" t="s">
        <v>94</v>
      </c>
      <c r="BC5" t="s">
        <v>92</v>
      </c>
      <c r="BD5" t="s">
        <v>92</v>
      </c>
      <c r="BE5" t="s">
        <v>94</v>
      </c>
      <c r="BF5" t="s">
        <v>95</v>
      </c>
      <c r="BG5" t="s">
        <v>95</v>
      </c>
      <c r="BH5" t="s">
        <v>95</v>
      </c>
    </row>
    <row r="6" spans="1:60" x14ac:dyDescent="0.3">
      <c r="A6">
        <v>22</v>
      </c>
      <c r="B6" t="s">
        <v>70</v>
      </c>
      <c r="C6" t="s">
        <v>113</v>
      </c>
      <c r="D6" t="s">
        <v>72</v>
      </c>
      <c r="E6" t="s">
        <v>108</v>
      </c>
      <c r="F6" t="s">
        <v>74</v>
      </c>
      <c r="G6" t="s">
        <v>99</v>
      </c>
      <c r="H6" t="s">
        <v>74</v>
      </c>
      <c r="I6" t="s">
        <v>76</v>
      </c>
      <c r="J6" t="s">
        <v>77</v>
      </c>
      <c r="K6" t="s">
        <v>122</v>
      </c>
      <c r="L6" t="s">
        <v>79</v>
      </c>
      <c r="M6" t="s">
        <v>80</v>
      </c>
      <c r="N6" t="s">
        <v>82</v>
      </c>
      <c r="O6" t="s">
        <v>117</v>
      </c>
      <c r="P6" t="s">
        <v>82</v>
      </c>
      <c r="Q6" t="s">
        <v>83</v>
      </c>
      <c r="R6" t="s">
        <v>82</v>
      </c>
      <c r="S6" t="s">
        <v>123</v>
      </c>
      <c r="T6" t="s">
        <v>124</v>
      </c>
      <c r="U6" t="s">
        <v>82</v>
      </c>
      <c r="V6" t="s">
        <v>106</v>
      </c>
      <c r="W6" t="s">
        <v>87</v>
      </c>
      <c r="X6" t="s">
        <v>112</v>
      </c>
      <c r="Y6" t="s">
        <v>92</v>
      </c>
      <c r="Z6" t="s">
        <v>92</v>
      </c>
      <c r="AA6" t="s">
        <v>93</v>
      </c>
      <c r="AB6" t="s">
        <v>92</v>
      </c>
      <c r="AC6" t="s">
        <v>92</v>
      </c>
      <c r="AD6" t="s">
        <v>92</v>
      </c>
      <c r="AE6" t="s">
        <v>94</v>
      </c>
      <c r="AF6" t="s">
        <v>93</v>
      </c>
      <c r="AG6" t="s">
        <v>92</v>
      </c>
      <c r="AH6" t="s">
        <v>93</v>
      </c>
      <c r="AI6" t="s">
        <v>92</v>
      </c>
      <c r="AJ6" t="s">
        <v>92</v>
      </c>
      <c r="AK6" t="s">
        <v>92</v>
      </c>
      <c r="AL6" t="s">
        <v>92</v>
      </c>
      <c r="AM6" t="s">
        <v>94</v>
      </c>
      <c r="AN6" t="s">
        <v>93</v>
      </c>
      <c r="AO6" t="s">
        <v>92</v>
      </c>
      <c r="AP6" t="s">
        <v>93</v>
      </c>
      <c r="AQ6" t="s">
        <v>95</v>
      </c>
      <c r="AR6" t="s">
        <v>95</v>
      </c>
      <c r="AS6" t="s">
        <v>95</v>
      </c>
      <c r="AT6" t="s">
        <v>95</v>
      </c>
      <c r="AU6" t="s">
        <v>93</v>
      </c>
      <c r="AV6" t="s">
        <v>92</v>
      </c>
      <c r="AW6" t="s">
        <v>92</v>
      </c>
      <c r="AX6" t="s">
        <v>92</v>
      </c>
      <c r="AY6" t="s">
        <v>95</v>
      </c>
      <c r="AZ6" t="s">
        <v>95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95</v>
      </c>
      <c r="BG6" t="s">
        <v>94</v>
      </c>
      <c r="BH6" t="s">
        <v>94</v>
      </c>
    </row>
    <row r="7" spans="1:60" x14ac:dyDescent="0.3">
      <c r="A7">
        <v>22</v>
      </c>
      <c r="B7" t="s">
        <v>70</v>
      </c>
      <c r="C7" t="s">
        <v>113</v>
      </c>
      <c r="D7" t="s">
        <v>97</v>
      </c>
      <c r="E7" t="s">
        <v>73</v>
      </c>
      <c r="F7" t="s">
        <v>98</v>
      </c>
      <c r="G7" t="s">
        <v>99</v>
      </c>
      <c r="H7" t="s">
        <v>98</v>
      </c>
      <c r="I7" t="s">
        <v>76</v>
      </c>
      <c r="J7" t="s">
        <v>77</v>
      </c>
      <c r="K7" t="s">
        <v>125</v>
      </c>
      <c r="L7" t="s">
        <v>79</v>
      </c>
      <c r="M7" t="s">
        <v>80</v>
      </c>
      <c r="N7" t="s">
        <v>79</v>
      </c>
      <c r="O7" t="s">
        <v>109</v>
      </c>
      <c r="P7" t="s">
        <v>79</v>
      </c>
      <c r="Q7" t="s">
        <v>103</v>
      </c>
      <c r="R7" t="s">
        <v>79</v>
      </c>
      <c r="S7" t="s">
        <v>126</v>
      </c>
      <c r="T7" t="s">
        <v>119</v>
      </c>
      <c r="U7" t="s">
        <v>82</v>
      </c>
      <c r="V7" t="s">
        <v>106</v>
      </c>
      <c r="W7" t="s">
        <v>87</v>
      </c>
      <c r="X7" t="s">
        <v>127</v>
      </c>
      <c r="Y7" t="s">
        <v>92</v>
      </c>
      <c r="Z7" t="s">
        <v>93</v>
      </c>
      <c r="AA7" t="s">
        <v>93</v>
      </c>
      <c r="AB7" t="s">
        <v>94</v>
      </c>
      <c r="AC7" t="s">
        <v>93</v>
      </c>
      <c r="AD7" t="s">
        <v>93</v>
      </c>
      <c r="AE7" t="s">
        <v>92</v>
      </c>
      <c r="AF7" t="s">
        <v>93</v>
      </c>
      <c r="AG7" t="s">
        <v>93</v>
      </c>
      <c r="AH7" t="s">
        <v>93</v>
      </c>
      <c r="AI7" t="s">
        <v>92</v>
      </c>
      <c r="AJ7" t="s">
        <v>94</v>
      </c>
      <c r="AK7" t="s">
        <v>94</v>
      </c>
      <c r="AL7" t="s">
        <v>94</v>
      </c>
      <c r="AM7" t="s">
        <v>94</v>
      </c>
      <c r="AN7" t="s">
        <v>93</v>
      </c>
      <c r="AO7" t="s">
        <v>93</v>
      </c>
      <c r="AP7" t="s">
        <v>93</v>
      </c>
      <c r="AQ7" t="s">
        <v>95</v>
      </c>
      <c r="AR7" t="s">
        <v>94</v>
      </c>
      <c r="AS7" t="s">
        <v>95</v>
      </c>
      <c r="AT7" t="s">
        <v>93</v>
      </c>
      <c r="AU7" t="s">
        <v>92</v>
      </c>
      <c r="AV7" t="s">
        <v>94</v>
      </c>
      <c r="AW7" t="s">
        <v>94</v>
      </c>
      <c r="AX7" t="s">
        <v>94</v>
      </c>
      <c r="AY7" t="s">
        <v>95</v>
      </c>
      <c r="AZ7" t="s">
        <v>95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94</v>
      </c>
      <c r="BG7" t="s">
        <v>95</v>
      </c>
      <c r="BH7" t="s">
        <v>93</v>
      </c>
    </row>
    <row r="8" spans="1:60" x14ac:dyDescent="0.3">
      <c r="A8">
        <v>21</v>
      </c>
      <c r="B8" t="s">
        <v>128</v>
      </c>
      <c r="C8" t="s">
        <v>96</v>
      </c>
      <c r="D8" t="s">
        <v>72</v>
      </c>
      <c r="E8" t="s">
        <v>114</v>
      </c>
      <c r="F8" t="s">
        <v>74</v>
      </c>
      <c r="G8" t="s">
        <v>129</v>
      </c>
      <c r="H8" t="s">
        <v>74</v>
      </c>
      <c r="I8" t="s">
        <v>76</v>
      </c>
      <c r="J8" t="s">
        <v>77</v>
      </c>
      <c r="K8" t="s">
        <v>122</v>
      </c>
      <c r="L8" t="s">
        <v>79</v>
      </c>
      <c r="M8" t="s">
        <v>80</v>
      </c>
      <c r="N8" t="s">
        <v>79</v>
      </c>
      <c r="O8" t="s">
        <v>109</v>
      </c>
      <c r="P8" t="s">
        <v>79</v>
      </c>
      <c r="Q8" t="s">
        <v>83</v>
      </c>
      <c r="R8" t="s">
        <v>82</v>
      </c>
      <c r="S8" t="s">
        <v>84</v>
      </c>
      <c r="T8" t="s">
        <v>130</v>
      </c>
      <c r="U8" t="s">
        <v>82</v>
      </c>
      <c r="V8" t="s">
        <v>86</v>
      </c>
      <c r="W8" t="s">
        <v>120</v>
      </c>
      <c r="X8" t="s">
        <v>112</v>
      </c>
      <c r="Y8" t="s">
        <v>94</v>
      </c>
      <c r="Z8" t="s">
        <v>93</v>
      </c>
      <c r="AA8" t="s">
        <v>93</v>
      </c>
      <c r="AB8" t="s">
        <v>93</v>
      </c>
      <c r="AC8" t="s">
        <v>94</v>
      </c>
      <c r="AD8" t="s">
        <v>94</v>
      </c>
      <c r="AE8" t="s">
        <v>94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92</v>
      </c>
      <c r="AM8" t="s">
        <v>92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92</v>
      </c>
      <c r="AV8" t="s">
        <v>92</v>
      </c>
      <c r="AW8" t="s">
        <v>94</v>
      </c>
      <c r="AX8" t="s">
        <v>93</v>
      </c>
      <c r="AY8" t="s">
        <v>93</v>
      </c>
      <c r="AZ8" t="s">
        <v>93</v>
      </c>
      <c r="BA8" t="s">
        <v>92</v>
      </c>
      <c r="BB8" t="s">
        <v>92</v>
      </c>
      <c r="BC8" t="s">
        <v>92</v>
      </c>
      <c r="BD8" t="s">
        <v>92</v>
      </c>
      <c r="BE8" t="s">
        <v>94</v>
      </c>
      <c r="BF8" t="s">
        <v>92</v>
      </c>
      <c r="BG8" t="s">
        <v>92</v>
      </c>
      <c r="BH8" t="s">
        <v>92</v>
      </c>
    </row>
    <row r="9" spans="1:60" x14ac:dyDescent="0.3">
      <c r="A9">
        <v>23</v>
      </c>
      <c r="B9" t="s">
        <v>70</v>
      </c>
      <c r="C9" t="s">
        <v>71</v>
      </c>
      <c r="D9" t="s">
        <v>97</v>
      </c>
      <c r="E9" t="s">
        <v>108</v>
      </c>
      <c r="F9" t="s">
        <v>74</v>
      </c>
      <c r="G9" t="s">
        <v>115</v>
      </c>
      <c r="H9" t="s">
        <v>74</v>
      </c>
      <c r="I9" t="s">
        <v>115</v>
      </c>
      <c r="J9" t="s">
        <v>77</v>
      </c>
      <c r="K9" t="s">
        <v>131</v>
      </c>
      <c r="L9" t="s">
        <v>79</v>
      </c>
      <c r="M9" t="s">
        <v>132</v>
      </c>
      <c r="N9" t="s">
        <v>82</v>
      </c>
      <c r="O9" t="s">
        <v>133</v>
      </c>
      <c r="P9" t="s">
        <v>79</v>
      </c>
      <c r="Q9" t="s">
        <v>83</v>
      </c>
      <c r="R9" t="s">
        <v>82</v>
      </c>
      <c r="S9" t="s">
        <v>84</v>
      </c>
      <c r="T9" t="s">
        <v>82</v>
      </c>
      <c r="U9" t="s">
        <v>82</v>
      </c>
      <c r="V9" t="s">
        <v>106</v>
      </c>
      <c r="W9" t="s">
        <v>87</v>
      </c>
      <c r="X9" t="s">
        <v>134</v>
      </c>
      <c r="Y9" t="s">
        <v>93</v>
      </c>
      <c r="Z9" t="s">
        <v>93</v>
      </c>
      <c r="AA9" t="s">
        <v>93</v>
      </c>
      <c r="AB9" t="s">
        <v>93</v>
      </c>
      <c r="AC9" t="s">
        <v>95</v>
      </c>
      <c r="AD9" t="s">
        <v>94</v>
      </c>
      <c r="AE9" t="s">
        <v>95</v>
      </c>
      <c r="AF9" t="s">
        <v>92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  <c r="AL9" t="s">
        <v>95</v>
      </c>
      <c r="AM9" t="s">
        <v>95</v>
      </c>
      <c r="AN9" t="s">
        <v>93</v>
      </c>
      <c r="AO9" t="s">
        <v>93</v>
      </c>
      <c r="AP9" t="s">
        <v>93</v>
      </c>
      <c r="AQ9" t="s">
        <v>95</v>
      </c>
      <c r="AR9" t="s">
        <v>95</v>
      </c>
      <c r="AS9" t="s">
        <v>95</v>
      </c>
      <c r="AT9" t="s">
        <v>95</v>
      </c>
      <c r="AU9" t="s">
        <v>93</v>
      </c>
      <c r="AV9" t="s">
        <v>93</v>
      </c>
      <c r="AW9" t="s">
        <v>93</v>
      </c>
      <c r="AX9" t="s">
        <v>93</v>
      </c>
      <c r="AY9" t="s">
        <v>95</v>
      </c>
      <c r="AZ9" t="s">
        <v>95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95</v>
      </c>
      <c r="BG9" t="s">
        <v>95</v>
      </c>
      <c r="BH9" t="s">
        <v>95</v>
      </c>
    </row>
    <row r="10" spans="1:60" x14ac:dyDescent="0.3">
      <c r="A10">
        <v>22</v>
      </c>
      <c r="B10" t="s">
        <v>70</v>
      </c>
      <c r="C10" t="s">
        <v>71</v>
      </c>
      <c r="D10" t="s">
        <v>97</v>
      </c>
      <c r="E10" t="s">
        <v>108</v>
      </c>
      <c r="F10" t="s">
        <v>74</v>
      </c>
      <c r="G10" t="s">
        <v>135</v>
      </c>
      <c r="H10" t="s">
        <v>136</v>
      </c>
      <c r="I10" t="s">
        <v>76</v>
      </c>
      <c r="J10" t="s">
        <v>77</v>
      </c>
      <c r="K10" t="s">
        <v>131</v>
      </c>
      <c r="L10" t="s">
        <v>79</v>
      </c>
      <c r="M10" t="s">
        <v>80</v>
      </c>
      <c r="N10" t="s">
        <v>79</v>
      </c>
      <c r="O10" t="s">
        <v>133</v>
      </c>
      <c r="P10" t="s">
        <v>82</v>
      </c>
      <c r="Q10" t="s">
        <v>103</v>
      </c>
      <c r="R10" t="s">
        <v>79</v>
      </c>
      <c r="S10" t="s">
        <v>137</v>
      </c>
      <c r="T10" t="s">
        <v>105</v>
      </c>
      <c r="U10" t="s">
        <v>82</v>
      </c>
      <c r="V10" t="s">
        <v>86</v>
      </c>
      <c r="W10" t="s">
        <v>120</v>
      </c>
      <c r="Y10" t="s">
        <v>93</v>
      </c>
      <c r="Z10" t="s">
        <v>93</v>
      </c>
      <c r="AA10" t="s">
        <v>93</v>
      </c>
      <c r="AB10" t="s">
        <v>93</v>
      </c>
      <c r="AC10" t="s">
        <v>92</v>
      </c>
      <c r="AD10" t="s">
        <v>92</v>
      </c>
      <c r="AE10" t="s">
        <v>92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93</v>
      </c>
      <c r="AL10" t="s">
        <v>92</v>
      </c>
      <c r="AM10" t="s">
        <v>94</v>
      </c>
      <c r="AN10" t="s">
        <v>93</v>
      </c>
      <c r="AO10" t="s">
        <v>93</v>
      </c>
      <c r="AP10" t="s">
        <v>93</v>
      </c>
      <c r="AQ10" t="s">
        <v>95</v>
      </c>
      <c r="AR10" t="s">
        <v>95</v>
      </c>
      <c r="AS10" t="s">
        <v>95</v>
      </c>
      <c r="AT10" t="s">
        <v>95</v>
      </c>
      <c r="AU10" t="s">
        <v>93</v>
      </c>
      <c r="AV10" t="s">
        <v>93</v>
      </c>
      <c r="AW10" t="s">
        <v>93</v>
      </c>
      <c r="AX10" t="s">
        <v>95</v>
      </c>
      <c r="AY10" t="s">
        <v>95</v>
      </c>
      <c r="AZ10" t="s">
        <v>95</v>
      </c>
    </row>
    <row r="11" spans="1:60" x14ac:dyDescent="0.3">
      <c r="A11">
        <v>23</v>
      </c>
      <c r="B11" t="s">
        <v>70</v>
      </c>
      <c r="C11" t="s">
        <v>113</v>
      </c>
      <c r="D11" t="s">
        <v>97</v>
      </c>
      <c r="E11" t="s">
        <v>114</v>
      </c>
      <c r="F11" t="s">
        <v>74</v>
      </c>
      <c r="G11" t="s">
        <v>75</v>
      </c>
      <c r="H11" t="s">
        <v>98</v>
      </c>
      <c r="I11" t="s">
        <v>76</v>
      </c>
      <c r="J11" t="s">
        <v>77</v>
      </c>
      <c r="K11" t="s">
        <v>122</v>
      </c>
      <c r="L11" t="s">
        <v>82</v>
      </c>
      <c r="M11" t="s">
        <v>80</v>
      </c>
      <c r="N11" t="s">
        <v>79</v>
      </c>
      <c r="O11" t="s">
        <v>138</v>
      </c>
      <c r="P11" t="s">
        <v>82</v>
      </c>
      <c r="Q11" t="s">
        <v>83</v>
      </c>
      <c r="R11" t="s">
        <v>79</v>
      </c>
      <c r="S11" t="s">
        <v>126</v>
      </c>
      <c r="T11" t="s">
        <v>139</v>
      </c>
      <c r="U11" t="s">
        <v>79</v>
      </c>
      <c r="V11" t="s">
        <v>86</v>
      </c>
      <c r="W11" t="s">
        <v>87</v>
      </c>
      <c r="X11" t="s">
        <v>112</v>
      </c>
      <c r="Y11" t="s">
        <v>93</v>
      </c>
      <c r="Z11" t="s">
        <v>93</v>
      </c>
      <c r="AA11" t="s">
        <v>93</v>
      </c>
      <c r="AB11" t="s">
        <v>93</v>
      </c>
      <c r="AC11" t="s">
        <v>94</v>
      </c>
      <c r="AD11" t="s">
        <v>94</v>
      </c>
      <c r="AE11" t="s">
        <v>95</v>
      </c>
      <c r="AF11" t="s">
        <v>93</v>
      </c>
      <c r="AG11" t="s">
        <v>95</v>
      </c>
      <c r="AH11" t="s">
        <v>93</v>
      </c>
      <c r="AI11" t="s">
        <v>93</v>
      </c>
      <c r="AJ11" t="s">
        <v>92</v>
      </c>
      <c r="AK11" t="s">
        <v>92</v>
      </c>
      <c r="AL11" t="s">
        <v>93</v>
      </c>
      <c r="AM11" t="s">
        <v>92</v>
      </c>
      <c r="AN11" t="s">
        <v>93</v>
      </c>
      <c r="AO11" t="s">
        <v>93</v>
      </c>
      <c r="AP11" t="s">
        <v>93</v>
      </c>
      <c r="AQ11" t="s">
        <v>93</v>
      </c>
      <c r="AR11" t="s">
        <v>95</v>
      </c>
      <c r="AS11" t="s">
        <v>95</v>
      </c>
      <c r="AT11" t="s">
        <v>95</v>
      </c>
      <c r="AU11" t="s">
        <v>93</v>
      </c>
      <c r="AV11" t="s">
        <v>93</v>
      </c>
      <c r="AW11" t="s">
        <v>95</v>
      </c>
      <c r="AX11" t="s">
        <v>95</v>
      </c>
      <c r="AY11" t="s">
        <v>95</v>
      </c>
      <c r="AZ11" t="s">
        <v>94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G11" t="s">
        <v>93</v>
      </c>
      <c r="BH11" t="s">
        <v>93</v>
      </c>
    </row>
    <row r="12" spans="1:60" x14ac:dyDescent="0.3">
      <c r="A12">
        <v>22</v>
      </c>
      <c r="B12" t="s">
        <v>70</v>
      </c>
      <c r="C12" t="s">
        <v>113</v>
      </c>
      <c r="D12" t="s">
        <v>72</v>
      </c>
      <c r="E12" t="s">
        <v>114</v>
      </c>
      <c r="F12" t="s">
        <v>100</v>
      </c>
      <c r="G12" t="s">
        <v>135</v>
      </c>
      <c r="H12" t="s">
        <v>100</v>
      </c>
      <c r="I12" t="s">
        <v>76</v>
      </c>
      <c r="J12" t="s">
        <v>77</v>
      </c>
      <c r="K12" t="s">
        <v>125</v>
      </c>
      <c r="L12" t="s">
        <v>79</v>
      </c>
      <c r="M12" t="s">
        <v>80</v>
      </c>
      <c r="N12" t="s">
        <v>79</v>
      </c>
      <c r="O12" t="s">
        <v>117</v>
      </c>
      <c r="P12" t="s">
        <v>79</v>
      </c>
      <c r="Q12" t="s">
        <v>83</v>
      </c>
      <c r="R12" t="s">
        <v>82</v>
      </c>
      <c r="S12" t="s">
        <v>84</v>
      </c>
      <c r="T12" t="s">
        <v>140</v>
      </c>
      <c r="U12" t="s">
        <v>82</v>
      </c>
      <c r="V12" t="s">
        <v>86</v>
      </c>
      <c r="W12" t="s">
        <v>141</v>
      </c>
      <c r="X12" t="s">
        <v>112</v>
      </c>
      <c r="Y12" t="s">
        <v>93</v>
      </c>
      <c r="Z12" t="s">
        <v>93</v>
      </c>
      <c r="AA12" t="s">
        <v>93</v>
      </c>
      <c r="AB12" t="s">
        <v>93</v>
      </c>
      <c r="AC12" t="s">
        <v>94</v>
      </c>
      <c r="AD12" t="s">
        <v>94</v>
      </c>
      <c r="AE12" t="s">
        <v>92</v>
      </c>
      <c r="AF12" t="s">
        <v>95</v>
      </c>
      <c r="AG12" t="s">
        <v>94</v>
      </c>
      <c r="AH12" t="s">
        <v>95</v>
      </c>
      <c r="AI12" t="s">
        <v>94</v>
      </c>
      <c r="AJ12" t="s">
        <v>93</v>
      </c>
      <c r="AK12" t="s">
        <v>93</v>
      </c>
      <c r="AL12" t="s">
        <v>95</v>
      </c>
      <c r="AM12" t="s">
        <v>94</v>
      </c>
      <c r="AN12" t="s">
        <v>93</v>
      </c>
      <c r="AO12" t="s">
        <v>93</v>
      </c>
      <c r="AP12" t="s">
        <v>93</v>
      </c>
      <c r="AQ12" t="s">
        <v>94</v>
      </c>
      <c r="AR12" t="s">
        <v>94</v>
      </c>
      <c r="AS12" t="s">
        <v>95</v>
      </c>
      <c r="AT12" t="s">
        <v>95</v>
      </c>
      <c r="AU12" t="s">
        <v>94</v>
      </c>
      <c r="AV12" t="s">
        <v>95</v>
      </c>
      <c r="AW12" t="s">
        <v>95</v>
      </c>
      <c r="AX12" t="s">
        <v>94</v>
      </c>
      <c r="AY12" t="s">
        <v>95</v>
      </c>
      <c r="AZ12" t="s">
        <v>95</v>
      </c>
      <c r="BA12" t="s">
        <v>93</v>
      </c>
      <c r="BB12" t="s">
        <v>92</v>
      </c>
      <c r="BC12" t="s">
        <v>92</v>
      </c>
      <c r="BD12" t="s">
        <v>93</v>
      </c>
      <c r="BE12" t="s">
        <v>93</v>
      </c>
      <c r="BF12" t="s">
        <v>94</v>
      </c>
      <c r="BG12" t="s">
        <v>94</v>
      </c>
      <c r="BH12" t="s">
        <v>94</v>
      </c>
    </row>
    <row r="13" spans="1:60" x14ac:dyDescent="0.3">
      <c r="A13">
        <v>22</v>
      </c>
      <c r="B13" t="s">
        <v>70</v>
      </c>
      <c r="C13" t="s">
        <v>113</v>
      </c>
      <c r="D13" t="s">
        <v>72</v>
      </c>
      <c r="E13" t="s">
        <v>108</v>
      </c>
      <c r="F13" t="s">
        <v>136</v>
      </c>
      <c r="G13" t="s">
        <v>115</v>
      </c>
      <c r="H13" t="s">
        <v>100</v>
      </c>
      <c r="I13" t="s">
        <v>76</v>
      </c>
      <c r="J13" t="s">
        <v>77</v>
      </c>
      <c r="K13" t="s">
        <v>78</v>
      </c>
      <c r="L13" t="s">
        <v>79</v>
      </c>
      <c r="M13" t="s">
        <v>102</v>
      </c>
      <c r="N13" t="s">
        <v>79</v>
      </c>
      <c r="O13" t="s">
        <v>81</v>
      </c>
      <c r="P13" t="s">
        <v>79</v>
      </c>
      <c r="Q13" t="s">
        <v>83</v>
      </c>
      <c r="R13" t="s">
        <v>82</v>
      </c>
      <c r="S13" t="s">
        <v>142</v>
      </c>
      <c r="T13" t="s">
        <v>143</v>
      </c>
      <c r="U13" t="s">
        <v>82</v>
      </c>
      <c r="V13" t="s">
        <v>106</v>
      </c>
      <c r="W13" t="s">
        <v>87</v>
      </c>
      <c r="X13" t="s">
        <v>144</v>
      </c>
      <c r="Y13" t="s">
        <v>92</v>
      </c>
      <c r="Z13" t="s">
        <v>92</v>
      </c>
      <c r="AA13" t="s">
        <v>94</v>
      </c>
      <c r="AB13" t="s">
        <v>94</v>
      </c>
      <c r="AC13" t="s">
        <v>93</v>
      </c>
      <c r="AD13" t="s">
        <v>93</v>
      </c>
      <c r="AE13" t="s">
        <v>94</v>
      </c>
      <c r="AF13" t="s">
        <v>94</v>
      </c>
      <c r="AG13" t="s">
        <v>94</v>
      </c>
      <c r="AH13" t="s">
        <v>95</v>
      </c>
      <c r="AI13" t="s">
        <v>93</v>
      </c>
      <c r="AJ13" t="s">
        <v>94</v>
      </c>
      <c r="AK13" t="s">
        <v>94</v>
      </c>
      <c r="AL13" t="s">
        <v>94</v>
      </c>
      <c r="AM13" t="s">
        <v>94</v>
      </c>
      <c r="AN13" t="s">
        <v>93</v>
      </c>
      <c r="AO13" t="s">
        <v>93</v>
      </c>
      <c r="AP13" t="s">
        <v>94</v>
      </c>
      <c r="AQ13" t="s">
        <v>95</v>
      </c>
      <c r="AR13" t="s">
        <v>93</v>
      </c>
      <c r="AS13" t="s">
        <v>95</v>
      </c>
      <c r="AT13" t="s">
        <v>94</v>
      </c>
      <c r="AU13" t="s">
        <v>94</v>
      </c>
      <c r="AV13" t="s">
        <v>95</v>
      </c>
      <c r="AW13" t="s">
        <v>94</v>
      </c>
      <c r="AX13" t="s">
        <v>93</v>
      </c>
      <c r="AY13" t="s">
        <v>93</v>
      </c>
      <c r="AZ13" t="s">
        <v>93</v>
      </c>
      <c r="BA13" t="s">
        <v>93</v>
      </c>
      <c r="BB13" t="s">
        <v>94</v>
      </c>
      <c r="BC13" t="s">
        <v>92</v>
      </c>
      <c r="BD13" t="s">
        <v>93</v>
      </c>
      <c r="BE13" t="s">
        <v>92</v>
      </c>
      <c r="BF13" t="s">
        <v>93</v>
      </c>
      <c r="BG13" t="s">
        <v>93</v>
      </c>
      <c r="BH13" t="s">
        <v>93</v>
      </c>
    </row>
    <row r="14" spans="1:60" x14ac:dyDescent="0.3">
      <c r="A14">
        <v>21</v>
      </c>
      <c r="B14" t="s">
        <v>70</v>
      </c>
      <c r="C14" t="s">
        <v>113</v>
      </c>
      <c r="D14" t="s">
        <v>72</v>
      </c>
      <c r="E14" t="s">
        <v>73</v>
      </c>
      <c r="F14" t="s">
        <v>74</v>
      </c>
      <c r="G14" t="s">
        <v>99</v>
      </c>
      <c r="H14" t="s">
        <v>74</v>
      </c>
      <c r="I14" t="s">
        <v>76</v>
      </c>
      <c r="J14" t="s">
        <v>77</v>
      </c>
      <c r="K14" t="s">
        <v>78</v>
      </c>
      <c r="L14" t="s">
        <v>82</v>
      </c>
      <c r="M14" t="s">
        <v>80</v>
      </c>
      <c r="N14" t="s">
        <v>79</v>
      </c>
      <c r="O14" t="s">
        <v>133</v>
      </c>
      <c r="P14" t="s">
        <v>82</v>
      </c>
      <c r="Q14" t="s">
        <v>83</v>
      </c>
      <c r="R14" t="s">
        <v>79</v>
      </c>
      <c r="S14" t="s">
        <v>145</v>
      </c>
      <c r="T14" t="s">
        <v>119</v>
      </c>
      <c r="U14" t="s">
        <v>82</v>
      </c>
      <c r="V14" t="s">
        <v>86</v>
      </c>
      <c r="W14" t="s">
        <v>141</v>
      </c>
      <c r="Y14" t="s">
        <v>92</v>
      </c>
      <c r="Z14" t="s">
        <v>92</v>
      </c>
      <c r="AA14" t="s">
        <v>92</v>
      </c>
      <c r="AB14" t="s">
        <v>92</v>
      </c>
      <c r="AC14" t="s">
        <v>92</v>
      </c>
      <c r="AD14" t="s">
        <v>92</v>
      </c>
      <c r="AE14" t="s">
        <v>92</v>
      </c>
      <c r="AF14" t="s">
        <v>94</v>
      </c>
      <c r="AG14" t="s">
        <v>94</v>
      </c>
      <c r="AH14" t="s">
        <v>94</v>
      </c>
      <c r="AI14" t="s">
        <v>93</v>
      </c>
      <c r="AJ14" t="s">
        <v>94</v>
      </c>
      <c r="AK14" t="s">
        <v>94</v>
      </c>
      <c r="AL14" t="s">
        <v>92</v>
      </c>
      <c r="AM14" t="s">
        <v>92</v>
      </c>
      <c r="AN14" t="s">
        <v>93</v>
      </c>
      <c r="AO14" t="s">
        <v>93</v>
      </c>
      <c r="AP14" t="s">
        <v>93</v>
      </c>
      <c r="AQ14" t="s">
        <v>93</v>
      </c>
      <c r="AR14" t="s">
        <v>95</v>
      </c>
      <c r="AS14" t="s">
        <v>95</v>
      </c>
      <c r="AT14" t="s">
        <v>95</v>
      </c>
      <c r="AU14" t="s">
        <v>92</v>
      </c>
      <c r="AV14" t="s">
        <v>92</v>
      </c>
      <c r="AW14" t="s">
        <v>94</v>
      </c>
      <c r="AX14" t="s">
        <v>92</v>
      </c>
      <c r="AY14" t="s">
        <v>94</v>
      </c>
      <c r="AZ14" t="s">
        <v>95</v>
      </c>
      <c r="BA14" t="s">
        <v>93</v>
      </c>
      <c r="BB14" t="s">
        <v>92</v>
      </c>
      <c r="BC14" t="s">
        <v>94</v>
      </c>
      <c r="BD14" t="s">
        <v>93</v>
      </c>
      <c r="BE14" t="s">
        <v>92</v>
      </c>
      <c r="BF14" t="s">
        <v>94</v>
      </c>
      <c r="BG14" t="s">
        <v>94</v>
      </c>
      <c r="BH14" t="s">
        <v>93</v>
      </c>
    </row>
    <row r="15" spans="1:60" x14ac:dyDescent="0.3">
      <c r="A15">
        <v>22</v>
      </c>
      <c r="B15" t="s">
        <v>70</v>
      </c>
      <c r="C15" t="s">
        <v>113</v>
      </c>
      <c r="D15" t="s">
        <v>72</v>
      </c>
      <c r="E15" t="s">
        <v>114</v>
      </c>
      <c r="F15" t="s">
        <v>136</v>
      </c>
      <c r="G15" t="s">
        <v>146</v>
      </c>
      <c r="H15" t="s">
        <v>98</v>
      </c>
      <c r="I15" t="s">
        <v>76</v>
      </c>
      <c r="J15" t="s">
        <v>77</v>
      </c>
      <c r="K15" t="s">
        <v>125</v>
      </c>
      <c r="L15" t="s">
        <v>79</v>
      </c>
      <c r="M15" t="s">
        <v>102</v>
      </c>
      <c r="N15" t="s">
        <v>79</v>
      </c>
      <c r="O15" t="s">
        <v>117</v>
      </c>
      <c r="P15" t="s">
        <v>82</v>
      </c>
      <c r="Q15" t="s">
        <v>103</v>
      </c>
      <c r="R15" t="s">
        <v>82</v>
      </c>
      <c r="S15" t="s">
        <v>84</v>
      </c>
      <c r="T15" t="s">
        <v>85</v>
      </c>
      <c r="U15" t="s">
        <v>82</v>
      </c>
      <c r="V15" t="s">
        <v>106</v>
      </c>
      <c r="W15" t="s">
        <v>87</v>
      </c>
      <c r="X15" t="s">
        <v>88</v>
      </c>
      <c r="Y15" t="s">
        <v>93</v>
      </c>
      <c r="Z15" t="s">
        <v>93</v>
      </c>
      <c r="AA15" t="s">
        <v>93</v>
      </c>
      <c r="AB15" t="s">
        <v>93</v>
      </c>
      <c r="AC15" t="s">
        <v>95</v>
      </c>
      <c r="AD15" t="s">
        <v>95</v>
      </c>
      <c r="AE15" t="s">
        <v>95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95</v>
      </c>
      <c r="AM15" t="s">
        <v>93</v>
      </c>
      <c r="AN15" t="s">
        <v>93</v>
      </c>
      <c r="AO15" t="s">
        <v>93</v>
      </c>
      <c r="AP15" t="s">
        <v>93</v>
      </c>
      <c r="AQ15" t="s">
        <v>95</v>
      </c>
      <c r="AR15" t="s">
        <v>95</v>
      </c>
      <c r="AS15" t="s">
        <v>95</v>
      </c>
      <c r="AT15" t="s">
        <v>95</v>
      </c>
      <c r="AU15" t="s">
        <v>93</v>
      </c>
      <c r="AV15" t="s">
        <v>93</v>
      </c>
      <c r="AW15" t="s">
        <v>93</v>
      </c>
      <c r="AX15" t="s">
        <v>95</v>
      </c>
      <c r="AY15" t="s">
        <v>95</v>
      </c>
      <c r="AZ15" t="s">
        <v>95</v>
      </c>
    </row>
    <row r="16" spans="1:60" x14ac:dyDescent="0.3">
      <c r="A16">
        <v>21</v>
      </c>
      <c r="B16" t="s">
        <v>70</v>
      </c>
      <c r="C16" t="s">
        <v>71</v>
      </c>
      <c r="D16" t="s">
        <v>72</v>
      </c>
      <c r="E16" t="s">
        <v>114</v>
      </c>
      <c r="F16" t="s">
        <v>74</v>
      </c>
      <c r="G16" t="s">
        <v>115</v>
      </c>
      <c r="H16" t="s">
        <v>98</v>
      </c>
      <c r="I16" t="s">
        <v>76</v>
      </c>
      <c r="J16" t="s">
        <v>77</v>
      </c>
      <c r="K16" t="s">
        <v>78</v>
      </c>
      <c r="L16" t="s">
        <v>79</v>
      </c>
      <c r="M16" t="s">
        <v>102</v>
      </c>
      <c r="N16" t="s">
        <v>79</v>
      </c>
      <c r="O16" t="s">
        <v>133</v>
      </c>
      <c r="P16" t="s">
        <v>79</v>
      </c>
      <c r="Q16" t="s">
        <v>83</v>
      </c>
      <c r="R16" t="s">
        <v>79</v>
      </c>
      <c r="S16" t="s">
        <v>84</v>
      </c>
      <c r="T16" t="s">
        <v>105</v>
      </c>
      <c r="U16" t="s">
        <v>82</v>
      </c>
      <c r="V16" t="s">
        <v>86</v>
      </c>
      <c r="W16" t="s">
        <v>141</v>
      </c>
      <c r="X16" t="s">
        <v>112</v>
      </c>
      <c r="Y16" t="s">
        <v>94</v>
      </c>
      <c r="Z16" t="s">
        <v>92</v>
      </c>
      <c r="AA16" t="s">
        <v>92</v>
      </c>
      <c r="AB16" t="s">
        <v>92</v>
      </c>
      <c r="AC16" t="s">
        <v>94</v>
      </c>
      <c r="AD16" t="s">
        <v>92</v>
      </c>
      <c r="AE16" t="s">
        <v>94</v>
      </c>
      <c r="AF16" t="s">
        <v>92</v>
      </c>
      <c r="AG16" t="s">
        <v>94</v>
      </c>
      <c r="AH16" t="s">
        <v>92</v>
      </c>
      <c r="AI16" t="s">
        <v>94</v>
      </c>
      <c r="AJ16" t="s">
        <v>94</v>
      </c>
      <c r="AK16" t="s">
        <v>92</v>
      </c>
      <c r="AL16" t="s">
        <v>94</v>
      </c>
      <c r="AM16" t="s">
        <v>94</v>
      </c>
      <c r="AN16" t="s">
        <v>93</v>
      </c>
      <c r="AO16" t="s">
        <v>93</v>
      </c>
      <c r="AP16" t="s">
        <v>93</v>
      </c>
      <c r="AQ16" t="s">
        <v>92</v>
      </c>
      <c r="AR16" t="s">
        <v>92</v>
      </c>
      <c r="AS16" t="s">
        <v>93</v>
      </c>
      <c r="AT16" t="s">
        <v>92</v>
      </c>
      <c r="AU16" t="s">
        <v>92</v>
      </c>
      <c r="AV16" t="s">
        <v>92</v>
      </c>
      <c r="AW16" t="s">
        <v>92</v>
      </c>
      <c r="AX16" t="s">
        <v>94</v>
      </c>
      <c r="AY16" t="s">
        <v>92</v>
      </c>
      <c r="AZ16" t="s">
        <v>93</v>
      </c>
      <c r="BA16" t="s">
        <v>92</v>
      </c>
      <c r="BB16" t="s">
        <v>94</v>
      </c>
      <c r="BC16" t="s">
        <v>92</v>
      </c>
      <c r="BD16" t="s">
        <v>94</v>
      </c>
      <c r="BE16" t="s">
        <v>92</v>
      </c>
      <c r="BF16" t="s">
        <v>92</v>
      </c>
      <c r="BG16" t="s">
        <v>92</v>
      </c>
      <c r="BH16" t="s">
        <v>93</v>
      </c>
    </row>
    <row r="17" spans="1:60" x14ac:dyDescent="0.3">
      <c r="A17">
        <v>21</v>
      </c>
      <c r="B17" t="s">
        <v>70</v>
      </c>
      <c r="C17" t="s">
        <v>96</v>
      </c>
      <c r="D17" t="s">
        <v>72</v>
      </c>
      <c r="E17" t="s">
        <v>73</v>
      </c>
      <c r="F17" t="s">
        <v>74</v>
      </c>
      <c r="G17" t="s">
        <v>135</v>
      </c>
      <c r="H17" t="s">
        <v>74</v>
      </c>
      <c r="I17" t="s">
        <v>99</v>
      </c>
      <c r="J17" t="s">
        <v>77</v>
      </c>
      <c r="K17" t="s">
        <v>78</v>
      </c>
      <c r="L17" t="s">
        <v>79</v>
      </c>
      <c r="M17" t="s">
        <v>80</v>
      </c>
      <c r="N17" t="s">
        <v>79</v>
      </c>
      <c r="O17" t="s">
        <v>109</v>
      </c>
      <c r="P17" t="s">
        <v>79</v>
      </c>
      <c r="Q17" t="s">
        <v>83</v>
      </c>
      <c r="R17" t="s">
        <v>79</v>
      </c>
      <c r="S17" t="s">
        <v>84</v>
      </c>
      <c r="T17" t="s">
        <v>111</v>
      </c>
      <c r="U17" t="s">
        <v>82</v>
      </c>
      <c r="V17" t="s">
        <v>106</v>
      </c>
      <c r="W17" t="s">
        <v>87</v>
      </c>
      <c r="X17" t="s">
        <v>112</v>
      </c>
      <c r="Y17" t="s">
        <v>94</v>
      </c>
      <c r="Z17" t="s">
        <v>94</v>
      </c>
      <c r="AA17" t="s">
        <v>92</v>
      </c>
      <c r="AB17" t="s">
        <v>92</v>
      </c>
      <c r="AC17" t="s">
        <v>92</v>
      </c>
      <c r="AD17" t="s">
        <v>95</v>
      </c>
      <c r="AE17" t="s">
        <v>95</v>
      </c>
      <c r="AF17" t="s">
        <v>94</v>
      </c>
      <c r="AG17" t="s">
        <v>94</v>
      </c>
      <c r="AH17" t="s">
        <v>92</v>
      </c>
      <c r="AI17" t="s">
        <v>94</v>
      </c>
      <c r="AJ17" t="s">
        <v>94</v>
      </c>
      <c r="AK17" t="s">
        <v>94</v>
      </c>
      <c r="AL17" t="s">
        <v>94</v>
      </c>
      <c r="AM17" t="s">
        <v>94</v>
      </c>
      <c r="AN17" t="s">
        <v>93</v>
      </c>
      <c r="AO17" t="s">
        <v>93</v>
      </c>
      <c r="AP17" t="s">
        <v>92</v>
      </c>
      <c r="AQ17" t="s">
        <v>92</v>
      </c>
      <c r="AR17" t="s">
        <v>95</v>
      </c>
      <c r="AS17" t="s">
        <v>95</v>
      </c>
      <c r="AT17" t="s">
        <v>95</v>
      </c>
      <c r="AU17" t="s">
        <v>92</v>
      </c>
      <c r="AV17" t="s">
        <v>92</v>
      </c>
      <c r="AW17" t="s">
        <v>94</v>
      </c>
      <c r="AX17" t="s">
        <v>93</v>
      </c>
      <c r="AY17" t="s">
        <v>93</v>
      </c>
      <c r="AZ17" t="s">
        <v>95</v>
      </c>
      <c r="BA17" t="s">
        <v>92</v>
      </c>
      <c r="BB17" t="s">
        <v>93</v>
      </c>
      <c r="BC17" t="s">
        <v>93</v>
      </c>
      <c r="BD17" t="s">
        <v>93</v>
      </c>
      <c r="BE17" t="s">
        <v>93</v>
      </c>
      <c r="BF17" t="s">
        <v>95</v>
      </c>
      <c r="BG17" t="s">
        <v>95</v>
      </c>
      <c r="BH17" t="s">
        <v>92</v>
      </c>
    </row>
    <row r="18" spans="1:60" x14ac:dyDescent="0.3">
      <c r="A18">
        <v>21</v>
      </c>
      <c r="B18" t="s">
        <v>70</v>
      </c>
      <c r="C18" t="s">
        <v>96</v>
      </c>
      <c r="D18" t="s">
        <v>72</v>
      </c>
      <c r="E18" t="s">
        <v>114</v>
      </c>
      <c r="F18" t="s">
        <v>74</v>
      </c>
      <c r="G18" t="s">
        <v>75</v>
      </c>
      <c r="H18" t="s">
        <v>98</v>
      </c>
      <c r="I18" t="s">
        <v>76</v>
      </c>
      <c r="J18" t="s">
        <v>77</v>
      </c>
      <c r="K18" t="s">
        <v>122</v>
      </c>
      <c r="L18" t="s">
        <v>79</v>
      </c>
      <c r="M18" t="s">
        <v>80</v>
      </c>
      <c r="N18" t="s">
        <v>79</v>
      </c>
      <c r="O18" t="s">
        <v>81</v>
      </c>
      <c r="P18" t="s">
        <v>82</v>
      </c>
      <c r="Q18" t="s">
        <v>83</v>
      </c>
      <c r="R18" t="s">
        <v>79</v>
      </c>
      <c r="S18" t="s">
        <v>84</v>
      </c>
      <c r="T18" t="s">
        <v>147</v>
      </c>
      <c r="U18" t="s">
        <v>82</v>
      </c>
      <c r="V18" t="s">
        <v>148</v>
      </c>
      <c r="W18" t="s">
        <v>141</v>
      </c>
      <c r="X18" t="s">
        <v>88</v>
      </c>
      <c r="Y18" t="s">
        <v>94</v>
      </c>
      <c r="Z18" t="s">
        <v>92</v>
      </c>
      <c r="AA18" t="s">
        <v>92</v>
      </c>
      <c r="AB18" t="s">
        <v>92</v>
      </c>
      <c r="AC18" t="s">
        <v>94</v>
      </c>
      <c r="AD18" t="s">
        <v>94</v>
      </c>
      <c r="AE18" t="s">
        <v>94</v>
      </c>
      <c r="AF18" t="s">
        <v>94</v>
      </c>
      <c r="AG18" t="s">
        <v>94</v>
      </c>
      <c r="AH18" t="s">
        <v>92</v>
      </c>
      <c r="AI18" t="s">
        <v>94</v>
      </c>
      <c r="AJ18" t="s">
        <v>94</v>
      </c>
      <c r="AK18" t="s">
        <v>92</v>
      </c>
      <c r="AL18" t="s">
        <v>92</v>
      </c>
      <c r="AM18" t="s">
        <v>92</v>
      </c>
      <c r="AN18" t="s">
        <v>93</v>
      </c>
      <c r="AO18" t="s">
        <v>93</v>
      </c>
      <c r="AP18" t="s">
        <v>93</v>
      </c>
      <c r="AQ18" t="s">
        <v>94</v>
      </c>
      <c r="AR18" t="s">
        <v>94</v>
      </c>
      <c r="AS18" t="s">
        <v>95</v>
      </c>
      <c r="AT18" t="s">
        <v>95</v>
      </c>
      <c r="AU18" t="s">
        <v>94</v>
      </c>
      <c r="AV18" t="s">
        <v>94</v>
      </c>
      <c r="AW18" t="s">
        <v>92</v>
      </c>
      <c r="AX18" t="s">
        <v>94</v>
      </c>
      <c r="AY18" t="s">
        <v>92</v>
      </c>
      <c r="AZ18" t="s">
        <v>94</v>
      </c>
      <c r="BA18" t="s">
        <v>92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92</v>
      </c>
      <c r="BH18" t="s">
        <v>92</v>
      </c>
    </row>
    <row r="19" spans="1:60" x14ac:dyDescent="0.3">
      <c r="A19">
        <v>22</v>
      </c>
      <c r="B19" t="s">
        <v>70</v>
      </c>
      <c r="C19" t="s">
        <v>96</v>
      </c>
      <c r="D19" t="s">
        <v>72</v>
      </c>
      <c r="E19" t="s">
        <v>73</v>
      </c>
      <c r="F19" t="s">
        <v>74</v>
      </c>
      <c r="G19" t="s">
        <v>135</v>
      </c>
      <c r="H19" t="s">
        <v>74</v>
      </c>
      <c r="I19" t="s">
        <v>76</v>
      </c>
      <c r="J19" t="s">
        <v>77</v>
      </c>
      <c r="K19" t="s">
        <v>122</v>
      </c>
      <c r="L19" t="s">
        <v>79</v>
      </c>
      <c r="M19" t="s">
        <v>80</v>
      </c>
      <c r="N19" t="s">
        <v>79</v>
      </c>
      <c r="O19" t="s">
        <v>117</v>
      </c>
      <c r="P19" t="s">
        <v>82</v>
      </c>
      <c r="Q19" t="s">
        <v>83</v>
      </c>
      <c r="R19" t="s">
        <v>79</v>
      </c>
      <c r="S19" t="s">
        <v>145</v>
      </c>
      <c r="T19" t="s">
        <v>85</v>
      </c>
      <c r="U19" t="s">
        <v>82</v>
      </c>
      <c r="V19" t="s">
        <v>86</v>
      </c>
      <c r="W19" t="s">
        <v>87</v>
      </c>
      <c r="X19" t="s">
        <v>112</v>
      </c>
      <c r="Y19" t="s">
        <v>92</v>
      </c>
      <c r="Z19" t="s">
        <v>92</v>
      </c>
      <c r="AA19" t="s">
        <v>92</v>
      </c>
      <c r="AB19" t="s">
        <v>92</v>
      </c>
      <c r="AC19" t="s">
        <v>92</v>
      </c>
      <c r="AD19" t="s">
        <v>92</v>
      </c>
      <c r="AE19" t="s">
        <v>92</v>
      </c>
      <c r="AF19" t="s">
        <v>92</v>
      </c>
      <c r="AG19" t="s">
        <v>92</v>
      </c>
      <c r="AH19" t="s">
        <v>92</v>
      </c>
      <c r="AI19" t="s">
        <v>92</v>
      </c>
      <c r="AJ19" t="s">
        <v>92</v>
      </c>
      <c r="AK19" t="s">
        <v>92</v>
      </c>
      <c r="AL19" t="s">
        <v>92</v>
      </c>
      <c r="AM19" t="s">
        <v>92</v>
      </c>
      <c r="AN19" t="s">
        <v>92</v>
      </c>
      <c r="AO19" t="s">
        <v>94</v>
      </c>
      <c r="AP19" t="s">
        <v>94</v>
      </c>
      <c r="AQ19" t="s">
        <v>92</v>
      </c>
      <c r="AR19" t="s">
        <v>94</v>
      </c>
      <c r="AS19" t="s">
        <v>92</v>
      </c>
      <c r="AT19" t="s">
        <v>92</v>
      </c>
      <c r="AU19" t="s">
        <v>92</v>
      </c>
      <c r="AV19" t="s">
        <v>94</v>
      </c>
      <c r="AW19" t="s">
        <v>94</v>
      </c>
      <c r="AX19" t="s">
        <v>92</v>
      </c>
      <c r="AY19" t="s">
        <v>92</v>
      </c>
      <c r="AZ19" t="s">
        <v>94</v>
      </c>
      <c r="BA19" t="s">
        <v>92</v>
      </c>
      <c r="BB19" t="s">
        <v>94</v>
      </c>
      <c r="BC19" t="s">
        <v>92</v>
      </c>
      <c r="BD19" t="s">
        <v>92</v>
      </c>
      <c r="BE19" t="s">
        <v>92</v>
      </c>
      <c r="BF19" t="s">
        <v>94</v>
      </c>
      <c r="BG19" t="s">
        <v>92</v>
      </c>
      <c r="BH19" t="s">
        <v>92</v>
      </c>
    </row>
    <row r="20" spans="1:60" x14ac:dyDescent="0.3">
      <c r="A20">
        <v>21</v>
      </c>
      <c r="B20" t="s">
        <v>70</v>
      </c>
      <c r="C20" t="s">
        <v>96</v>
      </c>
      <c r="D20" t="s">
        <v>149</v>
      </c>
      <c r="E20" t="s">
        <v>108</v>
      </c>
      <c r="F20" t="s">
        <v>74</v>
      </c>
      <c r="G20" t="s">
        <v>75</v>
      </c>
      <c r="H20" t="s">
        <v>74</v>
      </c>
      <c r="I20" t="s">
        <v>75</v>
      </c>
      <c r="J20" t="s">
        <v>77</v>
      </c>
      <c r="K20" t="s">
        <v>131</v>
      </c>
      <c r="L20" t="s">
        <v>79</v>
      </c>
      <c r="M20" t="s">
        <v>102</v>
      </c>
      <c r="N20" t="s">
        <v>82</v>
      </c>
      <c r="O20" t="s">
        <v>138</v>
      </c>
      <c r="P20" t="s">
        <v>82</v>
      </c>
      <c r="Q20" t="s">
        <v>103</v>
      </c>
      <c r="R20" t="s">
        <v>79</v>
      </c>
      <c r="S20" t="s">
        <v>145</v>
      </c>
      <c r="T20" t="s">
        <v>150</v>
      </c>
      <c r="U20" t="s">
        <v>79</v>
      </c>
      <c r="V20" t="s">
        <v>106</v>
      </c>
      <c r="W20" t="s">
        <v>87</v>
      </c>
      <c r="X20" t="s">
        <v>112</v>
      </c>
      <c r="Y20" t="s">
        <v>92</v>
      </c>
      <c r="Z20" t="s">
        <v>93</v>
      </c>
      <c r="AA20" t="s">
        <v>92</v>
      </c>
      <c r="AB20" t="s">
        <v>93</v>
      </c>
      <c r="AC20" t="s">
        <v>95</v>
      </c>
      <c r="AD20" t="s">
        <v>95</v>
      </c>
      <c r="AE20" t="s">
        <v>95</v>
      </c>
      <c r="AF20" t="s">
        <v>93</v>
      </c>
      <c r="AG20" t="s">
        <v>93</v>
      </c>
      <c r="AH20" t="s">
        <v>95</v>
      </c>
      <c r="AI20" t="s">
        <v>93</v>
      </c>
      <c r="AJ20" t="s">
        <v>93</v>
      </c>
      <c r="AK20" t="s">
        <v>93</v>
      </c>
      <c r="AL20" t="s">
        <v>95</v>
      </c>
      <c r="AM20" t="s">
        <v>95</v>
      </c>
      <c r="AN20" t="s">
        <v>93</v>
      </c>
      <c r="AO20" t="s">
        <v>93</v>
      </c>
      <c r="AP20" t="s">
        <v>93</v>
      </c>
      <c r="AQ20" t="s">
        <v>95</v>
      </c>
      <c r="AR20" t="s">
        <v>95</v>
      </c>
      <c r="AS20" t="s">
        <v>95</v>
      </c>
      <c r="AT20" t="s">
        <v>95</v>
      </c>
      <c r="AU20" t="s">
        <v>93</v>
      </c>
      <c r="AV20" t="s">
        <v>93</v>
      </c>
      <c r="AW20" t="s">
        <v>93</v>
      </c>
      <c r="AX20" t="s">
        <v>95</v>
      </c>
      <c r="AY20" t="s">
        <v>95</v>
      </c>
      <c r="AZ20" t="s">
        <v>95</v>
      </c>
      <c r="BA20" t="s">
        <v>93</v>
      </c>
      <c r="BB20" t="s">
        <v>92</v>
      </c>
      <c r="BC20" t="s">
        <v>93</v>
      </c>
      <c r="BD20" t="s">
        <v>93</v>
      </c>
      <c r="BE20" t="s">
        <v>93</v>
      </c>
      <c r="BF20" t="s">
        <v>93</v>
      </c>
      <c r="BG20" t="s">
        <v>94</v>
      </c>
      <c r="BH20" t="s">
        <v>94</v>
      </c>
    </row>
    <row r="21" spans="1:60" x14ac:dyDescent="0.3">
      <c r="A21">
        <v>21</v>
      </c>
      <c r="B21" t="s">
        <v>128</v>
      </c>
      <c r="C21" t="s">
        <v>96</v>
      </c>
      <c r="D21" t="s">
        <v>72</v>
      </c>
      <c r="E21" t="s">
        <v>114</v>
      </c>
      <c r="F21" t="s">
        <v>74</v>
      </c>
      <c r="G21" t="s">
        <v>115</v>
      </c>
      <c r="H21" t="s">
        <v>136</v>
      </c>
      <c r="I21" t="s">
        <v>76</v>
      </c>
      <c r="J21" t="s">
        <v>77</v>
      </c>
      <c r="K21" t="s">
        <v>125</v>
      </c>
      <c r="L21" t="s">
        <v>79</v>
      </c>
      <c r="M21" t="s">
        <v>80</v>
      </c>
      <c r="N21" t="s">
        <v>79</v>
      </c>
      <c r="O21" t="s">
        <v>138</v>
      </c>
      <c r="P21" t="s">
        <v>82</v>
      </c>
      <c r="Q21" t="s">
        <v>83</v>
      </c>
      <c r="R21" t="s">
        <v>82</v>
      </c>
      <c r="S21" t="s">
        <v>126</v>
      </c>
      <c r="T21" t="s">
        <v>151</v>
      </c>
      <c r="U21" t="s">
        <v>82</v>
      </c>
      <c r="V21" t="s">
        <v>106</v>
      </c>
      <c r="W21" t="s">
        <v>87</v>
      </c>
      <c r="X21" t="s">
        <v>112</v>
      </c>
      <c r="Y21" t="s">
        <v>95</v>
      </c>
      <c r="Z21" t="s">
        <v>94</v>
      </c>
      <c r="AA21" t="s">
        <v>95</v>
      </c>
      <c r="AB21" t="s">
        <v>94</v>
      </c>
      <c r="AC21" t="s">
        <v>95</v>
      </c>
      <c r="AD21" t="s">
        <v>94</v>
      </c>
      <c r="AE21" t="s">
        <v>95</v>
      </c>
      <c r="AF21" t="s">
        <v>95</v>
      </c>
      <c r="AG21" t="s">
        <v>95</v>
      </c>
      <c r="AH21" t="s">
        <v>94</v>
      </c>
      <c r="AI21" t="s">
        <v>95</v>
      </c>
      <c r="AJ21" t="s">
        <v>94</v>
      </c>
      <c r="AK21" t="s">
        <v>95</v>
      </c>
      <c r="AL21" t="s">
        <v>95</v>
      </c>
      <c r="AM21" t="s">
        <v>94</v>
      </c>
      <c r="AN21" t="s">
        <v>93</v>
      </c>
      <c r="AO21" t="s">
        <v>93</v>
      </c>
      <c r="AP21" t="s">
        <v>93</v>
      </c>
      <c r="AQ21" t="s">
        <v>94</v>
      </c>
      <c r="AR21" t="s">
        <v>92</v>
      </c>
      <c r="AS21" t="s">
        <v>92</v>
      </c>
      <c r="AT21" t="s">
        <v>94</v>
      </c>
      <c r="AU21" t="s">
        <v>95</v>
      </c>
      <c r="AV21" t="s">
        <v>95</v>
      </c>
      <c r="AW21" t="s">
        <v>95</v>
      </c>
      <c r="AX21" t="s">
        <v>92</v>
      </c>
      <c r="AY21" t="s">
        <v>92</v>
      </c>
      <c r="AZ21" t="s">
        <v>94</v>
      </c>
      <c r="BA21" t="s">
        <v>93</v>
      </c>
      <c r="BB21" t="s">
        <v>92</v>
      </c>
      <c r="BC21" t="s">
        <v>93</v>
      </c>
      <c r="BD21" t="s">
        <v>92</v>
      </c>
      <c r="BE21" t="s">
        <v>93</v>
      </c>
      <c r="BF21" t="s">
        <v>94</v>
      </c>
      <c r="BG21" t="s">
        <v>93</v>
      </c>
      <c r="BH21" t="s">
        <v>93</v>
      </c>
    </row>
    <row r="22" spans="1:60" x14ac:dyDescent="0.3">
      <c r="A22">
        <v>20</v>
      </c>
      <c r="B22" t="s">
        <v>70</v>
      </c>
      <c r="C22" t="s">
        <v>96</v>
      </c>
      <c r="D22" t="s">
        <v>72</v>
      </c>
      <c r="E22" t="s">
        <v>108</v>
      </c>
      <c r="F22" t="s">
        <v>100</v>
      </c>
      <c r="G22" t="s">
        <v>135</v>
      </c>
      <c r="H22" t="s">
        <v>98</v>
      </c>
      <c r="I22" t="s">
        <v>76</v>
      </c>
      <c r="J22" t="s">
        <v>77</v>
      </c>
      <c r="K22" t="s">
        <v>122</v>
      </c>
      <c r="L22" t="s">
        <v>82</v>
      </c>
      <c r="M22" t="s">
        <v>80</v>
      </c>
      <c r="N22" t="s">
        <v>79</v>
      </c>
      <c r="O22" t="s">
        <v>109</v>
      </c>
      <c r="P22" t="s">
        <v>79</v>
      </c>
      <c r="Q22" t="s">
        <v>83</v>
      </c>
      <c r="R22" t="s">
        <v>82</v>
      </c>
      <c r="S22" t="s">
        <v>84</v>
      </c>
      <c r="T22" t="s">
        <v>152</v>
      </c>
      <c r="U22" t="s">
        <v>79</v>
      </c>
      <c r="V22" t="s">
        <v>106</v>
      </c>
      <c r="W22" t="s">
        <v>120</v>
      </c>
      <c r="Y22" t="s">
        <v>93</v>
      </c>
      <c r="Z22" t="s">
        <v>93</v>
      </c>
      <c r="AA22" t="s">
        <v>93</v>
      </c>
      <c r="AB22" t="s">
        <v>95</v>
      </c>
      <c r="AC22" t="s">
        <v>95</v>
      </c>
      <c r="AD22" t="s">
        <v>95</v>
      </c>
      <c r="AE22" t="s">
        <v>95</v>
      </c>
      <c r="AF22" t="s">
        <v>92</v>
      </c>
      <c r="AG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 t="s">
        <v>95</v>
      </c>
      <c r="AN22" t="s">
        <v>92</v>
      </c>
      <c r="AO22" t="s">
        <v>92</v>
      </c>
      <c r="AP22" t="s">
        <v>92</v>
      </c>
      <c r="AQ22" t="s">
        <v>92</v>
      </c>
      <c r="AR22" t="s">
        <v>92</v>
      </c>
      <c r="AS22" t="s">
        <v>92</v>
      </c>
      <c r="AT22" t="s">
        <v>92</v>
      </c>
      <c r="AU22" t="s">
        <v>95</v>
      </c>
      <c r="AV22" t="s">
        <v>95</v>
      </c>
      <c r="AW22" t="s">
        <v>95</v>
      </c>
      <c r="AX22" t="s">
        <v>95</v>
      </c>
      <c r="AY22" t="s">
        <v>95</v>
      </c>
      <c r="AZ22" t="s">
        <v>95</v>
      </c>
      <c r="BA22" t="s">
        <v>95</v>
      </c>
      <c r="BB22" t="s">
        <v>94</v>
      </c>
      <c r="BC22" t="s">
        <v>94</v>
      </c>
      <c r="BD22" t="s">
        <v>94</v>
      </c>
      <c r="BE22" t="s">
        <v>94</v>
      </c>
      <c r="BF22" t="s">
        <v>94</v>
      </c>
      <c r="BG22" t="s">
        <v>94</v>
      </c>
      <c r="BH22" t="s">
        <v>94</v>
      </c>
    </row>
    <row r="23" spans="1:60" x14ac:dyDescent="0.3">
      <c r="A23">
        <v>21</v>
      </c>
      <c r="B23" t="s">
        <v>70</v>
      </c>
      <c r="C23" t="s">
        <v>96</v>
      </c>
      <c r="D23" t="s">
        <v>72</v>
      </c>
      <c r="E23" t="s">
        <v>108</v>
      </c>
      <c r="F23" t="s">
        <v>74</v>
      </c>
      <c r="G23" t="s">
        <v>75</v>
      </c>
      <c r="H23" t="s">
        <v>74</v>
      </c>
      <c r="I23" t="s">
        <v>115</v>
      </c>
      <c r="J23" t="s">
        <v>77</v>
      </c>
      <c r="K23" t="s">
        <v>78</v>
      </c>
      <c r="L23" t="s">
        <v>79</v>
      </c>
      <c r="M23" t="s">
        <v>80</v>
      </c>
      <c r="N23" t="s">
        <v>79</v>
      </c>
      <c r="O23" t="s">
        <v>117</v>
      </c>
      <c r="P23" t="s">
        <v>79</v>
      </c>
      <c r="Q23" t="s">
        <v>83</v>
      </c>
      <c r="R23" t="s">
        <v>82</v>
      </c>
      <c r="S23" t="s">
        <v>84</v>
      </c>
      <c r="T23" t="s">
        <v>85</v>
      </c>
      <c r="U23" t="s">
        <v>82</v>
      </c>
      <c r="V23" t="s">
        <v>86</v>
      </c>
      <c r="W23" t="s">
        <v>120</v>
      </c>
      <c r="X23" t="s">
        <v>127</v>
      </c>
      <c r="Y23" t="s">
        <v>92</v>
      </c>
      <c r="Z23" t="s">
        <v>92</v>
      </c>
      <c r="AA23" t="s">
        <v>92</v>
      </c>
      <c r="AB23" t="s">
        <v>92</v>
      </c>
      <c r="AC23" t="s">
        <v>94</v>
      </c>
      <c r="AD23" t="s">
        <v>94</v>
      </c>
      <c r="AE23" t="s">
        <v>94</v>
      </c>
      <c r="AF23" t="s">
        <v>95</v>
      </c>
      <c r="AG23" t="s">
        <v>92</v>
      </c>
      <c r="AH23" t="s">
        <v>95</v>
      </c>
      <c r="AI23" t="s">
        <v>92</v>
      </c>
      <c r="AJ23" t="s">
        <v>92</v>
      </c>
      <c r="AK23" t="s">
        <v>92</v>
      </c>
      <c r="AL23" t="s">
        <v>94</v>
      </c>
      <c r="AM23" t="s">
        <v>94</v>
      </c>
      <c r="AN23" t="s">
        <v>92</v>
      </c>
      <c r="AO23" t="s">
        <v>95</v>
      </c>
      <c r="AP23" t="s">
        <v>94</v>
      </c>
      <c r="AQ23" t="s">
        <v>94</v>
      </c>
      <c r="AR23" t="s">
        <v>94</v>
      </c>
      <c r="AS23" t="s">
        <v>95</v>
      </c>
      <c r="AT23" t="s">
        <v>95</v>
      </c>
      <c r="AU23" t="s">
        <v>95</v>
      </c>
      <c r="AV23" t="s">
        <v>95</v>
      </c>
      <c r="AW23" t="s">
        <v>95</v>
      </c>
      <c r="AX23" t="s">
        <v>94</v>
      </c>
      <c r="AY23" t="s">
        <v>92</v>
      </c>
      <c r="AZ23" t="s">
        <v>95</v>
      </c>
      <c r="BA23" t="s">
        <v>92</v>
      </c>
      <c r="BB23" t="s">
        <v>93</v>
      </c>
      <c r="BC23" t="s">
        <v>93</v>
      </c>
      <c r="BD23" t="s">
        <v>93</v>
      </c>
      <c r="BE23" t="s">
        <v>93</v>
      </c>
      <c r="BF23" t="s">
        <v>95</v>
      </c>
      <c r="BG23" t="s">
        <v>95</v>
      </c>
      <c r="BH23" t="s">
        <v>95</v>
      </c>
    </row>
    <row r="24" spans="1:60" x14ac:dyDescent="0.3">
      <c r="A24">
        <v>27</v>
      </c>
      <c r="B24" t="s">
        <v>70</v>
      </c>
      <c r="C24" t="s">
        <v>153</v>
      </c>
      <c r="D24" t="s">
        <v>97</v>
      </c>
      <c r="E24" t="s">
        <v>73</v>
      </c>
      <c r="F24" t="s">
        <v>136</v>
      </c>
      <c r="G24" t="s">
        <v>135</v>
      </c>
      <c r="H24" t="s">
        <v>98</v>
      </c>
      <c r="I24" t="s">
        <v>76</v>
      </c>
      <c r="J24" t="s">
        <v>77</v>
      </c>
      <c r="K24" t="s">
        <v>78</v>
      </c>
      <c r="L24" t="s">
        <v>79</v>
      </c>
      <c r="M24" t="s">
        <v>80</v>
      </c>
      <c r="N24" t="s">
        <v>79</v>
      </c>
      <c r="O24" t="s">
        <v>109</v>
      </c>
      <c r="P24" t="s">
        <v>79</v>
      </c>
      <c r="Q24" t="s">
        <v>83</v>
      </c>
      <c r="R24" t="s">
        <v>79</v>
      </c>
      <c r="S24" t="s">
        <v>154</v>
      </c>
      <c r="T24" t="s">
        <v>152</v>
      </c>
      <c r="U24" t="s">
        <v>82</v>
      </c>
      <c r="V24" t="s">
        <v>148</v>
      </c>
      <c r="W24" t="s">
        <v>141</v>
      </c>
      <c r="X24" t="s">
        <v>112</v>
      </c>
      <c r="Y24" t="s">
        <v>92</v>
      </c>
      <c r="Z24" t="s">
        <v>93</v>
      </c>
      <c r="AA24" t="s">
        <v>92</v>
      </c>
      <c r="AB24" t="s">
        <v>93</v>
      </c>
      <c r="AC24" t="s">
        <v>93</v>
      </c>
      <c r="AD24" t="s">
        <v>93</v>
      </c>
      <c r="AE24" t="s">
        <v>92</v>
      </c>
      <c r="AF24" t="s">
        <v>95</v>
      </c>
      <c r="AG24" t="s">
        <v>95</v>
      </c>
      <c r="AH24" t="s">
        <v>93</v>
      </c>
      <c r="AI24" t="s">
        <v>93</v>
      </c>
      <c r="AJ24" t="s">
        <v>95</v>
      </c>
      <c r="AK24" t="s">
        <v>94</v>
      </c>
      <c r="AL24" t="s">
        <v>92</v>
      </c>
      <c r="AM24" t="s">
        <v>95</v>
      </c>
      <c r="AN24" t="s">
        <v>93</v>
      </c>
      <c r="AO24" t="s">
        <v>93</v>
      </c>
      <c r="AP24" t="s">
        <v>93</v>
      </c>
      <c r="AQ24" t="s">
        <v>95</v>
      </c>
      <c r="AR24" t="s">
        <v>95</v>
      </c>
      <c r="AS24" t="s">
        <v>95</v>
      </c>
      <c r="AT24" t="s">
        <v>92</v>
      </c>
      <c r="AU24" t="s">
        <v>92</v>
      </c>
      <c r="AV24" t="s">
        <v>94</v>
      </c>
      <c r="AW24" t="s">
        <v>94</v>
      </c>
      <c r="AX24" t="s">
        <v>92</v>
      </c>
      <c r="AY24" t="s">
        <v>94</v>
      </c>
      <c r="AZ24" t="s">
        <v>94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94</v>
      </c>
      <c r="BG24" t="s">
        <v>92</v>
      </c>
      <c r="BH24" t="s">
        <v>94</v>
      </c>
    </row>
    <row r="25" spans="1:60" x14ac:dyDescent="0.3">
      <c r="A25">
        <v>23</v>
      </c>
      <c r="B25" t="s">
        <v>70</v>
      </c>
      <c r="C25" t="s">
        <v>96</v>
      </c>
      <c r="D25" t="s">
        <v>149</v>
      </c>
      <c r="E25" t="s">
        <v>73</v>
      </c>
      <c r="F25" t="s">
        <v>136</v>
      </c>
      <c r="G25" t="s">
        <v>115</v>
      </c>
      <c r="H25" t="s">
        <v>136</v>
      </c>
      <c r="I25" t="s">
        <v>76</v>
      </c>
      <c r="J25" t="s">
        <v>77</v>
      </c>
      <c r="K25" t="s">
        <v>122</v>
      </c>
      <c r="L25" t="s">
        <v>79</v>
      </c>
      <c r="M25" t="s">
        <v>80</v>
      </c>
      <c r="N25" t="s">
        <v>79</v>
      </c>
      <c r="O25" t="s">
        <v>81</v>
      </c>
      <c r="P25" t="s">
        <v>79</v>
      </c>
      <c r="Q25" t="s">
        <v>83</v>
      </c>
      <c r="R25" t="s">
        <v>79</v>
      </c>
      <c r="S25" t="s">
        <v>84</v>
      </c>
      <c r="T25" t="s">
        <v>155</v>
      </c>
      <c r="U25" t="s">
        <v>79</v>
      </c>
      <c r="V25" t="s">
        <v>106</v>
      </c>
      <c r="W25" t="s">
        <v>141</v>
      </c>
      <c r="X25" t="s">
        <v>112</v>
      </c>
      <c r="Y25" t="s">
        <v>92</v>
      </c>
      <c r="Z25" t="s">
        <v>94</v>
      </c>
      <c r="AA25" t="s">
        <v>92</v>
      </c>
      <c r="AB25" t="s">
        <v>94</v>
      </c>
      <c r="AC25" t="s">
        <v>92</v>
      </c>
      <c r="AD25" t="s">
        <v>94</v>
      </c>
      <c r="AE25" t="s">
        <v>92</v>
      </c>
      <c r="AF25" t="s">
        <v>94</v>
      </c>
      <c r="AG25" t="s">
        <v>92</v>
      </c>
      <c r="AH25" t="s">
        <v>95</v>
      </c>
      <c r="AI25" t="s">
        <v>92</v>
      </c>
      <c r="AJ25" t="s">
        <v>94</v>
      </c>
      <c r="AK25" t="s">
        <v>94</v>
      </c>
      <c r="AL25" t="s">
        <v>94</v>
      </c>
      <c r="AM25" t="s">
        <v>94</v>
      </c>
      <c r="AN25" t="s">
        <v>94</v>
      </c>
      <c r="AO25" t="s">
        <v>92</v>
      </c>
      <c r="AP25" t="s">
        <v>94</v>
      </c>
      <c r="AQ25" t="s">
        <v>94</v>
      </c>
      <c r="AR25" t="s">
        <v>94</v>
      </c>
      <c r="AS25" t="s">
        <v>94</v>
      </c>
      <c r="AT25" t="s">
        <v>94</v>
      </c>
      <c r="AU25" t="s">
        <v>94</v>
      </c>
      <c r="AV25" t="s">
        <v>94</v>
      </c>
      <c r="AW25" t="s">
        <v>94</v>
      </c>
      <c r="AX25" t="s">
        <v>94</v>
      </c>
      <c r="AY25" t="s">
        <v>94</v>
      </c>
      <c r="AZ25" t="s">
        <v>94</v>
      </c>
      <c r="BA25" t="s">
        <v>94</v>
      </c>
      <c r="BB25" t="s">
        <v>94</v>
      </c>
      <c r="BC25" t="s">
        <v>94</v>
      </c>
      <c r="BD25" t="s">
        <v>94</v>
      </c>
      <c r="BE25" t="s">
        <v>92</v>
      </c>
      <c r="BF25" t="s">
        <v>92</v>
      </c>
      <c r="BG25" t="s">
        <v>92</v>
      </c>
      <c r="BH25" t="s">
        <v>94</v>
      </c>
    </row>
    <row r="26" spans="1:60" x14ac:dyDescent="0.3">
      <c r="A26">
        <v>21</v>
      </c>
      <c r="B26" t="s">
        <v>70</v>
      </c>
      <c r="C26" t="s">
        <v>96</v>
      </c>
      <c r="D26" t="s">
        <v>97</v>
      </c>
      <c r="E26" t="s">
        <v>108</v>
      </c>
      <c r="F26" t="s">
        <v>74</v>
      </c>
      <c r="G26" t="s">
        <v>99</v>
      </c>
      <c r="H26" t="s">
        <v>136</v>
      </c>
      <c r="I26" t="s">
        <v>76</v>
      </c>
      <c r="J26" t="s">
        <v>101</v>
      </c>
      <c r="K26" t="s">
        <v>131</v>
      </c>
      <c r="L26" t="s">
        <v>79</v>
      </c>
      <c r="M26" t="s">
        <v>80</v>
      </c>
      <c r="N26" t="s">
        <v>79</v>
      </c>
      <c r="O26" t="s">
        <v>109</v>
      </c>
      <c r="P26" t="s">
        <v>79</v>
      </c>
      <c r="Q26" t="s">
        <v>83</v>
      </c>
      <c r="R26" t="s">
        <v>82</v>
      </c>
      <c r="S26" t="s">
        <v>84</v>
      </c>
      <c r="T26" t="s">
        <v>156</v>
      </c>
      <c r="U26" t="s">
        <v>82</v>
      </c>
      <c r="V26" t="s">
        <v>86</v>
      </c>
      <c r="W26" t="s">
        <v>87</v>
      </c>
      <c r="X26" t="s">
        <v>112</v>
      </c>
      <c r="Y26" t="s">
        <v>94</v>
      </c>
      <c r="Z26" t="s">
        <v>94</v>
      </c>
      <c r="AA26" t="s">
        <v>92</v>
      </c>
      <c r="AB26" t="s">
        <v>94</v>
      </c>
      <c r="AC26" t="s">
        <v>92</v>
      </c>
      <c r="AD26" t="s">
        <v>92</v>
      </c>
      <c r="AE26" t="s">
        <v>94</v>
      </c>
      <c r="AF26" t="s">
        <v>92</v>
      </c>
      <c r="AG26" t="s">
        <v>94</v>
      </c>
      <c r="AH26" t="s">
        <v>92</v>
      </c>
      <c r="AI26" t="s">
        <v>94</v>
      </c>
      <c r="AJ26" t="s">
        <v>95</v>
      </c>
      <c r="AK26" t="s">
        <v>95</v>
      </c>
      <c r="AL26" t="s">
        <v>94</v>
      </c>
      <c r="AM26" t="s">
        <v>94</v>
      </c>
      <c r="AN26" t="s">
        <v>94</v>
      </c>
      <c r="AO26" t="s">
        <v>94</v>
      </c>
      <c r="AP26" t="s">
        <v>92</v>
      </c>
      <c r="AQ26" t="s">
        <v>95</v>
      </c>
      <c r="AR26" t="s">
        <v>94</v>
      </c>
      <c r="AS26" t="s">
        <v>92</v>
      </c>
      <c r="AT26" t="s">
        <v>95</v>
      </c>
      <c r="AU26" t="s">
        <v>94</v>
      </c>
      <c r="AV26" t="s">
        <v>92</v>
      </c>
      <c r="AW26" t="s">
        <v>94</v>
      </c>
      <c r="AX26" t="s">
        <v>95</v>
      </c>
      <c r="AY26" t="s">
        <v>95</v>
      </c>
      <c r="AZ26" t="s">
        <v>94</v>
      </c>
      <c r="BA26" t="s">
        <v>92</v>
      </c>
      <c r="BB26" t="s">
        <v>93</v>
      </c>
      <c r="BC26" t="s">
        <v>92</v>
      </c>
      <c r="BD26" t="s">
        <v>94</v>
      </c>
      <c r="BE26" t="s">
        <v>93</v>
      </c>
      <c r="BF26" t="s">
        <v>93</v>
      </c>
      <c r="BG26" t="s">
        <v>93</v>
      </c>
      <c r="BH26" t="s">
        <v>94</v>
      </c>
    </row>
    <row r="27" spans="1:60" x14ac:dyDescent="0.3">
      <c r="A27">
        <v>21</v>
      </c>
      <c r="B27" t="s">
        <v>70</v>
      </c>
      <c r="C27" t="s">
        <v>96</v>
      </c>
      <c r="D27" t="s">
        <v>72</v>
      </c>
      <c r="E27" t="s">
        <v>73</v>
      </c>
      <c r="F27" t="s">
        <v>74</v>
      </c>
      <c r="G27" t="s">
        <v>115</v>
      </c>
      <c r="H27" t="s">
        <v>74</v>
      </c>
      <c r="I27" t="s">
        <v>115</v>
      </c>
      <c r="J27" t="s">
        <v>77</v>
      </c>
      <c r="K27" t="s">
        <v>78</v>
      </c>
      <c r="L27" t="s">
        <v>79</v>
      </c>
      <c r="M27" t="s">
        <v>80</v>
      </c>
      <c r="N27" t="s">
        <v>79</v>
      </c>
      <c r="O27" t="s">
        <v>109</v>
      </c>
      <c r="P27" t="s">
        <v>79</v>
      </c>
      <c r="Q27" t="s">
        <v>83</v>
      </c>
      <c r="R27" t="s">
        <v>79</v>
      </c>
      <c r="S27" t="s">
        <v>84</v>
      </c>
      <c r="T27" t="s">
        <v>124</v>
      </c>
      <c r="U27" t="s">
        <v>79</v>
      </c>
      <c r="V27" t="s">
        <v>106</v>
      </c>
      <c r="W27" t="s">
        <v>120</v>
      </c>
      <c r="X27" t="s">
        <v>112</v>
      </c>
      <c r="Y27" t="s">
        <v>95</v>
      </c>
      <c r="Z27" t="s">
        <v>95</v>
      </c>
      <c r="AA27" t="s">
        <v>95</v>
      </c>
      <c r="AB27" t="s">
        <v>95</v>
      </c>
      <c r="AC27" t="s">
        <v>95</v>
      </c>
      <c r="AD27" t="s">
        <v>95</v>
      </c>
      <c r="AE27" t="s">
        <v>95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95</v>
      </c>
      <c r="AL27" t="s">
        <v>95</v>
      </c>
      <c r="AM27" t="s">
        <v>95</v>
      </c>
      <c r="AN27" t="s">
        <v>95</v>
      </c>
      <c r="AO27" t="s">
        <v>95</v>
      </c>
      <c r="AP27" t="s">
        <v>95</v>
      </c>
      <c r="AQ27" t="s">
        <v>95</v>
      </c>
      <c r="AR27" t="s">
        <v>95</v>
      </c>
      <c r="AS27" t="s">
        <v>95</v>
      </c>
      <c r="AT27" t="s">
        <v>95</v>
      </c>
      <c r="AU27" t="s">
        <v>95</v>
      </c>
      <c r="AV27" t="s">
        <v>95</v>
      </c>
      <c r="AW27" t="s">
        <v>95</v>
      </c>
      <c r="AX27" t="s">
        <v>95</v>
      </c>
      <c r="AY27" t="s">
        <v>95</v>
      </c>
      <c r="AZ27" t="s">
        <v>95</v>
      </c>
      <c r="BA27" t="s">
        <v>95</v>
      </c>
      <c r="BB27" t="s">
        <v>95</v>
      </c>
      <c r="BC27" t="s">
        <v>95</v>
      </c>
      <c r="BD27" t="s">
        <v>95</v>
      </c>
      <c r="BE27" t="s">
        <v>95</v>
      </c>
      <c r="BF27" t="s">
        <v>95</v>
      </c>
      <c r="BG27" t="s">
        <v>95</v>
      </c>
      <c r="BH27" t="s">
        <v>95</v>
      </c>
    </row>
    <row r="28" spans="1:60" x14ac:dyDescent="0.3">
      <c r="A28">
        <v>20</v>
      </c>
      <c r="B28" t="s">
        <v>70</v>
      </c>
      <c r="C28" t="s">
        <v>96</v>
      </c>
      <c r="D28" t="s">
        <v>97</v>
      </c>
      <c r="E28" t="s">
        <v>73</v>
      </c>
      <c r="F28" t="s">
        <v>98</v>
      </c>
      <c r="G28" t="s">
        <v>135</v>
      </c>
      <c r="H28" t="s">
        <v>100</v>
      </c>
      <c r="I28" t="s">
        <v>76</v>
      </c>
      <c r="J28" t="s">
        <v>77</v>
      </c>
      <c r="K28" t="s">
        <v>125</v>
      </c>
      <c r="L28" t="s">
        <v>79</v>
      </c>
      <c r="M28" t="s">
        <v>80</v>
      </c>
      <c r="N28" t="s">
        <v>79</v>
      </c>
      <c r="O28" t="s">
        <v>138</v>
      </c>
      <c r="P28" t="s">
        <v>79</v>
      </c>
      <c r="Q28" t="s">
        <v>83</v>
      </c>
      <c r="R28" t="s">
        <v>79</v>
      </c>
      <c r="S28" t="s">
        <v>126</v>
      </c>
      <c r="T28" t="s">
        <v>119</v>
      </c>
      <c r="U28" t="s">
        <v>82</v>
      </c>
      <c r="V28" t="s">
        <v>86</v>
      </c>
      <c r="W28" t="s">
        <v>141</v>
      </c>
      <c r="X28" t="s">
        <v>112</v>
      </c>
      <c r="Y28" t="s">
        <v>92</v>
      </c>
      <c r="Z28" t="s">
        <v>92</v>
      </c>
      <c r="AA28" t="s">
        <v>92</v>
      </c>
      <c r="AB28" t="s">
        <v>94</v>
      </c>
      <c r="AC28" t="s">
        <v>94</v>
      </c>
      <c r="AD28" t="s">
        <v>94</v>
      </c>
      <c r="AE28" t="s">
        <v>94</v>
      </c>
      <c r="AF28" t="s">
        <v>92</v>
      </c>
      <c r="AG28" t="s">
        <v>92</v>
      </c>
      <c r="AH28" t="s">
        <v>94</v>
      </c>
      <c r="AI28" t="s">
        <v>92</v>
      </c>
      <c r="AJ28" t="s">
        <v>92</v>
      </c>
      <c r="AK28" t="s">
        <v>93</v>
      </c>
      <c r="AL28" t="s">
        <v>92</v>
      </c>
      <c r="AM28" t="s">
        <v>92</v>
      </c>
      <c r="AN28" t="s">
        <v>92</v>
      </c>
      <c r="AO28" t="s">
        <v>92</v>
      </c>
      <c r="AP28" t="s">
        <v>94</v>
      </c>
      <c r="AQ28" t="s">
        <v>94</v>
      </c>
      <c r="AR28" t="s">
        <v>94</v>
      </c>
      <c r="AS28" t="s">
        <v>94</v>
      </c>
      <c r="AT28" t="s">
        <v>94</v>
      </c>
      <c r="AU28" t="s">
        <v>92</v>
      </c>
      <c r="AV28" t="s">
        <v>94</v>
      </c>
      <c r="AW28" t="s">
        <v>92</v>
      </c>
      <c r="AX28" t="s">
        <v>94</v>
      </c>
      <c r="AY28" t="s">
        <v>92</v>
      </c>
      <c r="AZ28" t="s">
        <v>94</v>
      </c>
      <c r="BA28" t="s">
        <v>94</v>
      </c>
      <c r="BB28" t="s">
        <v>94</v>
      </c>
      <c r="BC28" t="s">
        <v>92</v>
      </c>
      <c r="BD28" t="s">
        <v>92</v>
      </c>
      <c r="BE28" t="s">
        <v>94</v>
      </c>
      <c r="BF28" t="s">
        <v>92</v>
      </c>
      <c r="BG28" t="s">
        <v>92</v>
      </c>
      <c r="BH28" t="s">
        <v>94</v>
      </c>
    </row>
    <row r="29" spans="1:60" x14ac:dyDescent="0.3">
      <c r="A29">
        <v>22</v>
      </c>
      <c r="B29" t="s">
        <v>70</v>
      </c>
      <c r="C29" t="s">
        <v>113</v>
      </c>
      <c r="D29" t="s">
        <v>72</v>
      </c>
      <c r="E29" t="s">
        <v>108</v>
      </c>
      <c r="F29" t="s">
        <v>98</v>
      </c>
      <c r="G29" t="s">
        <v>135</v>
      </c>
      <c r="H29" t="s">
        <v>98</v>
      </c>
      <c r="I29" t="s">
        <v>76</v>
      </c>
      <c r="J29" t="s">
        <v>77</v>
      </c>
      <c r="K29" t="s">
        <v>125</v>
      </c>
      <c r="L29" t="s">
        <v>79</v>
      </c>
      <c r="M29" t="s">
        <v>80</v>
      </c>
      <c r="N29" t="s">
        <v>79</v>
      </c>
      <c r="O29" t="s">
        <v>109</v>
      </c>
      <c r="P29" t="s">
        <v>79</v>
      </c>
      <c r="Q29" t="s">
        <v>83</v>
      </c>
      <c r="R29" t="s">
        <v>79</v>
      </c>
      <c r="S29" t="s">
        <v>84</v>
      </c>
      <c r="T29" t="s">
        <v>85</v>
      </c>
      <c r="U29" t="s">
        <v>79</v>
      </c>
      <c r="V29" t="s">
        <v>106</v>
      </c>
      <c r="W29" t="s">
        <v>141</v>
      </c>
      <c r="X29" t="s">
        <v>112</v>
      </c>
      <c r="Y29" t="s">
        <v>94</v>
      </c>
      <c r="Z29" t="s">
        <v>92</v>
      </c>
      <c r="AA29" t="s">
        <v>94</v>
      </c>
      <c r="AB29" t="s">
        <v>94</v>
      </c>
      <c r="AC29" t="s">
        <v>92</v>
      </c>
      <c r="AD29" t="s">
        <v>92</v>
      </c>
      <c r="AE29" t="s">
        <v>92</v>
      </c>
      <c r="AF29" t="s">
        <v>92</v>
      </c>
      <c r="AG29" t="s">
        <v>94</v>
      </c>
      <c r="AH29" t="s">
        <v>94</v>
      </c>
      <c r="AI29" t="s">
        <v>92</v>
      </c>
      <c r="AJ29" t="s">
        <v>94</v>
      </c>
      <c r="AK29" t="s">
        <v>92</v>
      </c>
      <c r="AL29" t="s">
        <v>94</v>
      </c>
      <c r="AM29" t="s">
        <v>92</v>
      </c>
      <c r="AN29" t="s">
        <v>92</v>
      </c>
      <c r="AO29" t="s">
        <v>94</v>
      </c>
      <c r="AP29" t="s">
        <v>92</v>
      </c>
      <c r="AQ29" t="s">
        <v>94</v>
      </c>
      <c r="AR29" t="s">
        <v>92</v>
      </c>
      <c r="AS29" t="s">
        <v>94</v>
      </c>
      <c r="AT29" t="s">
        <v>92</v>
      </c>
      <c r="AU29" t="s">
        <v>94</v>
      </c>
      <c r="AV29" t="s">
        <v>92</v>
      </c>
      <c r="AW29" t="s">
        <v>94</v>
      </c>
      <c r="AX29" t="s">
        <v>92</v>
      </c>
      <c r="AY29" t="s">
        <v>94</v>
      </c>
      <c r="AZ29" t="s">
        <v>92</v>
      </c>
      <c r="BA29" t="s">
        <v>94</v>
      </c>
      <c r="BB29" t="s">
        <v>94</v>
      </c>
      <c r="BC29" t="s">
        <v>94</v>
      </c>
      <c r="BD29" t="s">
        <v>94</v>
      </c>
      <c r="BE29" t="s">
        <v>94</v>
      </c>
      <c r="BF29" t="s">
        <v>94</v>
      </c>
      <c r="BG29" t="s">
        <v>94</v>
      </c>
      <c r="BH29" t="s">
        <v>92</v>
      </c>
    </row>
    <row r="30" spans="1:60" x14ac:dyDescent="0.3">
      <c r="A30">
        <v>22</v>
      </c>
      <c r="B30" t="s">
        <v>70</v>
      </c>
      <c r="C30" t="s">
        <v>96</v>
      </c>
      <c r="D30" t="s">
        <v>97</v>
      </c>
      <c r="E30" t="s">
        <v>108</v>
      </c>
      <c r="F30" t="s">
        <v>136</v>
      </c>
      <c r="G30" t="s">
        <v>99</v>
      </c>
      <c r="H30" t="s">
        <v>136</v>
      </c>
      <c r="I30" t="s">
        <v>76</v>
      </c>
      <c r="J30" t="s">
        <v>77</v>
      </c>
      <c r="K30" t="s">
        <v>125</v>
      </c>
      <c r="L30" t="s">
        <v>79</v>
      </c>
      <c r="M30" t="s">
        <v>80</v>
      </c>
      <c r="N30" t="s">
        <v>79</v>
      </c>
      <c r="O30" t="s">
        <v>109</v>
      </c>
      <c r="P30" t="s">
        <v>82</v>
      </c>
      <c r="Q30" t="s">
        <v>83</v>
      </c>
      <c r="R30" t="s">
        <v>79</v>
      </c>
      <c r="S30" t="s">
        <v>84</v>
      </c>
      <c r="T30" t="s">
        <v>130</v>
      </c>
      <c r="U30" t="s">
        <v>79</v>
      </c>
      <c r="V30" t="s">
        <v>86</v>
      </c>
      <c r="W30" t="s">
        <v>141</v>
      </c>
      <c r="X30" t="s">
        <v>112</v>
      </c>
      <c r="Y30" t="s">
        <v>94</v>
      </c>
      <c r="Z30" t="s">
        <v>92</v>
      </c>
      <c r="AA30" t="s">
        <v>94</v>
      </c>
      <c r="AB30" t="s">
        <v>94</v>
      </c>
      <c r="AC30" t="s">
        <v>92</v>
      </c>
      <c r="AD30" t="s">
        <v>94</v>
      </c>
      <c r="AE30" t="s">
        <v>94</v>
      </c>
      <c r="AF30" t="s">
        <v>92</v>
      </c>
      <c r="AG30" t="s">
        <v>94</v>
      </c>
      <c r="AH30" t="s">
        <v>94</v>
      </c>
      <c r="AI30" t="s">
        <v>92</v>
      </c>
      <c r="AJ30" t="s">
        <v>92</v>
      </c>
      <c r="AK30" t="s">
        <v>92</v>
      </c>
      <c r="AL30" t="s">
        <v>92</v>
      </c>
      <c r="AM30" t="s">
        <v>92</v>
      </c>
      <c r="AN30" t="s">
        <v>92</v>
      </c>
      <c r="AO30" t="s">
        <v>92</v>
      </c>
      <c r="AP30" t="s">
        <v>92</v>
      </c>
      <c r="AQ30" t="s">
        <v>92</v>
      </c>
      <c r="AR30" t="s">
        <v>94</v>
      </c>
      <c r="AS30" t="s">
        <v>95</v>
      </c>
      <c r="AT30" t="s">
        <v>95</v>
      </c>
      <c r="AU30" t="s">
        <v>94</v>
      </c>
      <c r="AV30" t="s">
        <v>94</v>
      </c>
      <c r="AW30" t="s">
        <v>92</v>
      </c>
      <c r="AX30" t="s">
        <v>92</v>
      </c>
      <c r="AY30" t="s">
        <v>94</v>
      </c>
      <c r="AZ30" t="s">
        <v>95</v>
      </c>
      <c r="BA30" t="s">
        <v>93</v>
      </c>
      <c r="BB30" t="s">
        <v>93</v>
      </c>
      <c r="BC30" t="s">
        <v>93</v>
      </c>
      <c r="BD30" t="s">
        <v>93</v>
      </c>
      <c r="BE30" t="s">
        <v>92</v>
      </c>
      <c r="BF30" t="s">
        <v>92</v>
      </c>
      <c r="BG30" t="s">
        <v>92</v>
      </c>
      <c r="BH30" t="s">
        <v>92</v>
      </c>
    </row>
    <row r="31" spans="1:60" x14ac:dyDescent="0.3">
      <c r="A31">
        <v>21</v>
      </c>
      <c r="B31" t="s">
        <v>70</v>
      </c>
      <c r="C31" t="s">
        <v>96</v>
      </c>
      <c r="D31" t="s">
        <v>72</v>
      </c>
      <c r="E31" t="s">
        <v>108</v>
      </c>
      <c r="F31" t="s">
        <v>136</v>
      </c>
      <c r="G31" t="s">
        <v>115</v>
      </c>
      <c r="H31" t="s">
        <v>98</v>
      </c>
      <c r="I31" t="s">
        <v>76</v>
      </c>
      <c r="J31" t="s">
        <v>77</v>
      </c>
      <c r="K31" t="s">
        <v>125</v>
      </c>
      <c r="L31" t="s">
        <v>79</v>
      </c>
      <c r="M31" t="s">
        <v>80</v>
      </c>
      <c r="N31" t="s">
        <v>79</v>
      </c>
      <c r="O31" t="s">
        <v>117</v>
      </c>
      <c r="P31" t="s">
        <v>79</v>
      </c>
      <c r="Q31" t="s">
        <v>83</v>
      </c>
      <c r="R31" t="s">
        <v>79</v>
      </c>
      <c r="S31" t="s">
        <v>84</v>
      </c>
      <c r="T31" t="s">
        <v>85</v>
      </c>
      <c r="U31" t="s">
        <v>82</v>
      </c>
      <c r="V31" t="s">
        <v>106</v>
      </c>
      <c r="W31" t="s">
        <v>141</v>
      </c>
      <c r="X31" t="s">
        <v>112</v>
      </c>
      <c r="Y31" t="s">
        <v>94</v>
      </c>
      <c r="Z31" t="s">
        <v>92</v>
      </c>
      <c r="AA31" t="s">
        <v>93</v>
      </c>
      <c r="AB31" t="s">
        <v>93</v>
      </c>
      <c r="AC31" t="s">
        <v>94</v>
      </c>
      <c r="AD31" t="s">
        <v>92</v>
      </c>
      <c r="AE31" t="s">
        <v>95</v>
      </c>
      <c r="AF31" t="s">
        <v>94</v>
      </c>
      <c r="AG31" t="s">
        <v>92</v>
      </c>
      <c r="AH31" t="s">
        <v>93</v>
      </c>
      <c r="AI31" t="s">
        <v>93</v>
      </c>
      <c r="AJ31" t="s">
        <v>92</v>
      </c>
      <c r="AK31" t="s">
        <v>92</v>
      </c>
      <c r="AL31" t="s">
        <v>94</v>
      </c>
      <c r="AM31" t="s">
        <v>92</v>
      </c>
      <c r="AN31" t="s">
        <v>92</v>
      </c>
      <c r="AO31" t="s">
        <v>92</v>
      </c>
      <c r="AP31" t="s">
        <v>93</v>
      </c>
      <c r="AQ31" t="s">
        <v>94</v>
      </c>
      <c r="AR31" t="s">
        <v>94</v>
      </c>
      <c r="AS31" t="s">
        <v>94</v>
      </c>
      <c r="AT31" t="s">
        <v>94</v>
      </c>
      <c r="AU31" t="s">
        <v>92</v>
      </c>
      <c r="AV31" t="s">
        <v>92</v>
      </c>
      <c r="AW31" t="s">
        <v>93</v>
      </c>
      <c r="AX31" t="s">
        <v>94</v>
      </c>
      <c r="AY31" t="s">
        <v>94</v>
      </c>
      <c r="AZ31" t="s">
        <v>94</v>
      </c>
      <c r="BA31" t="s">
        <v>94</v>
      </c>
      <c r="BB31" t="s">
        <v>92</v>
      </c>
      <c r="BC31" t="s">
        <v>93</v>
      </c>
      <c r="BD31" t="s">
        <v>93</v>
      </c>
      <c r="BE31" t="s">
        <v>93</v>
      </c>
      <c r="BF31" t="s">
        <v>94</v>
      </c>
      <c r="BG31" t="s">
        <v>95</v>
      </c>
      <c r="BH31" t="s">
        <v>94</v>
      </c>
    </row>
    <row r="32" spans="1:60" x14ac:dyDescent="0.3">
      <c r="A32">
        <v>21</v>
      </c>
      <c r="B32" t="s">
        <v>70</v>
      </c>
      <c r="C32" t="s">
        <v>157</v>
      </c>
      <c r="D32" t="s">
        <v>97</v>
      </c>
      <c r="E32" t="s">
        <v>108</v>
      </c>
      <c r="F32" t="s">
        <v>74</v>
      </c>
      <c r="G32" t="s">
        <v>75</v>
      </c>
      <c r="H32" t="s">
        <v>74</v>
      </c>
      <c r="I32" t="s">
        <v>75</v>
      </c>
      <c r="J32" t="s">
        <v>77</v>
      </c>
      <c r="K32" t="s">
        <v>131</v>
      </c>
      <c r="L32" t="s">
        <v>79</v>
      </c>
      <c r="M32" t="s">
        <v>80</v>
      </c>
      <c r="N32" t="s">
        <v>79</v>
      </c>
      <c r="O32" t="s">
        <v>138</v>
      </c>
      <c r="P32" t="s">
        <v>79</v>
      </c>
      <c r="Q32" t="s">
        <v>83</v>
      </c>
      <c r="R32" t="s">
        <v>79</v>
      </c>
      <c r="S32" t="s">
        <v>84</v>
      </c>
      <c r="T32" t="s">
        <v>158</v>
      </c>
      <c r="U32" t="s">
        <v>82</v>
      </c>
      <c r="V32" t="s">
        <v>106</v>
      </c>
      <c r="W32" t="s">
        <v>141</v>
      </c>
      <c r="X32" t="s">
        <v>112</v>
      </c>
      <c r="Y32" t="s">
        <v>95</v>
      </c>
      <c r="Z32" t="s">
        <v>95</v>
      </c>
      <c r="AA32" t="s">
        <v>94</v>
      </c>
      <c r="AB32" t="s">
        <v>94</v>
      </c>
      <c r="AC32" t="s">
        <v>94</v>
      </c>
      <c r="AD32" t="s">
        <v>94</v>
      </c>
      <c r="AE32" t="s">
        <v>94</v>
      </c>
      <c r="AF32" t="s">
        <v>94</v>
      </c>
      <c r="AG32" t="s">
        <v>94</v>
      </c>
      <c r="AH32" t="s">
        <v>94</v>
      </c>
      <c r="AI32" t="s">
        <v>92</v>
      </c>
      <c r="AJ32" t="s">
        <v>92</v>
      </c>
      <c r="AK32" t="s">
        <v>92</v>
      </c>
      <c r="AL32" t="s">
        <v>92</v>
      </c>
      <c r="AM32" t="s">
        <v>92</v>
      </c>
      <c r="AN32" t="s">
        <v>94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94</v>
      </c>
      <c r="AU32" t="s">
        <v>94</v>
      </c>
      <c r="AV32" t="s">
        <v>94</v>
      </c>
      <c r="AW32" t="s">
        <v>94</v>
      </c>
      <c r="AX32" t="s">
        <v>94</v>
      </c>
      <c r="AY32" t="s">
        <v>94</v>
      </c>
      <c r="AZ32" t="s">
        <v>94</v>
      </c>
      <c r="BA32" t="s">
        <v>94</v>
      </c>
      <c r="BB32" t="s">
        <v>94</v>
      </c>
      <c r="BC32" t="s">
        <v>94</v>
      </c>
      <c r="BD32" t="s">
        <v>94</v>
      </c>
      <c r="BE32" t="s">
        <v>94</v>
      </c>
      <c r="BF32" t="s">
        <v>94</v>
      </c>
      <c r="BG32" t="s">
        <v>94</v>
      </c>
      <c r="BH32" t="s">
        <v>94</v>
      </c>
    </row>
    <row r="33" spans="1:60" x14ac:dyDescent="0.3">
      <c r="A33">
        <v>21</v>
      </c>
      <c r="B33" t="s">
        <v>70</v>
      </c>
      <c r="C33" t="s">
        <v>157</v>
      </c>
      <c r="D33" t="s">
        <v>97</v>
      </c>
      <c r="E33" t="s">
        <v>108</v>
      </c>
      <c r="F33" t="s">
        <v>74</v>
      </c>
      <c r="G33" t="s">
        <v>75</v>
      </c>
      <c r="H33" t="s">
        <v>74</v>
      </c>
      <c r="I33" t="s">
        <v>76</v>
      </c>
      <c r="J33" t="s">
        <v>77</v>
      </c>
      <c r="K33" t="s">
        <v>131</v>
      </c>
      <c r="L33" t="s">
        <v>79</v>
      </c>
      <c r="M33" t="s">
        <v>80</v>
      </c>
      <c r="N33" t="s">
        <v>82</v>
      </c>
      <c r="O33" t="s">
        <v>138</v>
      </c>
      <c r="P33" t="s">
        <v>79</v>
      </c>
      <c r="Q33" t="s">
        <v>83</v>
      </c>
      <c r="R33" t="s">
        <v>79</v>
      </c>
      <c r="S33" t="s">
        <v>84</v>
      </c>
      <c r="T33" t="s">
        <v>130</v>
      </c>
      <c r="U33" t="s">
        <v>79</v>
      </c>
      <c r="V33" t="s">
        <v>106</v>
      </c>
      <c r="W33" t="s">
        <v>87</v>
      </c>
      <c r="X33" t="s">
        <v>112</v>
      </c>
      <c r="Y33" t="s">
        <v>94</v>
      </c>
      <c r="Z33" t="s">
        <v>93</v>
      </c>
      <c r="AA33" t="s">
        <v>93</v>
      </c>
      <c r="AB33" t="s">
        <v>93</v>
      </c>
      <c r="AC33" t="s">
        <v>93</v>
      </c>
      <c r="AD33" t="s">
        <v>95</v>
      </c>
      <c r="AE33" t="s">
        <v>95</v>
      </c>
      <c r="AF33" t="s">
        <v>92</v>
      </c>
      <c r="AG33" t="s">
        <v>92</v>
      </c>
      <c r="AH33" t="s">
        <v>95</v>
      </c>
      <c r="AI33" t="s">
        <v>93</v>
      </c>
      <c r="AJ33" t="s">
        <v>93</v>
      </c>
      <c r="AK33" t="s">
        <v>93</v>
      </c>
      <c r="AL33" t="s">
        <v>93</v>
      </c>
      <c r="AM33" t="s">
        <v>93</v>
      </c>
      <c r="AN33" t="s">
        <v>93</v>
      </c>
      <c r="AO33" t="s">
        <v>93</v>
      </c>
      <c r="AP33" t="s">
        <v>93</v>
      </c>
      <c r="AQ33" t="s">
        <v>95</v>
      </c>
      <c r="AR33" t="s">
        <v>95</v>
      </c>
      <c r="AS33" t="s">
        <v>95</v>
      </c>
      <c r="AT33" t="s">
        <v>95</v>
      </c>
      <c r="AU33" t="s">
        <v>95</v>
      </c>
      <c r="AV33" t="s">
        <v>95</v>
      </c>
      <c r="AW33" t="s">
        <v>95</v>
      </c>
      <c r="AX33" t="s">
        <v>95</v>
      </c>
      <c r="AY33" t="s">
        <v>95</v>
      </c>
      <c r="AZ33" t="s">
        <v>95</v>
      </c>
      <c r="BA33" t="s">
        <v>93</v>
      </c>
      <c r="BB33" t="s">
        <v>92</v>
      </c>
      <c r="BC33" t="s">
        <v>93</v>
      </c>
      <c r="BD33" t="s">
        <v>93</v>
      </c>
      <c r="BE33" t="s">
        <v>93</v>
      </c>
      <c r="BF33" t="s">
        <v>95</v>
      </c>
      <c r="BG33" t="s">
        <v>95</v>
      </c>
      <c r="BH33" t="s">
        <v>92</v>
      </c>
    </row>
    <row r="34" spans="1:60" x14ac:dyDescent="0.3">
      <c r="A34">
        <v>19</v>
      </c>
      <c r="B34" t="s">
        <v>70</v>
      </c>
      <c r="C34" t="s">
        <v>157</v>
      </c>
      <c r="D34" t="s">
        <v>72</v>
      </c>
      <c r="E34" t="s">
        <v>114</v>
      </c>
      <c r="F34" t="s">
        <v>98</v>
      </c>
      <c r="G34" t="s">
        <v>75</v>
      </c>
      <c r="H34" t="s">
        <v>98</v>
      </c>
      <c r="I34" t="s">
        <v>76</v>
      </c>
      <c r="J34" t="s">
        <v>77</v>
      </c>
      <c r="K34" t="s">
        <v>122</v>
      </c>
      <c r="L34" t="s">
        <v>79</v>
      </c>
      <c r="M34" t="s">
        <v>80</v>
      </c>
      <c r="N34" t="s">
        <v>82</v>
      </c>
      <c r="O34" t="s">
        <v>117</v>
      </c>
      <c r="P34" t="s">
        <v>79</v>
      </c>
      <c r="Q34" t="s">
        <v>83</v>
      </c>
      <c r="R34" t="s">
        <v>82</v>
      </c>
      <c r="S34" t="s">
        <v>84</v>
      </c>
      <c r="T34" t="s">
        <v>159</v>
      </c>
      <c r="U34" t="s">
        <v>82</v>
      </c>
      <c r="V34" t="s">
        <v>86</v>
      </c>
      <c r="W34" t="s">
        <v>120</v>
      </c>
      <c r="X34" t="s">
        <v>160</v>
      </c>
      <c r="Y34" t="s">
        <v>92</v>
      </c>
      <c r="Z34" t="s">
        <v>92</v>
      </c>
      <c r="AA34" t="s">
        <v>92</v>
      </c>
      <c r="AB34" t="s">
        <v>92</v>
      </c>
      <c r="AC34" t="s">
        <v>92</v>
      </c>
      <c r="AD34" t="s">
        <v>92</v>
      </c>
      <c r="AE34" t="s">
        <v>92</v>
      </c>
      <c r="AF34" t="s">
        <v>92</v>
      </c>
      <c r="AG34" t="s">
        <v>92</v>
      </c>
      <c r="AH34" t="s">
        <v>92</v>
      </c>
      <c r="AI34" t="s">
        <v>92</v>
      </c>
      <c r="AJ34" t="s">
        <v>92</v>
      </c>
      <c r="AK34" t="s">
        <v>92</v>
      </c>
      <c r="AL34" t="s">
        <v>92</v>
      </c>
      <c r="AM34" t="s">
        <v>92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92</v>
      </c>
      <c r="AV34" t="s">
        <v>92</v>
      </c>
      <c r="AW34" t="s">
        <v>92</v>
      </c>
      <c r="AX34" t="s">
        <v>92</v>
      </c>
      <c r="AY34" t="s">
        <v>92</v>
      </c>
      <c r="AZ34" t="s">
        <v>92</v>
      </c>
      <c r="BA34" t="s">
        <v>93</v>
      </c>
      <c r="BB34" t="s">
        <v>93</v>
      </c>
      <c r="BC34" t="s">
        <v>93</v>
      </c>
      <c r="BD34" t="s">
        <v>93</v>
      </c>
      <c r="BE34" t="s">
        <v>93</v>
      </c>
      <c r="BF34" t="s">
        <v>93</v>
      </c>
      <c r="BG34" t="s">
        <v>93</v>
      </c>
      <c r="BH34" t="s">
        <v>93</v>
      </c>
    </row>
    <row r="35" spans="1:60" x14ac:dyDescent="0.3">
      <c r="A35">
        <v>20</v>
      </c>
      <c r="B35" t="s">
        <v>70</v>
      </c>
      <c r="C35" t="s">
        <v>157</v>
      </c>
      <c r="D35" t="s">
        <v>97</v>
      </c>
      <c r="E35" t="s">
        <v>108</v>
      </c>
      <c r="F35" t="s">
        <v>74</v>
      </c>
      <c r="G35" t="s">
        <v>115</v>
      </c>
      <c r="H35" t="s">
        <v>74</v>
      </c>
      <c r="I35" t="s">
        <v>76</v>
      </c>
      <c r="J35" t="s">
        <v>77</v>
      </c>
      <c r="K35" t="s">
        <v>78</v>
      </c>
      <c r="L35" t="s">
        <v>79</v>
      </c>
      <c r="M35" t="s">
        <v>80</v>
      </c>
      <c r="N35" t="s">
        <v>82</v>
      </c>
      <c r="O35" t="s">
        <v>117</v>
      </c>
      <c r="P35" t="s">
        <v>82</v>
      </c>
      <c r="Q35" t="s">
        <v>103</v>
      </c>
      <c r="R35" t="s">
        <v>82</v>
      </c>
      <c r="S35" t="s">
        <v>84</v>
      </c>
      <c r="T35" t="s">
        <v>159</v>
      </c>
      <c r="U35" t="s">
        <v>82</v>
      </c>
      <c r="V35" t="s">
        <v>106</v>
      </c>
      <c r="W35" t="s">
        <v>141</v>
      </c>
      <c r="X35" t="s">
        <v>112</v>
      </c>
      <c r="Y35" t="s">
        <v>92</v>
      </c>
      <c r="Z35" t="s">
        <v>93</v>
      </c>
      <c r="AA35" t="s">
        <v>93</v>
      </c>
      <c r="AB35" t="s">
        <v>93</v>
      </c>
      <c r="AC35" t="s">
        <v>93</v>
      </c>
      <c r="AD35" t="s">
        <v>93</v>
      </c>
      <c r="AE35" t="s">
        <v>94</v>
      </c>
      <c r="AF35" t="s">
        <v>92</v>
      </c>
      <c r="AG35" t="s">
        <v>92</v>
      </c>
      <c r="AH35" t="s">
        <v>93</v>
      </c>
      <c r="AI35" t="s">
        <v>93</v>
      </c>
      <c r="AJ35" t="s">
        <v>93</v>
      </c>
      <c r="AK35" t="s">
        <v>93</v>
      </c>
      <c r="AL35" t="s">
        <v>94</v>
      </c>
      <c r="AM35" t="s">
        <v>94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93</v>
      </c>
      <c r="AV35" t="s">
        <v>93</v>
      </c>
      <c r="AW35" t="s">
        <v>93</v>
      </c>
      <c r="AX35" t="s">
        <v>93</v>
      </c>
      <c r="AY35" t="s">
        <v>93</v>
      </c>
      <c r="AZ35" t="s">
        <v>93</v>
      </c>
      <c r="BA35" t="s">
        <v>93</v>
      </c>
      <c r="BB35" t="s">
        <v>93</v>
      </c>
      <c r="BC35" t="s">
        <v>93</v>
      </c>
      <c r="BD35" t="s">
        <v>93</v>
      </c>
      <c r="BE35" t="s">
        <v>93</v>
      </c>
      <c r="BF35" t="s">
        <v>93</v>
      </c>
      <c r="BG35" t="s">
        <v>93</v>
      </c>
      <c r="BH35" t="s">
        <v>93</v>
      </c>
    </row>
    <row r="36" spans="1:60" x14ac:dyDescent="0.3">
      <c r="A36">
        <v>21</v>
      </c>
      <c r="B36" t="s">
        <v>128</v>
      </c>
      <c r="C36" t="s">
        <v>157</v>
      </c>
      <c r="D36" t="s">
        <v>72</v>
      </c>
      <c r="E36" t="s">
        <v>114</v>
      </c>
      <c r="F36" t="s">
        <v>136</v>
      </c>
      <c r="G36" t="s">
        <v>135</v>
      </c>
      <c r="H36" t="s">
        <v>98</v>
      </c>
      <c r="I36" t="s">
        <v>76</v>
      </c>
      <c r="J36" t="s">
        <v>77</v>
      </c>
      <c r="K36" t="s">
        <v>125</v>
      </c>
      <c r="L36" t="s">
        <v>79</v>
      </c>
      <c r="M36" t="s">
        <v>80</v>
      </c>
      <c r="N36" t="s">
        <v>79</v>
      </c>
      <c r="O36" t="s">
        <v>81</v>
      </c>
      <c r="P36" t="s">
        <v>79</v>
      </c>
      <c r="Q36" t="s">
        <v>83</v>
      </c>
      <c r="R36" t="s">
        <v>82</v>
      </c>
      <c r="S36" t="s">
        <v>84</v>
      </c>
      <c r="T36" t="s">
        <v>85</v>
      </c>
      <c r="U36" t="s">
        <v>82</v>
      </c>
      <c r="V36" t="s">
        <v>106</v>
      </c>
      <c r="W36" t="s">
        <v>87</v>
      </c>
      <c r="X36" t="s">
        <v>112</v>
      </c>
      <c r="Y36" t="s">
        <v>93</v>
      </c>
      <c r="Z36" t="s">
        <v>93</v>
      </c>
      <c r="AA36" t="s">
        <v>93</v>
      </c>
      <c r="AB36" t="s">
        <v>93</v>
      </c>
      <c r="AC36" t="s">
        <v>92</v>
      </c>
      <c r="AD36" t="s">
        <v>92</v>
      </c>
      <c r="AE36" t="s">
        <v>92</v>
      </c>
      <c r="AF36" t="s">
        <v>93</v>
      </c>
      <c r="AG36" t="s">
        <v>93</v>
      </c>
      <c r="AH36" t="s">
        <v>93</v>
      </c>
      <c r="AI36" t="s">
        <v>93</v>
      </c>
      <c r="AJ36" t="s">
        <v>93</v>
      </c>
      <c r="AK36" t="s">
        <v>93</v>
      </c>
      <c r="AL36" t="s">
        <v>93</v>
      </c>
      <c r="AM36" t="s">
        <v>93</v>
      </c>
      <c r="AN36" t="s">
        <v>94</v>
      </c>
      <c r="AO36" t="s">
        <v>94</v>
      </c>
      <c r="AP36" t="s">
        <v>94</v>
      </c>
      <c r="AQ36" t="s">
        <v>92</v>
      </c>
      <c r="AR36" t="s">
        <v>92</v>
      </c>
      <c r="AS36" t="s">
        <v>93</v>
      </c>
      <c r="AT36" t="s">
        <v>93</v>
      </c>
      <c r="AU36" t="s">
        <v>93</v>
      </c>
      <c r="AV36" t="s">
        <v>93</v>
      </c>
      <c r="AW36" t="s">
        <v>93</v>
      </c>
      <c r="AX36" t="s">
        <v>93</v>
      </c>
      <c r="AY36" t="s">
        <v>93</v>
      </c>
      <c r="AZ36" t="s">
        <v>92</v>
      </c>
      <c r="BA36" t="s">
        <v>93</v>
      </c>
      <c r="BB36" t="s">
        <v>93</v>
      </c>
      <c r="BC36" t="s">
        <v>93</v>
      </c>
      <c r="BD36" t="s">
        <v>93</v>
      </c>
      <c r="BE36" t="s">
        <v>92</v>
      </c>
      <c r="BF36" t="s">
        <v>93</v>
      </c>
      <c r="BG36" t="s">
        <v>93</v>
      </c>
      <c r="BH36" t="s">
        <v>92</v>
      </c>
    </row>
    <row r="37" spans="1:60" x14ac:dyDescent="0.3">
      <c r="A37">
        <v>21</v>
      </c>
      <c r="B37" t="s">
        <v>70</v>
      </c>
      <c r="C37" t="s">
        <v>157</v>
      </c>
      <c r="D37" t="s">
        <v>72</v>
      </c>
      <c r="E37" t="s">
        <v>108</v>
      </c>
      <c r="F37" t="s">
        <v>136</v>
      </c>
      <c r="G37" t="s">
        <v>99</v>
      </c>
      <c r="H37" t="s">
        <v>136</v>
      </c>
      <c r="I37" t="s">
        <v>75</v>
      </c>
      <c r="J37" t="s">
        <v>77</v>
      </c>
      <c r="K37" t="s">
        <v>125</v>
      </c>
      <c r="L37" t="s">
        <v>79</v>
      </c>
      <c r="M37" t="s">
        <v>80</v>
      </c>
      <c r="N37" t="s">
        <v>79</v>
      </c>
      <c r="O37" t="s">
        <v>138</v>
      </c>
      <c r="P37" t="s">
        <v>82</v>
      </c>
      <c r="Q37" t="s">
        <v>103</v>
      </c>
      <c r="R37" t="s">
        <v>82</v>
      </c>
      <c r="S37" t="s">
        <v>161</v>
      </c>
      <c r="T37" t="s">
        <v>140</v>
      </c>
      <c r="U37" t="s">
        <v>82</v>
      </c>
      <c r="V37" t="s">
        <v>106</v>
      </c>
      <c r="W37" t="s">
        <v>87</v>
      </c>
      <c r="X37" t="s">
        <v>112</v>
      </c>
      <c r="Y37" t="s">
        <v>94</v>
      </c>
      <c r="Z37" t="s">
        <v>94</v>
      </c>
      <c r="AA37" t="s">
        <v>94</v>
      </c>
      <c r="AB37" t="s">
        <v>94</v>
      </c>
      <c r="AC37" t="s">
        <v>94</v>
      </c>
      <c r="AD37" t="s">
        <v>94</v>
      </c>
      <c r="AE37" t="s">
        <v>94</v>
      </c>
      <c r="AF37" t="s">
        <v>94</v>
      </c>
      <c r="AG37" t="s">
        <v>94</v>
      </c>
      <c r="AH37" t="s">
        <v>94</v>
      </c>
      <c r="AI37" t="s">
        <v>94</v>
      </c>
      <c r="AJ37" t="s">
        <v>94</v>
      </c>
      <c r="AK37" t="s">
        <v>94</v>
      </c>
      <c r="AL37" t="s">
        <v>94</v>
      </c>
      <c r="AM37" t="s">
        <v>94</v>
      </c>
      <c r="AN37" t="s">
        <v>94</v>
      </c>
      <c r="AO37" t="s">
        <v>94</v>
      </c>
      <c r="AP37" t="s">
        <v>94</v>
      </c>
      <c r="AQ37" t="s">
        <v>94</v>
      </c>
      <c r="AR37" t="s">
        <v>94</v>
      </c>
      <c r="AS37" t="s">
        <v>94</v>
      </c>
      <c r="AT37" t="s">
        <v>94</v>
      </c>
      <c r="AU37" t="s">
        <v>94</v>
      </c>
      <c r="AV37" t="s">
        <v>94</v>
      </c>
      <c r="AW37" t="s">
        <v>94</v>
      </c>
      <c r="AX37" t="s">
        <v>94</v>
      </c>
      <c r="AY37" t="s">
        <v>94</v>
      </c>
      <c r="AZ37" t="s">
        <v>94</v>
      </c>
      <c r="BA37" t="s">
        <v>94</v>
      </c>
      <c r="BB37" t="s">
        <v>94</v>
      </c>
      <c r="BC37" t="s">
        <v>94</v>
      </c>
      <c r="BD37" t="s">
        <v>94</v>
      </c>
      <c r="BE37" t="s">
        <v>94</v>
      </c>
      <c r="BF37" t="s">
        <v>94</v>
      </c>
      <c r="BG37" t="s">
        <v>94</v>
      </c>
      <c r="BH37" t="s">
        <v>94</v>
      </c>
    </row>
    <row r="38" spans="1:60" x14ac:dyDescent="0.3">
      <c r="A38">
        <v>21</v>
      </c>
      <c r="B38" t="s">
        <v>70</v>
      </c>
      <c r="C38" t="s">
        <v>157</v>
      </c>
      <c r="D38" t="s">
        <v>72</v>
      </c>
      <c r="E38" t="s">
        <v>108</v>
      </c>
      <c r="F38" t="s">
        <v>74</v>
      </c>
      <c r="G38" t="s">
        <v>75</v>
      </c>
      <c r="H38" t="s">
        <v>74</v>
      </c>
      <c r="I38" t="s">
        <v>76</v>
      </c>
      <c r="J38" t="s">
        <v>77</v>
      </c>
      <c r="K38" t="s">
        <v>131</v>
      </c>
      <c r="L38" t="s">
        <v>79</v>
      </c>
      <c r="M38" t="s">
        <v>80</v>
      </c>
      <c r="N38" t="s">
        <v>79</v>
      </c>
      <c r="O38" t="s">
        <v>109</v>
      </c>
      <c r="P38" t="s">
        <v>82</v>
      </c>
      <c r="Q38" t="s">
        <v>83</v>
      </c>
      <c r="R38" t="s">
        <v>82</v>
      </c>
      <c r="S38" t="s">
        <v>84</v>
      </c>
      <c r="T38" t="s">
        <v>85</v>
      </c>
      <c r="U38" t="s">
        <v>82</v>
      </c>
      <c r="V38" t="s">
        <v>106</v>
      </c>
      <c r="W38" t="s">
        <v>120</v>
      </c>
      <c r="X38" t="s">
        <v>112</v>
      </c>
      <c r="Y38" t="s">
        <v>92</v>
      </c>
      <c r="Z38" t="s">
        <v>93</v>
      </c>
      <c r="AA38" t="s">
        <v>92</v>
      </c>
      <c r="AB38" t="s">
        <v>93</v>
      </c>
      <c r="AC38" t="s">
        <v>92</v>
      </c>
      <c r="AD38" t="s">
        <v>92</v>
      </c>
      <c r="AE38" t="s">
        <v>92</v>
      </c>
      <c r="AF38" t="s">
        <v>92</v>
      </c>
      <c r="AG38" t="s">
        <v>92</v>
      </c>
      <c r="AH38" t="s">
        <v>94</v>
      </c>
      <c r="AI38" t="s">
        <v>93</v>
      </c>
      <c r="AJ38" t="s">
        <v>94</v>
      </c>
      <c r="AK38" t="s">
        <v>93</v>
      </c>
      <c r="AL38" t="s">
        <v>94</v>
      </c>
      <c r="AM38" t="s">
        <v>92</v>
      </c>
      <c r="AN38" t="s">
        <v>93</v>
      </c>
      <c r="AO38" t="s">
        <v>93</v>
      </c>
      <c r="AP38" t="s">
        <v>93</v>
      </c>
      <c r="AQ38" t="s">
        <v>95</v>
      </c>
      <c r="AR38" t="s">
        <v>95</v>
      </c>
      <c r="AS38" t="s">
        <v>95</v>
      </c>
      <c r="AT38" t="s">
        <v>95</v>
      </c>
      <c r="AU38" t="s">
        <v>94</v>
      </c>
      <c r="AV38" t="s">
        <v>94</v>
      </c>
      <c r="AW38" t="s">
        <v>94</v>
      </c>
      <c r="AX38" t="s">
        <v>94</v>
      </c>
      <c r="AY38" t="s">
        <v>94</v>
      </c>
      <c r="AZ38" t="s">
        <v>94</v>
      </c>
      <c r="BA38" t="s">
        <v>92</v>
      </c>
      <c r="BB38" t="s">
        <v>92</v>
      </c>
      <c r="BC38" t="s">
        <v>92</v>
      </c>
      <c r="BD38" t="s">
        <v>93</v>
      </c>
      <c r="BE38" t="s">
        <v>93</v>
      </c>
      <c r="BF38" t="s">
        <v>92</v>
      </c>
      <c r="BG38" t="s">
        <v>94</v>
      </c>
      <c r="BH38" t="s">
        <v>94</v>
      </c>
    </row>
    <row r="39" spans="1:60" x14ac:dyDescent="0.3">
      <c r="A39">
        <v>20</v>
      </c>
      <c r="B39" t="s">
        <v>70</v>
      </c>
      <c r="C39" t="s">
        <v>157</v>
      </c>
      <c r="D39" t="s">
        <v>72</v>
      </c>
      <c r="E39" t="s">
        <v>108</v>
      </c>
      <c r="F39" t="s">
        <v>74</v>
      </c>
      <c r="G39" t="s">
        <v>135</v>
      </c>
      <c r="H39" t="s">
        <v>74</v>
      </c>
      <c r="I39" t="s">
        <v>115</v>
      </c>
      <c r="J39" t="s">
        <v>77</v>
      </c>
      <c r="K39" t="s">
        <v>131</v>
      </c>
      <c r="L39" t="s">
        <v>79</v>
      </c>
      <c r="M39" t="s">
        <v>132</v>
      </c>
      <c r="N39" t="s">
        <v>79</v>
      </c>
      <c r="O39" t="s">
        <v>109</v>
      </c>
      <c r="P39" t="s">
        <v>82</v>
      </c>
      <c r="Q39" t="s">
        <v>118</v>
      </c>
      <c r="R39" t="s">
        <v>82</v>
      </c>
      <c r="S39" t="s">
        <v>142</v>
      </c>
      <c r="T39" t="s">
        <v>111</v>
      </c>
      <c r="U39" t="s">
        <v>82</v>
      </c>
      <c r="V39" t="s">
        <v>106</v>
      </c>
      <c r="W39" t="s">
        <v>141</v>
      </c>
      <c r="X39" t="s">
        <v>127</v>
      </c>
      <c r="Y39" t="s">
        <v>95</v>
      </c>
      <c r="Z39" t="s">
        <v>94</v>
      </c>
      <c r="AA39" t="s">
        <v>95</v>
      </c>
      <c r="AB39" t="s">
        <v>94</v>
      </c>
      <c r="AC39" t="s">
        <v>92</v>
      </c>
      <c r="AD39" t="s">
        <v>92</v>
      </c>
      <c r="AE39" t="s">
        <v>92</v>
      </c>
      <c r="AF39" t="s">
        <v>95</v>
      </c>
      <c r="AG39" t="s">
        <v>94</v>
      </c>
      <c r="AH39" t="s">
        <v>92</v>
      </c>
      <c r="AI39" t="s">
        <v>94</v>
      </c>
      <c r="AJ39" t="s">
        <v>95</v>
      </c>
      <c r="AK39" t="s">
        <v>94</v>
      </c>
      <c r="AL39" t="s">
        <v>95</v>
      </c>
      <c r="AM39" t="s">
        <v>94</v>
      </c>
      <c r="AN39" t="s">
        <v>95</v>
      </c>
      <c r="AO39" t="s">
        <v>95</v>
      </c>
      <c r="AP39" t="s">
        <v>95</v>
      </c>
      <c r="AQ39" t="s">
        <v>95</v>
      </c>
      <c r="AR39" t="s">
        <v>94</v>
      </c>
      <c r="AS39" t="s">
        <v>94</v>
      </c>
      <c r="AT39" t="s">
        <v>95</v>
      </c>
      <c r="AU39" t="s">
        <v>94</v>
      </c>
      <c r="AV39" t="s">
        <v>94</v>
      </c>
      <c r="AW39" t="s">
        <v>94</v>
      </c>
      <c r="AX39" t="s">
        <v>95</v>
      </c>
      <c r="AY39" t="s">
        <v>94</v>
      </c>
      <c r="AZ39" t="s">
        <v>95</v>
      </c>
      <c r="BA39" t="s">
        <v>94</v>
      </c>
      <c r="BB39" t="s">
        <v>95</v>
      </c>
      <c r="BC39" t="s">
        <v>94</v>
      </c>
      <c r="BD39" t="s">
        <v>92</v>
      </c>
      <c r="BE39" t="s">
        <v>95</v>
      </c>
      <c r="BF39" t="s">
        <v>94</v>
      </c>
      <c r="BG39" t="s">
        <v>94</v>
      </c>
      <c r="BH39" t="s">
        <v>95</v>
      </c>
    </row>
    <row r="40" spans="1:60" x14ac:dyDescent="0.3">
      <c r="A40">
        <v>19</v>
      </c>
      <c r="B40" t="s">
        <v>70</v>
      </c>
      <c r="C40" t="s">
        <v>157</v>
      </c>
      <c r="D40" t="s">
        <v>72</v>
      </c>
      <c r="E40" t="s">
        <v>73</v>
      </c>
      <c r="F40" t="s">
        <v>74</v>
      </c>
      <c r="G40" t="s">
        <v>135</v>
      </c>
      <c r="H40" t="s">
        <v>136</v>
      </c>
      <c r="I40" t="s">
        <v>115</v>
      </c>
      <c r="J40" t="s">
        <v>77</v>
      </c>
      <c r="K40" t="s">
        <v>122</v>
      </c>
      <c r="L40" t="s">
        <v>79</v>
      </c>
      <c r="M40" t="s">
        <v>80</v>
      </c>
      <c r="N40" t="s">
        <v>79</v>
      </c>
      <c r="O40" t="s">
        <v>117</v>
      </c>
      <c r="P40" t="s">
        <v>82</v>
      </c>
      <c r="Q40" t="s">
        <v>83</v>
      </c>
      <c r="R40" t="s">
        <v>82</v>
      </c>
      <c r="S40" t="s">
        <v>123</v>
      </c>
      <c r="T40" t="s">
        <v>130</v>
      </c>
      <c r="U40" t="s">
        <v>79</v>
      </c>
      <c r="V40" t="s">
        <v>86</v>
      </c>
      <c r="W40" t="s">
        <v>141</v>
      </c>
      <c r="X40" t="s">
        <v>112</v>
      </c>
      <c r="Y40" t="s">
        <v>92</v>
      </c>
      <c r="Z40" t="s">
        <v>93</v>
      </c>
      <c r="AA40" t="s">
        <v>93</v>
      </c>
      <c r="AB40" t="s">
        <v>93</v>
      </c>
      <c r="AC40" t="s">
        <v>94</v>
      </c>
      <c r="AD40" t="s">
        <v>94</v>
      </c>
      <c r="AE40" t="s">
        <v>95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92</v>
      </c>
      <c r="AL40" t="s">
        <v>94</v>
      </c>
      <c r="AM40" t="s">
        <v>94</v>
      </c>
      <c r="AN40" t="s">
        <v>93</v>
      </c>
      <c r="AO40" t="s">
        <v>93</v>
      </c>
      <c r="AP40" t="s">
        <v>93</v>
      </c>
      <c r="AQ40" t="s">
        <v>95</v>
      </c>
      <c r="AR40" t="s">
        <v>95</v>
      </c>
      <c r="AS40" t="s">
        <v>95</v>
      </c>
      <c r="AT40" t="s">
        <v>95</v>
      </c>
      <c r="AU40" t="s">
        <v>92</v>
      </c>
      <c r="AV40" t="s">
        <v>94</v>
      </c>
      <c r="AW40" t="s">
        <v>94</v>
      </c>
      <c r="AX40" t="s">
        <v>92</v>
      </c>
      <c r="AY40" t="s">
        <v>95</v>
      </c>
      <c r="AZ40" t="s">
        <v>95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94</v>
      </c>
      <c r="BG40" t="s">
        <v>95</v>
      </c>
      <c r="BH40" t="s">
        <v>94</v>
      </c>
    </row>
    <row r="41" spans="1:60" x14ac:dyDescent="0.3">
      <c r="A41">
        <v>20</v>
      </c>
      <c r="B41" t="s">
        <v>162</v>
      </c>
      <c r="C41" t="s">
        <v>157</v>
      </c>
      <c r="D41" t="s">
        <v>72</v>
      </c>
      <c r="E41" t="s">
        <v>73</v>
      </c>
      <c r="F41" t="s">
        <v>74</v>
      </c>
      <c r="G41" t="s">
        <v>99</v>
      </c>
      <c r="H41" t="s">
        <v>136</v>
      </c>
      <c r="I41" t="s">
        <v>76</v>
      </c>
      <c r="J41" t="s">
        <v>101</v>
      </c>
      <c r="K41" t="s">
        <v>122</v>
      </c>
      <c r="L41" t="s">
        <v>79</v>
      </c>
      <c r="M41" t="s">
        <v>80</v>
      </c>
      <c r="N41" t="s">
        <v>79</v>
      </c>
      <c r="O41" t="s">
        <v>81</v>
      </c>
      <c r="P41" t="s">
        <v>82</v>
      </c>
      <c r="Q41" t="s">
        <v>83</v>
      </c>
      <c r="R41" t="s">
        <v>82</v>
      </c>
      <c r="S41" t="s">
        <v>163</v>
      </c>
      <c r="T41" t="s">
        <v>164</v>
      </c>
      <c r="U41" t="s">
        <v>82</v>
      </c>
      <c r="V41" t="s">
        <v>106</v>
      </c>
      <c r="W41" t="s">
        <v>141</v>
      </c>
      <c r="X41" t="s">
        <v>112</v>
      </c>
      <c r="Y41" t="s">
        <v>93</v>
      </c>
      <c r="Z41" t="s">
        <v>93</v>
      </c>
      <c r="AA41" t="s">
        <v>93</v>
      </c>
      <c r="AB41" t="s">
        <v>93</v>
      </c>
      <c r="AC41" t="s">
        <v>93</v>
      </c>
      <c r="AD41" t="s">
        <v>93</v>
      </c>
      <c r="AE41" t="s">
        <v>93</v>
      </c>
      <c r="AF41" t="s">
        <v>93</v>
      </c>
      <c r="AG41" t="s">
        <v>93</v>
      </c>
      <c r="AH41" t="s">
        <v>93</v>
      </c>
      <c r="AI41" t="s">
        <v>93</v>
      </c>
      <c r="AJ41" t="s">
        <v>93</v>
      </c>
      <c r="AK41" t="s">
        <v>93</v>
      </c>
      <c r="AL41" t="s">
        <v>93</v>
      </c>
      <c r="AM41" t="s">
        <v>93</v>
      </c>
      <c r="AN41" t="s">
        <v>93</v>
      </c>
      <c r="AO41" t="s">
        <v>93</v>
      </c>
      <c r="AP41" t="s">
        <v>93</v>
      </c>
      <c r="AQ41" t="s">
        <v>93</v>
      </c>
      <c r="AR41" t="s">
        <v>93</v>
      </c>
      <c r="AS41" t="s">
        <v>93</v>
      </c>
      <c r="AT41" t="s">
        <v>93</v>
      </c>
      <c r="AU41" t="s">
        <v>93</v>
      </c>
      <c r="AV41" t="s">
        <v>93</v>
      </c>
      <c r="AW41" t="s">
        <v>93</v>
      </c>
      <c r="AX41" t="s">
        <v>93</v>
      </c>
      <c r="AY41" t="s">
        <v>93</v>
      </c>
      <c r="AZ41" t="s">
        <v>93</v>
      </c>
      <c r="BA41" t="s">
        <v>93</v>
      </c>
      <c r="BB41" t="s">
        <v>93</v>
      </c>
      <c r="BC41" t="s">
        <v>93</v>
      </c>
      <c r="BD41" t="s">
        <v>93</v>
      </c>
      <c r="BE41" t="s">
        <v>93</v>
      </c>
      <c r="BF41" t="s">
        <v>93</v>
      </c>
      <c r="BG41" t="s">
        <v>93</v>
      </c>
      <c r="BH41" t="s">
        <v>93</v>
      </c>
    </row>
    <row r="42" spans="1:60" x14ac:dyDescent="0.3">
      <c r="A42">
        <v>20</v>
      </c>
      <c r="B42" t="s">
        <v>70</v>
      </c>
      <c r="C42" t="s">
        <v>157</v>
      </c>
      <c r="D42" t="s">
        <v>72</v>
      </c>
      <c r="E42" t="s">
        <v>114</v>
      </c>
      <c r="F42" t="s">
        <v>100</v>
      </c>
      <c r="G42" t="s">
        <v>146</v>
      </c>
      <c r="H42" t="s">
        <v>165</v>
      </c>
      <c r="I42" t="s">
        <v>76</v>
      </c>
      <c r="J42" t="s">
        <v>101</v>
      </c>
      <c r="K42" t="s">
        <v>125</v>
      </c>
      <c r="L42" t="s">
        <v>79</v>
      </c>
      <c r="M42" t="s">
        <v>80</v>
      </c>
      <c r="N42" t="s">
        <v>79</v>
      </c>
      <c r="O42" t="s">
        <v>109</v>
      </c>
      <c r="P42" t="s">
        <v>82</v>
      </c>
      <c r="Q42" t="s">
        <v>83</v>
      </c>
      <c r="R42" t="s">
        <v>79</v>
      </c>
      <c r="S42" t="s">
        <v>84</v>
      </c>
      <c r="T42" t="s">
        <v>150</v>
      </c>
      <c r="U42" t="s">
        <v>79</v>
      </c>
      <c r="V42" t="s">
        <v>106</v>
      </c>
      <c r="W42" t="s">
        <v>141</v>
      </c>
      <c r="X42" t="s">
        <v>112</v>
      </c>
      <c r="Y42" t="s">
        <v>94</v>
      </c>
      <c r="Z42" t="s">
        <v>92</v>
      </c>
      <c r="AA42" t="s">
        <v>93</v>
      </c>
      <c r="AB42" t="s">
        <v>94</v>
      </c>
      <c r="AC42" t="s">
        <v>93</v>
      </c>
      <c r="AD42" t="s">
        <v>94</v>
      </c>
      <c r="AE42" t="s">
        <v>94</v>
      </c>
      <c r="AF42" t="s">
        <v>93</v>
      </c>
      <c r="AG42" t="s">
        <v>94</v>
      </c>
      <c r="AH42" t="s">
        <v>93</v>
      </c>
      <c r="AI42" t="s">
        <v>93</v>
      </c>
      <c r="AJ42" t="s">
        <v>94</v>
      </c>
      <c r="AK42" t="s">
        <v>94</v>
      </c>
      <c r="AL42" t="s">
        <v>94</v>
      </c>
      <c r="AM42" t="s">
        <v>94</v>
      </c>
      <c r="AN42" t="s">
        <v>94</v>
      </c>
      <c r="AO42" t="s">
        <v>94</v>
      </c>
      <c r="AP42" t="s">
        <v>94</v>
      </c>
      <c r="AQ42" t="s">
        <v>94</v>
      </c>
      <c r="AR42" t="s">
        <v>94</v>
      </c>
      <c r="AS42" t="s">
        <v>94</v>
      </c>
      <c r="AT42" t="s">
        <v>94</v>
      </c>
      <c r="AU42" t="s">
        <v>92</v>
      </c>
      <c r="AV42" t="s">
        <v>94</v>
      </c>
      <c r="AW42" t="s">
        <v>92</v>
      </c>
      <c r="AX42" t="s">
        <v>94</v>
      </c>
      <c r="AY42" t="s">
        <v>93</v>
      </c>
      <c r="AZ42" t="s">
        <v>94</v>
      </c>
      <c r="BA42" t="s">
        <v>92</v>
      </c>
      <c r="BB42" t="s">
        <v>92</v>
      </c>
      <c r="BC42" t="s">
        <v>93</v>
      </c>
      <c r="BD42" t="s">
        <v>93</v>
      </c>
      <c r="BE42" t="s">
        <v>93</v>
      </c>
      <c r="BF42" t="s">
        <v>93</v>
      </c>
      <c r="BG42" t="s">
        <v>92</v>
      </c>
      <c r="BH42" t="s">
        <v>92</v>
      </c>
    </row>
    <row r="43" spans="1:60" x14ac:dyDescent="0.3">
      <c r="A43">
        <v>22</v>
      </c>
      <c r="B43" t="s">
        <v>70</v>
      </c>
      <c r="C43" t="s">
        <v>157</v>
      </c>
      <c r="D43" t="s">
        <v>72</v>
      </c>
      <c r="E43" t="s">
        <v>114</v>
      </c>
      <c r="F43" t="s">
        <v>98</v>
      </c>
      <c r="G43" t="s">
        <v>135</v>
      </c>
      <c r="H43" t="s">
        <v>98</v>
      </c>
      <c r="I43" t="s">
        <v>76</v>
      </c>
      <c r="J43" t="s">
        <v>77</v>
      </c>
      <c r="K43" t="s">
        <v>122</v>
      </c>
      <c r="L43" t="s">
        <v>82</v>
      </c>
      <c r="M43" t="s">
        <v>80</v>
      </c>
      <c r="N43" t="s">
        <v>79</v>
      </c>
      <c r="O43" t="s">
        <v>117</v>
      </c>
      <c r="P43" t="s">
        <v>82</v>
      </c>
      <c r="Q43" t="s">
        <v>83</v>
      </c>
      <c r="R43" t="s">
        <v>82</v>
      </c>
      <c r="S43" t="s">
        <v>84</v>
      </c>
      <c r="T43" t="s">
        <v>85</v>
      </c>
      <c r="U43" t="s">
        <v>82</v>
      </c>
      <c r="V43" t="s">
        <v>86</v>
      </c>
      <c r="W43" t="s">
        <v>87</v>
      </c>
      <c r="Y43" t="s">
        <v>93</v>
      </c>
      <c r="Z43" t="s">
        <v>93</v>
      </c>
      <c r="AA43" t="s">
        <v>93</v>
      </c>
      <c r="AB43" t="s">
        <v>93</v>
      </c>
      <c r="AC43" t="s">
        <v>92</v>
      </c>
      <c r="AD43" t="s">
        <v>92</v>
      </c>
      <c r="AE43" t="s">
        <v>92</v>
      </c>
      <c r="AF43" t="s">
        <v>94</v>
      </c>
      <c r="AG43" t="s">
        <v>93</v>
      </c>
      <c r="AH43" t="s">
        <v>93</v>
      </c>
      <c r="AI43" t="s">
        <v>93</v>
      </c>
      <c r="AJ43" t="s">
        <v>93</v>
      </c>
      <c r="AK43" t="s">
        <v>93</v>
      </c>
      <c r="AL43" t="s">
        <v>93</v>
      </c>
      <c r="AM43" t="s">
        <v>92</v>
      </c>
      <c r="AN43" t="s">
        <v>93</v>
      </c>
      <c r="AO43" t="s">
        <v>93</v>
      </c>
      <c r="AP43" t="s">
        <v>93</v>
      </c>
      <c r="AQ43" t="s">
        <v>93</v>
      </c>
      <c r="AR43" t="s">
        <v>95</v>
      </c>
      <c r="AS43" t="s">
        <v>95</v>
      </c>
      <c r="AT43" t="s">
        <v>95</v>
      </c>
      <c r="AU43" t="s">
        <v>93</v>
      </c>
      <c r="AV43" t="s">
        <v>93</v>
      </c>
      <c r="AW43" t="s">
        <v>93</v>
      </c>
      <c r="AX43" t="s">
        <v>93</v>
      </c>
      <c r="AY43" t="s">
        <v>95</v>
      </c>
      <c r="AZ43" t="s">
        <v>95</v>
      </c>
      <c r="BA43" t="s">
        <v>93</v>
      </c>
      <c r="BB43" t="s">
        <v>93</v>
      </c>
      <c r="BC43" t="s">
        <v>93</v>
      </c>
      <c r="BD43" t="s">
        <v>93</v>
      </c>
      <c r="BE43" t="s">
        <v>93</v>
      </c>
      <c r="BF43" t="s">
        <v>95</v>
      </c>
      <c r="BG43" t="s">
        <v>95</v>
      </c>
      <c r="BH43" t="s">
        <v>95</v>
      </c>
    </row>
    <row r="44" spans="1:60" x14ac:dyDescent="0.3">
      <c r="A44">
        <v>20</v>
      </c>
      <c r="B44" t="s">
        <v>70</v>
      </c>
      <c r="C44" t="s">
        <v>157</v>
      </c>
      <c r="D44" t="s">
        <v>97</v>
      </c>
      <c r="E44" t="s">
        <v>108</v>
      </c>
      <c r="F44" t="s">
        <v>74</v>
      </c>
      <c r="G44" t="s">
        <v>166</v>
      </c>
      <c r="H44" t="s">
        <v>98</v>
      </c>
      <c r="I44" t="s">
        <v>76</v>
      </c>
      <c r="J44" t="s">
        <v>77</v>
      </c>
      <c r="K44" t="s">
        <v>125</v>
      </c>
      <c r="L44" t="s">
        <v>82</v>
      </c>
      <c r="M44" t="s">
        <v>102</v>
      </c>
      <c r="N44" t="s">
        <v>79</v>
      </c>
      <c r="O44" t="s">
        <v>109</v>
      </c>
      <c r="P44" t="s">
        <v>79</v>
      </c>
      <c r="Q44" t="s">
        <v>103</v>
      </c>
      <c r="R44" t="s">
        <v>79</v>
      </c>
      <c r="S44" t="s">
        <v>84</v>
      </c>
      <c r="T44" t="s">
        <v>119</v>
      </c>
      <c r="U44" t="s">
        <v>82</v>
      </c>
      <c r="V44" t="s">
        <v>86</v>
      </c>
      <c r="W44" t="s">
        <v>141</v>
      </c>
      <c r="Y44" t="s">
        <v>94</v>
      </c>
      <c r="Z44" t="s">
        <v>93</v>
      </c>
      <c r="AA44" t="s">
        <v>93</v>
      </c>
      <c r="AB44" t="s">
        <v>92</v>
      </c>
      <c r="AC44" t="s">
        <v>93</v>
      </c>
      <c r="AD44" t="s">
        <v>93</v>
      </c>
      <c r="AE44" t="s">
        <v>92</v>
      </c>
      <c r="AF44" t="s">
        <v>93</v>
      </c>
      <c r="AG44" t="s">
        <v>92</v>
      </c>
      <c r="AH44" t="s">
        <v>93</v>
      </c>
      <c r="AI44" t="s">
        <v>93</v>
      </c>
      <c r="AJ44" t="s">
        <v>93</v>
      </c>
      <c r="AK44" t="s">
        <v>93</v>
      </c>
      <c r="AL44" t="s">
        <v>92</v>
      </c>
      <c r="AM44" t="s">
        <v>93</v>
      </c>
      <c r="AN44" t="s">
        <v>93</v>
      </c>
      <c r="AO44" t="s">
        <v>93</v>
      </c>
      <c r="AP44" t="s">
        <v>93</v>
      </c>
      <c r="AQ44" t="s">
        <v>95</v>
      </c>
      <c r="AR44" t="s">
        <v>95</v>
      </c>
      <c r="AS44" t="s">
        <v>95</v>
      </c>
      <c r="AT44" t="s">
        <v>95</v>
      </c>
      <c r="AU44" t="s">
        <v>95</v>
      </c>
      <c r="AV44" t="s">
        <v>95</v>
      </c>
      <c r="AW44" t="s">
        <v>94</v>
      </c>
      <c r="AX44" t="s">
        <v>93</v>
      </c>
      <c r="AY44" t="s">
        <v>92</v>
      </c>
      <c r="AZ44" t="s">
        <v>93</v>
      </c>
      <c r="BA44" t="s">
        <v>93</v>
      </c>
      <c r="BB44" t="s">
        <v>93</v>
      </c>
      <c r="BC44" t="s">
        <v>93</v>
      </c>
      <c r="BD44" t="s">
        <v>93</v>
      </c>
      <c r="BE44" t="s">
        <v>93</v>
      </c>
      <c r="BF44" t="s">
        <v>95</v>
      </c>
      <c r="BG44" t="s">
        <v>95</v>
      </c>
      <c r="BH44" t="s">
        <v>94</v>
      </c>
    </row>
    <row r="45" spans="1:60" x14ac:dyDescent="0.3">
      <c r="A45">
        <v>21</v>
      </c>
      <c r="B45" t="s">
        <v>70</v>
      </c>
      <c r="C45" t="s">
        <v>157</v>
      </c>
      <c r="D45" t="s">
        <v>72</v>
      </c>
      <c r="E45" t="s">
        <v>73</v>
      </c>
      <c r="F45" t="s">
        <v>74</v>
      </c>
      <c r="G45" t="s">
        <v>115</v>
      </c>
      <c r="H45" t="s">
        <v>98</v>
      </c>
      <c r="I45" t="s">
        <v>76</v>
      </c>
      <c r="J45" t="s">
        <v>77</v>
      </c>
      <c r="K45" t="s">
        <v>122</v>
      </c>
      <c r="L45" t="s">
        <v>79</v>
      </c>
      <c r="M45" t="s">
        <v>80</v>
      </c>
      <c r="N45" t="s">
        <v>82</v>
      </c>
      <c r="O45" t="s">
        <v>117</v>
      </c>
      <c r="P45" t="s">
        <v>79</v>
      </c>
      <c r="Q45" t="s">
        <v>118</v>
      </c>
      <c r="R45" t="s">
        <v>82</v>
      </c>
      <c r="S45" t="s">
        <v>142</v>
      </c>
      <c r="T45" t="s">
        <v>167</v>
      </c>
      <c r="U45" t="s">
        <v>82</v>
      </c>
      <c r="V45" t="s">
        <v>86</v>
      </c>
      <c r="W45" t="s">
        <v>120</v>
      </c>
      <c r="X45" t="s">
        <v>112</v>
      </c>
      <c r="Y45" t="s">
        <v>94</v>
      </c>
      <c r="Z45" t="s">
        <v>94</v>
      </c>
      <c r="AA45" t="s">
        <v>94</v>
      </c>
      <c r="AB45" t="s">
        <v>94</v>
      </c>
      <c r="AC45" t="s">
        <v>94</v>
      </c>
      <c r="AD45" t="s">
        <v>95</v>
      </c>
      <c r="AE45" t="s">
        <v>95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95</v>
      </c>
      <c r="AL45" t="s">
        <v>94</v>
      </c>
      <c r="AM45" t="s">
        <v>94</v>
      </c>
      <c r="AN45" t="s">
        <v>94</v>
      </c>
      <c r="AO45" t="s">
        <v>95</v>
      </c>
      <c r="AP45" t="s">
        <v>94</v>
      </c>
      <c r="AQ45" t="s">
        <v>94</v>
      </c>
      <c r="AR45" t="s">
        <v>95</v>
      </c>
      <c r="AS45" t="s">
        <v>94</v>
      </c>
      <c r="AT45" t="s">
        <v>94</v>
      </c>
      <c r="AU45" t="s">
        <v>94</v>
      </c>
      <c r="AV45" t="s">
        <v>94</v>
      </c>
      <c r="AW45" t="s">
        <v>94</v>
      </c>
      <c r="AX45" t="s">
        <v>95</v>
      </c>
      <c r="AY45" t="s">
        <v>94</v>
      </c>
      <c r="AZ45" t="s">
        <v>94</v>
      </c>
      <c r="BA45" t="s">
        <v>92</v>
      </c>
      <c r="BB45" t="s">
        <v>92</v>
      </c>
      <c r="BC45" t="s">
        <v>94</v>
      </c>
      <c r="BD45" t="s">
        <v>94</v>
      </c>
      <c r="BE45" t="s">
        <v>94</v>
      </c>
      <c r="BF45" t="s">
        <v>92</v>
      </c>
      <c r="BG45" t="s">
        <v>94</v>
      </c>
      <c r="BH45" t="s">
        <v>92</v>
      </c>
    </row>
    <row r="46" spans="1:60" x14ac:dyDescent="0.3">
      <c r="A46">
        <v>19</v>
      </c>
      <c r="B46" t="s">
        <v>70</v>
      </c>
      <c r="C46" t="s">
        <v>157</v>
      </c>
      <c r="D46" t="s">
        <v>72</v>
      </c>
      <c r="E46" t="s">
        <v>114</v>
      </c>
      <c r="F46" t="s">
        <v>74</v>
      </c>
      <c r="G46" t="s">
        <v>135</v>
      </c>
      <c r="H46" t="s">
        <v>136</v>
      </c>
      <c r="I46" t="s">
        <v>76</v>
      </c>
      <c r="J46" t="s">
        <v>77</v>
      </c>
      <c r="K46" t="s">
        <v>78</v>
      </c>
      <c r="L46" t="s">
        <v>79</v>
      </c>
      <c r="M46" t="s">
        <v>80</v>
      </c>
      <c r="N46" t="s">
        <v>79</v>
      </c>
      <c r="O46" t="s">
        <v>138</v>
      </c>
      <c r="P46" t="s">
        <v>79</v>
      </c>
      <c r="Q46" t="s">
        <v>83</v>
      </c>
      <c r="R46" t="s">
        <v>79</v>
      </c>
      <c r="S46" t="s">
        <v>84</v>
      </c>
      <c r="T46" t="s">
        <v>124</v>
      </c>
      <c r="U46" t="s">
        <v>82</v>
      </c>
      <c r="V46" t="s">
        <v>106</v>
      </c>
      <c r="W46" t="s">
        <v>87</v>
      </c>
      <c r="X46" t="s">
        <v>112</v>
      </c>
      <c r="Y46" t="s">
        <v>93</v>
      </c>
      <c r="Z46" t="s">
        <v>93</v>
      </c>
      <c r="AA46" t="s">
        <v>93</v>
      </c>
      <c r="AB46" t="s">
        <v>93</v>
      </c>
      <c r="AC46" t="s">
        <v>95</v>
      </c>
      <c r="AD46" t="s">
        <v>94</v>
      </c>
      <c r="AE46" t="s">
        <v>92</v>
      </c>
      <c r="AF46" t="s">
        <v>94</v>
      </c>
      <c r="AG46" t="s">
        <v>94</v>
      </c>
      <c r="AH46" t="s">
        <v>94</v>
      </c>
      <c r="AI46" t="s">
        <v>93</v>
      </c>
      <c r="AJ46" t="s">
        <v>93</v>
      </c>
      <c r="AK46" t="s">
        <v>93</v>
      </c>
      <c r="AL46" t="s">
        <v>93</v>
      </c>
      <c r="AM46" t="s">
        <v>93</v>
      </c>
      <c r="AN46" t="s">
        <v>93</v>
      </c>
      <c r="AO46" t="s">
        <v>93</v>
      </c>
      <c r="AP46" t="s">
        <v>93</v>
      </c>
      <c r="AQ46" t="s">
        <v>95</v>
      </c>
      <c r="AR46" t="s">
        <v>95</v>
      </c>
      <c r="AS46" t="s">
        <v>95</v>
      </c>
      <c r="AT46" t="s">
        <v>95</v>
      </c>
      <c r="AU46" t="s">
        <v>93</v>
      </c>
      <c r="AV46" t="s">
        <v>93</v>
      </c>
      <c r="AW46" t="s">
        <v>93</v>
      </c>
      <c r="AX46" t="s">
        <v>95</v>
      </c>
      <c r="AY46" t="s">
        <v>95</v>
      </c>
      <c r="AZ46" t="s">
        <v>95</v>
      </c>
    </row>
    <row r="47" spans="1:60" x14ac:dyDescent="0.3">
      <c r="A47">
        <v>21</v>
      </c>
      <c r="B47" t="s">
        <v>70</v>
      </c>
      <c r="C47" t="s">
        <v>157</v>
      </c>
      <c r="D47" t="s">
        <v>72</v>
      </c>
      <c r="E47" t="s">
        <v>73</v>
      </c>
      <c r="F47" t="s">
        <v>74</v>
      </c>
      <c r="G47" t="s">
        <v>75</v>
      </c>
      <c r="H47" t="s">
        <v>74</v>
      </c>
      <c r="I47" t="s">
        <v>115</v>
      </c>
      <c r="J47" t="s">
        <v>77</v>
      </c>
      <c r="K47" t="s">
        <v>131</v>
      </c>
      <c r="L47" t="s">
        <v>79</v>
      </c>
      <c r="M47" t="s">
        <v>132</v>
      </c>
      <c r="N47" t="s">
        <v>79</v>
      </c>
      <c r="O47" t="s">
        <v>117</v>
      </c>
      <c r="P47" t="s">
        <v>79</v>
      </c>
      <c r="Q47" t="s">
        <v>83</v>
      </c>
      <c r="R47" t="s">
        <v>79</v>
      </c>
      <c r="S47" t="s">
        <v>145</v>
      </c>
      <c r="T47" t="s">
        <v>168</v>
      </c>
      <c r="U47" t="s">
        <v>79</v>
      </c>
      <c r="V47" t="s">
        <v>106</v>
      </c>
      <c r="W47" t="s">
        <v>120</v>
      </c>
      <c r="X47" t="s">
        <v>112</v>
      </c>
      <c r="Y47" t="s">
        <v>92</v>
      </c>
      <c r="Z47" t="s">
        <v>93</v>
      </c>
      <c r="AA47" t="s">
        <v>92</v>
      </c>
      <c r="AB47" t="s">
        <v>93</v>
      </c>
      <c r="AC47" t="s">
        <v>94</v>
      </c>
      <c r="AD47" t="s">
        <v>92</v>
      </c>
      <c r="AE47" t="s">
        <v>95</v>
      </c>
      <c r="AF47" t="s">
        <v>92</v>
      </c>
      <c r="AG47" t="s">
        <v>92</v>
      </c>
      <c r="AH47" t="s">
        <v>92</v>
      </c>
      <c r="AI47" t="s">
        <v>94</v>
      </c>
      <c r="AJ47" t="s">
        <v>94</v>
      </c>
      <c r="AK47" t="s">
        <v>94</v>
      </c>
      <c r="AL47" t="s">
        <v>94</v>
      </c>
      <c r="AM47" t="s">
        <v>94</v>
      </c>
      <c r="AN47" t="s">
        <v>93</v>
      </c>
      <c r="AO47" t="s">
        <v>93</v>
      </c>
      <c r="AP47" t="s">
        <v>93</v>
      </c>
      <c r="AQ47" t="s">
        <v>95</v>
      </c>
      <c r="AR47" t="s">
        <v>95</v>
      </c>
      <c r="AS47" t="s">
        <v>95</v>
      </c>
      <c r="AT47" t="s">
        <v>95</v>
      </c>
      <c r="AU47" t="s">
        <v>92</v>
      </c>
      <c r="AV47" t="s">
        <v>94</v>
      </c>
      <c r="AW47" t="s">
        <v>92</v>
      </c>
      <c r="AX47" t="s">
        <v>94</v>
      </c>
      <c r="AY47" t="s">
        <v>95</v>
      </c>
      <c r="AZ47" t="s">
        <v>95</v>
      </c>
      <c r="BA47" t="s">
        <v>93</v>
      </c>
      <c r="BB47" t="s">
        <v>93</v>
      </c>
      <c r="BC47" t="s">
        <v>93</v>
      </c>
      <c r="BD47" t="s">
        <v>93</v>
      </c>
      <c r="BE47" t="s">
        <v>93</v>
      </c>
      <c r="BF47" t="s">
        <v>95</v>
      </c>
      <c r="BG47" t="s">
        <v>95</v>
      </c>
      <c r="BH47" t="s">
        <v>95</v>
      </c>
    </row>
    <row r="48" spans="1:60" x14ac:dyDescent="0.3">
      <c r="A48">
        <v>21</v>
      </c>
      <c r="B48" t="s">
        <v>70</v>
      </c>
      <c r="C48" t="s">
        <v>96</v>
      </c>
      <c r="D48" t="s">
        <v>97</v>
      </c>
      <c r="E48" t="s">
        <v>108</v>
      </c>
      <c r="F48" t="s">
        <v>74</v>
      </c>
      <c r="G48" t="s">
        <v>115</v>
      </c>
      <c r="H48" t="s">
        <v>74</v>
      </c>
      <c r="I48" t="s">
        <v>115</v>
      </c>
      <c r="J48" t="s">
        <v>77</v>
      </c>
      <c r="K48" t="s">
        <v>78</v>
      </c>
      <c r="L48" t="s">
        <v>79</v>
      </c>
      <c r="M48" t="s">
        <v>102</v>
      </c>
      <c r="N48" t="s">
        <v>79</v>
      </c>
      <c r="O48" t="s">
        <v>109</v>
      </c>
      <c r="P48" t="s">
        <v>79</v>
      </c>
      <c r="Q48" t="s">
        <v>103</v>
      </c>
      <c r="R48" t="s">
        <v>79</v>
      </c>
      <c r="S48" t="s">
        <v>169</v>
      </c>
      <c r="T48" t="s">
        <v>151</v>
      </c>
      <c r="U48" t="s">
        <v>79</v>
      </c>
      <c r="V48" t="s">
        <v>86</v>
      </c>
      <c r="W48" t="s">
        <v>87</v>
      </c>
      <c r="X48" t="s">
        <v>112</v>
      </c>
      <c r="Y48" t="s">
        <v>92</v>
      </c>
      <c r="Z48" t="s">
        <v>92</v>
      </c>
      <c r="AA48" t="s">
        <v>93</v>
      </c>
      <c r="AB48" t="s">
        <v>93</v>
      </c>
      <c r="AC48" t="s">
        <v>93</v>
      </c>
      <c r="AD48" t="s">
        <v>93</v>
      </c>
      <c r="AE48" t="s">
        <v>93</v>
      </c>
      <c r="AF48" t="s">
        <v>93</v>
      </c>
      <c r="AG48" t="s">
        <v>93</v>
      </c>
      <c r="AH48" t="s">
        <v>93</v>
      </c>
      <c r="AI48" t="s">
        <v>93</v>
      </c>
      <c r="AJ48" t="s">
        <v>93</v>
      </c>
      <c r="AK48" t="s">
        <v>93</v>
      </c>
      <c r="AL48" t="s">
        <v>93</v>
      </c>
      <c r="AM48" t="s">
        <v>93</v>
      </c>
      <c r="AN48" t="s">
        <v>94</v>
      </c>
      <c r="AO48" t="s">
        <v>92</v>
      </c>
      <c r="AP48" t="s">
        <v>92</v>
      </c>
      <c r="AQ48" t="s">
        <v>92</v>
      </c>
      <c r="AR48" t="s">
        <v>92</v>
      </c>
      <c r="AS48" t="s">
        <v>94</v>
      </c>
      <c r="AT48" t="s">
        <v>94</v>
      </c>
      <c r="AU48" t="s">
        <v>94</v>
      </c>
      <c r="AV48" t="s">
        <v>94</v>
      </c>
      <c r="AW48" t="s">
        <v>94</v>
      </c>
      <c r="AX48" t="s">
        <v>94</v>
      </c>
      <c r="AY48" t="s">
        <v>94</v>
      </c>
      <c r="AZ48" t="s">
        <v>94</v>
      </c>
      <c r="BA48" t="s">
        <v>94</v>
      </c>
      <c r="BB48" t="s">
        <v>94</v>
      </c>
      <c r="BC48" t="s">
        <v>94</v>
      </c>
      <c r="BD48" t="s">
        <v>94</v>
      </c>
      <c r="BE48" t="s">
        <v>94</v>
      </c>
      <c r="BF48" t="s">
        <v>94</v>
      </c>
      <c r="BG48" t="s">
        <v>94</v>
      </c>
      <c r="BH48" t="s">
        <v>94</v>
      </c>
    </row>
    <row r="49" spans="1:60" x14ac:dyDescent="0.3">
      <c r="A49">
        <v>21</v>
      </c>
      <c r="B49" t="s">
        <v>70</v>
      </c>
      <c r="C49" t="s">
        <v>157</v>
      </c>
      <c r="D49" t="s">
        <v>97</v>
      </c>
      <c r="E49" t="s">
        <v>108</v>
      </c>
      <c r="F49" t="s">
        <v>74</v>
      </c>
      <c r="G49" t="s">
        <v>135</v>
      </c>
      <c r="H49" t="s">
        <v>74</v>
      </c>
      <c r="I49" t="s">
        <v>76</v>
      </c>
      <c r="J49" t="s">
        <v>77</v>
      </c>
      <c r="K49" t="s">
        <v>131</v>
      </c>
      <c r="L49" t="s">
        <v>79</v>
      </c>
      <c r="M49" t="s">
        <v>102</v>
      </c>
      <c r="N49" t="s">
        <v>79</v>
      </c>
      <c r="O49" t="s">
        <v>109</v>
      </c>
      <c r="P49" t="s">
        <v>79</v>
      </c>
      <c r="Q49" t="s">
        <v>83</v>
      </c>
      <c r="R49" t="s">
        <v>82</v>
      </c>
      <c r="S49" t="s">
        <v>84</v>
      </c>
      <c r="T49" t="s">
        <v>85</v>
      </c>
      <c r="U49" t="s">
        <v>82</v>
      </c>
      <c r="V49" t="s">
        <v>106</v>
      </c>
      <c r="W49" t="s">
        <v>87</v>
      </c>
      <c r="X49" t="s">
        <v>127</v>
      </c>
      <c r="Y49" t="s">
        <v>92</v>
      </c>
      <c r="Z49" t="s">
        <v>92</v>
      </c>
      <c r="AA49" t="s">
        <v>93</v>
      </c>
      <c r="AB49" t="s">
        <v>92</v>
      </c>
      <c r="AC49" t="s">
        <v>92</v>
      </c>
      <c r="AD49" t="s">
        <v>94</v>
      </c>
      <c r="AE49" t="s">
        <v>94</v>
      </c>
      <c r="AF49" t="s">
        <v>94</v>
      </c>
      <c r="AG49" t="s">
        <v>94</v>
      </c>
      <c r="AH49" t="s">
        <v>94</v>
      </c>
      <c r="AI49" t="s">
        <v>94</v>
      </c>
      <c r="AJ49" t="s">
        <v>94</v>
      </c>
      <c r="AK49" t="s">
        <v>94</v>
      </c>
      <c r="AL49" t="s">
        <v>94</v>
      </c>
      <c r="AM49" t="s">
        <v>94</v>
      </c>
      <c r="AN49" t="s">
        <v>92</v>
      </c>
      <c r="AO49" t="s">
        <v>92</v>
      </c>
      <c r="AP49" t="s">
        <v>92</v>
      </c>
      <c r="AQ49" t="s">
        <v>92</v>
      </c>
      <c r="AR49" t="s">
        <v>92</v>
      </c>
      <c r="AS49" t="s">
        <v>92</v>
      </c>
      <c r="AT49" t="s">
        <v>92</v>
      </c>
      <c r="AU49" t="s">
        <v>92</v>
      </c>
      <c r="AV49" t="s">
        <v>92</v>
      </c>
      <c r="AW49" t="s">
        <v>92</v>
      </c>
      <c r="AX49" t="s">
        <v>92</v>
      </c>
      <c r="AY49" t="s">
        <v>92</v>
      </c>
      <c r="AZ49" t="s">
        <v>92</v>
      </c>
      <c r="BA49" t="s">
        <v>92</v>
      </c>
      <c r="BB49" t="s">
        <v>92</v>
      </c>
      <c r="BC49" t="s">
        <v>92</v>
      </c>
      <c r="BD49" t="s">
        <v>95</v>
      </c>
      <c r="BE49" t="s">
        <v>92</v>
      </c>
      <c r="BF49" t="s">
        <v>92</v>
      </c>
      <c r="BG49" t="s">
        <v>92</v>
      </c>
      <c r="BH49" t="s">
        <v>92</v>
      </c>
    </row>
    <row r="50" spans="1:60" x14ac:dyDescent="0.3">
      <c r="A50">
        <v>22</v>
      </c>
      <c r="B50" t="s">
        <v>70</v>
      </c>
      <c r="C50" t="s">
        <v>157</v>
      </c>
      <c r="D50" t="s">
        <v>97</v>
      </c>
      <c r="E50" t="s">
        <v>73</v>
      </c>
      <c r="F50" t="s">
        <v>136</v>
      </c>
      <c r="G50" t="s">
        <v>135</v>
      </c>
      <c r="H50" t="s">
        <v>100</v>
      </c>
      <c r="I50" t="s">
        <v>76</v>
      </c>
      <c r="J50" t="s">
        <v>101</v>
      </c>
      <c r="K50" t="s">
        <v>125</v>
      </c>
      <c r="L50" t="s">
        <v>79</v>
      </c>
      <c r="M50" t="s">
        <v>80</v>
      </c>
      <c r="N50" t="s">
        <v>79</v>
      </c>
      <c r="O50" t="s">
        <v>117</v>
      </c>
      <c r="P50" t="s">
        <v>79</v>
      </c>
      <c r="Q50" t="s">
        <v>103</v>
      </c>
      <c r="R50" t="s">
        <v>79</v>
      </c>
      <c r="S50" t="s">
        <v>154</v>
      </c>
      <c r="T50" t="s">
        <v>170</v>
      </c>
      <c r="U50" t="s">
        <v>82</v>
      </c>
      <c r="V50" t="s">
        <v>106</v>
      </c>
      <c r="W50" t="s">
        <v>141</v>
      </c>
      <c r="X50" t="s">
        <v>112</v>
      </c>
      <c r="Y50" t="s">
        <v>94</v>
      </c>
      <c r="Z50" t="s">
        <v>94</v>
      </c>
      <c r="AA50" t="s">
        <v>94</v>
      </c>
      <c r="AB50" t="s">
        <v>94</v>
      </c>
      <c r="AC50" t="s">
        <v>94</v>
      </c>
      <c r="AD50" t="s">
        <v>94</v>
      </c>
      <c r="AE50" t="s">
        <v>94</v>
      </c>
      <c r="AF50" t="s">
        <v>94</v>
      </c>
      <c r="AG50" t="s">
        <v>94</v>
      </c>
      <c r="AH50" t="s">
        <v>94</v>
      </c>
      <c r="AI50" t="s">
        <v>93</v>
      </c>
      <c r="AJ50" t="s">
        <v>93</v>
      </c>
      <c r="AK50" t="s">
        <v>93</v>
      </c>
      <c r="AL50" t="s">
        <v>93</v>
      </c>
      <c r="AM50" t="s">
        <v>93</v>
      </c>
      <c r="AN50" t="s">
        <v>93</v>
      </c>
      <c r="AO50" t="s">
        <v>93</v>
      </c>
      <c r="AP50" t="s">
        <v>93</v>
      </c>
      <c r="AQ50" t="s">
        <v>94</v>
      </c>
      <c r="AR50" t="s">
        <v>95</v>
      </c>
      <c r="AS50" t="s">
        <v>95</v>
      </c>
      <c r="AT50" t="s">
        <v>95</v>
      </c>
      <c r="AU50" t="s">
        <v>92</v>
      </c>
      <c r="AV50" t="s">
        <v>92</v>
      </c>
      <c r="AW50" t="s">
        <v>94</v>
      </c>
      <c r="AX50" t="s">
        <v>94</v>
      </c>
      <c r="AY50" t="s">
        <v>94</v>
      </c>
      <c r="AZ50" t="s">
        <v>94</v>
      </c>
      <c r="BA50" t="s">
        <v>93</v>
      </c>
      <c r="BB50" t="s">
        <v>93</v>
      </c>
      <c r="BC50" t="s">
        <v>93</v>
      </c>
      <c r="BD50" t="s">
        <v>93</v>
      </c>
      <c r="BE50" t="s">
        <v>93</v>
      </c>
      <c r="BF50" t="s">
        <v>95</v>
      </c>
      <c r="BG50" t="s">
        <v>95</v>
      </c>
      <c r="BH50" t="s">
        <v>95</v>
      </c>
    </row>
    <row r="51" spans="1:60" x14ac:dyDescent="0.3">
      <c r="A51">
        <v>78</v>
      </c>
      <c r="B51" t="s">
        <v>171</v>
      </c>
      <c r="C51" t="s">
        <v>153</v>
      </c>
      <c r="D51" t="s">
        <v>72</v>
      </c>
      <c r="E51" t="s">
        <v>108</v>
      </c>
      <c r="F51" t="s">
        <v>74</v>
      </c>
      <c r="G51" t="s">
        <v>172</v>
      </c>
      <c r="H51" t="s">
        <v>74</v>
      </c>
      <c r="I51" t="s">
        <v>173</v>
      </c>
      <c r="J51" t="s">
        <v>101</v>
      </c>
      <c r="K51" t="s">
        <v>125</v>
      </c>
      <c r="L51" t="s">
        <v>79</v>
      </c>
      <c r="M51" t="s">
        <v>102</v>
      </c>
      <c r="N51" t="s">
        <v>82</v>
      </c>
      <c r="O51" t="s">
        <v>138</v>
      </c>
      <c r="P51" t="s">
        <v>79</v>
      </c>
      <c r="Q51" t="s">
        <v>83</v>
      </c>
      <c r="R51" t="s">
        <v>82</v>
      </c>
      <c r="S51" t="s">
        <v>174</v>
      </c>
      <c r="T51" t="s">
        <v>159</v>
      </c>
      <c r="U51" t="s">
        <v>82</v>
      </c>
      <c r="V51" t="s">
        <v>106</v>
      </c>
      <c r="W51" t="s">
        <v>120</v>
      </c>
      <c r="X51" t="s">
        <v>112</v>
      </c>
      <c r="Y51" t="s">
        <v>95</v>
      </c>
      <c r="Z51" t="s">
        <v>94</v>
      </c>
      <c r="AA51" t="s">
        <v>92</v>
      </c>
      <c r="AB51" t="s">
        <v>94</v>
      </c>
      <c r="AC51" t="s">
        <v>95</v>
      </c>
      <c r="AD51" t="s">
        <v>94</v>
      </c>
      <c r="AE51" t="s">
        <v>92</v>
      </c>
      <c r="AF51" t="s">
        <v>94</v>
      </c>
      <c r="AG51" t="s">
        <v>95</v>
      </c>
      <c r="AH51" t="s">
        <v>94</v>
      </c>
      <c r="AI51" t="s">
        <v>92</v>
      </c>
      <c r="AJ51" t="s">
        <v>95</v>
      </c>
      <c r="AK51" t="s">
        <v>92</v>
      </c>
      <c r="AL51" t="s">
        <v>95</v>
      </c>
      <c r="AM51" t="s">
        <v>92</v>
      </c>
      <c r="AN51" t="s">
        <v>92</v>
      </c>
      <c r="AO51" t="s">
        <v>94</v>
      </c>
      <c r="AP51" t="s">
        <v>92</v>
      </c>
      <c r="AQ51" t="s">
        <v>95</v>
      </c>
      <c r="AR51" t="s">
        <v>95</v>
      </c>
      <c r="AS51" t="s">
        <v>95</v>
      </c>
      <c r="AT51" t="s">
        <v>94</v>
      </c>
      <c r="AU51" t="s">
        <v>94</v>
      </c>
      <c r="AV51" t="s">
        <v>94</v>
      </c>
      <c r="AW51" t="s">
        <v>94</v>
      </c>
      <c r="AX51" t="s">
        <v>94</v>
      </c>
      <c r="AY51" t="s">
        <v>94</v>
      </c>
      <c r="AZ51" t="s">
        <v>94</v>
      </c>
      <c r="BA51" t="s">
        <v>94</v>
      </c>
      <c r="BB51" t="s">
        <v>94</v>
      </c>
      <c r="BC51" t="s">
        <v>94</v>
      </c>
      <c r="BD51" t="s">
        <v>94</v>
      </c>
      <c r="BE51" t="s">
        <v>94</v>
      </c>
      <c r="BF51" t="s">
        <v>94</v>
      </c>
      <c r="BG51" t="s">
        <v>94</v>
      </c>
      <c r="BH51" t="s">
        <v>94</v>
      </c>
    </row>
    <row r="52" spans="1:60" x14ac:dyDescent="0.3">
      <c r="A52">
        <v>20</v>
      </c>
      <c r="B52" t="s">
        <v>70</v>
      </c>
      <c r="C52" t="s">
        <v>157</v>
      </c>
      <c r="D52" t="s">
        <v>72</v>
      </c>
      <c r="E52" t="s">
        <v>114</v>
      </c>
      <c r="F52" t="s">
        <v>98</v>
      </c>
      <c r="G52" t="s">
        <v>166</v>
      </c>
      <c r="H52" t="s">
        <v>165</v>
      </c>
      <c r="I52" t="s">
        <v>76</v>
      </c>
      <c r="J52" t="s">
        <v>101</v>
      </c>
      <c r="K52" t="s">
        <v>125</v>
      </c>
      <c r="L52" t="s">
        <v>79</v>
      </c>
      <c r="M52" t="s">
        <v>80</v>
      </c>
      <c r="N52" t="s">
        <v>79</v>
      </c>
      <c r="O52" t="s">
        <v>81</v>
      </c>
      <c r="P52" t="s">
        <v>82</v>
      </c>
      <c r="Q52" t="s">
        <v>83</v>
      </c>
      <c r="R52" t="s">
        <v>82</v>
      </c>
      <c r="S52" t="s">
        <v>142</v>
      </c>
      <c r="T52" t="s">
        <v>85</v>
      </c>
      <c r="U52" t="s">
        <v>82</v>
      </c>
      <c r="V52" t="s">
        <v>106</v>
      </c>
      <c r="W52" t="s">
        <v>87</v>
      </c>
      <c r="X52" t="s">
        <v>112</v>
      </c>
      <c r="Y52" t="s">
        <v>95</v>
      </c>
      <c r="Z52" t="s">
        <v>95</v>
      </c>
      <c r="AA52" t="s">
        <v>95</v>
      </c>
      <c r="AB52" t="s">
        <v>95</v>
      </c>
      <c r="AC52" t="s">
        <v>95</v>
      </c>
      <c r="AD52" t="s">
        <v>95</v>
      </c>
      <c r="AE52" t="s">
        <v>95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95</v>
      </c>
      <c r="AL52" t="s">
        <v>95</v>
      </c>
      <c r="AM52" t="s">
        <v>95</v>
      </c>
      <c r="AN52" t="s">
        <v>95</v>
      </c>
      <c r="AO52" t="s">
        <v>95</v>
      </c>
      <c r="AP52" t="s">
        <v>95</v>
      </c>
      <c r="AQ52" t="s">
        <v>95</v>
      </c>
      <c r="AR52" t="s">
        <v>95</v>
      </c>
      <c r="AS52" t="s">
        <v>95</v>
      </c>
      <c r="AT52" t="s">
        <v>95</v>
      </c>
      <c r="AU52" t="s">
        <v>95</v>
      </c>
      <c r="AV52" t="s">
        <v>95</v>
      </c>
      <c r="AW52" t="s">
        <v>95</v>
      </c>
      <c r="AX52" t="s">
        <v>95</v>
      </c>
      <c r="AY52" t="s">
        <v>95</v>
      </c>
      <c r="AZ52" t="s">
        <v>95</v>
      </c>
      <c r="BA52" t="s">
        <v>95</v>
      </c>
      <c r="BB52" t="s">
        <v>95</v>
      </c>
      <c r="BC52" t="s">
        <v>95</v>
      </c>
      <c r="BD52" t="s">
        <v>95</v>
      </c>
      <c r="BE52" t="s">
        <v>95</v>
      </c>
      <c r="BF52" t="s">
        <v>95</v>
      </c>
      <c r="BG52" t="s">
        <v>95</v>
      </c>
      <c r="BH52" t="s">
        <v>95</v>
      </c>
    </row>
    <row r="53" spans="1:60" x14ac:dyDescent="0.3">
      <c r="A53">
        <v>23</v>
      </c>
      <c r="B53" t="s">
        <v>70</v>
      </c>
      <c r="C53" t="s">
        <v>113</v>
      </c>
      <c r="D53" t="s">
        <v>72</v>
      </c>
      <c r="E53" t="s">
        <v>108</v>
      </c>
      <c r="F53" t="s">
        <v>136</v>
      </c>
      <c r="G53" t="s">
        <v>115</v>
      </c>
      <c r="H53" t="s">
        <v>136</v>
      </c>
      <c r="I53" t="s">
        <v>76</v>
      </c>
      <c r="J53" t="s">
        <v>77</v>
      </c>
      <c r="K53" t="s">
        <v>125</v>
      </c>
      <c r="L53" t="s">
        <v>79</v>
      </c>
      <c r="M53" t="s">
        <v>132</v>
      </c>
      <c r="N53" t="s">
        <v>82</v>
      </c>
      <c r="O53" t="s">
        <v>81</v>
      </c>
      <c r="P53" t="s">
        <v>82</v>
      </c>
      <c r="Q53" t="s">
        <v>118</v>
      </c>
      <c r="R53" t="s">
        <v>82</v>
      </c>
      <c r="S53" t="s">
        <v>84</v>
      </c>
      <c r="T53" t="s">
        <v>85</v>
      </c>
      <c r="U53" t="s">
        <v>82</v>
      </c>
      <c r="V53" t="s">
        <v>106</v>
      </c>
      <c r="W53" t="s">
        <v>141</v>
      </c>
      <c r="X53" t="s">
        <v>88</v>
      </c>
      <c r="Y53" t="s">
        <v>92</v>
      </c>
      <c r="Z53" t="s">
        <v>92</v>
      </c>
      <c r="AA53" t="s">
        <v>94</v>
      </c>
      <c r="AB53" t="s">
        <v>94</v>
      </c>
      <c r="AC53" t="s">
        <v>95</v>
      </c>
      <c r="AD53" t="s">
        <v>94</v>
      </c>
      <c r="AE53" t="s">
        <v>94</v>
      </c>
      <c r="AF53" t="s">
        <v>95</v>
      </c>
      <c r="AG53" t="s">
        <v>95</v>
      </c>
      <c r="AH53" t="s">
        <v>94</v>
      </c>
      <c r="AI53" t="s">
        <v>95</v>
      </c>
      <c r="AJ53" t="s">
        <v>95</v>
      </c>
      <c r="AK53" t="s">
        <v>95</v>
      </c>
      <c r="AL53" t="s">
        <v>94</v>
      </c>
      <c r="AM53" t="s">
        <v>95</v>
      </c>
      <c r="AN53" t="s">
        <v>95</v>
      </c>
      <c r="AO53" t="s">
        <v>94</v>
      </c>
      <c r="AP53" t="s">
        <v>94</v>
      </c>
      <c r="AQ53" t="s">
        <v>95</v>
      </c>
      <c r="AR53" t="s">
        <v>94</v>
      </c>
      <c r="AS53" t="s">
        <v>95</v>
      </c>
      <c r="AT53" t="s">
        <v>94</v>
      </c>
      <c r="AU53" t="s">
        <v>95</v>
      </c>
      <c r="AV53" t="s">
        <v>94</v>
      </c>
      <c r="AW53" t="s">
        <v>95</v>
      </c>
      <c r="AX53" t="s">
        <v>94</v>
      </c>
      <c r="AY53" t="s">
        <v>94</v>
      </c>
      <c r="AZ53" t="s">
        <v>95</v>
      </c>
      <c r="BA53" t="s">
        <v>95</v>
      </c>
      <c r="BB53" t="s">
        <v>94</v>
      </c>
      <c r="BC53" t="s">
        <v>94</v>
      </c>
      <c r="BD53" t="s">
        <v>94</v>
      </c>
      <c r="BE53" t="s">
        <v>94</v>
      </c>
      <c r="BF53" t="s">
        <v>94</v>
      </c>
      <c r="BG53" t="s">
        <v>94</v>
      </c>
      <c r="BH53" t="s">
        <v>94</v>
      </c>
    </row>
    <row r="54" spans="1:60" x14ac:dyDescent="0.3">
      <c r="A54">
        <v>29</v>
      </c>
      <c r="B54" t="s">
        <v>70</v>
      </c>
      <c r="C54" t="s">
        <v>153</v>
      </c>
      <c r="D54" t="s">
        <v>72</v>
      </c>
      <c r="E54" t="s">
        <v>114</v>
      </c>
      <c r="F54" t="s">
        <v>136</v>
      </c>
      <c r="G54" t="s">
        <v>99</v>
      </c>
      <c r="H54" t="s">
        <v>98</v>
      </c>
      <c r="I54" t="s">
        <v>76</v>
      </c>
      <c r="J54" t="s">
        <v>101</v>
      </c>
      <c r="K54" t="s">
        <v>125</v>
      </c>
      <c r="L54" t="s">
        <v>79</v>
      </c>
      <c r="M54" t="s">
        <v>80</v>
      </c>
      <c r="N54" t="s">
        <v>79</v>
      </c>
      <c r="O54" t="s">
        <v>117</v>
      </c>
      <c r="P54" t="s">
        <v>79</v>
      </c>
      <c r="Q54" t="s">
        <v>103</v>
      </c>
      <c r="R54" t="s">
        <v>79</v>
      </c>
      <c r="S54" t="s">
        <v>154</v>
      </c>
      <c r="T54" t="s">
        <v>175</v>
      </c>
      <c r="U54" t="s">
        <v>82</v>
      </c>
      <c r="V54" t="s">
        <v>106</v>
      </c>
      <c r="W54" t="s">
        <v>141</v>
      </c>
      <c r="X54" t="s">
        <v>112</v>
      </c>
      <c r="Y54" t="s">
        <v>94</v>
      </c>
      <c r="Z54" t="s">
        <v>92</v>
      </c>
      <c r="AA54" t="s">
        <v>92</v>
      </c>
      <c r="AB54" t="s">
        <v>94</v>
      </c>
      <c r="AC54" t="s">
        <v>95</v>
      </c>
      <c r="AD54" t="s">
        <v>94</v>
      </c>
      <c r="AE54" t="s">
        <v>95</v>
      </c>
      <c r="AF54" t="s">
        <v>94</v>
      </c>
      <c r="AG54" t="s">
        <v>95</v>
      </c>
      <c r="AH54" t="s">
        <v>92</v>
      </c>
      <c r="AI54" t="s">
        <v>94</v>
      </c>
      <c r="AJ54" t="s">
        <v>94</v>
      </c>
      <c r="AK54" t="s">
        <v>95</v>
      </c>
      <c r="AL54" t="s">
        <v>92</v>
      </c>
      <c r="AM54" t="s">
        <v>92</v>
      </c>
      <c r="AN54" t="s">
        <v>93</v>
      </c>
      <c r="AO54" t="s">
        <v>93</v>
      </c>
      <c r="AP54" t="s">
        <v>92</v>
      </c>
      <c r="AQ54" t="s">
        <v>92</v>
      </c>
      <c r="AR54" t="s">
        <v>94</v>
      </c>
      <c r="AS54" t="s">
        <v>94</v>
      </c>
      <c r="AT54" t="s">
        <v>93</v>
      </c>
      <c r="AU54" t="s">
        <v>93</v>
      </c>
      <c r="AV54" t="s">
        <v>92</v>
      </c>
      <c r="AW54" t="s">
        <v>94</v>
      </c>
      <c r="AX54" t="s">
        <v>94</v>
      </c>
      <c r="AY54" t="s">
        <v>94</v>
      </c>
      <c r="AZ54" t="s">
        <v>94</v>
      </c>
      <c r="BA54" t="s">
        <v>93</v>
      </c>
      <c r="BB54" t="s">
        <v>95</v>
      </c>
      <c r="BC54" t="s">
        <v>94</v>
      </c>
      <c r="BD54" t="s">
        <v>92</v>
      </c>
      <c r="BE54" t="s">
        <v>94</v>
      </c>
      <c r="BF54" t="s">
        <v>94</v>
      </c>
      <c r="BG54" t="s">
        <v>92</v>
      </c>
      <c r="BH54" t="s">
        <v>94</v>
      </c>
    </row>
    <row r="55" spans="1:60" x14ac:dyDescent="0.3">
      <c r="A55">
        <v>29</v>
      </c>
      <c r="B55" t="s">
        <v>70</v>
      </c>
      <c r="C55" t="s">
        <v>71</v>
      </c>
      <c r="D55" t="s">
        <v>97</v>
      </c>
      <c r="E55" t="s">
        <v>108</v>
      </c>
      <c r="F55" t="s">
        <v>98</v>
      </c>
      <c r="G55" t="s">
        <v>75</v>
      </c>
      <c r="H55" t="s">
        <v>98</v>
      </c>
      <c r="I55" t="s">
        <v>76</v>
      </c>
      <c r="J55" t="s">
        <v>77</v>
      </c>
      <c r="K55" t="s">
        <v>125</v>
      </c>
      <c r="L55" t="s">
        <v>82</v>
      </c>
      <c r="M55" t="s">
        <v>80</v>
      </c>
      <c r="N55" t="s">
        <v>82</v>
      </c>
      <c r="O55" t="s">
        <v>117</v>
      </c>
      <c r="P55" t="s">
        <v>82</v>
      </c>
      <c r="Q55" t="s">
        <v>118</v>
      </c>
      <c r="R55" t="s">
        <v>79</v>
      </c>
      <c r="S55" t="s">
        <v>176</v>
      </c>
      <c r="T55" t="s">
        <v>177</v>
      </c>
      <c r="U55" t="s">
        <v>82</v>
      </c>
      <c r="V55" t="s">
        <v>106</v>
      </c>
      <c r="W55" t="s">
        <v>141</v>
      </c>
      <c r="X55" t="s">
        <v>112</v>
      </c>
      <c r="Y55" t="s">
        <v>92</v>
      </c>
      <c r="Z55" t="s">
        <v>93</v>
      </c>
      <c r="AA55" t="s">
        <v>93</v>
      </c>
      <c r="AB55" t="s">
        <v>93</v>
      </c>
      <c r="AC55" t="s">
        <v>92</v>
      </c>
      <c r="AD55" t="s">
        <v>93</v>
      </c>
      <c r="AE55" t="s">
        <v>94</v>
      </c>
      <c r="AF55" t="s">
        <v>93</v>
      </c>
      <c r="AG55" t="s">
        <v>94</v>
      </c>
      <c r="AH55" t="s">
        <v>93</v>
      </c>
      <c r="AI55" t="s">
        <v>94</v>
      </c>
      <c r="AJ55" t="s">
        <v>92</v>
      </c>
      <c r="AK55" t="s">
        <v>92</v>
      </c>
      <c r="AL55" t="s">
        <v>92</v>
      </c>
      <c r="AM55" t="s">
        <v>94</v>
      </c>
      <c r="AN55" t="s">
        <v>93</v>
      </c>
      <c r="AO55" t="s">
        <v>93</v>
      </c>
      <c r="AP55" t="s">
        <v>93</v>
      </c>
      <c r="AQ55" t="s">
        <v>94</v>
      </c>
      <c r="AR55" t="s">
        <v>92</v>
      </c>
      <c r="AS55" t="s">
        <v>94</v>
      </c>
      <c r="AT55" t="s">
        <v>95</v>
      </c>
      <c r="AU55" t="s">
        <v>95</v>
      </c>
      <c r="AV55" t="s">
        <v>95</v>
      </c>
      <c r="AW55" t="s">
        <v>95</v>
      </c>
      <c r="AX55" t="s">
        <v>93</v>
      </c>
      <c r="AY55" t="s">
        <v>93</v>
      </c>
      <c r="AZ55" t="s">
        <v>94</v>
      </c>
      <c r="BA55" t="s">
        <v>93</v>
      </c>
      <c r="BB55" t="s">
        <v>93</v>
      </c>
      <c r="BC55" t="s">
        <v>93</v>
      </c>
      <c r="BD55" t="s">
        <v>93</v>
      </c>
      <c r="BE55" t="s">
        <v>93</v>
      </c>
      <c r="BF55" t="s">
        <v>93</v>
      </c>
      <c r="BG55" t="s">
        <v>93</v>
      </c>
      <c r="BH55" t="s">
        <v>92</v>
      </c>
    </row>
    <row r="56" spans="1:60" x14ac:dyDescent="0.3">
      <c r="A56">
        <v>22</v>
      </c>
      <c r="B56" t="s">
        <v>70</v>
      </c>
      <c r="C56" t="s">
        <v>113</v>
      </c>
      <c r="D56" t="s">
        <v>72</v>
      </c>
      <c r="E56" t="s">
        <v>114</v>
      </c>
      <c r="F56" t="s">
        <v>74</v>
      </c>
      <c r="G56" t="s">
        <v>178</v>
      </c>
      <c r="H56" t="s">
        <v>100</v>
      </c>
      <c r="I56" t="s">
        <v>76</v>
      </c>
      <c r="J56" t="s">
        <v>77</v>
      </c>
      <c r="K56" t="s">
        <v>125</v>
      </c>
      <c r="L56" t="s">
        <v>79</v>
      </c>
      <c r="M56" t="s">
        <v>80</v>
      </c>
      <c r="N56" t="s">
        <v>79</v>
      </c>
      <c r="O56" t="s">
        <v>179</v>
      </c>
      <c r="P56" t="s">
        <v>79</v>
      </c>
      <c r="Q56" t="s">
        <v>103</v>
      </c>
      <c r="R56" t="s">
        <v>79</v>
      </c>
      <c r="S56" t="s">
        <v>142</v>
      </c>
      <c r="T56" t="s">
        <v>159</v>
      </c>
      <c r="U56" t="s">
        <v>79</v>
      </c>
      <c r="V56" t="s">
        <v>106</v>
      </c>
      <c r="W56" t="s">
        <v>120</v>
      </c>
      <c r="X56" t="s">
        <v>112</v>
      </c>
      <c r="Y56" t="s">
        <v>94</v>
      </c>
      <c r="Z56" t="s">
        <v>94</v>
      </c>
      <c r="AA56" t="s">
        <v>94</v>
      </c>
      <c r="AB56" t="s">
        <v>94</v>
      </c>
      <c r="AC56" t="s">
        <v>94</v>
      </c>
      <c r="AD56" t="s">
        <v>94</v>
      </c>
      <c r="AE56" t="s">
        <v>94</v>
      </c>
      <c r="AF56" t="s">
        <v>94</v>
      </c>
      <c r="AG56" t="s">
        <v>94</v>
      </c>
      <c r="AH56" t="s">
        <v>94</v>
      </c>
      <c r="AI56" t="s">
        <v>94</v>
      </c>
      <c r="AJ56" t="s">
        <v>94</v>
      </c>
      <c r="AK56" t="s">
        <v>94</v>
      </c>
      <c r="AL56" t="s">
        <v>94</v>
      </c>
      <c r="AM56" t="s">
        <v>94</v>
      </c>
      <c r="AN56" t="s">
        <v>94</v>
      </c>
      <c r="AO56" t="s">
        <v>94</v>
      </c>
      <c r="AP56" t="s">
        <v>92</v>
      </c>
      <c r="AQ56" t="s">
        <v>92</v>
      </c>
      <c r="AR56" t="s">
        <v>92</v>
      </c>
      <c r="AS56" t="s">
        <v>92</v>
      </c>
      <c r="AT56" t="s">
        <v>92</v>
      </c>
      <c r="AU56" t="s">
        <v>94</v>
      </c>
      <c r="AV56" t="s">
        <v>94</v>
      </c>
      <c r="AW56" t="s">
        <v>94</v>
      </c>
      <c r="AX56" t="s">
        <v>94</v>
      </c>
      <c r="AY56" t="s">
        <v>94</v>
      </c>
      <c r="AZ56" t="s">
        <v>94</v>
      </c>
      <c r="BA56" t="s">
        <v>94</v>
      </c>
      <c r="BB56" t="s">
        <v>94</v>
      </c>
      <c r="BC56" t="s">
        <v>94</v>
      </c>
      <c r="BD56" t="s">
        <v>94</v>
      </c>
      <c r="BE56" t="s">
        <v>94</v>
      </c>
      <c r="BF56" t="s">
        <v>94</v>
      </c>
      <c r="BG56" t="s">
        <v>94</v>
      </c>
      <c r="BH56" t="s">
        <v>94</v>
      </c>
    </row>
    <row r="57" spans="1:60" x14ac:dyDescent="0.3">
      <c r="A57">
        <v>23</v>
      </c>
      <c r="B57" t="s">
        <v>70</v>
      </c>
      <c r="C57" t="s">
        <v>113</v>
      </c>
      <c r="D57" t="s">
        <v>72</v>
      </c>
      <c r="E57" t="s">
        <v>114</v>
      </c>
      <c r="F57" t="s">
        <v>74</v>
      </c>
      <c r="G57" t="s">
        <v>135</v>
      </c>
      <c r="H57" t="s">
        <v>136</v>
      </c>
      <c r="I57" t="s">
        <v>76</v>
      </c>
      <c r="J57" t="s">
        <v>77</v>
      </c>
      <c r="K57" t="s">
        <v>122</v>
      </c>
      <c r="L57" t="s">
        <v>79</v>
      </c>
      <c r="M57" t="s">
        <v>80</v>
      </c>
      <c r="N57" t="s">
        <v>79</v>
      </c>
      <c r="O57" t="s">
        <v>138</v>
      </c>
      <c r="P57" t="s">
        <v>79</v>
      </c>
      <c r="Q57" t="s">
        <v>103</v>
      </c>
      <c r="R57" t="s">
        <v>79</v>
      </c>
      <c r="S57" t="s">
        <v>84</v>
      </c>
      <c r="T57" t="s">
        <v>159</v>
      </c>
      <c r="U57" t="s">
        <v>79</v>
      </c>
      <c r="V57" t="s">
        <v>106</v>
      </c>
      <c r="W57" t="s">
        <v>87</v>
      </c>
      <c r="X57" t="s">
        <v>112</v>
      </c>
      <c r="Y57" t="s">
        <v>94</v>
      </c>
      <c r="Z57" t="s">
        <v>94</v>
      </c>
      <c r="AA57" t="s">
        <v>94</v>
      </c>
      <c r="AB57" t="s">
        <v>94</v>
      </c>
      <c r="AC57" t="s">
        <v>94</v>
      </c>
      <c r="AD57" t="s">
        <v>94</v>
      </c>
      <c r="AE57" t="s">
        <v>94</v>
      </c>
      <c r="AF57" t="s">
        <v>94</v>
      </c>
      <c r="AG57" t="s">
        <v>94</v>
      </c>
      <c r="AH57" t="s">
        <v>94</v>
      </c>
      <c r="AI57" t="s">
        <v>94</v>
      </c>
      <c r="AJ57" t="s">
        <v>94</v>
      </c>
      <c r="AK57" t="s">
        <v>94</v>
      </c>
      <c r="AL57" t="s">
        <v>94</v>
      </c>
      <c r="AM57" t="s">
        <v>94</v>
      </c>
      <c r="AN57" t="s">
        <v>94</v>
      </c>
      <c r="AO57" t="s">
        <v>94</v>
      </c>
      <c r="AP57" t="s">
        <v>94</v>
      </c>
      <c r="AQ57" t="s">
        <v>94</v>
      </c>
      <c r="AR57" t="s">
        <v>94</v>
      </c>
      <c r="AS57" t="s">
        <v>94</v>
      </c>
      <c r="AT57" t="s">
        <v>94</v>
      </c>
      <c r="AU57" t="s">
        <v>94</v>
      </c>
      <c r="AV57" t="s">
        <v>94</v>
      </c>
      <c r="AW57" t="s">
        <v>94</v>
      </c>
      <c r="AX57" t="s">
        <v>94</v>
      </c>
      <c r="AY57" t="s">
        <v>94</v>
      </c>
      <c r="AZ57" t="s">
        <v>94</v>
      </c>
      <c r="BA57" t="s">
        <v>94</v>
      </c>
      <c r="BB57" t="s">
        <v>94</v>
      </c>
      <c r="BC57" t="s">
        <v>94</v>
      </c>
      <c r="BD57" t="s">
        <v>94</v>
      </c>
      <c r="BE57" t="s">
        <v>94</v>
      </c>
      <c r="BF57" t="s">
        <v>94</v>
      </c>
      <c r="BG57" t="s">
        <v>94</v>
      </c>
      <c r="BH57" t="s">
        <v>94</v>
      </c>
    </row>
    <row r="58" spans="1:60" x14ac:dyDescent="0.3">
      <c r="A58">
        <v>26</v>
      </c>
      <c r="B58" t="s">
        <v>70</v>
      </c>
      <c r="C58" t="s">
        <v>153</v>
      </c>
      <c r="D58" t="s">
        <v>97</v>
      </c>
      <c r="E58" t="s">
        <v>114</v>
      </c>
      <c r="F58" t="s">
        <v>74</v>
      </c>
      <c r="G58" t="s">
        <v>135</v>
      </c>
      <c r="H58" t="s">
        <v>74</v>
      </c>
      <c r="I58" t="s">
        <v>75</v>
      </c>
      <c r="J58" t="s">
        <v>77</v>
      </c>
      <c r="K58" t="s">
        <v>78</v>
      </c>
      <c r="L58" t="s">
        <v>79</v>
      </c>
      <c r="M58" t="s">
        <v>102</v>
      </c>
      <c r="N58" t="s">
        <v>79</v>
      </c>
      <c r="O58" t="s">
        <v>179</v>
      </c>
      <c r="P58" t="s">
        <v>79</v>
      </c>
      <c r="Q58" t="s">
        <v>103</v>
      </c>
      <c r="R58" t="s">
        <v>79</v>
      </c>
      <c r="S58" t="s">
        <v>180</v>
      </c>
      <c r="T58" t="s">
        <v>139</v>
      </c>
      <c r="U58" t="s">
        <v>79</v>
      </c>
      <c r="V58" t="s">
        <v>148</v>
      </c>
      <c r="W58" t="s">
        <v>141</v>
      </c>
      <c r="X58" t="s">
        <v>127</v>
      </c>
      <c r="Y58" t="s">
        <v>92</v>
      </c>
      <c r="Z58" t="s">
        <v>93</v>
      </c>
      <c r="AA58" t="s">
        <v>92</v>
      </c>
      <c r="AB58" t="s">
        <v>94</v>
      </c>
      <c r="AC58" t="s">
        <v>95</v>
      </c>
      <c r="AD58" t="s">
        <v>94</v>
      </c>
      <c r="AE58" t="s">
        <v>95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95</v>
      </c>
      <c r="AL58" t="s">
        <v>94</v>
      </c>
      <c r="AM58" t="s">
        <v>94</v>
      </c>
      <c r="AN58" t="s">
        <v>92</v>
      </c>
      <c r="AO58" t="s">
        <v>92</v>
      </c>
      <c r="AP58" t="s">
        <v>94</v>
      </c>
      <c r="AQ58" t="s">
        <v>94</v>
      </c>
      <c r="AR58" t="s">
        <v>92</v>
      </c>
      <c r="AS58" t="s">
        <v>93</v>
      </c>
      <c r="AT58" t="s">
        <v>93</v>
      </c>
      <c r="AU58" t="s">
        <v>95</v>
      </c>
      <c r="AV58" t="s">
        <v>93</v>
      </c>
      <c r="AW58" t="s">
        <v>93</v>
      </c>
      <c r="AX58" t="s">
        <v>92</v>
      </c>
      <c r="AY58" t="s">
        <v>92</v>
      </c>
      <c r="AZ58" t="s">
        <v>93</v>
      </c>
      <c r="BA58" t="s">
        <v>93</v>
      </c>
      <c r="BB58" t="s">
        <v>93</v>
      </c>
      <c r="BC58" t="s">
        <v>92</v>
      </c>
      <c r="BD58" t="s">
        <v>93</v>
      </c>
      <c r="BE58" t="s">
        <v>93</v>
      </c>
      <c r="BF58" t="s">
        <v>92</v>
      </c>
      <c r="BG58" t="s">
        <v>92</v>
      </c>
      <c r="BH58" t="s">
        <v>94</v>
      </c>
    </row>
    <row r="59" spans="1:60" x14ac:dyDescent="0.3">
      <c r="A59">
        <v>24</v>
      </c>
      <c r="B59" t="s">
        <v>70</v>
      </c>
      <c r="C59" t="s">
        <v>113</v>
      </c>
      <c r="D59" t="s">
        <v>97</v>
      </c>
      <c r="E59" t="s">
        <v>108</v>
      </c>
      <c r="F59" t="s">
        <v>136</v>
      </c>
      <c r="G59" t="s">
        <v>135</v>
      </c>
      <c r="H59" t="s">
        <v>165</v>
      </c>
      <c r="I59" t="s">
        <v>76</v>
      </c>
      <c r="J59" t="s">
        <v>101</v>
      </c>
      <c r="K59" t="s">
        <v>122</v>
      </c>
      <c r="L59" t="s">
        <v>79</v>
      </c>
      <c r="M59" t="s">
        <v>80</v>
      </c>
      <c r="N59" t="s">
        <v>79</v>
      </c>
      <c r="O59" t="s">
        <v>117</v>
      </c>
      <c r="P59" t="s">
        <v>79</v>
      </c>
      <c r="Q59" t="s">
        <v>103</v>
      </c>
      <c r="R59" t="s">
        <v>79</v>
      </c>
      <c r="S59" t="s">
        <v>84</v>
      </c>
      <c r="T59" t="s">
        <v>159</v>
      </c>
      <c r="U59" t="s">
        <v>82</v>
      </c>
      <c r="V59" t="s">
        <v>86</v>
      </c>
      <c r="W59" t="s">
        <v>87</v>
      </c>
      <c r="X59" t="s">
        <v>112</v>
      </c>
      <c r="Y59" t="s">
        <v>93</v>
      </c>
      <c r="Z59" t="s">
        <v>93</v>
      </c>
      <c r="AA59" t="s">
        <v>93</v>
      </c>
      <c r="AB59" t="s">
        <v>93</v>
      </c>
      <c r="AC59" t="s">
        <v>95</v>
      </c>
      <c r="AD59" t="s">
        <v>95</v>
      </c>
      <c r="AE59" t="s">
        <v>95</v>
      </c>
      <c r="AF59" t="s">
        <v>93</v>
      </c>
      <c r="AG59" t="s">
        <v>93</v>
      </c>
      <c r="AH59" t="s">
        <v>93</v>
      </c>
      <c r="AI59" t="s">
        <v>93</v>
      </c>
      <c r="AJ59" t="s">
        <v>93</v>
      </c>
      <c r="AK59" t="s">
        <v>93</v>
      </c>
      <c r="AL59" t="s">
        <v>95</v>
      </c>
      <c r="AM59" t="s">
        <v>95</v>
      </c>
      <c r="AN59" t="s">
        <v>93</v>
      </c>
      <c r="AO59" t="s">
        <v>93</v>
      </c>
      <c r="AP59" t="s">
        <v>93</v>
      </c>
      <c r="AQ59" t="s">
        <v>95</v>
      </c>
      <c r="AR59" t="s">
        <v>95</v>
      </c>
      <c r="AS59" t="s">
        <v>95</v>
      </c>
      <c r="AT59" t="s">
        <v>95</v>
      </c>
      <c r="AU59" t="s">
        <v>93</v>
      </c>
      <c r="AV59" t="s">
        <v>93</v>
      </c>
      <c r="AW59" t="s">
        <v>93</v>
      </c>
      <c r="AX59" t="s">
        <v>95</v>
      </c>
      <c r="AY59" t="s">
        <v>95</v>
      </c>
      <c r="AZ59" t="s">
        <v>95</v>
      </c>
      <c r="BA59" t="s">
        <v>93</v>
      </c>
      <c r="BB59" t="s">
        <v>93</v>
      </c>
      <c r="BC59" t="s">
        <v>93</v>
      </c>
      <c r="BD59" t="s">
        <v>93</v>
      </c>
      <c r="BE59" t="s">
        <v>93</v>
      </c>
      <c r="BF59" t="s">
        <v>95</v>
      </c>
      <c r="BG59" t="s">
        <v>95</v>
      </c>
      <c r="BH59" t="s">
        <v>95</v>
      </c>
    </row>
    <row r="60" spans="1:60" x14ac:dyDescent="0.3">
      <c r="A60">
        <v>27</v>
      </c>
      <c r="B60" t="s">
        <v>70</v>
      </c>
      <c r="C60" t="s">
        <v>153</v>
      </c>
      <c r="D60" t="s">
        <v>97</v>
      </c>
      <c r="E60" t="s">
        <v>73</v>
      </c>
      <c r="F60" t="s">
        <v>98</v>
      </c>
      <c r="G60" t="s">
        <v>135</v>
      </c>
      <c r="H60" t="s">
        <v>136</v>
      </c>
      <c r="I60" t="s">
        <v>76</v>
      </c>
      <c r="J60" t="s">
        <v>77</v>
      </c>
      <c r="K60" t="s">
        <v>125</v>
      </c>
      <c r="L60" t="s">
        <v>82</v>
      </c>
      <c r="M60" t="s">
        <v>80</v>
      </c>
      <c r="N60" t="s">
        <v>79</v>
      </c>
      <c r="O60" t="s">
        <v>109</v>
      </c>
      <c r="P60" t="s">
        <v>79</v>
      </c>
      <c r="Q60" t="s">
        <v>83</v>
      </c>
      <c r="R60" t="s">
        <v>79</v>
      </c>
      <c r="S60" t="s">
        <v>84</v>
      </c>
      <c r="T60" t="s">
        <v>181</v>
      </c>
      <c r="U60" t="s">
        <v>79</v>
      </c>
      <c r="V60" t="s">
        <v>86</v>
      </c>
      <c r="W60" t="s">
        <v>141</v>
      </c>
      <c r="X60" t="s">
        <v>127</v>
      </c>
      <c r="Y60" t="s">
        <v>94</v>
      </c>
      <c r="Z60" t="s">
        <v>94</v>
      </c>
      <c r="AA60" t="s">
        <v>93</v>
      </c>
      <c r="AB60" t="s">
        <v>94</v>
      </c>
      <c r="AC60" t="s">
        <v>94</v>
      </c>
      <c r="AD60" t="s">
        <v>94</v>
      </c>
      <c r="AE60" t="s">
        <v>93</v>
      </c>
      <c r="AF60" t="s">
        <v>94</v>
      </c>
      <c r="AG60" t="s">
        <v>92</v>
      </c>
      <c r="AH60" t="s">
        <v>94</v>
      </c>
      <c r="AI60" t="s">
        <v>93</v>
      </c>
      <c r="AJ60" t="s">
        <v>93</v>
      </c>
      <c r="AK60" t="s">
        <v>94</v>
      </c>
      <c r="AL60" t="s">
        <v>94</v>
      </c>
      <c r="AM60" t="s">
        <v>94</v>
      </c>
      <c r="AN60" t="s">
        <v>93</v>
      </c>
      <c r="AO60" t="s">
        <v>93</v>
      </c>
      <c r="AP60" t="s">
        <v>93</v>
      </c>
      <c r="AQ60" t="s">
        <v>94</v>
      </c>
      <c r="AR60" t="s">
        <v>95</v>
      </c>
      <c r="AS60" t="s">
        <v>95</v>
      </c>
      <c r="AT60" t="s">
        <v>95</v>
      </c>
      <c r="AU60" t="s">
        <v>95</v>
      </c>
      <c r="AV60" t="s">
        <v>95</v>
      </c>
      <c r="AW60" t="s">
        <v>95</v>
      </c>
      <c r="AX60" t="s">
        <v>94</v>
      </c>
      <c r="AY60" t="s">
        <v>92</v>
      </c>
      <c r="AZ60" t="s">
        <v>92</v>
      </c>
      <c r="BA60" t="s">
        <v>93</v>
      </c>
      <c r="BB60" t="s">
        <v>93</v>
      </c>
      <c r="BC60" t="s">
        <v>93</v>
      </c>
      <c r="BD60" t="s">
        <v>93</v>
      </c>
      <c r="BE60" t="s">
        <v>93</v>
      </c>
      <c r="BF60" t="s">
        <v>95</v>
      </c>
      <c r="BG60" t="s">
        <v>94</v>
      </c>
      <c r="BH60" t="s">
        <v>92</v>
      </c>
    </row>
    <row r="61" spans="1:60" x14ac:dyDescent="0.3">
      <c r="A61">
        <v>25</v>
      </c>
      <c r="B61" t="s">
        <v>70</v>
      </c>
      <c r="C61" t="s">
        <v>153</v>
      </c>
      <c r="D61" t="s">
        <v>97</v>
      </c>
      <c r="E61" t="s">
        <v>114</v>
      </c>
      <c r="F61" t="s">
        <v>100</v>
      </c>
      <c r="G61" t="s">
        <v>135</v>
      </c>
      <c r="H61" t="s">
        <v>100</v>
      </c>
      <c r="I61" t="s">
        <v>76</v>
      </c>
      <c r="J61" t="s">
        <v>101</v>
      </c>
      <c r="K61" t="s">
        <v>125</v>
      </c>
      <c r="L61" t="s">
        <v>79</v>
      </c>
      <c r="M61" t="s">
        <v>80</v>
      </c>
      <c r="N61" t="s">
        <v>79</v>
      </c>
      <c r="O61" t="s">
        <v>109</v>
      </c>
      <c r="P61" t="s">
        <v>79</v>
      </c>
      <c r="Q61" t="s">
        <v>83</v>
      </c>
      <c r="R61" t="s">
        <v>79</v>
      </c>
      <c r="S61" t="s">
        <v>84</v>
      </c>
      <c r="T61" t="s">
        <v>182</v>
      </c>
      <c r="U61" t="s">
        <v>82</v>
      </c>
      <c r="V61" t="s">
        <v>86</v>
      </c>
      <c r="W61" t="s">
        <v>141</v>
      </c>
      <c r="X61" t="s">
        <v>112</v>
      </c>
      <c r="Y61" t="s">
        <v>93</v>
      </c>
      <c r="Z61" t="s">
        <v>93</v>
      </c>
      <c r="AA61" t="s">
        <v>93</v>
      </c>
      <c r="AB61" t="s">
        <v>93</v>
      </c>
      <c r="AC61" t="s">
        <v>92</v>
      </c>
      <c r="AD61" t="s">
        <v>92</v>
      </c>
      <c r="AE61" t="s">
        <v>92</v>
      </c>
      <c r="AF61" t="s">
        <v>93</v>
      </c>
      <c r="AG61" t="s">
        <v>93</v>
      </c>
      <c r="AH61" t="s">
        <v>92</v>
      </c>
      <c r="AI61" t="s">
        <v>93</v>
      </c>
      <c r="AJ61" t="s">
        <v>92</v>
      </c>
      <c r="AK61" t="s">
        <v>93</v>
      </c>
      <c r="AL61" t="s">
        <v>92</v>
      </c>
      <c r="AM61" t="s">
        <v>92</v>
      </c>
      <c r="AN61" t="s">
        <v>93</v>
      </c>
      <c r="AO61" t="s">
        <v>93</v>
      </c>
      <c r="AP61" t="s">
        <v>92</v>
      </c>
      <c r="AQ61" t="s">
        <v>92</v>
      </c>
      <c r="AR61" t="s">
        <v>93</v>
      </c>
      <c r="AS61" t="s">
        <v>93</v>
      </c>
      <c r="AT61" t="s">
        <v>93</v>
      </c>
      <c r="AU61" t="s">
        <v>93</v>
      </c>
      <c r="AV61" t="s">
        <v>93</v>
      </c>
      <c r="AW61" t="s">
        <v>93</v>
      </c>
      <c r="AX61" t="s">
        <v>93</v>
      </c>
      <c r="AY61" t="s">
        <v>93</v>
      </c>
      <c r="AZ61" t="s">
        <v>93</v>
      </c>
      <c r="BA61" t="s">
        <v>92</v>
      </c>
      <c r="BB61" t="s">
        <v>93</v>
      </c>
      <c r="BC61" t="s">
        <v>93</v>
      </c>
      <c r="BD61" t="s">
        <v>93</v>
      </c>
      <c r="BE61" t="s">
        <v>93</v>
      </c>
      <c r="BF61" t="s">
        <v>92</v>
      </c>
      <c r="BG61" t="s">
        <v>92</v>
      </c>
      <c r="BH61" t="s">
        <v>92</v>
      </c>
    </row>
    <row r="62" spans="1:60" x14ac:dyDescent="0.3">
      <c r="A62">
        <v>20</v>
      </c>
      <c r="B62" t="s">
        <v>70</v>
      </c>
      <c r="C62" t="s">
        <v>157</v>
      </c>
      <c r="D62" t="s">
        <v>149</v>
      </c>
      <c r="E62" t="s">
        <v>73</v>
      </c>
      <c r="F62" t="s">
        <v>74</v>
      </c>
      <c r="G62" t="s">
        <v>135</v>
      </c>
      <c r="H62" t="s">
        <v>74</v>
      </c>
      <c r="I62" t="s">
        <v>75</v>
      </c>
      <c r="J62" t="s">
        <v>101</v>
      </c>
      <c r="K62" t="s">
        <v>122</v>
      </c>
      <c r="L62" t="s">
        <v>79</v>
      </c>
      <c r="M62" t="s">
        <v>80</v>
      </c>
      <c r="N62" t="s">
        <v>79</v>
      </c>
      <c r="O62" t="s">
        <v>109</v>
      </c>
      <c r="P62" t="s">
        <v>82</v>
      </c>
      <c r="Q62" t="s">
        <v>83</v>
      </c>
      <c r="R62" t="s">
        <v>82</v>
      </c>
      <c r="S62" t="s">
        <v>142</v>
      </c>
      <c r="T62" t="s">
        <v>85</v>
      </c>
      <c r="U62" t="s">
        <v>82</v>
      </c>
      <c r="V62" t="s">
        <v>86</v>
      </c>
      <c r="W62" t="s">
        <v>87</v>
      </c>
      <c r="X62" t="s">
        <v>127</v>
      </c>
      <c r="Y62" t="s">
        <v>94</v>
      </c>
      <c r="Z62" t="s">
        <v>94</v>
      </c>
      <c r="AA62" t="s">
        <v>94</v>
      </c>
      <c r="AB62" t="s">
        <v>94</v>
      </c>
      <c r="AC62" t="s">
        <v>94</v>
      </c>
      <c r="AD62" t="s">
        <v>94</v>
      </c>
      <c r="AE62" t="s">
        <v>94</v>
      </c>
      <c r="AF62" t="s">
        <v>94</v>
      </c>
      <c r="AG62" t="s">
        <v>94</v>
      </c>
      <c r="AH62" t="s">
        <v>92</v>
      </c>
      <c r="AI62" t="s">
        <v>92</v>
      </c>
      <c r="AJ62" t="s">
        <v>92</v>
      </c>
      <c r="AK62" t="s">
        <v>94</v>
      </c>
      <c r="AL62" t="s">
        <v>92</v>
      </c>
      <c r="AM62" t="s">
        <v>94</v>
      </c>
      <c r="AN62" t="s">
        <v>94</v>
      </c>
      <c r="AO62" t="s">
        <v>95</v>
      </c>
      <c r="AP62" t="s">
        <v>94</v>
      </c>
      <c r="AQ62" t="s">
        <v>94</v>
      </c>
      <c r="AR62" t="s">
        <v>95</v>
      </c>
      <c r="AS62" t="s">
        <v>95</v>
      </c>
      <c r="AT62" t="s">
        <v>95</v>
      </c>
      <c r="AU62" t="s">
        <v>95</v>
      </c>
      <c r="AV62" t="s">
        <v>95</v>
      </c>
      <c r="AW62" t="s">
        <v>95</v>
      </c>
      <c r="AX62" t="s">
        <v>95</v>
      </c>
      <c r="AY62" t="s">
        <v>95</v>
      </c>
      <c r="AZ62" t="s">
        <v>95</v>
      </c>
      <c r="BA62" t="s">
        <v>95</v>
      </c>
      <c r="BB62" t="s">
        <v>95</v>
      </c>
      <c r="BC62" t="s">
        <v>95</v>
      </c>
      <c r="BD62" t="s">
        <v>95</v>
      </c>
      <c r="BE62" t="s">
        <v>95</v>
      </c>
      <c r="BF62" t="s">
        <v>94</v>
      </c>
      <c r="BG62" t="s">
        <v>95</v>
      </c>
      <c r="BH62" t="s">
        <v>94</v>
      </c>
    </row>
    <row r="63" spans="1:60" x14ac:dyDescent="0.3">
      <c r="A63">
        <v>22</v>
      </c>
      <c r="B63" t="s">
        <v>70</v>
      </c>
      <c r="C63" t="s">
        <v>113</v>
      </c>
      <c r="D63" t="s">
        <v>72</v>
      </c>
      <c r="E63" t="s">
        <v>108</v>
      </c>
      <c r="F63" t="s">
        <v>136</v>
      </c>
      <c r="G63" t="s">
        <v>99</v>
      </c>
      <c r="H63" t="s">
        <v>136</v>
      </c>
      <c r="I63" t="s">
        <v>76</v>
      </c>
      <c r="J63" t="s">
        <v>77</v>
      </c>
      <c r="K63" t="s">
        <v>122</v>
      </c>
      <c r="L63" t="s">
        <v>79</v>
      </c>
      <c r="M63" t="s">
        <v>80</v>
      </c>
      <c r="N63" t="s">
        <v>79</v>
      </c>
      <c r="O63" t="s">
        <v>117</v>
      </c>
      <c r="P63" t="s">
        <v>79</v>
      </c>
      <c r="Q63" t="s">
        <v>83</v>
      </c>
      <c r="R63" t="s">
        <v>79</v>
      </c>
      <c r="S63" t="s">
        <v>84</v>
      </c>
      <c r="T63" t="s">
        <v>124</v>
      </c>
      <c r="U63" t="s">
        <v>82</v>
      </c>
      <c r="V63" t="s">
        <v>106</v>
      </c>
      <c r="W63" t="s">
        <v>87</v>
      </c>
      <c r="X63" t="s">
        <v>112</v>
      </c>
      <c r="Y63" t="s">
        <v>92</v>
      </c>
      <c r="Z63" t="s">
        <v>92</v>
      </c>
      <c r="AA63" t="s">
        <v>92</v>
      </c>
      <c r="AB63" t="s">
        <v>93</v>
      </c>
      <c r="AC63" t="s">
        <v>92</v>
      </c>
      <c r="AD63" t="s">
        <v>92</v>
      </c>
      <c r="AE63" t="s">
        <v>92</v>
      </c>
      <c r="AF63" t="s">
        <v>92</v>
      </c>
      <c r="AG63" t="s">
        <v>94</v>
      </c>
      <c r="AH63" t="s">
        <v>95</v>
      </c>
      <c r="AI63" t="s">
        <v>92</v>
      </c>
      <c r="AJ63" t="s">
        <v>94</v>
      </c>
      <c r="AK63" t="s">
        <v>93</v>
      </c>
      <c r="AL63" t="s">
        <v>93</v>
      </c>
      <c r="AM63" t="s">
        <v>93</v>
      </c>
      <c r="AN63" t="s">
        <v>93</v>
      </c>
      <c r="AO63" t="s">
        <v>93</v>
      </c>
      <c r="AP63" t="s">
        <v>93</v>
      </c>
      <c r="AQ63" t="s">
        <v>95</v>
      </c>
      <c r="AR63" t="s">
        <v>94</v>
      </c>
      <c r="AS63" t="s">
        <v>95</v>
      </c>
      <c r="AT63" t="s">
        <v>95</v>
      </c>
      <c r="AU63" t="s">
        <v>94</v>
      </c>
      <c r="AV63" t="s">
        <v>94</v>
      </c>
      <c r="AW63" t="s">
        <v>93</v>
      </c>
      <c r="AX63" t="s">
        <v>94</v>
      </c>
      <c r="AY63" t="s">
        <v>92</v>
      </c>
      <c r="AZ63" t="s">
        <v>92</v>
      </c>
    </row>
    <row r="64" spans="1:60" x14ac:dyDescent="0.3">
      <c r="A64">
        <v>24</v>
      </c>
      <c r="B64" t="s">
        <v>70</v>
      </c>
      <c r="C64" t="s">
        <v>113</v>
      </c>
      <c r="D64" t="s">
        <v>72</v>
      </c>
      <c r="E64" t="s">
        <v>73</v>
      </c>
      <c r="F64" t="s">
        <v>74</v>
      </c>
      <c r="G64" t="s">
        <v>99</v>
      </c>
      <c r="H64" t="s">
        <v>98</v>
      </c>
      <c r="I64" t="s">
        <v>76</v>
      </c>
      <c r="J64" t="s">
        <v>77</v>
      </c>
      <c r="K64" t="s">
        <v>125</v>
      </c>
      <c r="L64" t="s">
        <v>79</v>
      </c>
      <c r="M64" t="s">
        <v>80</v>
      </c>
      <c r="N64" t="s">
        <v>79</v>
      </c>
      <c r="O64" t="s">
        <v>109</v>
      </c>
      <c r="P64" t="s">
        <v>79</v>
      </c>
      <c r="Q64" t="s">
        <v>83</v>
      </c>
      <c r="R64" t="s">
        <v>79</v>
      </c>
      <c r="S64" t="s">
        <v>84</v>
      </c>
      <c r="T64" t="s">
        <v>159</v>
      </c>
      <c r="U64" t="s">
        <v>79</v>
      </c>
      <c r="V64" t="s">
        <v>86</v>
      </c>
      <c r="W64" t="s">
        <v>87</v>
      </c>
      <c r="X64" t="s">
        <v>112</v>
      </c>
      <c r="Y64" t="s">
        <v>93</v>
      </c>
      <c r="Z64" t="s">
        <v>93</v>
      </c>
      <c r="AA64" t="s">
        <v>92</v>
      </c>
      <c r="AB64" t="s">
        <v>93</v>
      </c>
      <c r="AC64" t="s">
        <v>92</v>
      </c>
      <c r="AD64" t="s">
        <v>93</v>
      </c>
      <c r="AE64" t="s">
        <v>92</v>
      </c>
      <c r="AF64" t="s">
        <v>93</v>
      </c>
      <c r="AG64" t="s">
        <v>92</v>
      </c>
      <c r="AH64" t="s">
        <v>92</v>
      </c>
      <c r="AI64" t="s">
        <v>93</v>
      </c>
      <c r="AJ64" t="s">
        <v>92</v>
      </c>
      <c r="AK64" t="s">
        <v>93</v>
      </c>
      <c r="AL64" t="s">
        <v>92</v>
      </c>
      <c r="AM64" t="s">
        <v>93</v>
      </c>
      <c r="AN64" t="s">
        <v>93</v>
      </c>
      <c r="AO64" t="s">
        <v>92</v>
      </c>
      <c r="AP64" t="s">
        <v>93</v>
      </c>
      <c r="AQ64" t="s">
        <v>92</v>
      </c>
      <c r="AR64" t="s">
        <v>93</v>
      </c>
      <c r="AS64" t="s">
        <v>92</v>
      </c>
      <c r="AT64" t="s">
        <v>93</v>
      </c>
      <c r="AU64" t="s">
        <v>92</v>
      </c>
      <c r="AV64" t="s">
        <v>93</v>
      </c>
      <c r="AW64" t="s">
        <v>92</v>
      </c>
      <c r="AX64" t="s">
        <v>93</v>
      </c>
      <c r="AY64" t="s">
        <v>93</v>
      </c>
      <c r="AZ64" t="s">
        <v>92</v>
      </c>
      <c r="BB64" t="s">
        <v>93</v>
      </c>
      <c r="BC64" t="s">
        <v>93</v>
      </c>
      <c r="BD64" t="s">
        <v>93</v>
      </c>
      <c r="BE64" t="s">
        <v>93</v>
      </c>
      <c r="BF64" t="s">
        <v>93</v>
      </c>
      <c r="BG64" t="s">
        <v>92</v>
      </c>
      <c r="BH64" t="s">
        <v>92</v>
      </c>
    </row>
    <row r="65" spans="1:60" x14ac:dyDescent="0.3">
      <c r="A65">
        <v>23</v>
      </c>
      <c r="B65" t="s">
        <v>70</v>
      </c>
      <c r="C65" t="s">
        <v>113</v>
      </c>
      <c r="D65" t="s">
        <v>72</v>
      </c>
      <c r="E65" t="s">
        <v>73</v>
      </c>
      <c r="F65" t="s">
        <v>98</v>
      </c>
      <c r="G65" t="s">
        <v>135</v>
      </c>
      <c r="H65" t="s">
        <v>98</v>
      </c>
      <c r="I65" t="s">
        <v>76</v>
      </c>
      <c r="J65" t="s">
        <v>101</v>
      </c>
      <c r="K65" t="s">
        <v>78</v>
      </c>
      <c r="L65" t="s">
        <v>79</v>
      </c>
      <c r="M65" t="s">
        <v>80</v>
      </c>
      <c r="N65" t="s">
        <v>82</v>
      </c>
      <c r="O65" t="s">
        <v>109</v>
      </c>
      <c r="P65" t="s">
        <v>79</v>
      </c>
      <c r="Q65" t="s">
        <v>118</v>
      </c>
      <c r="R65" t="s">
        <v>82</v>
      </c>
      <c r="S65" t="s">
        <v>183</v>
      </c>
      <c r="T65" t="s">
        <v>159</v>
      </c>
      <c r="U65" t="s">
        <v>82</v>
      </c>
      <c r="V65" t="s">
        <v>86</v>
      </c>
      <c r="W65" t="s">
        <v>141</v>
      </c>
      <c r="X65" t="s">
        <v>112</v>
      </c>
      <c r="Y65" t="s">
        <v>94</v>
      </c>
      <c r="Z65" t="s">
        <v>94</v>
      </c>
      <c r="AA65" t="s">
        <v>92</v>
      </c>
      <c r="AB65" t="s">
        <v>94</v>
      </c>
      <c r="AC65" t="s">
        <v>95</v>
      </c>
      <c r="AD65" t="s">
        <v>94</v>
      </c>
      <c r="AE65" t="s">
        <v>94</v>
      </c>
      <c r="AF65" t="s">
        <v>95</v>
      </c>
      <c r="AG65" t="s">
        <v>93</v>
      </c>
      <c r="AH65" t="s">
        <v>93</v>
      </c>
      <c r="AI65" t="s">
        <v>92</v>
      </c>
      <c r="AJ65" t="s">
        <v>93</v>
      </c>
      <c r="AK65" t="s">
        <v>92</v>
      </c>
      <c r="AL65" t="s">
        <v>92</v>
      </c>
      <c r="AM65" t="s">
        <v>92</v>
      </c>
      <c r="AN65" t="s">
        <v>92</v>
      </c>
      <c r="AO65" t="s">
        <v>94</v>
      </c>
      <c r="AP65" t="s">
        <v>95</v>
      </c>
      <c r="AQ65" t="s">
        <v>95</v>
      </c>
      <c r="AR65" t="s">
        <v>94</v>
      </c>
      <c r="AS65" t="s">
        <v>92</v>
      </c>
      <c r="AT65" t="s">
        <v>92</v>
      </c>
      <c r="AU65" t="s">
        <v>94</v>
      </c>
      <c r="AV65" t="s">
        <v>94</v>
      </c>
      <c r="AW65" t="s">
        <v>95</v>
      </c>
      <c r="AX65" t="s">
        <v>95</v>
      </c>
      <c r="AY65" t="s">
        <v>95</v>
      </c>
      <c r="AZ65" t="s">
        <v>92</v>
      </c>
      <c r="BA65" t="s">
        <v>94</v>
      </c>
      <c r="BB65" t="s">
        <v>92</v>
      </c>
      <c r="BC65" t="s">
        <v>92</v>
      </c>
      <c r="BD65" t="s">
        <v>95</v>
      </c>
      <c r="BE65" t="s">
        <v>95</v>
      </c>
      <c r="BF65" t="s">
        <v>94</v>
      </c>
      <c r="BG65" t="s">
        <v>95</v>
      </c>
      <c r="BH65" t="s">
        <v>94</v>
      </c>
    </row>
    <row r="66" spans="1:60" x14ac:dyDescent="0.3">
      <c r="A66">
        <v>25</v>
      </c>
      <c r="B66" t="s">
        <v>70</v>
      </c>
      <c r="C66" t="s">
        <v>71</v>
      </c>
      <c r="D66" t="s">
        <v>149</v>
      </c>
      <c r="E66" t="s">
        <v>73</v>
      </c>
      <c r="F66" t="s">
        <v>74</v>
      </c>
      <c r="G66" t="s">
        <v>99</v>
      </c>
      <c r="H66" t="s">
        <v>74</v>
      </c>
      <c r="I66" t="s">
        <v>115</v>
      </c>
      <c r="J66" t="s">
        <v>77</v>
      </c>
      <c r="K66" t="s">
        <v>122</v>
      </c>
      <c r="L66" t="s">
        <v>79</v>
      </c>
      <c r="M66" t="s">
        <v>80</v>
      </c>
      <c r="N66" t="s">
        <v>79</v>
      </c>
      <c r="O66" t="s">
        <v>109</v>
      </c>
      <c r="P66" t="s">
        <v>82</v>
      </c>
      <c r="Q66" t="s">
        <v>83</v>
      </c>
      <c r="R66" t="s">
        <v>79</v>
      </c>
      <c r="S66" t="s">
        <v>184</v>
      </c>
      <c r="T66" t="s">
        <v>105</v>
      </c>
      <c r="U66" t="s">
        <v>79</v>
      </c>
      <c r="V66" t="s">
        <v>86</v>
      </c>
      <c r="W66" t="s">
        <v>141</v>
      </c>
      <c r="X66" t="s">
        <v>112</v>
      </c>
      <c r="Y66" t="s">
        <v>95</v>
      </c>
      <c r="Z66" t="s">
        <v>94</v>
      </c>
      <c r="AA66" t="s">
        <v>92</v>
      </c>
      <c r="AB66" t="s">
        <v>94</v>
      </c>
      <c r="AC66" t="s">
        <v>95</v>
      </c>
      <c r="AD66" t="s">
        <v>94</v>
      </c>
      <c r="AE66" t="s">
        <v>92</v>
      </c>
      <c r="AF66" t="s">
        <v>94</v>
      </c>
      <c r="AG66" t="s">
        <v>95</v>
      </c>
      <c r="AH66" t="s">
        <v>94</v>
      </c>
      <c r="AI66" t="s">
        <v>92</v>
      </c>
      <c r="AJ66" t="s">
        <v>94</v>
      </c>
      <c r="AK66" t="s">
        <v>95</v>
      </c>
      <c r="AL66" t="s">
        <v>94</v>
      </c>
      <c r="AM66" t="s">
        <v>92</v>
      </c>
      <c r="AN66" t="s">
        <v>95</v>
      </c>
      <c r="AO66" t="s">
        <v>94</v>
      </c>
      <c r="AP66" t="s">
        <v>92</v>
      </c>
      <c r="AQ66" t="s">
        <v>93</v>
      </c>
      <c r="AR66" t="s">
        <v>92</v>
      </c>
      <c r="AS66" t="s">
        <v>94</v>
      </c>
      <c r="AT66" t="s">
        <v>95</v>
      </c>
      <c r="AU66" t="s">
        <v>95</v>
      </c>
      <c r="AV66" t="s">
        <v>94</v>
      </c>
      <c r="AW66" t="s">
        <v>92</v>
      </c>
      <c r="AX66" t="s">
        <v>93</v>
      </c>
      <c r="AY66" t="s">
        <v>92</v>
      </c>
      <c r="AZ66" t="s">
        <v>94</v>
      </c>
      <c r="BA66" t="s">
        <v>95</v>
      </c>
      <c r="BB66" t="s">
        <v>94</v>
      </c>
      <c r="BC66" t="s">
        <v>92</v>
      </c>
      <c r="BD66" t="s">
        <v>93</v>
      </c>
      <c r="BE66" t="s">
        <v>92</v>
      </c>
      <c r="BF66" t="s">
        <v>94</v>
      </c>
      <c r="BG66" t="s">
        <v>95</v>
      </c>
      <c r="BH66" t="s">
        <v>94</v>
      </c>
    </row>
    <row r="67" spans="1:60" x14ac:dyDescent="0.3">
      <c r="A67">
        <v>24</v>
      </c>
      <c r="B67" t="s">
        <v>70</v>
      </c>
      <c r="C67" t="s">
        <v>113</v>
      </c>
      <c r="D67" t="s">
        <v>72</v>
      </c>
      <c r="E67" t="s">
        <v>108</v>
      </c>
      <c r="F67" t="s">
        <v>74</v>
      </c>
      <c r="G67" t="s">
        <v>135</v>
      </c>
      <c r="H67" t="s">
        <v>74</v>
      </c>
      <c r="I67" t="s">
        <v>185</v>
      </c>
      <c r="J67" t="s">
        <v>101</v>
      </c>
      <c r="K67" t="s">
        <v>122</v>
      </c>
      <c r="L67" t="s">
        <v>79</v>
      </c>
      <c r="M67" t="s">
        <v>80</v>
      </c>
      <c r="N67" t="s">
        <v>79</v>
      </c>
      <c r="O67" t="s">
        <v>81</v>
      </c>
      <c r="P67" t="s">
        <v>82</v>
      </c>
      <c r="Q67" t="s">
        <v>103</v>
      </c>
      <c r="R67" t="s">
        <v>79</v>
      </c>
      <c r="S67" t="s">
        <v>84</v>
      </c>
      <c r="T67" t="s">
        <v>156</v>
      </c>
      <c r="U67" t="s">
        <v>82</v>
      </c>
      <c r="V67" t="s">
        <v>106</v>
      </c>
      <c r="W67" t="s">
        <v>120</v>
      </c>
      <c r="X67" t="s">
        <v>112</v>
      </c>
      <c r="Y67" t="s">
        <v>95</v>
      </c>
      <c r="Z67" t="s">
        <v>95</v>
      </c>
      <c r="AA67" t="s">
        <v>94</v>
      </c>
      <c r="AB67" t="s">
        <v>94</v>
      </c>
      <c r="AC67" t="s">
        <v>95</v>
      </c>
      <c r="AD67" t="s">
        <v>94</v>
      </c>
      <c r="AE67" t="s">
        <v>94</v>
      </c>
      <c r="AF67" t="s">
        <v>94</v>
      </c>
      <c r="AG67" t="s">
        <v>94</v>
      </c>
      <c r="AH67" t="s">
        <v>95</v>
      </c>
      <c r="AI67" t="s">
        <v>94</v>
      </c>
      <c r="AJ67" t="s">
        <v>92</v>
      </c>
      <c r="AK67" t="s">
        <v>94</v>
      </c>
      <c r="AL67" t="s">
        <v>94</v>
      </c>
      <c r="AM67" t="s">
        <v>94</v>
      </c>
      <c r="AN67" t="s">
        <v>94</v>
      </c>
      <c r="AO67" t="s">
        <v>92</v>
      </c>
      <c r="AP67" t="s">
        <v>94</v>
      </c>
      <c r="AQ67" t="s">
        <v>92</v>
      </c>
      <c r="AR67" t="s">
        <v>94</v>
      </c>
      <c r="AS67" t="s">
        <v>92</v>
      </c>
      <c r="AT67" t="s">
        <v>94</v>
      </c>
      <c r="AU67" t="s">
        <v>94</v>
      </c>
      <c r="AV67" t="s">
        <v>92</v>
      </c>
      <c r="AW67" t="s">
        <v>94</v>
      </c>
      <c r="AX67" t="s">
        <v>92</v>
      </c>
      <c r="AY67" t="s">
        <v>94</v>
      </c>
      <c r="AZ67" t="s">
        <v>92</v>
      </c>
      <c r="BA67" t="s">
        <v>94</v>
      </c>
      <c r="BB67" t="s">
        <v>92</v>
      </c>
      <c r="BC67" t="s">
        <v>94</v>
      </c>
      <c r="BD67" t="s">
        <v>92</v>
      </c>
      <c r="BE67" t="s">
        <v>94</v>
      </c>
      <c r="BF67" t="s">
        <v>92</v>
      </c>
      <c r="BG67" t="s">
        <v>92</v>
      </c>
      <c r="BH67" t="s">
        <v>94</v>
      </c>
    </row>
    <row r="68" spans="1:60" x14ac:dyDescent="0.3">
      <c r="A68">
        <v>25</v>
      </c>
      <c r="B68" t="s">
        <v>70</v>
      </c>
      <c r="C68" t="s">
        <v>113</v>
      </c>
      <c r="D68" t="s">
        <v>72</v>
      </c>
      <c r="E68" t="s">
        <v>108</v>
      </c>
      <c r="F68" t="s">
        <v>74</v>
      </c>
      <c r="G68" t="s">
        <v>135</v>
      </c>
      <c r="H68" t="s">
        <v>74</v>
      </c>
      <c r="I68" t="s">
        <v>76</v>
      </c>
      <c r="J68" t="s">
        <v>77</v>
      </c>
      <c r="K68" t="s">
        <v>131</v>
      </c>
      <c r="L68" t="s">
        <v>79</v>
      </c>
      <c r="M68" t="s">
        <v>102</v>
      </c>
      <c r="N68" t="s">
        <v>79</v>
      </c>
      <c r="O68" t="s">
        <v>81</v>
      </c>
      <c r="P68" t="s">
        <v>79</v>
      </c>
      <c r="Q68" t="s">
        <v>83</v>
      </c>
      <c r="R68" t="s">
        <v>79</v>
      </c>
      <c r="S68" t="s">
        <v>84</v>
      </c>
      <c r="T68" t="s">
        <v>105</v>
      </c>
      <c r="U68" t="s">
        <v>79</v>
      </c>
      <c r="V68" t="s">
        <v>106</v>
      </c>
      <c r="W68" t="s">
        <v>120</v>
      </c>
      <c r="X68" t="s">
        <v>112</v>
      </c>
      <c r="Y68" t="s">
        <v>92</v>
      </c>
      <c r="Z68" t="s">
        <v>92</v>
      </c>
      <c r="AA68" t="s">
        <v>92</v>
      </c>
      <c r="AB68" t="s">
        <v>92</v>
      </c>
      <c r="AC68" t="s">
        <v>92</v>
      </c>
      <c r="AD68" t="s">
        <v>92</v>
      </c>
      <c r="AE68" t="s">
        <v>92</v>
      </c>
      <c r="AF68" t="s">
        <v>92</v>
      </c>
      <c r="AG68" t="s">
        <v>92</v>
      </c>
      <c r="AH68" t="s">
        <v>92</v>
      </c>
      <c r="AI68" t="s">
        <v>92</v>
      </c>
      <c r="AJ68" t="s">
        <v>92</v>
      </c>
      <c r="AK68" t="s">
        <v>92</v>
      </c>
      <c r="AL68" t="s">
        <v>92</v>
      </c>
      <c r="AM68" t="s">
        <v>92</v>
      </c>
      <c r="AN68" t="s">
        <v>92</v>
      </c>
      <c r="AO68" t="s">
        <v>92</v>
      </c>
      <c r="AP68" t="s">
        <v>92</v>
      </c>
      <c r="AQ68" t="s">
        <v>92</v>
      </c>
      <c r="AR68" t="s">
        <v>92</v>
      </c>
      <c r="AS68" t="s">
        <v>92</v>
      </c>
      <c r="AT68" t="s">
        <v>92</v>
      </c>
      <c r="AU68" t="s">
        <v>92</v>
      </c>
      <c r="AV68" t="s">
        <v>92</v>
      </c>
      <c r="AW68" t="s">
        <v>92</v>
      </c>
      <c r="AX68" t="s">
        <v>92</v>
      </c>
      <c r="AY68" t="s">
        <v>92</v>
      </c>
      <c r="AZ68" t="s">
        <v>92</v>
      </c>
      <c r="BA68" t="s">
        <v>92</v>
      </c>
      <c r="BB68" t="s">
        <v>92</v>
      </c>
      <c r="BC68" t="s">
        <v>92</v>
      </c>
      <c r="BD68" t="s">
        <v>92</v>
      </c>
      <c r="BE68" t="s">
        <v>92</v>
      </c>
      <c r="BF68" t="s">
        <v>92</v>
      </c>
      <c r="BG68" t="s">
        <v>92</v>
      </c>
      <c r="BH68" t="s">
        <v>92</v>
      </c>
    </row>
    <row r="69" spans="1:60" x14ac:dyDescent="0.3">
      <c r="A69">
        <v>23</v>
      </c>
      <c r="B69" t="s">
        <v>70</v>
      </c>
      <c r="C69" t="s">
        <v>113</v>
      </c>
      <c r="D69" t="s">
        <v>72</v>
      </c>
      <c r="E69" t="s">
        <v>73</v>
      </c>
      <c r="F69" t="s">
        <v>74</v>
      </c>
      <c r="G69" t="s">
        <v>135</v>
      </c>
      <c r="H69" t="s">
        <v>74</v>
      </c>
      <c r="I69" t="s">
        <v>76</v>
      </c>
      <c r="J69" t="s">
        <v>101</v>
      </c>
      <c r="K69" t="s">
        <v>78</v>
      </c>
      <c r="L69" t="s">
        <v>79</v>
      </c>
      <c r="M69" t="s">
        <v>80</v>
      </c>
      <c r="N69" t="s">
        <v>79</v>
      </c>
      <c r="O69" t="s">
        <v>117</v>
      </c>
      <c r="P69" t="s">
        <v>79</v>
      </c>
      <c r="Q69" t="s">
        <v>83</v>
      </c>
      <c r="R69" t="s">
        <v>79</v>
      </c>
      <c r="S69" t="s">
        <v>84</v>
      </c>
      <c r="T69" t="s">
        <v>119</v>
      </c>
      <c r="U69" t="s">
        <v>79</v>
      </c>
      <c r="V69" t="s">
        <v>106</v>
      </c>
      <c r="W69" t="s">
        <v>141</v>
      </c>
      <c r="X69" t="s">
        <v>112</v>
      </c>
      <c r="Y69" t="s">
        <v>92</v>
      </c>
      <c r="Z69" t="s">
        <v>92</v>
      </c>
      <c r="AA69" t="s">
        <v>92</v>
      </c>
      <c r="AB69" t="s">
        <v>92</v>
      </c>
      <c r="AC69" t="s">
        <v>92</v>
      </c>
      <c r="AD69" t="s">
        <v>92</v>
      </c>
      <c r="AE69" t="s">
        <v>92</v>
      </c>
      <c r="AF69" t="s">
        <v>92</v>
      </c>
      <c r="AG69" t="s">
        <v>92</v>
      </c>
      <c r="AH69" t="s">
        <v>92</v>
      </c>
      <c r="AI69" t="s">
        <v>92</v>
      </c>
      <c r="AJ69" t="s">
        <v>92</v>
      </c>
      <c r="AK69" t="s">
        <v>92</v>
      </c>
      <c r="AL69" t="s">
        <v>92</v>
      </c>
      <c r="AM69" t="s">
        <v>92</v>
      </c>
      <c r="AN69" t="s">
        <v>92</v>
      </c>
      <c r="AO69" t="s">
        <v>92</v>
      </c>
      <c r="AP69" t="s">
        <v>92</v>
      </c>
      <c r="AQ69" t="s">
        <v>92</v>
      </c>
      <c r="AR69" t="s">
        <v>92</v>
      </c>
      <c r="AS69" t="s">
        <v>92</v>
      </c>
      <c r="AT69" t="s">
        <v>92</v>
      </c>
      <c r="AU69" t="s">
        <v>92</v>
      </c>
      <c r="AV69" t="s">
        <v>92</v>
      </c>
      <c r="AW69" t="s">
        <v>92</v>
      </c>
      <c r="AX69" t="s">
        <v>92</v>
      </c>
      <c r="AY69" t="s">
        <v>92</v>
      </c>
      <c r="AZ69" t="s">
        <v>92</v>
      </c>
      <c r="BA69" t="s">
        <v>92</v>
      </c>
      <c r="BB69" t="s">
        <v>92</v>
      </c>
      <c r="BC69" t="s">
        <v>92</v>
      </c>
      <c r="BD69" t="s">
        <v>92</v>
      </c>
      <c r="BE69" t="s">
        <v>92</v>
      </c>
      <c r="BF69" t="s">
        <v>92</v>
      </c>
      <c r="BG69" t="s">
        <v>92</v>
      </c>
      <c r="BH69" t="s">
        <v>92</v>
      </c>
    </row>
    <row r="70" spans="1:60" x14ac:dyDescent="0.3">
      <c r="A70">
        <v>23</v>
      </c>
      <c r="B70" t="s">
        <v>70</v>
      </c>
      <c r="C70" t="s">
        <v>113</v>
      </c>
      <c r="D70" t="s">
        <v>97</v>
      </c>
      <c r="E70" t="s">
        <v>108</v>
      </c>
      <c r="F70" t="s">
        <v>74</v>
      </c>
      <c r="G70" t="s">
        <v>75</v>
      </c>
      <c r="H70" t="s">
        <v>136</v>
      </c>
      <c r="I70" t="s">
        <v>76</v>
      </c>
      <c r="J70" t="s">
        <v>101</v>
      </c>
      <c r="K70" t="s">
        <v>78</v>
      </c>
      <c r="L70" t="s">
        <v>79</v>
      </c>
      <c r="M70" t="s">
        <v>102</v>
      </c>
      <c r="N70" t="s">
        <v>79</v>
      </c>
      <c r="O70" t="s">
        <v>109</v>
      </c>
      <c r="P70" t="s">
        <v>82</v>
      </c>
      <c r="Q70" t="s">
        <v>83</v>
      </c>
      <c r="R70" t="s">
        <v>82</v>
      </c>
      <c r="S70" t="s">
        <v>154</v>
      </c>
      <c r="T70" t="s">
        <v>186</v>
      </c>
      <c r="U70" t="s">
        <v>79</v>
      </c>
      <c r="V70" t="s">
        <v>106</v>
      </c>
      <c r="W70" t="s">
        <v>141</v>
      </c>
      <c r="X70" t="s">
        <v>112</v>
      </c>
      <c r="Y70" t="s">
        <v>95</v>
      </c>
      <c r="Z70" t="s">
        <v>95</v>
      </c>
      <c r="AA70" t="s">
        <v>94</v>
      </c>
      <c r="AB70" t="s">
        <v>94</v>
      </c>
      <c r="AC70" t="s">
        <v>95</v>
      </c>
      <c r="AD70" t="s">
        <v>95</v>
      </c>
      <c r="AE70" t="s">
        <v>95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94</v>
      </c>
      <c r="AL70" t="s">
        <v>94</v>
      </c>
      <c r="AM70" t="s">
        <v>95</v>
      </c>
      <c r="AN70" t="s">
        <v>95</v>
      </c>
      <c r="AO70" t="s">
        <v>95</v>
      </c>
      <c r="AP70" t="s">
        <v>95</v>
      </c>
      <c r="AQ70" t="s">
        <v>95</v>
      </c>
      <c r="AR70" t="s">
        <v>94</v>
      </c>
      <c r="AS70" t="s">
        <v>94</v>
      </c>
      <c r="AT70" t="s">
        <v>94</v>
      </c>
      <c r="AU70" t="s">
        <v>95</v>
      </c>
      <c r="AV70" t="s">
        <v>95</v>
      </c>
      <c r="AW70" t="s">
        <v>95</v>
      </c>
      <c r="AX70" t="s">
        <v>95</v>
      </c>
      <c r="AY70" t="s">
        <v>94</v>
      </c>
      <c r="AZ70" t="s">
        <v>94</v>
      </c>
      <c r="BA70" t="s">
        <v>94</v>
      </c>
      <c r="BB70" t="s">
        <v>94</v>
      </c>
      <c r="BC70" t="s">
        <v>94</v>
      </c>
      <c r="BD70" t="s">
        <v>92</v>
      </c>
      <c r="BE70" t="s">
        <v>92</v>
      </c>
      <c r="BF70" t="s">
        <v>92</v>
      </c>
      <c r="BG70" t="s">
        <v>94</v>
      </c>
      <c r="BH70" t="s">
        <v>94</v>
      </c>
    </row>
    <row r="71" spans="1:60" x14ac:dyDescent="0.3">
      <c r="A71">
        <v>21</v>
      </c>
      <c r="B71" t="s">
        <v>70</v>
      </c>
      <c r="C71" t="s">
        <v>96</v>
      </c>
      <c r="D71" t="s">
        <v>72</v>
      </c>
      <c r="E71" t="s">
        <v>114</v>
      </c>
      <c r="F71" t="s">
        <v>98</v>
      </c>
      <c r="G71" t="s">
        <v>135</v>
      </c>
      <c r="H71" t="s">
        <v>98</v>
      </c>
      <c r="I71" t="s">
        <v>76</v>
      </c>
      <c r="J71" t="s">
        <v>101</v>
      </c>
      <c r="K71" t="s">
        <v>125</v>
      </c>
      <c r="L71" t="s">
        <v>79</v>
      </c>
      <c r="M71" t="s">
        <v>80</v>
      </c>
      <c r="N71" t="s">
        <v>79</v>
      </c>
      <c r="O71" t="s">
        <v>109</v>
      </c>
      <c r="P71" t="s">
        <v>79</v>
      </c>
      <c r="Q71" t="s">
        <v>83</v>
      </c>
      <c r="R71" t="s">
        <v>79</v>
      </c>
      <c r="S71" t="s">
        <v>84</v>
      </c>
      <c r="T71" t="s">
        <v>124</v>
      </c>
      <c r="U71" t="s">
        <v>79</v>
      </c>
      <c r="V71" t="s">
        <v>106</v>
      </c>
      <c r="W71" t="s">
        <v>141</v>
      </c>
      <c r="X71" t="s">
        <v>112</v>
      </c>
      <c r="Y71" t="s">
        <v>93</v>
      </c>
      <c r="Z71" t="s">
        <v>93</v>
      </c>
      <c r="AA71" t="s">
        <v>93</v>
      </c>
      <c r="AB71" t="s">
        <v>92</v>
      </c>
      <c r="AC71" t="s">
        <v>94</v>
      </c>
      <c r="AD71" t="s">
        <v>94</v>
      </c>
      <c r="AE71" t="s">
        <v>94</v>
      </c>
      <c r="AF71" t="s">
        <v>92</v>
      </c>
      <c r="AG71" t="s">
        <v>93</v>
      </c>
      <c r="AH71" t="s">
        <v>93</v>
      </c>
      <c r="AI71" t="s">
        <v>93</v>
      </c>
      <c r="AJ71" t="s">
        <v>93</v>
      </c>
      <c r="AK71" t="s">
        <v>93</v>
      </c>
      <c r="AL71" t="s">
        <v>93</v>
      </c>
      <c r="AM71" t="s">
        <v>93</v>
      </c>
      <c r="AN71" t="s">
        <v>92</v>
      </c>
      <c r="AO71" t="s">
        <v>92</v>
      </c>
      <c r="AP71" t="s">
        <v>94</v>
      </c>
      <c r="AQ71" t="s">
        <v>92</v>
      </c>
      <c r="AR71" t="s">
        <v>92</v>
      </c>
      <c r="AS71" t="s">
        <v>92</v>
      </c>
      <c r="AT71" t="s">
        <v>94</v>
      </c>
      <c r="AU71" t="s">
        <v>92</v>
      </c>
      <c r="AV71" t="s">
        <v>92</v>
      </c>
      <c r="AW71" t="s">
        <v>92</v>
      </c>
      <c r="AX71" t="s">
        <v>94</v>
      </c>
      <c r="AY71" t="s">
        <v>94</v>
      </c>
      <c r="AZ71" t="s">
        <v>92</v>
      </c>
      <c r="BA71" t="s">
        <v>92</v>
      </c>
      <c r="BB71" t="s">
        <v>92</v>
      </c>
      <c r="BC71" t="s">
        <v>92</v>
      </c>
      <c r="BD71" t="s">
        <v>92</v>
      </c>
      <c r="BE71" t="s">
        <v>92</v>
      </c>
      <c r="BF71" t="s">
        <v>92</v>
      </c>
      <c r="BG71" t="s">
        <v>92</v>
      </c>
      <c r="BH71" t="s">
        <v>94</v>
      </c>
    </row>
    <row r="72" spans="1:60" x14ac:dyDescent="0.3">
      <c r="A72">
        <v>23</v>
      </c>
      <c r="B72" t="s">
        <v>70</v>
      </c>
      <c r="C72" t="s">
        <v>96</v>
      </c>
      <c r="D72" t="s">
        <v>97</v>
      </c>
      <c r="E72" t="s">
        <v>108</v>
      </c>
      <c r="F72" t="s">
        <v>98</v>
      </c>
      <c r="G72" t="s">
        <v>135</v>
      </c>
      <c r="H72" t="s">
        <v>98</v>
      </c>
      <c r="I72" t="s">
        <v>76</v>
      </c>
      <c r="J72" t="s">
        <v>77</v>
      </c>
      <c r="K72" t="s">
        <v>122</v>
      </c>
      <c r="L72" t="s">
        <v>82</v>
      </c>
      <c r="M72" t="s">
        <v>80</v>
      </c>
      <c r="N72" t="s">
        <v>82</v>
      </c>
      <c r="O72" t="s">
        <v>117</v>
      </c>
      <c r="P72" t="s">
        <v>82</v>
      </c>
      <c r="Q72" t="s">
        <v>118</v>
      </c>
      <c r="R72" t="s">
        <v>82</v>
      </c>
      <c r="S72" t="s">
        <v>84</v>
      </c>
      <c r="T72" t="s">
        <v>187</v>
      </c>
      <c r="U72" t="s">
        <v>82</v>
      </c>
      <c r="V72" t="s">
        <v>106</v>
      </c>
      <c r="W72" t="s">
        <v>120</v>
      </c>
      <c r="X72" t="s">
        <v>88</v>
      </c>
      <c r="Y72" t="s">
        <v>95</v>
      </c>
      <c r="Z72" t="s">
        <v>94</v>
      </c>
      <c r="AA72" t="s">
        <v>94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94</v>
      </c>
      <c r="AI72" t="s">
        <v>95</v>
      </c>
      <c r="AJ72" t="s">
        <v>94</v>
      </c>
      <c r="AK72" t="s">
        <v>95</v>
      </c>
      <c r="AL72" t="s">
        <v>95</v>
      </c>
      <c r="AM72" t="s">
        <v>94</v>
      </c>
      <c r="AN72" t="s">
        <v>95</v>
      </c>
      <c r="AO72" t="s">
        <v>94</v>
      </c>
      <c r="AP72" t="s">
        <v>94</v>
      </c>
      <c r="AQ72" t="s">
        <v>95</v>
      </c>
      <c r="AR72" t="s">
        <v>94</v>
      </c>
      <c r="AS72" t="s">
        <v>95</v>
      </c>
      <c r="AT72" t="s">
        <v>95</v>
      </c>
      <c r="AU72" t="s">
        <v>95</v>
      </c>
      <c r="AV72" t="s">
        <v>94</v>
      </c>
      <c r="AW72" t="s">
        <v>94</v>
      </c>
      <c r="AX72" t="s">
        <v>94</v>
      </c>
      <c r="AY72" t="s">
        <v>94</v>
      </c>
      <c r="AZ72" t="s">
        <v>95</v>
      </c>
      <c r="BA72" t="s">
        <v>95</v>
      </c>
      <c r="BB72" t="s">
        <v>94</v>
      </c>
      <c r="BC72" t="s">
        <v>94</v>
      </c>
      <c r="BD72" t="s">
        <v>94</v>
      </c>
      <c r="BE72" t="s">
        <v>95</v>
      </c>
      <c r="BF72" t="s">
        <v>95</v>
      </c>
      <c r="BG72" t="s">
        <v>94</v>
      </c>
    </row>
    <row r="73" spans="1:60" x14ac:dyDescent="0.3">
      <c r="A73">
        <v>22</v>
      </c>
      <c r="B73" t="s">
        <v>70</v>
      </c>
      <c r="C73" t="s">
        <v>96</v>
      </c>
      <c r="D73" t="s">
        <v>97</v>
      </c>
      <c r="E73" t="s">
        <v>108</v>
      </c>
      <c r="F73" t="s">
        <v>74</v>
      </c>
      <c r="G73" t="s">
        <v>75</v>
      </c>
      <c r="H73" t="s">
        <v>74</v>
      </c>
      <c r="I73" t="s">
        <v>76</v>
      </c>
      <c r="J73" t="s">
        <v>77</v>
      </c>
      <c r="K73" t="s">
        <v>125</v>
      </c>
      <c r="L73" t="s">
        <v>79</v>
      </c>
      <c r="M73" t="s">
        <v>80</v>
      </c>
      <c r="N73" t="s">
        <v>79</v>
      </c>
      <c r="O73" t="s">
        <v>81</v>
      </c>
      <c r="P73" t="s">
        <v>82</v>
      </c>
      <c r="Q73" t="s">
        <v>103</v>
      </c>
      <c r="R73" t="s">
        <v>79</v>
      </c>
      <c r="S73" t="s">
        <v>84</v>
      </c>
      <c r="T73" t="s">
        <v>85</v>
      </c>
      <c r="U73" t="s">
        <v>79</v>
      </c>
      <c r="V73" t="s">
        <v>86</v>
      </c>
      <c r="W73" t="s">
        <v>87</v>
      </c>
      <c r="X73" t="s">
        <v>112</v>
      </c>
      <c r="Y73" t="s">
        <v>94</v>
      </c>
      <c r="Z73" t="s">
        <v>94</v>
      </c>
      <c r="AA73" t="s">
        <v>94</v>
      </c>
      <c r="AB73" t="s">
        <v>94</v>
      </c>
      <c r="AC73" t="s">
        <v>94</v>
      </c>
      <c r="AD73" t="s">
        <v>94</v>
      </c>
      <c r="AE73" t="s">
        <v>94</v>
      </c>
      <c r="AF73" t="s">
        <v>94</v>
      </c>
      <c r="AG73" t="s">
        <v>94</v>
      </c>
      <c r="AH73" t="s">
        <v>94</v>
      </c>
      <c r="AI73" t="s">
        <v>94</v>
      </c>
      <c r="AJ73" t="s">
        <v>94</v>
      </c>
      <c r="AK73" t="s">
        <v>94</v>
      </c>
      <c r="AL73" t="s">
        <v>94</v>
      </c>
      <c r="AM73" t="s">
        <v>94</v>
      </c>
      <c r="AN73" t="s">
        <v>94</v>
      </c>
      <c r="AO73" t="s">
        <v>94</v>
      </c>
      <c r="AP73" t="s">
        <v>94</v>
      </c>
      <c r="AQ73" t="s">
        <v>94</v>
      </c>
      <c r="AR73" t="s">
        <v>94</v>
      </c>
      <c r="AS73" t="s">
        <v>94</v>
      </c>
      <c r="AT73" t="s">
        <v>94</v>
      </c>
      <c r="AU73" t="s">
        <v>94</v>
      </c>
      <c r="AV73" t="s">
        <v>94</v>
      </c>
      <c r="AW73" t="s">
        <v>94</v>
      </c>
      <c r="AX73" t="s">
        <v>94</v>
      </c>
      <c r="AY73" t="s">
        <v>94</v>
      </c>
      <c r="AZ73" t="s">
        <v>94</v>
      </c>
      <c r="BA73" t="s">
        <v>94</v>
      </c>
      <c r="BB73" t="s">
        <v>94</v>
      </c>
      <c r="BC73" t="s">
        <v>94</v>
      </c>
      <c r="BD73" t="s">
        <v>94</v>
      </c>
      <c r="BE73" t="s">
        <v>94</v>
      </c>
      <c r="BF73" t="s">
        <v>94</v>
      </c>
      <c r="BG73" t="s">
        <v>94</v>
      </c>
      <c r="BH73" t="s">
        <v>94</v>
      </c>
    </row>
    <row r="74" spans="1:60" x14ac:dyDescent="0.3">
      <c r="A74">
        <v>22</v>
      </c>
      <c r="B74" t="s">
        <v>70</v>
      </c>
      <c r="C74" t="s">
        <v>157</v>
      </c>
      <c r="D74" t="s">
        <v>72</v>
      </c>
      <c r="E74" t="s">
        <v>114</v>
      </c>
      <c r="F74" t="s">
        <v>74</v>
      </c>
      <c r="G74" t="s">
        <v>75</v>
      </c>
      <c r="H74" t="s">
        <v>136</v>
      </c>
      <c r="I74" t="s">
        <v>75</v>
      </c>
      <c r="J74" t="s">
        <v>77</v>
      </c>
      <c r="K74" t="s">
        <v>125</v>
      </c>
      <c r="L74" t="s">
        <v>79</v>
      </c>
      <c r="M74" t="s">
        <v>80</v>
      </c>
      <c r="N74" t="s">
        <v>79</v>
      </c>
      <c r="O74" t="s">
        <v>109</v>
      </c>
      <c r="P74" t="s">
        <v>79</v>
      </c>
      <c r="Q74" t="s">
        <v>103</v>
      </c>
      <c r="R74" t="s">
        <v>79</v>
      </c>
      <c r="S74" t="s">
        <v>84</v>
      </c>
      <c r="T74" t="s">
        <v>188</v>
      </c>
      <c r="U74" t="s">
        <v>79</v>
      </c>
      <c r="V74" t="s">
        <v>86</v>
      </c>
      <c r="W74" t="s">
        <v>87</v>
      </c>
      <c r="X74" t="s">
        <v>127</v>
      </c>
      <c r="Y74" t="s">
        <v>93</v>
      </c>
      <c r="Z74" t="s">
        <v>92</v>
      </c>
      <c r="AA74" t="s">
        <v>94</v>
      </c>
      <c r="AB74" t="s">
        <v>93</v>
      </c>
      <c r="AC74" t="s">
        <v>93</v>
      </c>
      <c r="AD74" t="s">
        <v>93</v>
      </c>
      <c r="AE74" t="s">
        <v>92</v>
      </c>
      <c r="AF74" t="s">
        <v>92</v>
      </c>
      <c r="AG74" t="s">
        <v>92</v>
      </c>
      <c r="AH74" t="s">
        <v>94</v>
      </c>
      <c r="AI74" t="s">
        <v>93</v>
      </c>
      <c r="AJ74" t="s">
        <v>93</v>
      </c>
      <c r="AK74" t="s">
        <v>93</v>
      </c>
      <c r="AL74" t="s">
        <v>94</v>
      </c>
      <c r="AM74" t="s">
        <v>93</v>
      </c>
      <c r="AN74" t="s">
        <v>93</v>
      </c>
      <c r="AO74" t="s">
        <v>93</v>
      </c>
      <c r="AP74" t="s">
        <v>93</v>
      </c>
      <c r="AQ74" t="s">
        <v>92</v>
      </c>
      <c r="AR74" t="s">
        <v>92</v>
      </c>
      <c r="AS74" t="s">
        <v>95</v>
      </c>
      <c r="AT74" t="s">
        <v>95</v>
      </c>
      <c r="AU74" t="s">
        <v>92</v>
      </c>
      <c r="AV74" t="s">
        <v>93</v>
      </c>
      <c r="AW74" t="s">
        <v>92</v>
      </c>
      <c r="AX74" t="s">
        <v>92</v>
      </c>
      <c r="AY74" t="s">
        <v>94</v>
      </c>
      <c r="AZ74" t="s">
        <v>95</v>
      </c>
      <c r="BA74" t="s">
        <v>92</v>
      </c>
      <c r="BB74" t="s">
        <v>95</v>
      </c>
      <c r="BC74" t="s">
        <v>93</v>
      </c>
      <c r="BD74" t="s">
        <v>93</v>
      </c>
      <c r="BE74" t="s">
        <v>93</v>
      </c>
      <c r="BF74" t="s">
        <v>94</v>
      </c>
      <c r="BG74" t="s">
        <v>95</v>
      </c>
      <c r="BH74" t="s">
        <v>95</v>
      </c>
    </row>
    <row r="75" spans="1:60" x14ac:dyDescent="0.3">
      <c r="A75">
        <v>21</v>
      </c>
      <c r="B75" t="s">
        <v>70</v>
      </c>
      <c r="C75" t="s">
        <v>157</v>
      </c>
      <c r="D75" t="s">
        <v>97</v>
      </c>
      <c r="E75" t="s">
        <v>114</v>
      </c>
      <c r="F75" t="s">
        <v>136</v>
      </c>
      <c r="G75" t="s">
        <v>75</v>
      </c>
      <c r="H75" t="s">
        <v>136</v>
      </c>
      <c r="I75" t="s">
        <v>76</v>
      </c>
      <c r="J75" t="s">
        <v>77</v>
      </c>
      <c r="K75" t="s">
        <v>122</v>
      </c>
      <c r="L75" t="s">
        <v>79</v>
      </c>
      <c r="M75" t="s">
        <v>80</v>
      </c>
      <c r="N75" t="s">
        <v>79</v>
      </c>
      <c r="O75" t="s">
        <v>81</v>
      </c>
      <c r="P75" t="s">
        <v>82</v>
      </c>
      <c r="Q75" t="s">
        <v>103</v>
      </c>
      <c r="R75" t="s">
        <v>82</v>
      </c>
      <c r="S75" t="s">
        <v>84</v>
      </c>
      <c r="T75" t="s">
        <v>150</v>
      </c>
      <c r="U75" t="s">
        <v>82</v>
      </c>
      <c r="V75" t="s">
        <v>106</v>
      </c>
      <c r="W75" t="s">
        <v>87</v>
      </c>
      <c r="X75" t="s">
        <v>112</v>
      </c>
      <c r="Y75" t="s">
        <v>93</v>
      </c>
      <c r="Z75" t="s">
        <v>93</v>
      </c>
      <c r="AA75" t="s">
        <v>93</v>
      </c>
      <c r="AB75" t="s">
        <v>93</v>
      </c>
      <c r="AC75" t="s">
        <v>93</v>
      </c>
      <c r="AD75" t="s">
        <v>93</v>
      </c>
      <c r="AE75" t="s">
        <v>94</v>
      </c>
      <c r="AF75" t="s">
        <v>93</v>
      </c>
      <c r="AG75" t="s">
        <v>93</v>
      </c>
      <c r="AH75" t="s">
        <v>93</v>
      </c>
      <c r="AI75" t="s">
        <v>93</v>
      </c>
      <c r="AJ75" t="s">
        <v>93</v>
      </c>
      <c r="AK75" t="s">
        <v>93</v>
      </c>
      <c r="AL75" t="s">
        <v>94</v>
      </c>
      <c r="AM75" t="s">
        <v>94</v>
      </c>
      <c r="AN75" t="s">
        <v>93</v>
      </c>
      <c r="AO75" t="s">
        <v>93</v>
      </c>
      <c r="AP75" t="s">
        <v>93</v>
      </c>
      <c r="AQ75" t="s">
        <v>95</v>
      </c>
      <c r="AR75" t="s">
        <v>95</v>
      </c>
      <c r="AS75" t="s">
        <v>95</v>
      </c>
      <c r="AT75" t="s">
        <v>95</v>
      </c>
      <c r="AU75" t="s">
        <v>93</v>
      </c>
      <c r="AV75" t="s">
        <v>92</v>
      </c>
      <c r="AW75" t="s">
        <v>92</v>
      </c>
      <c r="AX75" t="s">
        <v>94</v>
      </c>
      <c r="AY75" t="s">
        <v>94</v>
      </c>
      <c r="AZ75" t="s">
        <v>95</v>
      </c>
      <c r="BA75" t="s">
        <v>93</v>
      </c>
      <c r="BB75" t="s">
        <v>93</v>
      </c>
      <c r="BC75" t="s">
        <v>93</v>
      </c>
      <c r="BD75" t="s">
        <v>93</v>
      </c>
      <c r="BE75" t="s">
        <v>93</v>
      </c>
      <c r="BF75" t="s">
        <v>93</v>
      </c>
      <c r="BG75" t="s">
        <v>95</v>
      </c>
      <c r="BH75" t="s">
        <v>92</v>
      </c>
    </row>
    <row r="76" spans="1:60" x14ac:dyDescent="0.3">
      <c r="A76">
        <v>23</v>
      </c>
      <c r="B76" t="s">
        <v>70</v>
      </c>
      <c r="C76" t="s">
        <v>113</v>
      </c>
      <c r="D76" t="s">
        <v>149</v>
      </c>
      <c r="E76" t="s">
        <v>73</v>
      </c>
      <c r="F76" t="s">
        <v>98</v>
      </c>
      <c r="G76" t="s">
        <v>135</v>
      </c>
      <c r="H76" t="s">
        <v>98</v>
      </c>
      <c r="I76" t="s">
        <v>76</v>
      </c>
      <c r="J76" t="s">
        <v>77</v>
      </c>
      <c r="K76" t="s">
        <v>78</v>
      </c>
      <c r="L76" t="s">
        <v>79</v>
      </c>
      <c r="M76" t="s">
        <v>80</v>
      </c>
      <c r="N76" t="s">
        <v>79</v>
      </c>
      <c r="O76" t="s">
        <v>138</v>
      </c>
      <c r="P76" t="s">
        <v>79</v>
      </c>
      <c r="Q76" t="s">
        <v>103</v>
      </c>
      <c r="R76" t="s">
        <v>79</v>
      </c>
      <c r="S76" t="s">
        <v>189</v>
      </c>
      <c r="T76" t="s">
        <v>190</v>
      </c>
      <c r="U76" t="s">
        <v>79</v>
      </c>
      <c r="V76" t="s">
        <v>86</v>
      </c>
      <c r="W76" t="s">
        <v>141</v>
      </c>
      <c r="X76" t="s">
        <v>88</v>
      </c>
      <c r="Y76" t="s">
        <v>94</v>
      </c>
      <c r="Z76" t="s">
        <v>92</v>
      </c>
      <c r="AA76" t="s">
        <v>94</v>
      </c>
      <c r="AB76" t="s">
        <v>94</v>
      </c>
      <c r="AC76" t="s">
        <v>94</v>
      </c>
      <c r="AD76" t="s">
        <v>92</v>
      </c>
      <c r="AE76" t="s">
        <v>92</v>
      </c>
      <c r="AF76" t="s">
        <v>94</v>
      </c>
      <c r="AG76" t="s">
        <v>92</v>
      </c>
      <c r="AH76" t="s">
        <v>92</v>
      </c>
      <c r="AI76" t="s">
        <v>92</v>
      </c>
      <c r="AJ76" t="s">
        <v>94</v>
      </c>
      <c r="AK76" t="s">
        <v>92</v>
      </c>
      <c r="AL76" t="s">
        <v>94</v>
      </c>
      <c r="AM76" t="s">
        <v>92</v>
      </c>
      <c r="AN76" t="s">
        <v>94</v>
      </c>
      <c r="AO76" t="s">
        <v>94</v>
      </c>
      <c r="AP76" t="s">
        <v>94</v>
      </c>
      <c r="AQ76" t="s">
        <v>94</v>
      </c>
      <c r="AR76" t="s">
        <v>92</v>
      </c>
      <c r="AS76" t="s">
        <v>92</v>
      </c>
      <c r="AT76" t="s">
        <v>94</v>
      </c>
      <c r="AU76" t="s">
        <v>94</v>
      </c>
      <c r="AV76" t="s">
        <v>92</v>
      </c>
      <c r="AW76" t="s">
        <v>92</v>
      </c>
      <c r="AX76" t="s">
        <v>94</v>
      </c>
      <c r="AY76" t="s">
        <v>94</v>
      </c>
      <c r="AZ76" t="s">
        <v>94</v>
      </c>
      <c r="BA76" t="s">
        <v>93</v>
      </c>
      <c r="BB76" t="s">
        <v>92</v>
      </c>
      <c r="BC76" t="s">
        <v>92</v>
      </c>
      <c r="BD76" t="s">
        <v>92</v>
      </c>
      <c r="BE76" t="s">
        <v>92</v>
      </c>
      <c r="BF76" t="s">
        <v>92</v>
      </c>
      <c r="BG76" t="s">
        <v>92</v>
      </c>
      <c r="BH76" t="s">
        <v>92</v>
      </c>
    </row>
    <row r="77" spans="1:60" x14ac:dyDescent="0.3">
      <c r="A77">
        <v>19</v>
      </c>
      <c r="B77" t="s">
        <v>70</v>
      </c>
      <c r="C77" t="s">
        <v>157</v>
      </c>
      <c r="D77" t="s">
        <v>97</v>
      </c>
      <c r="E77" t="s">
        <v>114</v>
      </c>
      <c r="F77" t="s">
        <v>74</v>
      </c>
      <c r="G77" t="s">
        <v>135</v>
      </c>
      <c r="H77" t="s">
        <v>74</v>
      </c>
      <c r="I77" t="s">
        <v>76</v>
      </c>
      <c r="J77" t="s">
        <v>77</v>
      </c>
      <c r="K77" t="s">
        <v>125</v>
      </c>
      <c r="L77" t="s">
        <v>79</v>
      </c>
      <c r="M77" t="s">
        <v>80</v>
      </c>
      <c r="N77" t="s">
        <v>79</v>
      </c>
      <c r="O77" t="s">
        <v>81</v>
      </c>
      <c r="P77" t="s">
        <v>82</v>
      </c>
      <c r="Q77" t="s">
        <v>83</v>
      </c>
      <c r="R77" t="s">
        <v>82</v>
      </c>
      <c r="S77" t="s">
        <v>84</v>
      </c>
      <c r="T77" t="s">
        <v>124</v>
      </c>
      <c r="U77" t="s">
        <v>82</v>
      </c>
      <c r="V77" t="s">
        <v>106</v>
      </c>
      <c r="W77" t="s">
        <v>87</v>
      </c>
      <c r="X77" t="s">
        <v>112</v>
      </c>
      <c r="Y77" t="s">
        <v>92</v>
      </c>
      <c r="Z77" t="s">
        <v>92</v>
      </c>
      <c r="AA77" t="s">
        <v>92</v>
      </c>
      <c r="AB77" t="s">
        <v>92</v>
      </c>
      <c r="AC77" t="s">
        <v>93</v>
      </c>
      <c r="AD77" t="s">
        <v>93</v>
      </c>
      <c r="AE77" t="s">
        <v>95</v>
      </c>
      <c r="AF77" t="s">
        <v>92</v>
      </c>
      <c r="AG77" t="s">
        <v>92</v>
      </c>
      <c r="AH77" t="s">
        <v>92</v>
      </c>
      <c r="AI77" t="s">
        <v>93</v>
      </c>
      <c r="AJ77" t="s">
        <v>92</v>
      </c>
      <c r="AK77" t="s">
        <v>92</v>
      </c>
      <c r="AL77" t="s">
        <v>95</v>
      </c>
      <c r="AM77" t="s">
        <v>95</v>
      </c>
      <c r="AN77" t="s">
        <v>92</v>
      </c>
      <c r="AO77" t="s">
        <v>92</v>
      </c>
      <c r="AP77" t="s">
        <v>92</v>
      </c>
      <c r="AQ77" t="s">
        <v>95</v>
      </c>
      <c r="AR77" t="s">
        <v>95</v>
      </c>
      <c r="AS77" t="s">
        <v>95</v>
      </c>
      <c r="AT77" t="s">
        <v>95</v>
      </c>
      <c r="AU77" t="s">
        <v>94</v>
      </c>
      <c r="AV77" t="s">
        <v>94</v>
      </c>
      <c r="AW77" t="s">
        <v>94</v>
      </c>
      <c r="AX77" t="s">
        <v>94</v>
      </c>
      <c r="AY77" t="s">
        <v>95</v>
      </c>
      <c r="AZ77" t="s">
        <v>95</v>
      </c>
    </row>
    <row r="78" spans="1:60" x14ac:dyDescent="0.3">
      <c r="A78">
        <v>22</v>
      </c>
      <c r="B78" t="s">
        <v>70</v>
      </c>
      <c r="C78" t="s">
        <v>113</v>
      </c>
      <c r="D78" t="s">
        <v>72</v>
      </c>
      <c r="E78" t="s">
        <v>114</v>
      </c>
      <c r="F78" t="s">
        <v>74</v>
      </c>
      <c r="G78" t="s">
        <v>75</v>
      </c>
      <c r="H78" t="s">
        <v>74</v>
      </c>
      <c r="I78" t="s">
        <v>76</v>
      </c>
      <c r="J78" t="s">
        <v>77</v>
      </c>
      <c r="K78" t="s">
        <v>122</v>
      </c>
      <c r="L78" t="s">
        <v>79</v>
      </c>
      <c r="M78" t="s">
        <v>80</v>
      </c>
      <c r="N78" t="s">
        <v>79</v>
      </c>
      <c r="O78" t="s">
        <v>138</v>
      </c>
      <c r="P78" t="s">
        <v>82</v>
      </c>
      <c r="Q78" t="s">
        <v>103</v>
      </c>
      <c r="R78" t="s">
        <v>79</v>
      </c>
      <c r="S78" t="s">
        <v>137</v>
      </c>
      <c r="T78" t="s">
        <v>191</v>
      </c>
      <c r="U78" t="s">
        <v>79</v>
      </c>
      <c r="V78" t="s">
        <v>86</v>
      </c>
      <c r="W78" t="s">
        <v>141</v>
      </c>
      <c r="X78" t="s">
        <v>112</v>
      </c>
      <c r="Y78" t="s">
        <v>93</v>
      </c>
      <c r="Z78" t="s">
        <v>94</v>
      </c>
      <c r="AA78" t="s">
        <v>92</v>
      </c>
      <c r="AB78" t="s">
        <v>92</v>
      </c>
      <c r="AC78" t="s">
        <v>92</v>
      </c>
      <c r="AD78" t="s">
        <v>94</v>
      </c>
      <c r="AE78" t="s">
        <v>94</v>
      </c>
      <c r="AF78" t="s">
        <v>92</v>
      </c>
      <c r="AG78" t="s">
        <v>94</v>
      </c>
      <c r="AH78" t="s">
        <v>93</v>
      </c>
      <c r="AI78" t="s">
        <v>93</v>
      </c>
      <c r="AJ78" t="s">
        <v>93</v>
      </c>
      <c r="AK78" t="s">
        <v>92</v>
      </c>
      <c r="AL78" t="s">
        <v>94</v>
      </c>
      <c r="AM78" t="s">
        <v>94</v>
      </c>
      <c r="AN78" t="s">
        <v>93</v>
      </c>
      <c r="AO78" t="s">
        <v>93</v>
      </c>
      <c r="AP78" t="s">
        <v>92</v>
      </c>
      <c r="AQ78" t="s">
        <v>94</v>
      </c>
      <c r="AR78" t="s">
        <v>94</v>
      </c>
      <c r="AS78" t="s">
        <v>94</v>
      </c>
      <c r="AT78" t="s">
        <v>94</v>
      </c>
      <c r="AU78" t="s">
        <v>92</v>
      </c>
      <c r="AV78" t="s">
        <v>92</v>
      </c>
      <c r="AW78" t="s">
        <v>92</v>
      </c>
      <c r="AX78" t="s">
        <v>94</v>
      </c>
      <c r="AY78" t="s">
        <v>94</v>
      </c>
      <c r="AZ78" t="s">
        <v>94</v>
      </c>
      <c r="BA78" t="s">
        <v>93</v>
      </c>
      <c r="BB78" t="s">
        <v>93</v>
      </c>
      <c r="BC78" t="s">
        <v>93</v>
      </c>
      <c r="BD78" t="s">
        <v>93</v>
      </c>
      <c r="BE78" t="s">
        <v>93</v>
      </c>
      <c r="BF78" t="s">
        <v>94</v>
      </c>
      <c r="BG78" t="s">
        <v>95</v>
      </c>
      <c r="BH78" t="s">
        <v>94</v>
      </c>
    </row>
    <row r="79" spans="1:60" x14ac:dyDescent="0.3">
      <c r="A79">
        <v>21</v>
      </c>
      <c r="B79" t="s">
        <v>128</v>
      </c>
      <c r="C79" t="s">
        <v>96</v>
      </c>
      <c r="D79" t="s">
        <v>72</v>
      </c>
      <c r="E79" t="s">
        <v>108</v>
      </c>
      <c r="F79" t="s">
        <v>74</v>
      </c>
      <c r="G79" t="s">
        <v>115</v>
      </c>
      <c r="H79" t="s">
        <v>74</v>
      </c>
      <c r="I79" t="s">
        <v>115</v>
      </c>
      <c r="J79" t="s">
        <v>77</v>
      </c>
      <c r="K79" t="s">
        <v>131</v>
      </c>
      <c r="L79" t="s">
        <v>79</v>
      </c>
      <c r="M79" t="s">
        <v>80</v>
      </c>
      <c r="N79" t="s">
        <v>79</v>
      </c>
      <c r="O79" t="s">
        <v>117</v>
      </c>
      <c r="P79" t="s">
        <v>82</v>
      </c>
      <c r="Q79" t="s">
        <v>103</v>
      </c>
      <c r="R79" t="s">
        <v>82</v>
      </c>
      <c r="S79" t="s">
        <v>126</v>
      </c>
      <c r="T79" t="s">
        <v>140</v>
      </c>
      <c r="U79" t="s">
        <v>82</v>
      </c>
      <c r="V79" t="s">
        <v>106</v>
      </c>
      <c r="W79" t="s">
        <v>141</v>
      </c>
      <c r="X79" t="s">
        <v>112</v>
      </c>
      <c r="Y79" t="s">
        <v>95</v>
      </c>
      <c r="Z79" t="s">
        <v>93</v>
      </c>
      <c r="AA79" t="s">
        <v>94</v>
      </c>
      <c r="AB79" t="s">
        <v>92</v>
      </c>
      <c r="AC79" t="s">
        <v>94</v>
      </c>
      <c r="AD79" t="s">
        <v>92</v>
      </c>
      <c r="AE79" t="s">
        <v>92</v>
      </c>
      <c r="AF79" t="s">
        <v>93</v>
      </c>
      <c r="AG79" t="s">
        <v>94</v>
      </c>
      <c r="AH79" t="s">
        <v>95</v>
      </c>
      <c r="AI79" t="s">
        <v>95</v>
      </c>
      <c r="AJ79" t="s">
        <v>95</v>
      </c>
      <c r="AK79" t="s">
        <v>95</v>
      </c>
      <c r="AL79" t="s">
        <v>94</v>
      </c>
      <c r="AM79" t="s">
        <v>93</v>
      </c>
      <c r="AN79" t="s">
        <v>93</v>
      </c>
      <c r="AO79" t="s">
        <v>93</v>
      </c>
      <c r="AP79" t="s">
        <v>93</v>
      </c>
      <c r="AQ79" t="s">
        <v>95</v>
      </c>
      <c r="AR79" t="s">
        <v>95</v>
      </c>
      <c r="AS79" t="s">
        <v>95</v>
      </c>
      <c r="AT79" t="s">
        <v>94</v>
      </c>
      <c r="AU79" t="s">
        <v>94</v>
      </c>
      <c r="AV79" t="s">
        <v>94</v>
      </c>
      <c r="AW79" t="s">
        <v>95</v>
      </c>
      <c r="AX79" t="s">
        <v>93</v>
      </c>
      <c r="AY79" t="s">
        <v>92</v>
      </c>
      <c r="AZ79" t="s">
        <v>95</v>
      </c>
      <c r="BA79" t="s">
        <v>93</v>
      </c>
      <c r="BB79" t="s">
        <v>93</v>
      </c>
      <c r="BC79" t="s">
        <v>93</v>
      </c>
      <c r="BD79" t="s">
        <v>93</v>
      </c>
      <c r="BE79" t="s">
        <v>93</v>
      </c>
      <c r="BF79" t="s">
        <v>95</v>
      </c>
      <c r="BG79" t="s">
        <v>92</v>
      </c>
      <c r="BH79" t="s">
        <v>95</v>
      </c>
    </row>
    <row r="80" spans="1:60" x14ac:dyDescent="0.3">
      <c r="A80">
        <v>22</v>
      </c>
      <c r="B80" t="s">
        <v>70</v>
      </c>
      <c r="C80" t="s">
        <v>96</v>
      </c>
      <c r="D80" t="s">
        <v>72</v>
      </c>
      <c r="E80" t="s">
        <v>108</v>
      </c>
      <c r="F80" t="s">
        <v>74</v>
      </c>
      <c r="G80" t="s">
        <v>99</v>
      </c>
      <c r="H80" t="s">
        <v>74</v>
      </c>
      <c r="I80" t="s">
        <v>76</v>
      </c>
      <c r="J80" t="s">
        <v>77</v>
      </c>
      <c r="K80" t="s">
        <v>78</v>
      </c>
      <c r="L80" t="s">
        <v>79</v>
      </c>
      <c r="M80" t="s">
        <v>102</v>
      </c>
      <c r="N80" t="s">
        <v>82</v>
      </c>
      <c r="O80" t="s">
        <v>138</v>
      </c>
      <c r="P80" t="s">
        <v>79</v>
      </c>
      <c r="Q80" t="s">
        <v>83</v>
      </c>
      <c r="R80" t="s">
        <v>79</v>
      </c>
      <c r="S80" t="s">
        <v>192</v>
      </c>
      <c r="T80" t="s">
        <v>119</v>
      </c>
      <c r="U80" t="s">
        <v>82</v>
      </c>
      <c r="V80" t="s">
        <v>86</v>
      </c>
      <c r="W80" t="s">
        <v>141</v>
      </c>
      <c r="X80" t="s">
        <v>112</v>
      </c>
      <c r="Y80" t="s">
        <v>92</v>
      </c>
      <c r="Z80" t="s">
        <v>93</v>
      </c>
      <c r="AA80" t="s">
        <v>92</v>
      </c>
      <c r="AB80" t="s">
        <v>94</v>
      </c>
      <c r="AC80" t="s">
        <v>92</v>
      </c>
      <c r="AD80" t="s">
        <v>94</v>
      </c>
      <c r="AE80" t="s">
        <v>92</v>
      </c>
      <c r="AF80" t="s">
        <v>94</v>
      </c>
      <c r="AG80" t="s">
        <v>92</v>
      </c>
      <c r="AH80" t="s">
        <v>94</v>
      </c>
      <c r="AI80" t="s">
        <v>92</v>
      </c>
      <c r="AJ80" t="s">
        <v>94</v>
      </c>
      <c r="AK80" t="s">
        <v>92</v>
      </c>
      <c r="AL80" t="s">
        <v>94</v>
      </c>
      <c r="AM80" t="s">
        <v>92</v>
      </c>
      <c r="AN80" t="s">
        <v>94</v>
      </c>
      <c r="AO80" t="s">
        <v>92</v>
      </c>
      <c r="AP80" t="s">
        <v>94</v>
      </c>
      <c r="AQ80" t="s">
        <v>92</v>
      </c>
      <c r="AR80" t="s">
        <v>94</v>
      </c>
      <c r="AS80" t="s">
        <v>94</v>
      </c>
      <c r="AT80" t="s">
        <v>92</v>
      </c>
      <c r="AU80" t="s">
        <v>92</v>
      </c>
      <c r="AV80" t="s">
        <v>94</v>
      </c>
      <c r="AW80" t="s">
        <v>92</v>
      </c>
      <c r="AX80" t="s">
        <v>94</v>
      </c>
      <c r="AY80" t="s">
        <v>92</v>
      </c>
      <c r="AZ80" t="s">
        <v>94</v>
      </c>
      <c r="BA80" t="s">
        <v>92</v>
      </c>
      <c r="BB80" t="s">
        <v>94</v>
      </c>
      <c r="BC80" t="s">
        <v>92</v>
      </c>
      <c r="BD80" t="s">
        <v>92</v>
      </c>
      <c r="BE80" t="s">
        <v>92</v>
      </c>
      <c r="BF80" t="s">
        <v>94</v>
      </c>
      <c r="BG80" t="s">
        <v>92</v>
      </c>
      <c r="BH80" t="s">
        <v>92</v>
      </c>
    </row>
    <row r="81" spans="1:60" x14ac:dyDescent="0.3">
      <c r="A81">
        <v>19</v>
      </c>
      <c r="B81" t="s">
        <v>70</v>
      </c>
      <c r="C81" t="s">
        <v>157</v>
      </c>
      <c r="D81" t="s">
        <v>97</v>
      </c>
      <c r="E81" t="s">
        <v>114</v>
      </c>
      <c r="F81" t="s">
        <v>136</v>
      </c>
      <c r="G81" t="s">
        <v>135</v>
      </c>
      <c r="H81" t="s">
        <v>98</v>
      </c>
      <c r="I81" t="s">
        <v>76</v>
      </c>
      <c r="J81" t="s">
        <v>77</v>
      </c>
      <c r="K81" t="s">
        <v>125</v>
      </c>
      <c r="L81" t="s">
        <v>82</v>
      </c>
      <c r="M81" t="s">
        <v>80</v>
      </c>
      <c r="N81" t="s">
        <v>79</v>
      </c>
      <c r="O81" t="s">
        <v>81</v>
      </c>
      <c r="P81" t="s">
        <v>79</v>
      </c>
      <c r="Q81" t="s">
        <v>103</v>
      </c>
      <c r="R81" t="s">
        <v>79</v>
      </c>
      <c r="S81" t="s">
        <v>84</v>
      </c>
      <c r="T81" t="s">
        <v>159</v>
      </c>
      <c r="U81" t="s">
        <v>82</v>
      </c>
      <c r="V81" t="s">
        <v>86</v>
      </c>
      <c r="W81" t="s">
        <v>141</v>
      </c>
      <c r="X81" t="s">
        <v>112</v>
      </c>
      <c r="Y81" t="s">
        <v>94</v>
      </c>
      <c r="Z81" t="s">
        <v>95</v>
      </c>
      <c r="AA81" t="s">
        <v>94</v>
      </c>
      <c r="AB81" t="s">
        <v>95</v>
      </c>
      <c r="AC81" t="s">
        <v>94</v>
      </c>
      <c r="AD81" t="s">
        <v>94</v>
      </c>
      <c r="AE81" t="s">
        <v>92</v>
      </c>
      <c r="AF81" t="s">
        <v>95</v>
      </c>
      <c r="AG81" t="s">
        <v>94</v>
      </c>
      <c r="AH81" t="s">
        <v>94</v>
      </c>
      <c r="AI81" t="s">
        <v>95</v>
      </c>
      <c r="AJ81" t="s">
        <v>94</v>
      </c>
      <c r="AK81" t="s">
        <v>94</v>
      </c>
      <c r="AL81" t="s">
        <v>95</v>
      </c>
      <c r="AM81" t="s">
        <v>95</v>
      </c>
      <c r="AN81" t="s">
        <v>94</v>
      </c>
      <c r="AO81" t="s">
        <v>95</v>
      </c>
      <c r="AP81" t="s">
        <v>94</v>
      </c>
      <c r="AQ81" t="s">
        <v>94</v>
      </c>
      <c r="AR81" t="s">
        <v>95</v>
      </c>
      <c r="AS81" t="s">
        <v>95</v>
      </c>
      <c r="AT81" t="s">
        <v>94</v>
      </c>
      <c r="AU81" t="s">
        <v>94</v>
      </c>
      <c r="AV81" t="s">
        <v>94</v>
      </c>
      <c r="AW81" t="s">
        <v>94</v>
      </c>
      <c r="AX81" t="s">
        <v>94</v>
      </c>
      <c r="AY81" t="s">
        <v>94</v>
      </c>
      <c r="AZ81" t="s">
        <v>94</v>
      </c>
      <c r="BA81" t="s">
        <v>94</v>
      </c>
      <c r="BB81" t="s">
        <v>94</v>
      </c>
      <c r="BC81" t="s">
        <v>95</v>
      </c>
      <c r="BD81" t="s">
        <v>95</v>
      </c>
      <c r="BE81" t="s">
        <v>94</v>
      </c>
      <c r="BF81" t="s">
        <v>95</v>
      </c>
      <c r="BG81" t="s">
        <v>94</v>
      </c>
      <c r="BH81" t="s">
        <v>95</v>
      </c>
    </row>
    <row r="82" spans="1:60" x14ac:dyDescent="0.3">
      <c r="A82">
        <v>19</v>
      </c>
      <c r="B82" t="s">
        <v>70</v>
      </c>
      <c r="C82" t="s">
        <v>157</v>
      </c>
      <c r="D82" t="s">
        <v>97</v>
      </c>
      <c r="E82" t="s">
        <v>114</v>
      </c>
      <c r="F82" t="s">
        <v>136</v>
      </c>
      <c r="G82" t="s">
        <v>135</v>
      </c>
      <c r="H82" t="s">
        <v>136</v>
      </c>
      <c r="I82" t="s">
        <v>76</v>
      </c>
      <c r="J82" t="s">
        <v>77</v>
      </c>
      <c r="K82" t="s">
        <v>125</v>
      </c>
      <c r="L82" t="s">
        <v>82</v>
      </c>
      <c r="M82" t="s">
        <v>80</v>
      </c>
      <c r="N82" t="s">
        <v>79</v>
      </c>
      <c r="O82" t="s">
        <v>81</v>
      </c>
      <c r="P82" t="s">
        <v>79</v>
      </c>
      <c r="Q82" t="s">
        <v>103</v>
      </c>
      <c r="R82" t="s">
        <v>79</v>
      </c>
      <c r="S82" t="s">
        <v>84</v>
      </c>
      <c r="T82" t="s">
        <v>159</v>
      </c>
      <c r="U82" t="s">
        <v>82</v>
      </c>
      <c r="V82" t="s">
        <v>86</v>
      </c>
      <c r="W82" t="s">
        <v>141</v>
      </c>
      <c r="X82" t="s">
        <v>112</v>
      </c>
      <c r="Y82" t="s">
        <v>94</v>
      </c>
      <c r="Z82" t="s">
        <v>92</v>
      </c>
      <c r="AA82" t="s">
        <v>94</v>
      </c>
      <c r="AB82" t="s">
        <v>93</v>
      </c>
      <c r="AC82" t="s">
        <v>92</v>
      </c>
      <c r="AD82" t="s">
        <v>92</v>
      </c>
      <c r="AE82" t="s">
        <v>93</v>
      </c>
      <c r="AF82" t="s">
        <v>94</v>
      </c>
      <c r="AG82" t="s">
        <v>93</v>
      </c>
      <c r="AH82" t="s">
        <v>92</v>
      </c>
      <c r="AI82" t="s">
        <v>94</v>
      </c>
      <c r="AJ82" t="s">
        <v>93</v>
      </c>
      <c r="AK82" t="s">
        <v>92</v>
      </c>
      <c r="AL82" t="s">
        <v>94</v>
      </c>
      <c r="AM82" t="s">
        <v>93</v>
      </c>
      <c r="AN82" t="s">
        <v>93</v>
      </c>
      <c r="AO82" t="s">
        <v>94</v>
      </c>
      <c r="AP82" t="s">
        <v>92</v>
      </c>
      <c r="AQ82" t="s">
        <v>94</v>
      </c>
      <c r="AR82" t="s">
        <v>93</v>
      </c>
      <c r="AS82" t="s">
        <v>92</v>
      </c>
      <c r="AT82" t="s">
        <v>94</v>
      </c>
      <c r="AU82" t="s">
        <v>92</v>
      </c>
      <c r="AV82" t="s">
        <v>95</v>
      </c>
      <c r="AW82" t="s">
        <v>94</v>
      </c>
      <c r="AX82" t="s">
        <v>95</v>
      </c>
      <c r="AY82" t="s">
        <v>92</v>
      </c>
      <c r="AZ82" t="s">
        <v>94</v>
      </c>
      <c r="BA82" t="s">
        <v>94</v>
      </c>
      <c r="BB82" t="s">
        <v>95</v>
      </c>
      <c r="BC82" t="s">
        <v>92</v>
      </c>
      <c r="BD82" t="s">
        <v>94</v>
      </c>
      <c r="BE82" t="s">
        <v>95</v>
      </c>
      <c r="BF82" t="s">
        <v>92</v>
      </c>
      <c r="BG82" t="s">
        <v>94</v>
      </c>
      <c r="BH82" t="s">
        <v>94</v>
      </c>
    </row>
    <row r="83" spans="1:60" x14ac:dyDescent="0.3">
      <c r="A83">
        <v>25</v>
      </c>
      <c r="B83" t="s">
        <v>70</v>
      </c>
      <c r="C83" t="s">
        <v>113</v>
      </c>
      <c r="D83" t="s">
        <v>72</v>
      </c>
      <c r="E83" t="s">
        <v>114</v>
      </c>
      <c r="F83" t="s">
        <v>74</v>
      </c>
      <c r="G83" t="s">
        <v>75</v>
      </c>
      <c r="H83" t="s">
        <v>74</v>
      </c>
      <c r="I83" t="s">
        <v>76</v>
      </c>
      <c r="J83" t="s">
        <v>101</v>
      </c>
      <c r="K83" t="s">
        <v>125</v>
      </c>
      <c r="L83" t="s">
        <v>79</v>
      </c>
      <c r="M83" t="s">
        <v>80</v>
      </c>
      <c r="N83" t="s">
        <v>79</v>
      </c>
      <c r="O83" t="s">
        <v>138</v>
      </c>
      <c r="P83" t="s">
        <v>79</v>
      </c>
      <c r="Q83" t="s">
        <v>83</v>
      </c>
      <c r="R83" t="s">
        <v>79</v>
      </c>
      <c r="S83" t="s">
        <v>193</v>
      </c>
      <c r="T83" t="s">
        <v>182</v>
      </c>
      <c r="U83" t="s">
        <v>82</v>
      </c>
      <c r="V83" t="s">
        <v>86</v>
      </c>
      <c r="W83" t="s">
        <v>141</v>
      </c>
      <c r="X83" t="s">
        <v>112</v>
      </c>
      <c r="Y83" t="s">
        <v>94</v>
      </c>
      <c r="Z83" t="s">
        <v>94</v>
      </c>
      <c r="AA83" t="s">
        <v>94</v>
      </c>
      <c r="AB83" t="s">
        <v>94</v>
      </c>
      <c r="AC83" t="s">
        <v>94</v>
      </c>
      <c r="AD83" t="s">
        <v>94</v>
      </c>
      <c r="AE83" t="s">
        <v>94</v>
      </c>
      <c r="AF83" t="s">
        <v>94</v>
      </c>
      <c r="AG83" t="s">
        <v>94</v>
      </c>
      <c r="AH83" t="s">
        <v>94</v>
      </c>
      <c r="AI83" t="s">
        <v>94</v>
      </c>
      <c r="AJ83" t="s">
        <v>94</v>
      </c>
      <c r="AK83" t="s">
        <v>94</v>
      </c>
      <c r="AL83" t="s">
        <v>94</v>
      </c>
      <c r="AM83" t="s">
        <v>94</v>
      </c>
      <c r="AN83" t="s">
        <v>94</v>
      </c>
      <c r="AO83" t="s">
        <v>94</v>
      </c>
      <c r="AP83" t="s">
        <v>94</v>
      </c>
      <c r="AQ83" t="s">
        <v>94</v>
      </c>
      <c r="AR83" t="s">
        <v>94</v>
      </c>
      <c r="AS83" t="s">
        <v>94</v>
      </c>
      <c r="AT83" t="s">
        <v>94</v>
      </c>
      <c r="AU83" t="s">
        <v>94</v>
      </c>
      <c r="AV83" t="s">
        <v>92</v>
      </c>
      <c r="AW83" t="s">
        <v>92</v>
      </c>
      <c r="AX83" t="s">
        <v>92</v>
      </c>
      <c r="AY83" t="s">
        <v>92</v>
      </c>
      <c r="AZ83" t="s">
        <v>92</v>
      </c>
      <c r="BA83" t="s">
        <v>92</v>
      </c>
      <c r="BB83" t="s">
        <v>92</v>
      </c>
      <c r="BC83" t="s">
        <v>94</v>
      </c>
      <c r="BD83" t="s">
        <v>94</v>
      </c>
      <c r="BE83" t="s">
        <v>94</v>
      </c>
      <c r="BF83" t="s">
        <v>94</v>
      </c>
      <c r="BG83" t="s">
        <v>94</v>
      </c>
      <c r="BH83" t="s">
        <v>94</v>
      </c>
    </row>
    <row r="84" spans="1:60" x14ac:dyDescent="0.3">
      <c r="A84">
        <v>21</v>
      </c>
      <c r="B84" t="s">
        <v>70</v>
      </c>
      <c r="C84" t="s">
        <v>113</v>
      </c>
      <c r="D84" t="s">
        <v>97</v>
      </c>
      <c r="E84" t="s">
        <v>73</v>
      </c>
      <c r="F84" t="s">
        <v>98</v>
      </c>
      <c r="G84" t="s">
        <v>135</v>
      </c>
      <c r="H84" t="s">
        <v>98</v>
      </c>
      <c r="I84" t="s">
        <v>76</v>
      </c>
      <c r="J84" t="s">
        <v>77</v>
      </c>
      <c r="K84" t="s">
        <v>125</v>
      </c>
      <c r="L84" t="s">
        <v>82</v>
      </c>
      <c r="M84" t="s">
        <v>80</v>
      </c>
      <c r="N84" t="s">
        <v>79</v>
      </c>
      <c r="O84" t="s">
        <v>117</v>
      </c>
      <c r="P84" t="s">
        <v>82</v>
      </c>
      <c r="Q84" t="s">
        <v>83</v>
      </c>
      <c r="R84" t="s">
        <v>82</v>
      </c>
      <c r="S84" t="s">
        <v>154</v>
      </c>
      <c r="T84" t="s">
        <v>159</v>
      </c>
      <c r="U84" t="s">
        <v>82</v>
      </c>
      <c r="V84" t="s">
        <v>106</v>
      </c>
      <c r="W84" t="s">
        <v>87</v>
      </c>
      <c r="X84" t="s">
        <v>112</v>
      </c>
      <c r="Y84" t="s">
        <v>94</v>
      </c>
      <c r="Z84" t="s">
        <v>93</v>
      </c>
      <c r="AA84" t="s">
        <v>93</v>
      </c>
      <c r="AB84" t="s">
        <v>93</v>
      </c>
      <c r="AC84" t="s">
        <v>94</v>
      </c>
      <c r="AD84" t="s">
        <v>94</v>
      </c>
      <c r="AE84" t="s">
        <v>94</v>
      </c>
      <c r="AF84" t="s">
        <v>94</v>
      </c>
      <c r="AG84" t="s">
        <v>94</v>
      </c>
      <c r="AH84" t="s">
        <v>95</v>
      </c>
      <c r="AI84" t="s">
        <v>93</v>
      </c>
      <c r="AJ84" t="s">
        <v>93</v>
      </c>
      <c r="AK84" t="s">
        <v>93</v>
      </c>
      <c r="AL84" t="s">
        <v>93</v>
      </c>
      <c r="AM84" t="s">
        <v>93</v>
      </c>
      <c r="AN84" t="s">
        <v>93</v>
      </c>
      <c r="AO84" t="s">
        <v>93</v>
      </c>
      <c r="AP84" t="s">
        <v>93</v>
      </c>
      <c r="AQ84" t="s">
        <v>93</v>
      </c>
      <c r="AR84" t="s">
        <v>95</v>
      </c>
      <c r="AS84" t="s">
        <v>95</v>
      </c>
      <c r="AT84" t="s">
        <v>95</v>
      </c>
      <c r="AU84" t="s">
        <v>93</v>
      </c>
      <c r="AV84" t="s">
        <v>93</v>
      </c>
      <c r="AW84" t="s">
        <v>93</v>
      </c>
      <c r="AX84" t="s">
        <v>94</v>
      </c>
      <c r="AY84" t="s">
        <v>95</v>
      </c>
      <c r="AZ84" t="s">
        <v>95</v>
      </c>
      <c r="BA84" t="s">
        <v>93</v>
      </c>
      <c r="BB84" t="s">
        <v>93</v>
      </c>
      <c r="BC84" t="s">
        <v>93</v>
      </c>
      <c r="BD84" t="s">
        <v>93</v>
      </c>
      <c r="BE84" t="s">
        <v>93</v>
      </c>
      <c r="BF84" t="s">
        <v>93</v>
      </c>
      <c r="BG84" t="s">
        <v>94</v>
      </c>
      <c r="BH84" t="s">
        <v>94</v>
      </c>
    </row>
    <row r="85" spans="1:60" x14ac:dyDescent="0.3">
      <c r="A85">
        <v>20</v>
      </c>
      <c r="B85" t="s">
        <v>70</v>
      </c>
      <c r="C85" t="s">
        <v>96</v>
      </c>
      <c r="D85" t="s">
        <v>72</v>
      </c>
      <c r="E85" t="s">
        <v>114</v>
      </c>
      <c r="F85" t="s">
        <v>74</v>
      </c>
      <c r="G85" t="s">
        <v>75</v>
      </c>
      <c r="H85" t="s">
        <v>98</v>
      </c>
      <c r="I85" t="s">
        <v>76</v>
      </c>
      <c r="J85" t="s">
        <v>77</v>
      </c>
      <c r="K85" t="s">
        <v>125</v>
      </c>
      <c r="L85" t="s">
        <v>82</v>
      </c>
      <c r="M85" t="s">
        <v>80</v>
      </c>
      <c r="N85" t="s">
        <v>79</v>
      </c>
      <c r="O85" t="s">
        <v>109</v>
      </c>
      <c r="P85" t="s">
        <v>79</v>
      </c>
      <c r="Q85" t="s">
        <v>83</v>
      </c>
      <c r="R85" t="s">
        <v>79</v>
      </c>
      <c r="S85" t="s">
        <v>84</v>
      </c>
      <c r="T85" t="s">
        <v>105</v>
      </c>
      <c r="U85" t="s">
        <v>79</v>
      </c>
      <c r="V85" t="s">
        <v>86</v>
      </c>
      <c r="W85" t="s">
        <v>141</v>
      </c>
      <c r="X85" t="s">
        <v>194</v>
      </c>
      <c r="Y85" t="s">
        <v>94</v>
      </c>
      <c r="Z85" t="s">
        <v>92</v>
      </c>
      <c r="AA85" t="s">
        <v>94</v>
      </c>
      <c r="AB85" t="s">
        <v>93</v>
      </c>
      <c r="AC85" t="s">
        <v>92</v>
      </c>
      <c r="AD85" t="s">
        <v>92</v>
      </c>
      <c r="AE85" t="s">
        <v>95</v>
      </c>
      <c r="AF85" t="s">
        <v>93</v>
      </c>
      <c r="AG85" t="s">
        <v>93</v>
      </c>
      <c r="AH85" t="s">
        <v>92</v>
      </c>
      <c r="AI85" t="s">
        <v>93</v>
      </c>
      <c r="AJ85" t="s">
        <v>93</v>
      </c>
      <c r="AK85" t="s">
        <v>93</v>
      </c>
      <c r="AL85" t="s">
        <v>93</v>
      </c>
      <c r="AM85" t="s">
        <v>93</v>
      </c>
      <c r="AN85" t="s">
        <v>94</v>
      </c>
      <c r="AO85" t="s">
        <v>92</v>
      </c>
      <c r="AP85" t="s">
        <v>93</v>
      </c>
      <c r="AQ85" t="s">
        <v>93</v>
      </c>
      <c r="AR85" t="s">
        <v>92</v>
      </c>
      <c r="AS85" t="s">
        <v>92</v>
      </c>
      <c r="AT85" t="s">
        <v>92</v>
      </c>
      <c r="AU85" t="s">
        <v>92</v>
      </c>
      <c r="AV85" t="s">
        <v>92</v>
      </c>
      <c r="AW85" t="s">
        <v>94</v>
      </c>
      <c r="AX85" t="s">
        <v>94</v>
      </c>
      <c r="AY85" t="s">
        <v>92</v>
      </c>
      <c r="AZ85" t="s">
        <v>94</v>
      </c>
      <c r="BA85" t="s">
        <v>92</v>
      </c>
      <c r="BB85" t="s">
        <v>94</v>
      </c>
      <c r="BC85" t="s">
        <v>93</v>
      </c>
      <c r="BD85" t="s">
        <v>93</v>
      </c>
      <c r="BE85" t="s">
        <v>93</v>
      </c>
      <c r="BF85" t="s">
        <v>94</v>
      </c>
      <c r="BG85" t="s">
        <v>92</v>
      </c>
      <c r="BH85" t="s">
        <v>92</v>
      </c>
    </row>
    <row r="86" spans="1:60" x14ac:dyDescent="0.3">
      <c r="A86">
        <v>23</v>
      </c>
      <c r="B86" t="s">
        <v>70</v>
      </c>
      <c r="C86" t="s">
        <v>113</v>
      </c>
      <c r="D86" t="s">
        <v>97</v>
      </c>
      <c r="E86" t="s">
        <v>108</v>
      </c>
      <c r="F86" t="s">
        <v>136</v>
      </c>
      <c r="G86" t="s">
        <v>99</v>
      </c>
      <c r="H86" t="s">
        <v>98</v>
      </c>
      <c r="I86" t="s">
        <v>76</v>
      </c>
      <c r="J86" t="s">
        <v>77</v>
      </c>
      <c r="K86" t="s">
        <v>125</v>
      </c>
      <c r="L86" t="s">
        <v>82</v>
      </c>
      <c r="M86" t="s">
        <v>102</v>
      </c>
      <c r="N86" t="s">
        <v>82</v>
      </c>
      <c r="O86" t="s">
        <v>81</v>
      </c>
      <c r="P86" t="s">
        <v>82</v>
      </c>
      <c r="Q86" t="s">
        <v>83</v>
      </c>
      <c r="R86" t="s">
        <v>82</v>
      </c>
      <c r="S86" t="s">
        <v>84</v>
      </c>
      <c r="T86" t="s">
        <v>150</v>
      </c>
      <c r="U86" t="s">
        <v>82</v>
      </c>
      <c r="V86" t="s">
        <v>106</v>
      </c>
      <c r="W86" t="s">
        <v>141</v>
      </c>
      <c r="Y86" t="s">
        <v>94</v>
      </c>
      <c r="Z86" t="s">
        <v>94</v>
      </c>
      <c r="AA86" t="s">
        <v>92</v>
      </c>
      <c r="AB86" t="s">
        <v>94</v>
      </c>
      <c r="AC86" t="s">
        <v>94</v>
      </c>
      <c r="AD86" t="s">
        <v>92</v>
      </c>
      <c r="AE86" t="s">
        <v>92</v>
      </c>
      <c r="AF86" t="s">
        <v>92</v>
      </c>
      <c r="AG86" t="s">
        <v>92</v>
      </c>
      <c r="AH86" t="s">
        <v>95</v>
      </c>
      <c r="AI86" t="s">
        <v>93</v>
      </c>
      <c r="AJ86" t="s">
        <v>93</v>
      </c>
      <c r="AK86" t="s">
        <v>92</v>
      </c>
      <c r="AL86" t="s">
        <v>92</v>
      </c>
      <c r="AM86" t="s">
        <v>94</v>
      </c>
      <c r="AN86" t="s">
        <v>93</v>
      </c>
      <c r="AO86" t="s">
        <v>93</v>
      </c>
      <c r="AP86" t="s">
        <v>93</v>
      </c>
      <c r="AQ86" t="s">
        <v>95</v>
      </c>
      <c r="AR86" t="s">
        <v>95</v>
      </c>
      <c r="AS86" t="s">
        <v>95</v>
      </c>
      <c r="AT86" t="s">
        <v>92</v>
      </c>
      <c r="AU86" t="s">
        <v>94</v>
      </c>
      <c r="AV86" t="s">
        <v>95</v>
      </c>
      <c r="AW86" t="s">
        <v>94</v>
      </c>
      <c r="AX86" t="s">
        <v>92</v>
      </c>
      <c r="AY86" t="s">
        <v>94</v>
      </c>
      <c r="AZ86" t="s">
        <v>94</v>
      </c>
      <c r="BA86" t="s">
        <v>92</v>
      </c>
      <c r="BB86" t="s">
        <v>92</v>
      </c>
      <c r="BC86" t="s">
        <v>92</v>
      </c>
      <c r="BD86" t="s">
        <v>92</v>
      </c>
      <c r="BE86" t="s">
        <v>92</v>
      </c>
      <c r="BF86" t="s">
        <v>95</v>
      </c>
      <c r="BG86" t="s">
        <v>94</v>
      </c>
      <c r="BH86" t="s">
        <v>94</v>
      </c>
    </row>
    <row r="87" spans="1:60" x14ac:dyDescent="0.3">
      <c r="A87">
        <v>21</v>
      </c>
      <c r="B87" t="s">
        <v>70</v>
      </c>
      <c r="C87" t="s">
        <v>96</v>
      </c>
      <c r="D87" t="s">
        <v>72</v>
      </c>
      <c r="E87" t="s">
        <v>108</v>
      </c>
      <c r="F87" t="s">
        <v>98</v>
      </c>
      <c r="G87" t="s">
        <v>135</v>
      </c>
      <c r="H87" t="s">
        <v>98</v>
      </c>
      <c r="I87" t="s">
        <v>76</v>
      </c>
      <c r="J87" t="s">
        <v>77</v>
      </c>
      <c r="K87" t="s">
        <v>122</v>
      </c>
      <c r="L87" t="s">
        <v>79</v>
      </c>
      <c r="M87" t="s">
        <v>80</v>
      </c>
      <c r="N87" t="s">
        <v>82</v>
      </c>
      <c r="O87" t="s">
        <v>138</v>
      </c>
      <c r="P87" t="s">
        <v>82</v>
      </c>
      <c r="Q87" t="s">
        <v>83</v>
      </c>
      <c r="R87" t="s">
        <v>79</v>
      </c>
      <c r="S87" t="s">
        <v>126</v>
      </c>
      <c r="T87" t="s">
        <v>152</v>
      </c>
      <c r="U87" t="s">
        <v>79</v>
      </c>
      <c r="V87" t="s">
        <v>86</v>
      </c>
      <c r="W87" t="s">
        <v>87</v>
      </c>
      <c r="X87" t="s">
        <v>127</v>
      </c>
      <c r="Y87" t="s">
        <v>94</v>
      </c>
      <c r="Z87" t="s">
        <v>94</v>
      </c>
      <c r="AA87" t="s">
        <v>94</v>
      </c>
      <c r="AB87" t="s">
        <v>94</v>
      </c>
      <c r="AC87" t="s">
        <v>94</v>
      </c>
      <c r="AD87" t="s">
        <v>94</v>
      </c>
      <c r="AE87" t="s">
        <v>94</v>
      </c>
      <c r="AF87" t="s">
        <v>94</v>
      </c>
      <c r="AG87" t="s">
        <v>94</v>
      </c>
      <c r="AH87" t="s">
        <v>94</v>
      </c>
      <c r="AI87" t="s">
        <v>94</v>
      </c>
      <c r="AJ87" t="s">
        <v>94</v>
      </c>
      <c r="AK87" t="s">
        <v>94</v>
      </c>
      <c r="AL87" t="s">
        <v>94</v>
      </c>
      <c r="AM87" t="s">
        <v>94</v>
      </c>
      <c r="AN87" t="s">
        <v>94</v>
      </c>
      <c r="AO87" t="s">
        <v>94</v>
      </c>
      <c r="AP87" t="s">
        <v>94</v>
      </c>
      <c r="AQ87" t="s">
        <v>94</v>
      </c>
      <c r="AR87" t="s">
        <v>94</v>
      </c>
      <c r="AS87" t="s">
        <v>94</v>
      </c>
      <c r="AT87" t="s">
        <v>94</v>
      </c>
      <c r="AU87" t="s">
        <v>94</v>
      </c>
      <c r="AV87" t="s">
        <v>94</v>
      </c>
      <c r="AW87" t="s">
        <v>94</v>
      </c>
      <c r="AX87" t="s">
        <v>94</v>
      </c>
      <c r="AY87" t="s">
        <v>94</v>
      </c>
      <c r="AZ87" t="s">
        <v>94</v>
      </c>
      <c r="BA87" t="s">
        <v>94</v>
      </c>
      <c r="BB87" t="s">
        <v>94</v>
      </c>
      <c r="BC87" t="s">
        <v>94</v>
      </c>
      <c r="BD87" t="s">
        <v>94</v>
      </c>
      <c r="BE87" t="s">
        <v>94</v>
      </c>
      <c r="BF87" t="s">
        <v>94</v>
      </c>
      <c r="BG87" t="s">
        <v>94</v>
      </c>
      <c r="BH87" t="s">
        <v>94</v>
      </c>
    </row>
    <row r="88" spans="1:60" x14ac:dyDescent="0.3">
      <c r="A88">
        <v>21</v>
      </c>
      <c r="B88" t="s">
        <v>70</v>
      </c>
      <c r="C88" t="s">
        <v>96</v>
      </c>
      <c r="D88" t="s">
        <v>149</v>
      </c>
      <c r="E88" t="s">
        <v>114</v>
      </c>
      <c r="F88" t="s">
        <v>74</v>
      </c>
      <c r="G88" t="s">
        <v>75</v>
      </c>
      <c r="H88" t="s">
        <v>98</v>
      </c>
      <c r="I88" t="s">
        <v>76</v>
      </c>
      <c r="J88" t="s">
        <v>77</v>
      </c>
      <c r="K88" t="s">
        <v>122</v>
      </c>
      <c r="L88" t="s">
        <v>82</v>
      </c>
      <c r="M88" t="s">
        <v>80</v>
      </c>
      <c r="N88" t="s">
        <v>82</v>
      </c>
      <c r="O88" t="s">
        <v>117</v>
      </c>
      <c r="P88" t="s">
        <v>79</v>
      </c>
      <c r="Q88" t="s">
        <v>83</v>
      </c>
      <c r="R88" t="s">
        <v>79</v>
      </c>
      <c r="S88" t="s">
        <v>145</v>
      </c>
      <c r="T88" t="s">
        <v>130</v>
      </c>
      <c r="U88" t="s">
        <v>82</v>
      </c>
      <c r="V88" t="s">
        <v>148</v>
      </c>
      <c r="W88" t="s">
        <v>141</v>
      </c>
      <c r="X88" t="s">
        <v>112</v>
      </c>
      <c r="Y88" t="s">
        <v>92</v>
      </c>
      <c r="Z88" t="s">
        <v>93</v>
      </c>
      <c r="AA88" t="s">
        <v>94</v>
      </c>
      <c r="AB88" t="s">
        <v>92</v>
      </c>
      <c r="AC88" t="s">
        <v>94</v>
      </c>
      <c r="AD88" t="s">
        <v>92</v>
      </c>
      <c r="AE88" t="s">
        <v>92</v>
      </c>
      <c r="AF88" t="s">
        <v>93</v>
      </c>
      <c r="AG88" t="s">
        <v>93</v>
      </c>
      <c r="AH88" t="s">
        <v>93</v>
      </c>
      <c r="AI88" t="s">
        <v>93</v>
      </c>
      <c r="AJ88" t="s">
        <v>93</v>
      </c>
      <c r="AK88" t="s">
        <v>93</v>
      </c>
      <c r="AL88" t="s">
        <v>93</v>
      </c>
      <c r="AM88" t="s">
        <v>94</v>
      </c>
      <c r="AN88" t="s">
        <v>92</v>
      </c>
      <c r="AO88" t="s">
        <v>92</v>
      </c>
      <c r="AP88" t="s">
        <v>92</v>
      </c>
      <c r="AQ88" t="s">
        <v>92</v>
      </c>
      <c r="AR88" t="s">
        <v>94</v>
      </c>
      <c r="AS88" t="s">
        <v>94</v>
      </c>
      <c r="AT88" t="s">
        <v>94</v>
      </c>
      <c r="AU88" t="s">
        <v>93</v>
      </c>
      <c r="AV88" t="s">
        <v>93</v>
      </c>
      <c r="AW88" t="s">
        <v>93</v>
      </c>
      <c r="AX88" t="s">
        <v>93</v>
      </c>
      <c r="AY88" t="s">
        <v>93</v>
      </c>
      <c r="AZ88" t="s">
        <v>93</v>
      </c>
      <c r="BA88" t="s">
        <v>93</v>
      </c>
      <c r="BB88" t="s">
        <v>93</v>
      </c>
      <c r="BC88" t="s">
        <v>93</v>
      </c>
      <c r="BD88" t="s">
        <v>93</v>
      </c>
      <c r="BE88" t="s">
        <v>93</v>
      </c>
      <c r="BF88" t="s">
        <v>93</v>
      </c>
      <c r="BG88" t="s">
        <v>93</v>
      </c>
      <c r="BH88" t="s">
        <v>93</v>
      </c>
    </row>
    <row r="89" spans="1:60" x14ac:dyDescent="0.3">
      <c r="A89">
        <v>21</v>
      </c>
      <c r="B89" t="s">
        <v>70</v>
      </c>
      <c r="C89" t="s">
        <v>96</v>
      </c>
      <c r="D89" t="s">
        <v>72</v>
      </c>
      <c r="E89" t="s">
        <v>73</v>
      </c>
      <c r="F89" t="s">
        <v>74</v>
      </c>
      <c r="G89" t="s">
        <v>115</v>
      </c>
      <c r="H89" t="s">
        <v>74</v>
      </c>
      <c r="I89" t="s">
        <v>115</v>
      </c>
      <c r="J89" t="s">
        <v>77</v>
      </c>
      <c r="K89" t="s">
        <v>78</v>
      </c>
      <c r="L89" t="s">
        <v>79</v>
      </c>
      <c r="M89" t="s">
        <v>80</v>
      </c>
      <c r="N89" t="s">
        <v>79</v>
      </c>
      <c r="O89" t="s">
        <v>81</v>
      </c>
      <c r="P89" t="s">
        <v>79</v>
      </c>
      <c r="Q89" t="s">
        <v>83</v>
      </c>
      <c r="R89" t="s">
        <v>79</v>
      </c>
      <c r="S89" t="s">
        <v>84</v>
      </c>
      <c r="T89" t="s">
        <v>124</v>
      </c>
      <c r="U89" t="s">
        <v>79</v>
      </c>
      <c r="V89" t="s">
        <v>106</v>
      </c>
      <c r="W89" t="s">
        <v>141</v>
      </c>
      <c r="X89" t="s">
        <v>112</v>
      </c>
      <c r="Y89" t="s">
        <v>95</v>
      </c>
      <c r="Z89" t="s">
        <v>95</v>
      </c>
      <c r="AA89" t="s">
        <v>95</v>
      </c>
      <c r="AB89" t="s">
        <v>95</v>
      </c>
      <c r="AC89" t="s">
        <v>95</v>
      </c>
      <c r="AD89" t="s">
        <v>95</v>
      </c>
      <c r="AE89" t="s">
        <v>95</v>
      </c>
      <c r="AF89" t="s">
        <v>95</v>
      </c>
      <c r="AG89" t="s">
        <v>95</v>
      </c>
      <c r="AH89" t="s">
        <v>95</v>
      </c>
      <c r="AI89" t="s">
        <v>95</v>
      </c>
      <c r="AJ89" t="s">
        <v>95</v>
      </c>
      <c r="AK89" t="s">
        <v>95</v>
      </c>
      <c r="AL89" t="s">
        <v>95</v>
      </c>
      <c r="AM89" t="s">
        <v>95</v>
      </c>
      <c r="AN89" t="s">
        <v>95</v>
      </c>
      <c r="AO89" t="s">
        <v>95</v>
      </c>
      <c r="AP89" t="s">
        <v>95</v>
      </c>
      <c r="AQ89" t="s">
        <v>95</v>
      </c>
      <c r="AR89" t="s">
        <v>95</v>
      </c>
      <c r="AS89" t="s">
        <v>95</v>
      </c>
      <c r="AT89" t="s">
        <v>95</v>
      </c>
      <c r="AU89" t="s">
        <v>95</v>
      </c>
      <c r="AV89" t="s">
        <v>95</v>
      </c>
      <c r="AW89" t="s">
        <v>95</v>
      </c>
      <c r="AX89" t="s">
        <v>95</v>
      </c>
      <c r="AY89" t="s">
        <v>95</v>
      </c>
      <c r="AZ89" t="s">
        <v>95</v>
      </c>
      <c r="BA89" t="s">
        <v>95</v>
      </c>
      <c r="BB89" t="s">
        <v>95</v>
      </c>
      <c r="BC89" t="s">
        <v>95</v>
      </c>
      <c r="BD89" t="s">
        <v>95</v>
      </c>
      <c r="BE89" t="s">
        <v>95</v>
      </c>
      <c r="BF89" t="s">
        <v>95</v>
      </c>
      <c r="BG89" t="s">
        <v>95</v>
      </c>
      <c r="BH89" t="s">
        <v>95</v>
      </c>
    </row>
    <row r="90" spans="1:60" x14ac:dyDescent="0.3">
      <c r="A90">
        <v>22</v>
      </c>
      <c r="B90" t="s">
        <v>70</v>
      </c>
      <c r="C90" t="s">
        <v>96</v>
      </c>
      <c r="D90" t="s">
        <v>97</v>
      </c>
      <c r="E90" t="s">
        <v>108</v>
      </c>
      <c r="F90" t="s">
        <v>74</v>
      </c>
      <c r="G90" t="s">
        <v>115</v>
      </c>
      <c r="H90" t="s">
        <v>74</v>
      </c>
      <c r="I90" t="s">
        <v>115</v>
      </c>
      <c r="J90" t="s">
        <v>77</v>
      </c>
      <c r="K90" t="s">
        <v>78</v>
      </c>
      <c r="L90" t="s">
        <v>79</v>
      </c>
      <c r="M90" t="s">
        <v>80</v>
      </c>
      <c r="N90" t="s">
        <v>82</v>
      </c>
      <c r="O90" t="s">
        <v>81</v>
      </c>
      <c r="P90" t="s">
        <v>79</v>
      </c>
      <c r="Q90" t="s">
        <v>83</v>
      </c>
      <c r="R90" t="s">
        <v>79</v>
      </c>
      <c r="S90" t="s">
        <v>84</v>
      </c>
      <c r="T90" t="s">
        <v>195</v>
      </c>
      <c r="U90" t="s">
        <v>79</v>
      </c>
      <c r="V90" t="s">
        <v>106</v>
      </c>
      <c r="W90" t="s">
        <v>141</v>
      </c>
      <c r="X90" t="s">
        <v>112</v>
      </c>
      <c r="Y90" t="s">
        <v>92</v>
      </c>
      <c r="Z90" t="s">
        <v>92</v>
      </c>
      <c r="AA90" t="s">
        <v>92</v>
      </c>
      <c r="AB90" t="s">
        <v>94</v>
      </c>
      <c r="AC90" t="s">
        <v>94</v>
      </c>
      <c r="AD90" t="s">
        <v>94</v>
      </c>
      <c r="AE90" t="s">
        <v>94</v>
      </c>
      <c r="AF90" t="s">
        <v>94</v>
      </c>
      <c r="AG90" t="s">
        <v>94</v>
      </c>
      <c r="AH90" t="s">
        <v>94</v>
      </c>
      <c r="AI90" t="s">
        <v>94</v>
      </c>
      <c r="AJ90" t="s">
        <v>94</v>
      </c>
      <c r="AK90" t="s">
        <v>94</v>
      </c>
      <c r="AL90" t="s">
        <v>94</v>
      </c>
      <c r="AM90" t="s">
        <v>94</v>
      </c>
      <c r="AN90" t="s">
        <v>94</v>
      </c>
      <c r="AO90" t="s">
        <v>94</v>
      </c>
      <c r="AP90" t="s">
        <v>92</v>
      </c>
      <c r="AQ90" t="s">
        <v>92</v>
      </c>
      <c r="AR90" t="s">
        <v>94</v>
      </c>
      <c r="AS90" t="s">
        <v>94</v>
      </c>
      <c r="AT90" t="s">
        <v>94</v>
      </c>
      <c r="AU90" t="s">
        <v>94</v>
      </c>
      <c r="AV90" t="s">
        <v>94</v>
      </c>
      <c r="AW90" t="s">
        <v>94</v>
      </c>
      <c r="AX90" t="s">
        <v>92</v>
      </c>
      <c r="AY90" t="s">
        <v>92</v>
      </c>
      <c r="AZ90" t="s">
        <v>94</v>
      </c>
      <c r="BA90" t="s">
        <v>94</v>
      </c>
      <c r="BB90" t="s">
        <v>92</v>
      </c>
      <c r="BC90" t="s">
        <v>92</v>
      </c>
      <c r="BD90" t="s">
        <v>92</v>
      </c>
      <c r="BE90" t="s">
        <v>94</v>
      </c>
      <c r="BF90" t="s">
        <v>94</v>
      </c>
      <c r="BG90" t="s">
        <v>94</v>
      </c>
      <c r="BH90" t="s">
        <v>94</v>
      </c>
    </row>
    <row r="91" spans="1:60" x14ac:dyDescent="0.3">
      <c r="A91">
        <v>21</v>
      </c>
      <c r="B91" t="s">
        <v>70</v>
      </c>
      <c r="C91" t="s">
        <v>96</v>
      </c>
      <c r="D91" t="s">
        <v>149</v>
      </c>
      <c r="E91" t="s">
        <v>108</v>
      </c>
      <c r="F91" t="s">
        <v>74</v>
      </c>
      <c r="G91" t="s">
        <v>75</v>
      </c>
      <c r="H91" t="s">
        <v>74</v>
      </c>
      <c r="I91" t="s">
        <v>75</v>
      </c>
      <c r="J91" t="s">
        <v>77</v>
      </c>
      <c r="K91" t="s">
        <v>131</v>
      </c>
      <c r="L91" t="s">
        <v>79</v>
      </c>
      <c r="M91" t="s">
        <v>102</v>
      </c>
      <c r="N91" t="s">
        <v>82</v>
      </c>
      <c r="O91" t="s">
        <v>117</v>
      </c>
      <c r="P91" t="s">
        <v>79</v>
      </c>
      <c r="Q91" t="s">
        <v>103</v>
      </c>
      <c r="R91" t="s">
        <v>79</v>
      </c>
      <c r="S91" t="s">
        <v>183</v>
      </c>
      <c r="T91" t="s">
        <v>150</v>
      </c>
      <c r="U91" t="s">
        <v>79</v>
      </c>
      <c r="V91" t="s">
        <v>86</v>
      </c>
      <c r="W91" t="s">
        <v>87</v>
      </c>
      <c r="X91" t="s">
        <v>112</v>
      </c>
      <c r="Y91" t="s">
        <v>93</v>
      </c>
      <c r="Z91" t="s">
        <v>93</v>
      </c>
      <c r="AA91" t="s">
        <v>93</v>
      </c>
      <c r="AB91" t="s">
        <v>93</v>
      </c>
      <c r="AC91" t="s">
        <v>94</v>
      </c>
      <c r="AD91" t="s">
        <v>94</v>
      </c>
      <c r="AE91" t="s">
        <v>94</v>
      </c>
      <c r="AF91" t="s">
        <v>94</v>
      </c>
      <c r="AG91" t="s">
        <v>94</v>
      </c>
      <c r="AH91" t="s">
        <v>94</v>
      </c>
      <c r="AI91" t="s">
        <v>94</v>
      </c>
      <c r="AJ91" t="s">
        <v>94</v>
      </c>
      <c r="AK91" t="s">
        <v>94</v>
      </c>
      <c r="AL91" t="s">
        <v>94</v>
      </c>
      <c r="AM91" t="s">
        <v>94</v>
      </c>
      <c r="AN91" t="s">
        <v>93</v>
      </c>
      <c r="AO91" t="s">
        <v>93</v>
      </c>
      <c r="AP91" t="s">
        <v>93</v>
      </c>
      <c r="AQ91" t="s">
        <v>93</v>
      </c>
      <c r="AR91" t="s">
        <v>93</v>
      </c>
      <c r="AS91" t="s">
        <v>93</v>
      </c>
      <c r="AT91" t="s">
        <v>93</v>
      </c>
      <c r="AU91" t="s">
        <v>92</v>
      </c>
      <c r="AV91" t="s">
        <v>92</v>
      </c>
      <c r="AW91" t="s">
        <v>92</v>
      </c>
      <c r="AX91" t="s">
        <v>92</v>
      </c>
      <c r="AY91" t="s">
        <v>92</v>
      </c>
      <c r="AZ91" t="s">
        <v>92</v>
      </c>
      <c r="BA91" t="s">
        <v>92</v>
      </c>
      <c r="BB91" t="s">
        <v>92</v>
      </c>
      <c r="BC91" t="s">
        <v>92</v>
      </c>
      <c r="BD91" t="s">
        <v>92</v>
      </c>
      <c r="BE91" t="s">
        <v>92</v>
      </c>
      <c r="BF91" t="s">
        <v>92</v>
      </c>
      <c r="BG91" t="s">
        <v>92</v>
      </c>
      <c r="BH91" t="s">
        <v>92</v>
      </c>
    </row>
    <row r="92" spans="1:60" x14ac:dyDescent="0.3">
      <c r="A92">
        <v>21</v>
      </c>
      <c r="B92" t="s">
        <v>70</v>
      </c>
      <c r="C92" t="s">
        <v>96</v>
      </c>
      <c r="D92" t="s">
        <v>149</v>
      </c>
      <c r="E92" t="s">
        <v>114</v>
      </c>
      <c r="F92" t="s">
        <v>74</v>
      </c>
      <c r="G92" t="s">
        <v>135</v>
      </c>
      <c r="H92" t="s">
        <v>74</v>
      </c>
      <c r="I92" t="s">
        <v>115</v>
      </c>
      <c r="J92" t="s">
        <v>77</v>
      </c>
      <c r="K92" t="s">
        <v>122</v>
      </c>
      <c r="L92" t="s">
        <v>79</v>
      </c>
      <c r="M92" t="s">
        <v>80</v>
      </c>
      <c r="N92" t="s">
        <v>79</v>
      </c>
      <c r="O92" t="s">
        <v>179</v>
      </c>
      <c r="P92" t="s">
        <v>79</v>
      </c>
      <c r="Q92" t="s">
        <v>83</v>
      </c>
      <c r="R92" t="s">
        <v>79</v>
      </c>
      <c r="S92" t="s">
        <v>84</v>
      </c>
      <c r="T92" t="s">
        <v>105</v>
      </c>
      <c r="U92" t="s">
        <v>79</v>
      </c>
      <c r="V92" t="s">
        <v>86</v>
      </c>
      <c r="W92" t="s">
        <v>141</v>
      </c>
      <c r="X92" t="s">
        <v>112</v>
      </c>
      <c r="Y92" t="s">
        <v>93</v>
      </c>
      <c r="Z92" t="s">
        <v>94</v>
      </c>
      <c r="AA92" t="s">
        <v>93</v>
      </c>
      <c r="AB92" t="s">
        <v>94</v>
      </c>
      <c r="AC92" t="s">
        <v>94</v>
      </c>
      <c r="AD92" t="s">
        <v>94</v>
      </c>
      <c r="AE92" t="s">
        <v>94</v>
      </c>
      <c r="AF92" t="s">
        <v>93</v>
      </c>
      <c r="AG92" t="s">
        <v>94</v>
      </c>
      <c r="AH92" t="s">
        <v>94</v>
      </c>
      <c r="AI92" t="s">
        <v>93</v>
      </c>
      <c r="AJ92" t="s">
        <v>92</v>
      </c>
      <c r="AK92" t="s">
        <v>92</v>
      </c>
      <c r="AL92" t="s">
        <v>92</v>
      </c>
      <c r="AM92" t="s">
        <v>92</v>
      </c>
      <c r="AN92" t="s">
        <v>93</v>
      </c>
      <c r="AO92" t="s">
        <v>92</v>
      </c>
      <c r="AP92" t="s">
        <v>92</v>
      </c>
      <c r="AQ92" t="s">
        <v>92</v>
      </c>
      <c r="AR92" t="s">
        <v>92</v>
      </c>
      <c r="AS92" t="s">
        <v>92</v>
      </c>
      <c r="AT92" t="s">
        <v>92</v>
      </c>
      <c r="AU92" t="s">
        <v>94</v>
      </c>
      <c r="AV92" t="s">
        <v>94</v>
      </c>
      <c r="AW92" t="s">
        <v>94</v>
      </c>
      <c r="AX92" t="s">
        <v>94</v>
      </c>
      <c r="AY92" t="s">
        <v>94</v>
      </c>
      <c r="AZ92" t="s">
        <v>94</v>
      </c>
      <c r="BA92" t="s">
        <v>93</v>
      </c>
      <c r="BB92" t="s">
        <v>94</v>
      </c>
      <c r="BC92" t="s">
        <v>94</v>
      </c>
      <c r="BD92" t="s">
        <v>94</v>
      </c>
      <c r="BE92" t="s">
        <v>94</v>
      </c>
      <c r="BF92" t="s">
        <v>94</v>
      </c>
      <c r="BG92" t="s">
        <v>94</v>
      </c>
      <c r="BH92" t="s">
        <v>94</v>
      </c>
    </row>
    <row r="93" spans="1:60" x14ac:dyDescent="0.3">
      <c r="A93">
        <v>24</v>
      </c>
      <c r="B93" t="s">
        <v>70</v>
      </c>
      <c r="C93" t="s">
        <v>96</v>
      </c>
      <c r="D93" t="s">
        <v>97</v>
      </c>
      <c r="E93" t="s">
        <v>108</v>
      </c>
      <c r="F93" t="s">
        <v>74</v>
      </c>
      <c r="G93" t="s">
        <v>196</v>
      </c>
      <c r="H93" t="s">
        <v>74</v>
      </c>
      <c r="I93" t="s">
        <v>76</v>
      </c>
      <c r="J93" t="s">
        <v>77</v>
      </c>
      <c r="K93" t="s">
        <v>122</v>
      </c>
      <c r="L93" t="s">
        <v>79</v>
      </c>
      <c r="M93" t="s">
        <v>132</v>
      </c>
      <c r="N93" t="s">
        <v>79</v>
      </c>
      <c r="O93" t="s">
        <v>109</v>
      </c>
      <c r="P93" t="s">
        <v>82</v>
      </c>
      <c r="Q93" t="s">
        <v>103</v>
      </c>
      <c r="R93" t="s">
        <v>79</v>
      </c>
      <c r="S93" t="s">
        <v>84</v>
      </c>
      <c r="T93" t="s">
        <v>85</v>
      </c>
      <c r="U93" t="s">
        <v>82</v>
      </c>
      <c r="V93" t="s">
        <v>106</v>
      </c>
      <c r="W93" t="s">
        <v>120</v>
      </c>
      <c r="X93" t="s">
        <v>112</v>
      </c>
      <c r="Y93" t="s">
        <v>94</v>
      </c>
      <c r="Z93" t="s">
        <v>94</v>
      </c>
      <c r="AA93" t="s">
        <v>93</v>
      </c>
      <c r="AB93" t="s">
        <v>93</v>
      </c>
      <c r="AC93" t="s">
        <v>94</v>
      </c>
      <c r="AD93" t="s">
        <v>94</v>
      </c>
      <c r="AE93" t="s">
        <v>94</v>
      </c>
      <c r="AF93" t="s">
        <v>94</v>
      </c>
      <c r="AG93" t="s">
        <v>93</v>
      </c>
      <c r="AH93" t="s">
        <v>93</v>
      </c>
      <c r="AI93" t="s">
        <v>93</v>
      </c>
      <c r="AJ93" t="s">
        <v>93</v>
      </c>
      <c r="AK93" t="s">
        <v>93</v>
      </c>
      <c r="AL93" t="s">
        <v>93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92</v>
      </c>
      <c r="AS93" t="s">
        <v>93</v>
      </c>
      <c r="AT93" t="s">
        <v>93</v>
      </c>
      <c r="AU93" t="s">
        <v>93</v>
      </c>
      <c r="AV93" t="s">
        <v>92</v>
      </c>
      <c r="AW93" t="s">
        <v>92</v>
      </c>
      <c r="AX93" t="s">
        <v>92</v>
      </c>
      <c r="AY93" t="s">
        <v>92</v>
      </c>
      <c r="AZ93" t="s">
        <v>94</v>
      </c>
      <c r="BA93" t="s">
        <v>92</v>
      </c>
      <c r="BB93" t="s">
        <v>92</v>
      </c>
      <c r="BC93" t="s">
        <v>92</v>
      </c>
      <c r="BD93" t="s">
        <v>92</v>
      </c>
      <c r="BE93" t="s">
        <v>92</v>
      </c>
      <c r="BF93" t="s">
        <v>92</v>
      </c>
      <c r="BG93" t="s">
        <v>92</v>
      </c>
      <c r="BH93" t="s">
        <v>94</v>
      </c>
    </row>
    <row r="94" spans="1:60" x14ac:dyDescent="0.3">
      <c r="A94">
        <v>22</v>
      </c>
      <c r="B94" t="s">
        <v>70</v>
      </c>
      <c r="C94" t="s">
        <v>96</v>
      </c>
      <c r="D94" t="s">
        <v>97</v>
      </c>
      <c r="E94" t="s">
        <v>108</v>
      </c>
      <c r="F94" t="s">
        <v>74</v>
      </c>
      <c r="G94" t="s">
        <v>135</v>
      </c>
      <c r="H94" t="s">
        <v>136</v>
      </c>
      <c r="I94" t="s">
        <v>76</v>
      </c>
      <c r="J94" t="s">
        <v>77</v>
      </c>
      <c r="K94" t="s">
        <v>122</v>
      </c>
      <c r="L94" t="s">
        <v>82</v>
      </c>
      <c r="M94" t="s">
        <v>80</v>
      </c>
      <c r="N94" t="s">
        <v>82</v>
      </c>
      <c r="O94" t="s">
        <v>109</v>
      </c>
      <c r="P94" t="s">
        <v>82</v>
      </c>
      <c r="Q94" t="s">
        <v>103</v>
      </c>
      <c r="R94" t="s">
        <v>79</v>
      </c>
      <c r="S94" t="s">
        <v>84</v>
      </c>
      <c r="T94" t="s">
        <v>152</v>
      </c>
      <c r="U94" t="s">
        <v>82</v>
      </c>
      <c r="V94" t="s">
        <v>148</v>
      </c>
      <c r="W94" t="s">
        <v>141</v>
      </c>
      <c r="X94" t="s">
        <v>112</v>
      </c>
      <c r="Y94" t="s">
        <v>94</v>
      </c>
      <c r="Z94" t="s">
        <v>93</v>
      </c>
      <c r="AA94" t="s">
        <v>93</v>
      </c>
      <c r="AB94" t="s">
        <v>93</v>
      </c>
      <c r="AC94" t="s">
        <v>94</v>
      </c>
      <c r="AD94" t="s">
        <v>92</v>
      </c>
      <c r="AE94" t="s">
        <v>92</v>
      </c>
      <c r="AF94" t="s">
        <v>93</v>
      </c>
      <c r="AG94" t="s">
        <v>93</v>
      </c>
      <c r="AH94" t="s">
        <v>95</v>
      </c>
      <c r="AI94" t="s">
        <v>93</v>
      </c>
      <c r="AJ94" t="s">
        <v>93</v>
      </c>
      <c r="AK94" t="s">
        <v>92</v>
      </c>
      <c r="AL94" t="s">
        <v>92</v>
      </c>
      <c r="AM94" t="s">
        <v>95</v>
      </c>
      <c r="AN94" t="s">
        <v>93</v>
      </c>
      <c r="AO94" t="s">
        <v>93</v>
      </c>
      <c r="AP94" t="s">
        <v>93</v>
      </c>
      <c r="AQ94" t="s">
        <v>95</v>
      </c>
      <c r="AR94" t="s">
        <v>95</v>
      </c>
      <c r="AS94" t="s">
        <v>95</v>
      </c>
      <c r="AT94" t="s">
        <v>95</v>
      </c>
      <c r="AU94" t="s">
        <v>93</v>
      </c>
      <c r="AV94" t="s">
        <v>94</v>
      </c>
      <c r="AW94" t="s">
        <v>94</v>
      </c>
      <c r="AX94" t="s">
        <v>94</v>
      </c>
      <c r="AY94" t="s">
        <v>95</v>
      </c>
      <c r="AZ94" t="s">
        <v>94</v>
      </c>
      <c r="BA94" t="s">
        <v>93</v>
      </c>
      <c r="BB94" t="s">
        <v>93</v>
      </c>
      <c r="BC94" t="s">
        <v>93</v>
      </c>
      <c r="BD94" t="s">
        <v>93</v>
      </c>
      <c r="BE94" t="s">
        <v>94</v>
      </c>
      <c r="BF94" t="s">
        <v>95</v>
      </c>
      <c r="BG94" t="s">
        <v>94</v>
      </c>
      <c r="BH94" t="s">
        <v>95</v>
      </c>
    </row>
    <row r="95" spans="1:60" x14ac:dyDescent="0.3">
      <c r="A95" t="s">
        <v>197</v>
      </c>
      <c r="B95" t="s">
        <v>70</v>
      </c>
      <c r="C95" t="s">
        <v>157</v>
      </c>
      <c r="D95" t="s">
        <v>97</v>
      </c>
      <c r="E95" t="s">
        <v>108</v>
      </c>
      <c r="F95" t="s">
        <v>74</v>
      </c>
      <c r="G95" t="s">
        <v>198</v>
      </c>
      <c r="H95" t="s">
        <v>74</v>
      </c>
      <c r="I95" t="s">
        <v>99</v>
      </c>
      <c r="J95" t="s">
        <v>77</v>
      </c>
      <c r="K95" t="s">
        <v>125</v>
      </c>
      <c r="L95" t="s">
        <v>79</v>
      </c>
      <c r="M95" t="s">
        <v>80</v>
      </c>
      <c r="N95" t="s">
        <v>79</v>
      </c>
      <c r="O95" t="s">
        <v>138</v>
      </c>
      <c r="P95" t="s">
        <v>82</v>
      </c>
      <c r="Q95" t="s">
        <v>83</v>
      </c>
      <c r="R95" t="s">
        <v>79</v>
      </c>
      <c r="S95" t="s">
        <v>84</v>
      </c>
      <c r="T95" t="s">
        <v>158</v>
      </c>
      <c r="U95" t="s">
        <v>82</v>
      </c>
      <c r="V95" t="s">
        <v>86</v>
      </c>
      <c r="W95" t="s">
        <v>141</v>
      </c>
      <c r="X95" t="s">
        <v>112</v>
      </c>
      <c r="Y95" t="s">
        <v>94</v>
      </c>
      <c r="Z95" t="s">
        <v>94</v>
      </c>
      <c r="AA95" t="s">
        <v>93</v>
      </c>
      <c r="AB95" t="s">
        <v>92</v>
      </c>
      <c r="AC95" t="s">
        <v>94</v>
      </c>
      <c r="AD95" t="s">
        <v>94</v>
      </c>
      <c r="AE95" t="s">
        <v>93</v>
      </c>
      <c r="AF95" t="s">
        <v>93</v>
      </c>
      <c r="AG95" t="s">
        <v>93</v>
      </c>
      <c r="AH95" t="s">
        <v>93</v>
      </c>
      <c r="AI95" t="s">
        <v>93</v>
      </c>
      <c r="AJ95" t="s">
        <v>93</v>
      </c>
      <c r="AK95" t="s">
        <v>93</v>
      </c>
      <c r="AL95" t="s">
        <v>93</v>
      </c>
      <c r="AM95" t="s">
        <v>93</v>
      </c>
      <c r="AN95" t="s">
        <v>93</v>
      </c>
      <c r="AO95" t="s">
        <v>93</v>
      </c>
      <c r="AP95" t="s">
        <v>93</v>
      </c>
      <c r="AQ95" t="s">
        <v>95</v>
      </c>
      <c r="AR95" t="s">
        <v>94</v>
      </c>
      <c r="AS95" t="s">
        <v>95</v>
      </c>
      <c r="AT95" t="s">
        <v>95</v>
      </c>
      <c r="AU95" t="s">
        <v>94</v>
      </c>
      <c r="AV95" t="s">
        <v>95</v>
      </c>
      <c r="AW95" t="s">
        <v>95</v>
      </c>
      <c r="AX95" t="s">
        <v>93</v>
      </c>
      <c r="AY95" t="s">
        <v>95</v>
      </c>
      <c r="AZ95" t="s">
        <v>95</v>
      </c>
      <c r="BA95" t="s">
        <v>93</v>
      </c>
      <c r="BB95" t="s">
        <v>93</v>
      </c>
      <c r="BC95" t="s">
        <v>93</v>
      </c>
      <c r="BD95" t="s">
        <v>93</v>
      </c>
      <c r="BE95" t="s">
        <v>93</v>
      </c>
      <c r="BF95" t="s">
        <v>94</v>
      </c>
      <c r="BG95" t="s">
        <v>94</v>
      </c>
      <c r="BH95" t="s">
        <v>94</v>
      </c>
    </row>
    <row r="96" spans="1:60" x14ac:dyDescent="0.3">
      <c r="A96">
        <v>22</v>
      </c>
      <c r="B96" t="s">
        <v>70</v>
      </c>
      <c r="C96" t="s">
        <v>157</v>
      </c>
      <c r="D96" t="s">
        <v>72</v>
      </c>
      <c r="E96" t="s">
        <v>73</v>
      </c>
      <c r="F96" t="s">
        <v>98</v>
      </c>
      <c r="G96" t="s">
        <v>75</v>
      </c>
      <c r="H96" t="s">
        <v>98</v>
      </c>
      <c r="I96" t="s">
        <v>76</v>
      </c>
      <c r="J96" t="s">
        <v>77</v>
      </c>
      <c r="K96" t="s">
        <v>125</v>
      </c>
      <c r="L96" t="s">
        <v>82</v>
      </c>
      <c r="M96" t="s">
        <v>80</v>
      </c>
      <c r="N96" t="s">
        <v>82</v>
      </c>
      <c r="O96" t="s">
        <v>81</v>
      </c>
      <c r="P96" t="s">
        <v>82</v>
      </c>
      <c r="Q96" t="s">
        <v>83</v>
      </c>
      <c r="R96" t="s">
        <v>79</v>
      </c>
      <c r="S96" t="s">
        <v>199</v>
      </c>
      <c r="T96" t="s">
        <v>200</v>
      </c>
      <c r="U96" t="s">
        <v>82</v>
      </c>
      <c r="V96" t="s">
        <v>86</v>
      </c>
      <c r="W96" t="s">
        <v>141</v>
      </c>
      <c r="Y96" t="s">
        <v>92</v>
      </c>
      <c r="Z96" t="s">
        <v>92</v>
      </c>
      <c r="AA96" t="s">
        <v>92</v>
      </c>
      <c r="AB96" t="s">
        <v>94</v>
      </c>
      <c r="AC96" t="s">
        <v>94</v>
      </c>
      <c r="AD96" t="s">
        <v>94</v>
      </c>
      <c r="AE96" t="s">
        <v>94</v>
      </c>
      <c r="AF96" t="s">
        <v>94</v>
      </c>
      <c r="AG96" t="s">
        <v>94</v>
      </c>
      <c r="AH96" t="s">
        <v>94</v>
      </c>
      <c r="AI96" t="s">
        <v>94</v>
      </c>
      <c r="AJ96" t="s">
        <v>94</v>
      </c>
      <c r="AK96" t="s">
        <v>94</v>
      </c>
      <c r="AL96" t="s">
        <v>94</v>
      </c>
      <c r="AM96" t="s">
        <v>94</v>
      </c>
      <c r="AN96" t="s">
        <v>94</v>
      </c>
      <c r="AO96" t="s">
        <v>94</v>
      </c>
      <c r="AP96" t="s">
        <v>94</v>
      </c>
      <c r="AQ96" t="s">
        <v>94</v>
      </c>
      <c r="AR96" t="s">
        <v>94</v>
      </c>
      <c r="AS96" t="s">
        <v>95</v>
      </c>
      <c r="AT96" t="s">
        <v>92</v>
      </c>
      <c r="AU96" t="s">
        <v>94</v>
      </c>
      <c r="AV96" t="s">
        <v>94</v>
      </c>
      <c r="AW96" t="s">
        <v>94</v>
      </c>
      <c r="AX96" t="s">
        <v>94</v>
      </c>
      <c r="AY96" t="s">
        <v>94</v>
      </c>
      <c r="AZ96" t="s">
        <v>94</v>
      </c>
      <c r="BA96" t="s">
        <v>94</v>
      </c>
      <c r="BB96" t="s">
        <v>94</v>
      </c>
      <c r="BC96" t="s">
        <v>94</v>
      </c>
      <c r="BD96" t="s">
        <v>94</v>
      </c>
      <c r="BE96" t="s">
        <v>94</v>
      </c>
      <c r="BF96" t="s">
        <v>94</v>
      </c>
      <c r="BG96" t="s">
        <v>94</v>
      </c>
      <c r="BH96" t="s">
        <v>94</v>
      </c>
    </row>
    <row r="97" spans="1:60" x14ac:dyDescent="0.3">
      <c r="A97">
        <v>23</v>
      </c>
      <c r="B97" t="s">
        <v>70</v>
      </c>
      <c r="C97" t="s">
        <v>96</v>
      </c>
      <c r="D97" t="s">
        <v>149</v>
      </c>
      <c r="E97" t="s">
        <v>73</v>
      </c>
      <c r="F97" t="s">
        <v>136</v>
      </c>
      <c r="G97" t="s">
        <v>115</v>
      </c>
      <c r="H97" t="s">
        <v>136</v>
      </c>
      <c r="I97" t="s">
        <v>76</v>
      </c>
      <c r="J97" t="s">
        <v>77</v>
      </c>
      <c r="K97" t="s">
        <v>122</v>
      </c>
      <c r="L97" t="s">
        <v>79</v>
      </c>
      <c r="M97" t="s">
        <v>80</v>
      </c>
      <c r="N97" t="s">
        <v>79</v>
      </c>
      <c r="O97" t="s">
        <v>109</v>
      </c>
      <c r="P97" t="s">
        <v>82</v>
      </c>
      <c r="Q97" t="s">
        <v>118</v>
      </c>
      <c r="R97" t="s">
        <v>79</v>
      </c>
      <c r="S97" t="s">
        <v>84</v>
      </c>
      <c r="T97" t="s">
        <v>158</v>
      </c>
      <c r="U97" t="s">
        <v>79</v>
      </c>
      <c r="V97" t="s">
        <v>106</v>
      </c>
      <c r="W97" t="s">
        <v>87</v>
      </c>
      <c r="X97" t="s">
        <v>160</v>
      </c>
      <c r="Y97" t="s">
        <v>92</v>
      </c>
      <c r="Z97" t="s">
        <v>92</v>
      </c>
      <c r="AA97" t="s">
        <v>92</v>
      </c>
      <c r="AB97" t="s">
        <v>94</v>
      </c>
      <c r="AC97" t="s">
        <v>92</v>
      </c>
      <c r="AD97" t="s">
        <v>94</v>
      </c>
      <c r="AE97" t="s">
        <v>92</v>
      </c>
      <c r="AF97" t="s">
        <v>94</v>
      </c>
      <c r="AG97" t="s">
        <v>92</v>
      </c>
      <c r="AH97" t="s">
        <v>94</v>
      </c>
      <c r="AI97" t="s">
        <v>94</v>
      </c>
      <c r="AJ97" t="s">
        <v>92</v>
      </c>
      <c r="AK97" t="s">
        <v>94</v>
      </c>
      <c r="AL97" t="s">
        <v>92</v>
      </c>
      <c r="AM97" t="s">
        <v>94</v>
      </c>
      <c r="AN97" t="s">
        <v>95</v>
      </c>
      <c r="AO97" t="s">
        <v>92</v>
      </c>
      <c r="AP97" t="s">
        <v>92</v>
      </c>
      <c r="AQ97" t="s">
        <v>94</v>
      </c>
      <c r="AR97" t="s">
        <v>95</v>
      </c>
      <c r="AS97" t="s">
        <v>92</v>
      </c>
      <c r="AT97" t="s">
        <v>94</v>
      </c>
      <c r="AU97" t="s">
        <v>95</v>
      </c>
      <c r="AV97" t="s">
        <v>94</v>
      </c>
      <c r="AW97" t="s">
        <v>94</v>
      </c>
      <c r="AX97" t="s">
        <v>92</v>
      </c>
      <c r="AY97" t="s">
        <v>92</v>
      </c>
      <c r="AZ97" t="s">
        <v>95</v>
      </c>
      <c r="BA97" t="s">
        <v>95</v>
      </c>
      <c r="BB97" t="s">
        <v>92</v>
      </c>
      <c r="BC97" t="s">
        <v>95</v>
      </c>
      <c r="BD97" t="s">
        <v>94</v>
      </c>
      <c r="BE97" t="s">
        <v>92</v>
      </c>
      <c r="BF97" t="s">
        <v>95</v>
      </c>
      <c r="BG97" t="s">
        <v>95</v>
      </c>
      <c r="BH97" t="s">
        <v>92</v>
      </c>
    </row>
    <row r="98" spans="1:60" x14ac:dyDescent="0.3">
      <c r="A98">
        <v>17</v>
      </c>
      <c r="B98" t="s">
        <v>70</v>
      </c>
      <c r="C98" t="s">
        <v>157</v>
      </c>
      <c r="D98" t="s">
        <v>97</v>
      </c>
      <c r="E98" t="s">
        <v>108</v>
      </c>
      <c r="F98" t="s">
        <v>74</v>
      </c>
      <c r="G98" t="s">
        <v>75</v>
      </c>
      <c r="H98" t="s">
        <v>74</v>
      </c>
      <c r="I98" t="s">
        <v>76</v>
      </c>
      <c r="J98" t="s">
        <v>77</v>
      </c>
      <c r="K98" t="s">
        <v>122</v>
      </c>
      <c r="L98" t="s">
        <v>79</v>
      </c>
      <c r="M98" t="s">
        <v>80</v>
      </c>
      <c r="N98" t="s">
        <v>79</v>
      </c>
      <c r="O98" t="s">
        <v>81</v>
      </c>
      <c r="P98" t="s">
        <v>79</v>
      </c>
      <c r="Q98" t="s">
        <v>83</v>
      </c>
      <c r="R98" t="s">
        <v>79</v>
      </c>
      <c r="S98" t="s">
        <v>84</v>
      </c>
      <c r="T98" t="s">
        <v>152</v>
      </c>
      <c r="U98" t="s">
        <v>82</v>
      </c>
      <c r="V98" t="s">
        <v>86</v>
      </c>
      <c r="W98" t="s">
        <v>87</v>
      </c>
      <c r="X98" t="s">
        <v>160</v>
      </c>
      <c r="Y98" t="s">
        <v>94</v>
      </c>
      <c r="Z98" t="s">
        <v>94</v>
      </c>
      <c r="AA98" t="s">
        <v>92</v>
      </c>
      <c r="AB98" t="s">
        <v>92</v>
      </c>
      <c r="AC98" t="s">
        <v>93</v>
      </c>
      <c r="AD98" t="s">
        <v>93</v>
      </c>
      <c r="AE98" t="s">
        <v>92</v>
      </c>
      <c r="AF98" t="s">
        <v>93</v>
      </c>
      <c r="AG98" t="s">
        <v>93</v>
      </c>
      <c r="AH98" t="s">
        <v>95</v>
      </c>
      <c r="AI98" t="s">
        <v>93</v>
      </c>
      <c r="AJ98" t="s">
        <v>93</v>
      </c>
      <c r="AK98" t="s">
        <v>93</v>
      </c>
      <c r="AL98" t="s">
        <v>92</v>
      </c>
      <c r="AM98" t="s">
        <v>92</v>
      </c>
      <c r="AN98" t="s">
        <v>93</v>
      </c>
      <c r="AO98" t="s">
        <v>93</v>
      </c>
      <c r="AP98" t="s">
        <v>93</v>
      </c>
      <c r="AQ98" t="s">
        <v>94</v>
      </c>
      <c r="AR98" t="s">
        <v>94</v>
      </c>
      <c r="AS98" t="s">
        <v>95</v>
      </c>
      <c r="AT98" t="s">
        <v>92</v>
      </c>
      <c r="AU98" t="s">
        <v>94</v>
      </c>
      <c r="AV98" t="s">
        <v>95</v>
      </c>
      <c r="AW98" t="s">
        <v>95</v>
      </c>
      <c r="AX98" t="s">
        <v>94</v>
      </c>
      <c r="AY98" t="s">
        <v>93</v>
      </c>
      <c r="AZ98" t="s">
        <v>93</v>
      </c>
      <c r="BA98" t="s">
        <v>94</v>
      </c>
      <c r="BB98" t="s">
        <v>92</v>
      </c>
      <c r="BC98" t="s">
        <v>95</v>
      </c>
      <c r="BD98" t="s">
        <v>94</v>
      </c>
      <c r="BE98" t="s">
        <v>93</v>
      </c>
      <c r="BF98" t="s">
        <v>93</v>
      </c>
      <c r="BG98" t="s">
        <v>93</v>
      </c>
      <c r="BH98" t="s">
        <v>93</v>
      </c>
    </row>
    <row r="99" spans="1:60" x14ac:dyDescent="0.3">
      <c r="A99">
        <v>24</v>
      </c>
      <c r="B99" t="s">
        <v>70</v>
      </c>
      <c r="C99" t="s">
        <v>157</v>
      </c>
      <c r="D99" t="s">
        <v>97</v>
      </c>
      <c r="E99" t="s">
        <v>108</v>
      </c>
      <c r="F99" t="s">
        <v>74</v>
      </c>
      <c r="G99" t="s">
        <v>135</v>
      </c>
      <c r="H99" t="s">
        <v>74</v>
      </c>
      <c r="I99" t="s">
        <v>76</v>
      </c>
      <c r="J99" t="s">
        <v>77</v>
      </c>
      <c r="K99" t="s">
        <v>125</v>
      </c>
      <c r="L99" t="s">
        <v>79</v>
      </c>
      <c r="M99" t="s">
        <v>201</v>
      </c>
      <c r="N99" t="s">
        <v>79</v>
      </c>
      <c r="O99" t="s">
        <v>81</v>
      </c>
      <c r="P99" t="s">
        <v>82</v>
      </c>
      <c r="Q99" t="s">
        <v>103</v>
      </c>
      <c r="R99" t="s">
        <v>79</v>
      </c>
      <c r="S99" t="s">
        <v>202</v>
      </c>
      <c r="T99" t="s">
        <v>111</v>
      </c>
      <c r="U99" t="s">
        <v>79</v>
      </c>
      <c r="V99" t="s">
        <v>86</v>
      </c>
      <c r="W99" t="s">
        <v>141</v>
      </c>
      <c r="X99" t="s">
        <v>127</v>
      </c>
      <c r="Y99" t="s">
        <v>94</v>
      </c>
      <c r="Z99" t="s">
        <v>94</v>
      </c>
      <c r="AA99" t="s">
        <v>94</v>
      </c>
      <c r="AB99" t="s">
        <v>94</v>
      </c>
      <c r="AC99" t="s">
        <v>94</v>
      </c>
      <c r="AD99" t="s">
        <v>94</v>
      </c>
      <c r="AE99" t="s">
        <v>94</v>
      </c>
      <c r="AF99" t="s">
        <v>94</v>
      </c>
      <c r="AG99" t="s">
        <v>94</v>
      </c>
      <c r="AH99" t="s">
        <v>94</v>
      </c>
      <c r="AI99" t="s">
        <v>94</v>
      </c>
      <c r="AJ99" t="s">
        <v>94</v>
      </c>
      <c r="AK99" t="s">
        <v>94</v>
      </c>
      <c r="AL99" t="s">
        <v>94</v>
      </c>
      <c r="AM99" t="s">
        <v>94</v>
      </c>
      <c r="AN99" t="s">
        <v>94</v>
      </c>
      <c r="AO99" t="s">
        <v>94</v>
      </c>
      <c r="AP99" t="s">
        <v>94</v>
      </c>
      <c r="AQ99" t="s">
        <v>94</v>
      </c>
      <c r="AR99" t="s">
        <v>94</v>
      </c>
      <c r="AS99" t="s">
        <v>94</v>
      </c>
      <c r="AT99" t="s">
        <v>94</v>
      </c>
      <c r="AU99" t="s">
        <v>94</v>
      </c>
      <c r="AV99" t="s">
        <v>94</v>
      </c>
      <c r="AW99" t="s">
        <v>94</v>
      </c>
      <c r="AX99" t="s">
        <v>94</v>
      </c>
      <c r="AY99" t="s">
        <v>94</v>
      </c>
      <c r="AZ99" t="s">
        <v>94</v>
      </c>
      <c r="BA99" t="s">
        <v>94</v>
      </c>
      <c r="BB99" t="s">
        <v>94</v>
      </c>
      <c r="BC99" t="s">
        <v>94</v>
      </c>
      <c r="BD99" t="s">
        <v>94</v>
      </c>
      <c r="BE99" t="s">
        <v>94</v>
      </c>
      <c r="BF99" t="s">
        <v>94</v>
      </c>
      <c r="BG99" t="s">
        <v>94</v>
      </c>
      <c r="BH99" t="s">
        <v>94</v>
      </c>
    </row>
    <row r="100" spans="1:60" x14ac:dyDescent="0.3">
      <c r="A100">
        <v>20</v>
      </c>
      <c r="B100" t="s">
        <v>70</v>
      </c>
      <c r="C100" t="s">
        <v>157</v>
      </c>
      <c r="D100" t="s">
        <v>97</v>
      </c>
      <c r="E100" t="s">
        <v>108</v>
      </c>
      <c r="F100" t="s">
        <v>74</v>
      </c>
      <c r="G100" t="s">
        <v>203</v>
      </c>
      <c r="H100" t="s">
        <v>74</v>
      </c>
      <c r="I100" t="s">
        <v>76</v>
      </c>
      <c r="J100" t="s">
        <v>77</v>
      </c>
      <c r="K100" t="s">
        <v>131</v>
      </c>
      <c r="L100" t="s">
        <v>79</v>
      </c>
      <c r="M100" t="s">
        <v>80</v>
      </c>
      <c r="N100" t="s">
        <v>79</v>
      </c>
      <c r="O100" t="s">
        <v>81</v>
      </c>
      <c r="P100" t="s">
        <v>79</v>
      </c>
      <c r="Q100" t="s">
        <v>83</v>
      </c>
      <c r="R100" t="s">
        <v>82</v>
      </c>
      <c r="S100" t="s">
        <v>84</v>
      </c>
      <c r="T100" t="s">
        <v>85</v>
      </c>
      <c r="U100" t="s">
        <v>82</v>
      </c>
      <c r="V100" t="s">
        <v>106</v>
      </c>
      <c r="W100" t="s">
        <v>87</v>
      </c>
      <c r="X100" t="s">
        <v>112</v>
      </c>
      <c r="Y100" t="s">
        <v>93</v>
      </c>
      <c r="Z100" t="s">
        <v>93</v>
      </c>
      <c r="AA100" t="s">
        <v>93</v>
      </c>
      <c r="AB100" t="s">
        <v>93</v>
      </c>
      <c r="AC100" t="s">
        <v>94</v>
      </c>
      <c r="AD100" t="s">
        <v>94</v>
      </c>
      <c r="AE100" t="s">
        <v>94</v>
      </c>
      <c r="AF100" t="s">
        <v>93</v>
      </c>
      <c r="AG100" t="s">
        <v>94</v>
      </c>
      <c r="AH100" t="s">
        <v>93</v>
      </c>
      <c r="AI100" t="s">
        <v>93</v>
      </c>
      <c r="AJ100" t="s">
        <v>93</v>
      </c>
      <c r="AK100" t="s">
        <v>93</v>
      </c>
      <c r="AL100" t="s">
        <v>94</v>
      </c>
      <c r="AM100" t="s">
        <v>95</v>
      </c>
      <c r="AN100" t="s">
        <v>93</v>
      </c>
      <c r="AO100" t="s">
        <v>93</v>
      </c>
      <c r="AP100" t="s">
        <v>93</v>
      </c>
      <c r="AQ100" t="s">
        <v>93</v>
      </c>
      <c r="AR100" t="s">
        <v>95</v>
      </c>
      <c r="AS100" t="s">
        <v>95</v>
      </c>
      <c r="AT100" t="s">
        <v>95</v>
      </c>
      <c r="AU100" t="s">
        <v>92</v>
      </c>
      <c r="AV100" t="s">
        <v>92</v>
      </c>
      <c r="AW100" t="s">
        <v>94</v>
      </c>
      <c r="AX100" t="s">
        <v>92</v>
      </c>
      <c r="AY100" t="s">
        <v>93</v>
      </c>
      <c r="AZ100" t="s">
        <v>93</v>
      </c>
      <c r="BA100" t="s">
        <v>93</v>
      </c>
      <c r="BB100" t="s">
        <v>93</v>
      </c>
      <c r="BC100" t="s">
        <v>93</v>
      </c>
      <c r="BD100" t="s">
        <v>93</v>
      </c>
      <c r="BE100" t="s">
        <v>93</v>
      </c>
      <c r="BF100" t="s">
        <v>94</v>
      </c>
      <c r="BG100" t="s">
        <v>94</v>
      </c>
      <c r="BH100" t="s">
        <v>94</v>
      </c>
    </row>
    <row r="101" spans="1:60" x14ac:dyDescent="0.3">
      <c r="A101">
        <v>21</v>
      </c>
      <c r="B101" t="s">
        <v>70</v>
      </c>
      <c r="C101" t="s">
        <v>96</v>
      </c>
      <c r="D101" t="s">
        <v>72</v>
      </c>
      <c r="E101" t="s">
        <v>73</v>
      </c>
      <c r="F101" t="s">
        <v>74</v>
      </c>
      <c r="G101" t="s">
        <v>135</v>
      </c>
      <c r="H101" t="s">
        <v>74</v>
      </c>
      <c r="I101" t="s">
        <v>99</v>
      </c>
      <c r="J101" t="s">
        <v>77</v>
      </c>
      <c r="K101" t="s">
        <v>78</v>
      </c>
      <c r="L101" t="s">
        <v>79</v>
      </c>
      <c r="M101" t="s">
        <v>80</v>
      </c>
      <c r="N101" t="s">
        <v>79</v>
      </c>
      <c r="O101" t="s">
        <v>81</v>
      </c>
      <c r="P101" t="s">
        <v>79</v>
      </c>
      <c r="Q101" t="s">
        <v>83</v>
      </c>
      <c r="R101" t="s">
        <v>82</v>
      </c>
      <c r="S101" t="s">
        <v>84</v>
      </c>
      <c r="T101" t="s">
        <v>167</v>
      </c>
      <c r="U101" t="s">
        <v>82</v>
      </c>
      <c r="V101" t="s">
        <v>106</v>
      </c>
      <c r="W101" t="s">
        <v>87</v>
      </c>
      <c r="X101" t="s">
        <v>112</v>
      </c>
      <c r="Y101" t="s">
        <v>94</v>
      </c>
      <c r="Z101" t="s">
        <v>94</v>
      </c>
      <c r="AA101" t="s">
        <v>94</v>
      </c>
      <c r="AB101" t="s">
        <v>94</v>
      </c>
      <c r="AC101" t="s">
        <v>94</v>
      </c>
      <c r="AD101" t="s">
        <v>94</v>
      </c>
      <c r="AE101" t="s">
        <v>94</v>
      </c>
      <c r="AF101" t="s">
        <v>94</v>
      </c>
      <c r="AG101" t="s">
        <v>94</v>
      </c>
      <c r="AH101" t="s">
        <v>94</v>
      </c>
      <c r="AI101" t="s">
        <v>94</v>
      </c>
      <c r="AJ101" t="s">
        <v>94</v>
      </c>
      <c r="AK101" t="s">
        <v>94</v>
      </c>
      <c r="AL101" t="s">
        <v>94</v>
      </c>
      <c r="AM101" t="s">
        <v>94</v>
      </c>
      <c r="AN101" t="s">
        <v>93</v>
      </c>
      <c r="AO101" t="s">
        <v>93</v>
      </c>
      <c r="AP101" t="s">
        <v>93</v>
      </c>
      <c r="AQ101" t="s">
        <v>94</v>
      </c>
      <c r="AR101" t="s">
        <v>94</v>
      </c>
      <c r="AS101" t="s">
        <v>94</v>
      </c>
      <c r="AT101" t="s">
        <v>94</v>
      </c>
      <c r="AU101" t="s">
        <v>93</v>
      </c>
      <c r="AV101" t="s">
        <v>93</v>
      </c>
      <c r="AW101" t="s">
        <v>93</v>
      </c>
      <c r="AX101" t="s">
        <v>93</v>
      </c>
      <c r="AY101" t="s">
        <v>93</v>
      </c>
      <c r="AZ101" t="s">
        <v>93</v>
      </c>
      <c r="BA101" t="s">
        <v>92</v>
      </c>
      <c r="BB101" t="s">
        <v>92</v>
      </c>
      <c r="BC101" t="s">
        <v>94</v>
      </c>
      <c r="BD101" t="s">
        <v>92</v>
      </c>
      <c r="BE101" t="s">
        <v>92</v>
      </c>
      <c r="BF101" t="s">
        <v>94</v>
      </c>
      <c r="BG101" t="s">
        <v>92</v>
      </c>
      <c r="BH101" t="s">
        <v>94</v>
      </c>
    </row>
    <row r="102" spans="1:60" x14ac:dyDescent="0.3">
      <c r="A102">
        <v>21</v>
      </c>
      <c r="B102" t="s">
        <v>70</v>
      </c>
      <c r="C102" t="s">
        <v>157</v>
      </c>
      <c r="D102" t="s">
        <v>97</v>
      </c>
      <c r="E102" t="s">
        <v>108</v>
      </c>
      <c r="F102" t="s">
        <v>74</v>
      </c>
      <c r="G102" t="s">
        <v>135</v>
      </c>
      <c r="H102" t="s">
        <v>98</v>
      </c>
      <c r="I102" t="s">
        <v>76</v>
      </c>
      <c r="J102" t="s">
        <v>77</v>
      </c>
      <c r="K102" t="s">
        <v>131</v>
      </c>
      <c r="L102" t="s">
        <v>79</v>
      </c>
      <c r="M102" t="s">
        <v>80</v>
      </c>
      <c r="N102" t="s">
        <v>79</v>
      </c>
      <c r="O102" t="s">
        <v>109</v>
      </c>
      <c r="P102" t="s">
        <v>79</v>
      </c>
      <c r="Q102" t="s">
        <v>83</v>
      </c>
      <c r="R102" t="s">
        <v>79</v>
      </c>
      <c r="S102" t="s">
        <v>204</v>
      </c>
      <c r="T102" t="s">
        <v>155</v>
      </c>
      <c r="U102" t="s">
        <v>79</v>
      </c>
      <c r="V102" t="s">
        <v>86</v>
      </c>
      <c r="W102" t="s">
        <v>87</v>
      </c>
      <c r="X102" t="s">
        <v>88</v>
      </c>
      <c r="Y102" t="s">
        <v>94</v>
      </c>
      <c r="Z102" t="s">
        <v>94</v>
      </c>
      <c r="AA102" t="s">
        <v>94</v>
      </c>
      <c r="AB102" t="s">
        <v>94</v>
      </c>
      <c r="AC102" t="s">
        <v>94</v>
      </c>
      <c r="AD102" t="s">
        <v>94</v>
      </c>
      <c r="AE102" t="s">
        <v>94</v>
      </c>
      <c r="AF102" t="s">
        <v>94</v>
      </c>
      <c r="AG102" t="s">
        <v>94</v>
      </c>
      <c r="AH102" t="s">
        <v>94</v>
      </c>
      <c r="AI102" t="s">
        <v>94</v>
      </c>
      <c r="AJ102" t="s">
        <v>94</v>
      </c>
      <c r="AK102" t="s">
        <v>94</v>
      </c>
      <c r="AL102" t="s">
        <v>94</v>
      </c>
      <c r="AM102" t="s">
        <v>94</v>
      </c>
      <c r="AN102" t="s">
        <v>94</v>
      </c>
      <c r="AO102" t="s">
        <v>94</v>
      </c>
      <c r="AP102" t="s">
        <v>94</v>
      </c>
      <c r="AQ102" t="s">
        <v>94</v>
      </c>
      <c r="AR102" t="s">
        <v>94</v>
      </c>
      <c r="AS102" t="s">
        <v>94</v>
      </c>
      <c r="AT102" t="s">
        <v>94</v>
      </c>
      <c r="AU102" t="s">
        <v>94</v>
      </c>
      <c r="AV102" t="s">
        <v>94</v>
      </c>
      <c r="AW102" t="s">
        <v>94</v>
      </c>
      <c r="AX102" t="s">
        <v>94</v>
      </c>
      <c r="AY102" t="s">
        <v>94</v>
      </c>
      <c r="AZ102" t="s">
        <v>94</v>
      </c>
      <c r="BA102" t="s">
        <v>94</v>
      </c>
      <c r="BB102" t="s">
        <v>94</v>
      </c>
      <c r="BC102" t="s">
        <v>94</v>
      </c>
      <c r="BD102" t="s">
        <v>94</v>
      </c>
      <c r="BE102" t="s">
        <v>94</v>
      </c>
      <c r="BF102" t="s">
        <v>94</v>
      </c>
      <c r="BG102" t="s">
        <v>94</v>
      </c>
      <c r="BH102" t="s">
        <v>94</v>
      </c>
    </row>
    <row r="103" spans="1:60" x14ac:dyDescent="0.3">
      <c r="A103">
        <v>21</v>
      </c>
      <c r="B103" t="s">
        <v>70</v>
      </c>
      <c r="C103" t="s">
        <v>96</v>
      </c>
      <c r="D103" t="s">
        <v>72</v>
      </c>
      <c r="E103" t="s">
        <v>73</v>
      </c>
      <c r="F103" t="s">
        <v>136</v>
      </c>
      <c r="G103" t="s">
        <v>75</v>
      </c>
      <c r="H103" t="s">
        <v>136</v>
      </c>
      <c r="I103" t="s">
        <v>76</v>
      </c>
      <c r="J103" t="s">
        <v>77</v>
      </c>
      <c r="K103" t="s">
        <v>78</v>
      </c>
      <c r="L103" t="s">
        <v>79</v>
      </c>
      <c r="M103" t="s">
        <v>80</v>
      </c>
      <c r="N103" t="s">
        <v>79</v>
      </c>
      <c r="O103" t="s">
        <v>138</v>
      </c>
      <c r="P103" t="s">
        <v>79</v>
      </c>
      <c r="Q103" t="s">
        <v>83</v>
      </c>
      <c r="R103" t="s">
        <v>82</v>
      </c>
      <c r="S103" t="s">
        <v>84</v>
      </c>
      <c r="T103" t="s">
        <v>167</v>
      </c>
      <c r="U103" t="s">
        <v>82</v>
      </c>
      <c r="V103" t="s">
        <v>86</v>
      </c>
      <c r="W103" t="s">
        <v>87</v>
      </c>
      <c r="X103" t="s">
        <v>88</v>
      </c>
      <c r="Y103" t="s">
        <v>94</v>
      </c>
      <c r="Z103" t="s">
        <v>95</v>
      </c>
      <c r="AA103" t="s">
        <v>94</v>
      </c>
      <c r="AB103" t="s">
        <v>95</v>
      </c>
      <c r="AC103" t="s">
        <v>92</v>
      </c>
      <c r="AD103" t="s">
        <v>92</v>
      </c>
      <c r="AE103" t="s">
        <v>92</v>
      </c>
      <c r="AF103" t="s">
        <v>95</v>
      </c>
      <c r="AG103" t="s">
        <v>95</v>
      </c>
      <c r="AH103" t="s">
        <v>94</v>
      </c>
      <c r="AI103" t="s">
        <v>94</v>
      </c>
      <c r="AJ103" t="s">
        <v>95</v>
      </c>
      <c r="AK103" t="s">
        <v>92</v>
      </c>
      <c r="AL103" t="s">
        <v>92</v>
      </c>
      <c r="AM103" t="s">
        <v>92</v>
      </c>
      <c r="AN103" t="s">
        <v>94</v>
      </c>
      <c r="AO103" t="s">
        <v>94</v>
      </c>
      <c r="AP103" t="s">
        <v>94</v>
      </c>
      <c r="AQ103" t="s">
        <v>94</v>
      </c>
      <c r="AR103" t="s">
        <v>94</v>
      </c>
      <c r="AS103" t="s">
        <v>92</v>
      </c>
      <c r="AT103" t="s">
        <v>92</v>
      </c>
      <c r="AU103" t="s">
        <v>92</v>
      </c>
      <c r="AV103" t="s">
        <v>92</v>
      </c>
      <c r="AW103" t="s">
        <v>92</v>
      </c>
      <c r="AX103" t="s">
        <v>92</v>
      </c>
      <c r="AY103" t="s">
        <v>92</v>
      </c>
      <c r="AZ103" t="s">
        <v>92</v>
      </c>
      <c r="BA103" t="s">
        <v>93</v>
      </c>
      <c r="BC103" t="s">
        <v>93</v>
      </c>
      <c r="BD103" t="s">
        <v>93</v>
      </c>
      <c r="BE103" t="s">
        <v>93</v>
      </c>
      <c r="BF103" t="s">
        <v>93</v>
      </c>
      <c r="BG103" t="s">
        <v>93</v>
      </c>
      <c r="BH103" t="s">
        <v>93</v>
      </c>
    </row>
    <row r="104" spans="1:60" x14ac:dyDescent="0.3">
      <c r="A104">
        <v>21</v>
      </c>
      <c r="B104" t="s">
        <v>70</v>
      </c>
      <c r="C104" t="s">
        <v>96</v>
      </c>
      <c r="D104" t="s">
        <v>149</v>
      </c>
      <c r="E104" t="s">
        <v>108</v>
      </c>
      <c r="F104" t="s">
        <v>74</v>
      </c>
      <c r="G104" t="s">
        <v>166</v>
      </c>
      <c r="H104" t="s">
        <v>74</v>
      </c>
      <c r="I104" t="s">
        <v>75</v>
      </c>
      <c r="J104" t="s">
        <v>77</v>
      </c>
      <c r="K104" t="s">
        <v>131</v>
      </c>
      <c r="L104" t="s">
        <v>79</v>
      </c>
      <c r="M104" t="s">
        <v>102</v>
      </c>
      <c r="N104" t="s">
        <v>79</v>
      </c>
      <c r="O104" t="s">
        <v>138</v>
      </c>
      <c r="P104" t="s">
        <v>82</v>
      </c>
      <c r="Q104" t="s">
        <v>103</v>
      </c>
      <c r="R104" t="s">
        <v>79</v>
      </c>
      <c r="S104" t="s">
        <v>145</v>
      </c>
      <c r="T104" t="s">
        <v>150</v>
      </c>
      <c r="U104" t="s">
        <v>79</v>
      </c>
      <c r="V104" t="s">
        <v>86</v>
      </c>
      <c r="W104" t="s">
        <v>87</v>
      </c>
      <c r="X104" t="s">
        <v>112</v>
      </c>
      <c r="Y104" t="s">
        <v>93</v>
      </c>
      <c r="Z104" t="s">
        <v>93</v>
      </c>
      <c r="AA104" t="s">
        <v>93</v>
      </c>
      <c r="AB104" t="s">
        <v>93</v>
      </c>
      <c r="AC104" t="s">
        <v>95</v>
      </c>
      <c r="AD104" t="s">
        <v>95</v>
      </c>
      <c r="AE104" t="s">
        <v>95</v>
      </c>
      <c r="AF104" t="s">
        <v>93</v>
      </c>
      <c r="AG104" t="s">
        <v>93</v>
      </c>
      <c r="AH104" t="s">
        <v>93</v>
      </c>
      <c r="AI104" t="s">
        <v>93</v>
      </c>
      <c r="AJ104" t="s">
        <v>93</v>
      </c>
      <c r="AK104" t="s">
        <v>93</v>
      </c>
      <c r="AL104" t="s">
        <v>93</v>
      </c>
      <c r="AM104" t="s">
        <v>93</v>
      </c>
      <c r="AN104" t="s">
        <v>93</v>
      </c>
      <c r="AO104" t="s">
        <v>93</v>
      </c>
      <c r="AP104" t="s">
        <v>93</v>
      </c>
      <c r="AQ104" t="s">
        <v>93</v>
      </c>
      <c r="AR104" t="s">
        <v>95</v>
      </c>
      <c r="AS104" t="s">
        <v>95</v>
      </c>
      <c r="AT104" t="s">
        <v>95</v>
      </c>
      <c r="AU104" t="s">
        <v>93</v>
      </c>
      <c r="AV104" t="s">
        <v>93</v>
      </c>
      <c r="AW104" t="s">
        <v>93</v>
      </c>
      <c r="AX104" t="s">
        <v>95</v>
      </c>
      <c r="AY104" t="s">
        <v>95</v>
      </c>
      <c r="AZ104" t="s">
        <v>95</v>
      </c>
      <c r="BA104" t="s">
        <v>92</v>
      </c>
      <c r="BB104" t="s">
        <v>92</v>
      </c>
      <c r="BC104" t="s">
        <v>94</v>
      </c>
      <c r="BD104" t="s">
        <v>94</v>
      </c>
      <c r="BE104" t="s">
        <v>94</v>
      </c>
      <c r="BF104" t="s">
        <v>94</v>
      </c>
      <c r="BG104" t="s">
        <v>94</v>
      </c>
      <c r="BH104" t="s">
        <v>94</v>
      </c>
    </row>
    <row r="105" spans="1:60" x14ac:dyDescent="0.3">
      <c r="A105">
        <v>22</v>
      </c>
      <c r="B105" t="s">
        <v>70</v>
      </c>
      <c r="C105" t="s">
        <v>96</v>
      </c>
      <c r="D105" t="s">
        <v>72</v>
      </c>
      <c r="E105" t="s">
        <v>73</v>
      </c>
      <c r="F105" t="s">
        <v>74</v>
      </c>
      <c r="G105" t="s">
        <v>135</v>
      </c>
      <c r="H105" t="s">
        <v>74</v>
      </c>
      <c r="I105" t="s">
        <v>76</v>
      </c>
      <c r="J105" t="s">
        <v>77</v>
      </c>
      <c r="K105" t="s">
        <v>78</v>
      </c>
      <c r="L105" t="s">
        <v>79</v>
      </c>
      <c r="M105" t="s">
        <v>80</v>
      </c>
      <c r="N105" t="s">
        <v>79</v>
      </c>
      <c r="O105" t="s">
        <v>117</v>
      </c>
      <c r="P105" t="s">
        <v>82</v>
      </c>
      <c r="Q105" t="s">
        <v>83</v>
      </c>
      <c r="R105" t="s">
        <v>79</v>
      </c>
      <c r="S105" t="s">
        <v>84</v>
      </c>
      <c r="T105" t="s">
        <v>205</v>
      </c>
      <c r="U105" t="s">
        <v>82</v>
      </c>
      <c r="V105" t="s">
        <v>86</v>
      </c>
      <c r="W105" t="s">
        <v>87</v>
      </c>
      <c r="X105" t="s">
        <v>112</v>
      </c>
      <c r="Y105" t="s">
        <v>94</v>
      </c>
      <c r="Z105" t="s">
        <v>94</v>
      </c>
      <c r="AA105" t="s">
        <v>92</v>
      </c>
      <c r="AB105" t="s">
        <v>94</v>
      </c>
      <c r="AC105" t="s">
        <v>94</v>
      </c>
      <c r="AD105" t="s">
        <v>94</v>
      </c>
      <c r="AE105" t="s">
        <v>92</v>
      </c>
      <c r="AF105" t="s">
        <v>94</v>
      </c>
      <c r="AG105" t="s">
        <v>92</v>
      </c>
      <c r="AH105" t="s">
        <v>94</v>
      </c>
      <c r="AI105" t="s">
        <v>94</v>
      </c>
      <c r="AJ105" t="s">
        <v>94</v>
      </c>
      <c r="AK105" t="s">
        <v>92</v>
      </c>
      <c r="AL105" t="s">
        <v>92</v>
      </c>
      <c r="AM105" t="s">
        <v>94</v>
      </c>
      <c r="AN105" t="s">
        <v>94</v>
      </c>
      <c r="AO105" t="s">
        <v>94</v>
      </c>
      <c r="AP105" t="s">
        <v>94</v>
      </c>
      <c r="AQ105" t="s">
        <v>94</v>
      </c>
      <c r="AR105" t="s">
        <v>94</v>
      </c>
      <c r="AS105" t="s">
        <v>94</v>
      </c>
      <c r="AT105" t="s">
        <v>92</v>
      </c>
      <c r="AU105" t="s">
        <v>94</v>
      </c>
      <c r="AV105" t="s">
        <v>92</v>
      </c>
      <c r="AW105" t="s">
        <v>94</v>
      </c>
      <c r="AX105" t="s">
        <v>94</v>
      </c>
      <c r="AY105" t="s">
        <v>92</v>
      </c>
      <c r="AZ105" t="s">
        <v>92</v>
      </c>
      <c r="BA105" t="s">
        <v>94</v>
      </c>
      <c r="BB105" t="s">
        <v>94</v>
      </c>
      <c r="BC105" t="s">
        <v>94</v>
      </c>
      <c r="BD105" t="s">
        <v>92</v>
      </c>
      <c r="BE105" t="s">
        <v>92</v>
      </c>
      <c r="BF105" t="s">
        <v>94</v>
      </c>
      <c r="BG105" t="s">
        <v>94</v>
      </c>
      <c r="BH105" t="s">
        <v>94</v>
      </c>
    </row>
    <row r="106" spans="1:60" x14ac:dyDescent="0.3">
      <c r="A106">
        <v>22</v>
      </c>
      <c r="B106" t="s">
        <v>70</v>
      </c>
      <c r="C106" t="s">
        <v>113</v>
      </c>
      <c r="D106" t="s">
        <v>97</v>
      </c>
      <c r="E106" t="s">
        <v>108</v>
      </c>
      <c r="F106" t="s">
        <v>74</v>
      </c>
      <c r="G106" t="s">
        <v>135</v>
      </c>
      <c r="H106" t="s">
        <v>74</v>
      </c>
      <c r="I106" t="s">
        <v>76</v>
      </c>
      <c r="J106" t="s">
        <v>77</v>
      </c>
      <c r="K106" t="s">
        <v>131</v>
      </c>
      <c r="L106" t="s">
        <v>79</v>
      </c>
      <c r="M106" t="s">
        <v>80</v>
      </c>
      <c r="N106" t="s">
        <v>82</v>
      </c>
      <c r="O106" t="s">
        <v>117</v>
      </c>
      <c r="P106" t="s">
        <v>82</v>
      </c>
      <c r="Q106" t="s">
        <v>118</v>
      </c>
      <c r="R106" t="s">
        <v>82</v>
      </c>
      <c r="S106" t="s">
        <v>84</v>
      </c>
      <c r="T106" t="s">
        <v>206</v>
      </c>
      <c r="U106" t="s">
        <v>82</v>
      </c>
      <c r="V106" t="s">
        <v>207</v>
      </c>
      <c r="W106" t="s">
        <v>141</v>
      </c>
      <c r="X106" t="s">
        <v>88</v>
      </c>
      <c r="Y106" t="s">
        <v>92</v>
      </c>
      <c r="Z106" t="s">
        <v>93</v>
      </c>
      <c r="AA106" t="s">
        <v>93</v>
      </c>
      <c r="AB106" t="s">
        <v>93</v>
      </c>
      <c r="AC106" t="s">
        <v>93</v>
      </c>
      <c r="AD106" t="s">
        <v>92</v>
      </c>
      <c r="AE106" t="s">
        <v>92</v>
      </c>
      <c r="AF106" t="s">
        <v>92</v>
      </c>
      <c r="AG106" t="s">
        <v>93</v>
      </c>
      <c r="AH106" t="s">
        <v>94</v>
      </c>
      <c r="AI106" t="s">
        <v>93</v>
      </c>
      <c r="AJ106" t="s">
        <v>93</v>
      </c>
      <c r="AK106" t="s">
        <v>93</v>
      </c>
      <c r="AL106" t="s">
        <v>93</v>
      </c>
      <c r="AM106" t="s">
        <v>93</v>
      </c>
      <c r="AN106" t="s">
        <v>93</v>
      </c>
      <c r="AO106" t="s">
        <v>93</v>
      </c>
      <c r="AP106" t="s">
        <v>93</v>
      </c>
      <c r="AQ106" t="s">
        <v>93</v>
      </c>
      <c r="AR106" t="s">
        <v>93</v>
      </c>
      <c r="AS106" t="s">
        <v>93</v>
      </c>
      <c r="AT106" t="s">
        <v>93</v>
      </c>
      <c r="AU106" t="s">
        <v>92</v>
      </c>
      <c r="AV106" t="s">
        <v>92</v>
      </c>
      <c r="AW106" t="s">
        <v>92</v>
      </c>
      <c r="AX106" t="s">
        <v>92</v>
      </c>
      <c r="AY106" t="s">
        <v>92</v>
      </c>
      <c r="AZ106" t="s">
        <v>92</v>
      </c>
      <c r="BA106" t="s">
        <v>93</v>
      </c>
      <c r="BB106" t="s">
        <v>95</v>
      </c>
      <c r="BC106" t="s">
        <v>93</v>
      </c>
      <c r="BD106" t="s">
        <v>93</v>
      </c>
      <c r="BE106" t="s">
        <v>93</v>
      </c>
      <c r="BF106" t="s">
        <v>93</v>
      </c>
      <c r="BG106" t="s">
        <v>93</v>
      </c>
      <c r="BH106" t="s">
        <v>93</v>
      </c>
    </row>
    <row r="107" spans="1:60" x14ac:dyDescent="0.3">
      <c r="A107">
        <v>20</v>
      </c>
      <c r="B107" t="s">
        <v>70</v>
      </c>
      <c r="C107" t="s">
        <v>96</v>
      </c>
      <c r="D107" t="s">
        <v>97</v>
      </c>
      <c r="E107" t="s">
        <v>73</v>
      </c>
      <c r="F107" t="s">
        <v>98</v>
      </c>
      <c r="G107" t="s">
        <v>135</v>
      </c>
      <c r="H107" t="s">
        <v>165</v>
      </c>
      <c r="I107" t="s">
        <v>76</v>
      </c>
      <c r="J107" t="s">
        <v>101</v>
      </c>
      <c r="K107" t="s">
        <v>122</v>
      </c>
      <c r="L107" t="s">
        <v>79</v>
      </c>
      <c r="M107" t="s">
        <v>132</v>
      </c>
      <c r="N107" t="s">
        <v>79</v>
      </c>
      <c r="O107" t="s">
        <v>81</v>
      </c>
      <c r="P107" t="s">
        <v>79</v>
      </c>
      <c r="Q107" t="s">
        <v>83</v>
      </c>
      <c r="R107" t="s">
        <v>79</v>
      </c>
      <c r="S107" t="s">
        <v>137</v>
      </c>
      <c r="T107" t="s">
        <v>85</v>
      </c>
      <c r="U107" t="s">
        <v>79</v>
      </c>
      <c r="V107" t="s">
        <v>106</v>
      </c>
      <c r="W107" t="s">
        <v>120</v>
      </c>
      <c r="X107" t="s">
        <v>112</v>
      </c>
      <c r="Y107" t="s">
        <v>94</v>
      </c>
      <c r="Z107" t="s">
        <v>94</v>
      </c>
      <c r="AA107" t="s">
        <v>94</v>
      </c>
      <c r="AB107" t="s">
        <v>94</v>
      </c>
      <c r="AC107" t="s">
        <v>94</v>
      </c>
      <c r="AD107" t="s">
        <v>94</v>
      </c>
      <c r="AE107" t="s">
        <v>94</v>
      </c>
      <c r="AF107" t="s">
        <v>94</v>
      </c>
      <c r="AG107" t="s">
        <v>94</v>
      </c>
      <c r="AH107" t="s">
        <v>94</v>
      </c>
      <c r="AI107" t="s">
        <v>94</v>
      </c>
      <c r="AJ107" t="s">
        <v>95</v>
      </c>
      <c r="AK107" t="s">
        <v>94</v>
      </c>
      <c r="AL107" t="s">
        <v>95</v>
      </c>
      <c r="AM107" t="s">
        <v>94</v>
      </c>
      <c r="AN107" t="s">
        <v>94</v>
      </c>
      <c r="AO107" t="s">
        <v>94</v>
      </c>
      <c r="AP107" t="s">
        <v>94</v>
      </c>
      <c r="AQ107" t="s">
        <v>94</v>
      </c>
      <c r="AR107" t="s">
        <v>94</v>
      </c>
      <c r="AS107" t="s">
        <v>94</v>
      </c>
      <c r="AT107" t="s">
        <v>94</v>
      </c>
      <c r="AU107" t="s">
        <v>94</v>
      </c>
      <c r="AV107" t="s">
        <v>94</v>
      </c>
      <c r="AW107" t="s">
        <v>94</v>
      </c>
      <c r="AX107" t="s">
        <v>94</v>
      </c>
      <c r="AY107" t="s">
        <v>94</v>
      </c>
      <c r="AZ107" t="s">
        <v>94</v>
      </c>
      <c r="BA107" t="s">
        <v>94</v>
      </c>
      <c r="BB107" t="s">
        <v>94</v>
      </c>
      <c r="BC107" t="s">
        <v>94</v>
      </c>
      <c r="BD107" t="s">
        <v>94</v>
      </c>
      <c r="BE107" t="s">
        <v>94</v>
      </c>
      <c r="BF107" t="s">
        <v>94</v>
      </c>
      <c r="BG107" t="s">
        <v>94</v>
      </c>
      <c r="BH107" t="s">
        <v>94</v>
      </c>
    </row>
    <row r="108" spans="1:60" x14ac:dyDescent="0.3">
      <c r="A108">
        <v>20</v>
      </c>
      <c r="B108" t="s">
        <v>70</v>
      </c>
      <c r="C108" t="s">
        <v>96</v>
      </c>
      <c r="D108" t="s">
        <v>72</v>
      </c>
      <c r="E108" t="s">
        <v>108</v>
      </c>
      <c r="F108" t="s">
        <v>74</v>
      </c>
      <c r="G108" t="s">
        <v>208</v>
      </c>
      <c r="H108" t="s">
        <v>74</v>
      </c>
      <c r="I108" t="s">
        <v>76</v>
      </c>
      <c r="J108" t="s">
        <v>77</v>
      </c>
      <c r="K108" t="s">
        <v>125</v>
      </c>
      <c r="L108" t="s">
        <v>79</v>
      </c>
      <c r="M108" t="s">
        <v>102</v>
      </c>
      <c r="N108" t="s">
        <v>79</v>
      </c>
      <c r="O108" t="s">
        <v>117</v>
      </c>
      <c r="P108" t="s">
        <v>79</v>
      </c>
      <c r="Q108" t="s">
        <v>103</v>
      </c>
      <c r="R108" t="s">
        <v>79</v>
      </c>
      <c r="S108" t="s">
        <v>145</v>
      </c>
      <c r="T108" t="s">
        <v>150</v>
      </c>
      <c r="U108" t="s">
        <v>79</v>
      </c>
      <c r="V108" t="s">
        <v>86</v>
      </c>
      <c r="W108" t="s">
        <v>141</v>
      </c>
      <c r="X108" t="s">
        <v>209</v>
      </c>
      <c r="Y108" t="s">
        <v>93</v>
      </c>
      <c r="Z108" t="s">
        <v>93</v>
      </c>
      <c r="AA108" t="s">
        <v>93</v>
      </c>
      <c r="AB108" t="s">
        <v>94</v>
      </c>
      <c r="AC108" t="s">
        <v>92</v>
      </c>
      <c r="AD108" t="s">
        <v>93</v>
      </c>
      <c r="AE108" t="s">
        <v>93</v>
      </c>
      <c r="AF108" t="s">
        <v>93</v>
      </c>
      <c r="AG108" t="s">
        <v>93</v>
      </c>
      <c r="AH108" t="s">
        <v>93</v>
      </c>
      <c r="AI108" t="s">
        <v>93</v>
      </c>
      <c r="AJ108" t="s">
        <v>93</v>
      </c>
      <c r="AK108" t="s">
        <v>93</v>
      </c>
      <c r="AL108" t="s">
        <v>94</v>
      </c>
      <c r="AM108" t="s">
        <v>92</v>
      </c>
      <c r="AN108" t="s">
        <v>93</v>
      </c>
      <c r="AO108" t="s">
        <v>93</v>
      </c>
      <c r="AP108" t="s">
        <v>93</v>
      </c>
      <c r="AQ108" t="s">
        <v>93</v>
      </c>
      <c r="AR108" t="s">
        <v>93</v>
      </c>
      <c r="AS108" t="s">
        <v>94</v>
      </c>
      <c r="AT108" t="s">
        <v>94</v>
      </c>
      <c r="AU108" t="s">
        <v>93</v>
      </c>
      <c r="AV108" t="s">
        <v>93</v>
      </c>
      <c r="AW108" t="s">
        <v>93</v>
      </c>
      <c r="AX108" t="s">
        <v>93</v>
      </c>
      <c r="AY108" t="s">
        <v>93</v>
      </c>
      <c r="AZ108" t="s">
        <v>95</v>
      </c>
      <c r="BA108" t="s">
        <v>93</v>
      </c>
      <c r="BB108" t="s">
        <v>93</v>
      </c>
      <c r="BC108" t="s">
        <v>93</v>
      </c>
      <c r="BD108" t="s">
        <v>93</v>
      </c>
      <c r="BE108" t="s">
        <v>93</v>
      </c>
      <c r="BF108" t="s">
        <v>94</v>
      </c>
      <c r="BG108" t="s">
        <v>93</v>
      </c>
      <c r="BH108" t="s">
        <v>92</v>
      </c>
    </row>
    <row r="109" spans="1:60" x14ac:dyDescent="0.3">
      <c r="A109">
        <v>23</v>
      </c>
      <c r="B109" t="s">
        <v>70</v>
      </c>
      <c r="C109" t="s">
        <v>113</v>
      </c>
      <c r="D109" t="s">
        <v>97</v>
      </c>
      <c r="E109" t="s">
        <v>73</v>
      </c>
      <c r="F109" t="s">
        <v>136</v>
      </c>
      <c r="G109" t="s">
        <v>210</v>
      </c>
      <c r="H109" t="s">
        <v>100</v>
      </c>
      <c r="I109" t="s">
        <v>76</v>
      </c>
      <c r="J109" t="s">
        <v>101</v>
      </c>
      <c r="K109" t="s">
        <v>122</v>
      </c>
      <c r="L109" t="s">
        <v>82</v>
      </c>
      <c r="M109" t="s">
        <v>80</v>
      </c>
      <c r="N109" t="s">
        <v>82</v>
      </c>
      <c r="O109" t="s">
        <v>109</v>
      </c>
      <c r="P109" t="s">
        <v>82</v>
      </c>
      <c r="Q109" t="s">
        <v>118</v>
      </c>
      <c r="R109" t="s">
        <v>82</v>
      </c>
      <c r="S109" t="s">
        <v>84</v>
      </c>
      <c r="T109" t="s">
        <v>85</v>
      </c>
      <c r="U109" t="s">
        <v>82</v>
      </c>
      <c r="V109" t="s">
        <v>86</v>
      </c>
      <c r="W109" t="s">
        <v>141</v>
      </c>
      <c r="X109" t="s">
        <v>112</v>
      </c>
      <c r="Y109" t="s">
        <v>94</v>
      </c>
      <c r="Z109" t="s">
        <v>95</v>
      </c>
      <c r="AA109" t="s">
        <v>94</v>
      </c>
      <c r="AB109" t="s">
        <v>94</v>
      </c>
      <c r="AC109" t="s">
        <v>94</v>
      </c>
      <c r="AD109" t="s">
        <v>95</v>
      </c>
      <c r="AE109" t="s">
        <v>95</v>
      </c>
      <c r="AF109" t="s">
        <v>95</v>
      </c>
      <c r="AG109" t="s">
        <v>95</v>
      </c>
      <c r="AH109" t="s">
        <v>95</v>
      </c>
      <c r="AI109" t="s">
        <v>95</v>
      </c>
      <c r="AJ109" t="s">
        <v>95</v>
      </c>
      <c r="AK109" t="s">
        <v>94</v>
      </c>
      <c r="AL109" t="s">
        <v>94</v>
      </c>
      <c r="AM109" t="s">
        <v>94</v>
      </c>
      <c r="AN109" t="s">
        <v>94</v>
      </c>
      <c r="AO109" t="s">
        <v>95</v>
      </c>
      <c r="AP109" t="s">
        <v>92</v>
      </c>
      <c r="AQ109" t="s">
        <v>94</v>
      </c>
      <c r="AR109" t="s">
        <v>94</v>
      </c>
      <c r="AS109" t="s">
        <v>94</v>
      </c>
      <c r="AT109" t="s">
        <v>94</v>
      </c>
      <c r="AU109" t="s">
        <v>94</v>
      </c>
      <c r="AV109" t="s">
        <v>94</v>
      </c>
      <c r="AW109" t="s">
        <v>94</v>
      </c>
      <c r="AX109" t="s">
        <v>94</v>
      </c>
      <c r="AY109" t="s">
        <v>94</v>
      </c>
      <c r="AZ109" t="s">
        <v>94</v>
      </c>
      <c r="BA109" t="s">
        <v>95</v>
      </c>
      <c r="BB109" t="s">
        <v>94</v>
      </c>
      <c r="BC109" t="s">
        <v>94</v>
      </c>
      <c r="BD109" t="s">
        <v>94</v>
      </c>
      <c r="BE109" t="s">
        <v>94</v>
      </c>
      <c r="BF109" t="s">
        <v>94</v>
      </c>
      <c r="BG109" t="s">
        <v>94</v>
      </c>
      <c r="BH109" t="s">
        <v>94</v>
      </c>
    </row>
    <row r="110" spans="1:60" x14ac:dyDescent="0.3">
      <c r="A110">
        <v>22</v>
      </c>
      <c r="B110" t="s">
        <v>70</v>
      </c>
      <c r="C110" t="s">
        <v>96</v>
      </c>
      <c r="D110" t="s">
        <v>72</v>
      </c>
      <c r="E110" t="s">
        <v>114</v>
      </c>
      <c r="F110" t="s">
        <v>136</v>
      </c>
      <c r="G110" t="s">
        <v>115</v>
      </c>
      <c r="H110" t="s">
        <v>98</v>
      </c>
      <c r="I110" t="s">
        <v>76</v>
      </c>
      <c r="J110" t="s">
        <v>101</v>
      </c>
      <c r="K110" t="s">
        <v>122</v>
      </c>
      <c r="L110" t="s">
        <v>79</v>
      </c>
      <c r="M110" t="s">
        <v>102</v>
      </c>
      <c r="N110" t="s">
        <v>79</v>
      </c>
      <c r="O110" t="s">
        <v>81</v>
      </c>
      <c r="P110" t="s">
        <v>79</v>
      </c>
      <c r="Q110" t="s">
        <v>83</v>
      </c>
      <c r="R110" t="s">
        <v>79</v>
      </c>
      <c r="S110" t="s">
        <v>211</v>
      </c>
      <c r="T110" t="s">
        <v>150</v>
      </c>
      <c r="U110" t="s">
        <v>79</v>
      </c>
      <c r="V110" t="s">
        <v>86</v>
      </c>
      <c r="W110" t="s">
        <v>141</v>
      </c>
      <c r="X110" t="s">
        <v>112</v>
      </c>
      <c r="Y110" t="s">
        <v>94</v>
      </c>
      <c r="Z110" t="s">
        <v>94</v>
      </c>
      <c r="AA110" t="s">
        <v>94</v>
      </c>
      <c r="AB110" t="s">
        <v>94</v>
      </c>
      <c r="AC110" t="s">
        <v>94</v>
      </c>
      <c r="AD110" t="s">
        <v>94</v>
      </c>
      <c r="AE110" t="s">
        <v>94</v>
      </c>
      <c r="AF110" t="s">
        <v>94</v>
      </c>
      <c r="AG110" t="s">
        <v>94</v>
      </c>
      <c r="AH110" t="s">
        <v>94</v>
      </c>
      <c r="AI110" t="s">
        <v>94</v>
      </c>
      <c r="AJ110" t="s">
        <v>94</v>
      </c>
      <c r="AK110" t="s">
        <v>94</v>
      </c>
      <c r="AL110" t="s">
        <v>94</v>
      </c>
      <c r="AM110" t="s">
        <v>94</v>
      </c>
      <c r="AN110" t="s">
        <v>94</v>
      </c>
      <c r="AO110" t="s">
        <v>94</v>
      </c>
      <c r="AP110" t="s">
        <v>94</v>
      </c>
      <c r="AQ110" t="s">
        <v>94</v>
      </c>
      <c r="AR110" t="s">
        <v>94</v>
      </c>
      <c r="AS110" t="s">
        <v>94</v>
      </c>
      <c r="AT110" t="s">
        <v>94</v>
      </c>
      <c r="AU110" t="s">
        <v>94</v>
      </c>
      <c r="AV110" t="s">
        <v>94</v>
      </c>
      <c r="AW110" t="s">
        <v>94</v>
      </c>
      <c r="AX110" t="s">
        <v>94</v>
      </c>
      <c r="AY110" t="s">
        <v>94</v>
      </c>
      <c r="AZ110" t="s">
        <v>94</v>
      </c>
      <c r="BA110" t="s">
        <v>94</v>
      </c>
      <c r="BB110" t="s">
        <v>94</v>
      </c>
      <c r="BC110" t="s">
        <v>94</v>
      </c>
      <c r="BD110" t="s">
        <v>94</v>
      </c>
      <c r="BE110" t="s">
        <v>94</v>
      </c>
      <c r="BF110" t="s">
        <v>94</v>
      </c>
      <c r="BG110" t="s">
        <v>94</v>
      </c>
      <c r="BH110" t="s">
        <v>94</v>
      </c>
    </row>
    <row r="111" spans="1:60" x14ac:dyDescent="0.3">
      <c r="A111">
        <v>21</v>
      </c>
      <c r="B111" t="s">
        <v>70</v>
      </c>
      <c r="C111" t="s">
        <v>96</v>
      </c>
      <c r="D111" t="s">
        <v>72</v>
      </c>
      <c r="E111" t="s">
        <v>114</v>
      </c>
      <c r="F111" t="s">
        <v>136</v>
      </c>
      <c r="G111" t="s">
        <v>75</v>
      </c>
      <c r="H111" t="s">
        <v>98</v>
      </c>
      <c r="I111" t="s">
        <v>76</v>
      </c>
      <c r="J111" t="s">
        <v>77</v>
      </c>
      <c r="K111" t="s">
        <v>125</v>
      </c>
      <c r="L111" t="s">
        <v>79</v>
      </c>
      <c r="M111" t="s">
        <v>132</v>
      </c>
      <c r="N111" t="s">
        <v>79</v>
      </c>
      <c r="O111" t="s">
        <v>117</v>
      </c>
      <c r="P111" t="s">
        <v>82</v>
      </c>
      <c r="Q111" t="s">
        <v>83</v>
      </c>
      <c r="R111" t="s">
        <v>82</v>
      </c>
      <c r="S111" t="s">
        <v>84</v>
      </c>
      <c r="T111" t="s">
        <v>206</v>
      </c>
      <c r="U111" t="s">
        <v>82</v>
      </c>
      <c r="V111" t="s">
        <v>148</v>
      </c>
      <c r="W111" t="s">
        <v>120</v>
      </c>
      <c r="X111" t="s">
        <v>112</v>
      </c>
      <c r="Y111" t="s">
        <v>92</v>
      </c>
      <c r="Z111" t="s">
        <v>92</v>
      </c>
      <c r="AA111" t="s">
        <v>92</v>
      </c>
      <c r="AB111" t="s">
        <v>94</v>
      </c>
      <c r="AC111" t="s">
        <v>94</v>
      </c>
      <c r="AD111" t="s">
        <v>94</v>
      </c>
      <c r="AE111" t="s">
        <v>92</v>
      </c>
      <c r="AF111" t="s">
        <v>94</v>
      </c>
      <c r="AG111" t="s">
        <v>94</v>
      </c>
      <c r="AH111" t="s">
        <v>94</v>
      </c>
      <c r="AI111" t="s">
        <v>92</v>
      </c>
      <c r="AJ111" t="s">
        <v>94</v>
      </c>
      <c r="AK111" t="s">
        <v>92</v>
      </c>
      <c r="AL111" t="s">
        <v>94</v>
      </c>
      <c r="AM111" t="s">
        <v>94</v>
      </c>
      <c r="AN111" t="s">
        <v>92</v>
      </c>
      <c r="AO111" t="s">
        <v>92</v>
      </c>
      <c r="AP111" t="s">
        <v>94</v>
      </c>
      <c r="AQ111" t="s">
        <v>92</v>
      </c>
      <c r="AR111" t="s">
        <v>94</v>
      </c>
      <c r="AS111" t="s">
        <v>92</v>
      </c>
      <c r="AT111" t="s">
        <v>92</v>
      </c>
      <c r="AU111" t="s">
        <v>93</v>
      </c>
      <c r="AV111" t="s">
        <v>92</v>
      </c>
      <c r="AW111" t="s">
        <v>94</v>
      </c>
      <c r="AX111" t="s">
        <v>92</v>
      </c>
      <c r="AY111" t="s">
        <v>92</v>
      </c>
      <c r="AZ111" t="s">
        <v>92</v>
      </c>
      <c r="BA111" t="s">
        <v>92</v>
      </c>
      <c r="BB111" t="s">
        <v>92</v>
      </c>
      <c r="BC111" t="s">
        <v>93</v>
      </c>
      <c r="BD111" t="s">
        <v>93</v>
      </c>
      <c r="BE111" t="s">
        <v>92</v>
      </c>
      <c r="BF111" t="s">
        <v>93</v>
      </c>
      <c r="BG111" t="s">
        <v>93</v>
      </c>
      <c r="BH111" t="s">
        <v>92</v>
      </c>
    </row>
    <row r="112" spans="1:60" x14ac:dyDescent="0.3">
      <c r="A112">
        <v>22</v>
      </c>
      <c r="B112" t="s">
        <v>70</v>
      </c>
      <c r="C112" t="s">
        <v>113</v>
      </c>
      <c r="D112" t="s">
        <v>72</v>
      </c>
      <c r="E112" t="s">
        <v>108</v>
      </c>
      <c r="F112" t="s">
        <v>98</v>
      </c>
      <c r="G112" t="s">
        <v>115</v>
      </c>
      <c r="H112" t="s">
        <v>98</v>
      </c>
      <c r="I112" t="s">
        <v>76</v>
      </c>
      <c r="J112" t="s">
        <v>77</v>
      </c>
      <c r="K112" t="s">
        <v>131</v>
      </c>
      <c r="L112" t="s">
        <v>79</v>
      </c>
      <c r="M112" t="s">
        <v>80</v>
      </c>
      <c r="N112" t="s">
        <v>79</v>
      </c>
      <c r="O112" t="s">
        <v>117</v>
      </c>
      <c r="P112" t="s">
        <v>79</v>
      </c>
      <c r="Q112" t="s">
        <v>83</v>
      </c>
      <c r="R112" t="s">
        <v>79</v>
      </c>
      <c r="S112" t="s">
        <v>84</v>
      </c>
      <c r="T112" t="s">
        <v>181</v>
      </c>
      <c r="U112" t="s">
        <v>79</v>
      </c>
      <c r="V112" t="s">
        <v>86</v>
      </c>
      <c r="W112" t="s">
        <v>141</v>
      </c>
      <c r="X112" t="s">
        <v>112</v>
      </c>
      <c r="Y112" t="s">
        <v>94</v>
      </c>
      <c r="Z112" t="s">
        <v>92</v>
      </c>
      <c r="AA112" t="s">
        <v>92</v>
      </c>
      <c r="AB112" t="s">
        <v>93</v>
      </c>
      <c r="AC112" t="s">
        <v>92</v>
      </c>
      <c r="AD112" t="s">
        <v>94</v>
      </c>
      <c r="AE112" t="s">
        <v>92</v>
      </c>
      <c r="AF112" t="s">
        <v>93</v>
      </c>
      <c r="AG112" t="s">
        <v>92</v>
      </c>
      <c r="AH112" t="s">
        <v>92</v>
      </c>
      <c r="AI112" t="s">
        <v>92</v>
      </c>
      <c r="AJ112" t="s">
        <v>92</v>
      </c>
      <c r="AK112" t="s">
        <v>94</v>
      </c>
      <c r="AL112" t="s">
        <v>92</v>
      </c>
      <c r="AM112" t="s">
        <v>92</v>
      </c>
      <c r="AN112" t="s">
        <v>94</v>
      </c>
      <c r="AO112" t="s">
        <v>92</v>
      </c>
      <c r="AP112" t="s">
        <v>94</v>
      </c>
      <c r="AQ112" t="s">
        <v>92</v>
      </c>
      <c r="AR112" t="s">
        <v>92</v>
      </c>
      <c r="AS112" t="s">
        <v>94</v>
      </c>
      <c r="AT112" t="s">
        <v>94</v>
      </c>
      <c r="AU112" t="s">
        <v>94</v>
      </c>
      <c r="AV112" t="s">
        <v>94</v>
      </c>
      <c r="AW112" t="s">
        <v>92</v>
      </c>
      <c r="AX112" t="s">
        <v>92</v>
      </c>
      <c r="AY112" t="s">
        <v>92</v>
      </c>
      <c r="AZ112" t="s">
        <v>94</v>
      </c>
      <c r="BA112" t="s">
        <v>94</v>
      </c>
      <c r="BB112" t="s">
        <v>92</v>
      </c>
      <c r="BC112" t="s">
        <v>92</v>
      </c>
      <c r="BD112" t="s">
        <v>93</v>
      </c>
      <c r="BE112" t="s">
        <v>92</v>
      </c>
      <c r="BF112" t="s">
        <v>92</v>
      </c>
      <c r="BG112" t="s">
        <v>93</v>
      </c>
      <c r="BH112" t="s">
        <v>92</v>
      </c>
    </row>
    <row r="113" spans="1:60" x14ac:dyDescent="0.3">
      <c r="A113">
        <v>23</v>
      </c>
      <c r="B113" t="s">
        <v>70</v>
      </c>
      <c r="C113" t="s">
        <v>71</v>
      </c>
      <c r="D113" t="s">
        <v>97</v>
      </c>
      <c r="E113" t="s">
        <v>108</v>
      </c>
      <c r="F113" t="s">
        <v>74</v>
      </c>
      <c r="G113" t="s">
        <v>135</v>
      </c>
      <c r="H113" t="s">
        <v>74</v>
      </c>
      <c r="I113" t="s">
        <v>76</v>
      </c>
      <c r="J113" t="s">
        <v>77</v>
      </c>
      <c r="K113" t="s">
        <v>131</v>
      </c>
      <c r="L113" t="s">
        <v>79</v>
      </c>
      <c r="M113" t="s">
        <v>80</v>
      </c>
      <c r="N113" t="s">
        <v>79</v>
      </c>
      <c r="O113" t="s">
        <v>81</v>
      </c>
      <c r="P113" t="s">
        <v>82</v>
      </c>
      <c r="Q113" t="s">
        <v>83</v>
      </c>
      <c r="R113" t="s">
        <v>79</v>
      </c>
      <c r="S113" t="s">
        <v>126</v>
      </c>
      <c r="T113" t="s">
        <v>212</v>
      </c>
      <c r="U113" t="s">
        <v>79</v>
      </c>
      <c r="V113" t="s">
        <v>213</v>
      </c>
      <c r="W113" t="s">
        <v>141</v>
      </c>
      <c r="Y113" t="s">
        <v>93</v>
      </c>
      <c r="Z113" t="s">
        <v>92</v>
      </c>
      <c r="AA113" t="s">
        <v>93</v>
      </c>
      <c r="AB113" t="s">
        <v>93</v>
      </c>
      <c r="AC113" t="s">
        <v>93</v>
      </c>
      <c r="AD113" t="s">
        <v>93</v>
      </c>
      <c r="AE113" t="s">
        <v>93</v>
      </c>
      <c r="AF113" t="s">
        <v>93</v>
      </c>
      <c r="AG113" t="s">
        <v>93</v>
      </c>
      <c r="AH113" t="s">
        <v>93</v>
      </c>
      <c r="AI113" t="s">
        <v>92</v>
      </c>
      <c r="AJ113" t="s">
        <v>92</v>
      </c>
      <c r="AK113" t="s">
        <v>92</v>
      </c>
      <c r="AL113" t="s">
        <v>93</v>
      </c>
      <c r="AM113" t="s">
        <v>93</v>
      </c>
      <c r="AN113" t="s">
        <v>93</v>
      </c>
      <c r="AO113" t="s">
        <v>93</v>
      </c>
      <c r="AP113" t="s">
        <v>93</v>
      </c>
      <c r="AQ113" t="s">
        <v>93</v>
      </c>
      <c r="AR113" t="s">
        <v>93</v>
      </c>
      <c r="AS113" t="s">
        <v>93</v>
      </c>
      <c r="AT113" t="s">
        <v>93</v>
      </c>
      <c r="AU113" t="s">
        <v>94</v>
      </c>
      <c r="AV113" t="s">
        <v>95</v>
      </c>
      <c r="AW113" t="s">
        <v>92</v>
      </c>
      <c r="AX113" t="s">
        <v>94</v>
      </c>
      <c r="AY113" t="s">
        <v>93</v>
      </c>
      <c r="AZ113" t="s">
        <v>93</v>
      </c>
      <c r="BA113" t="s">
        <v>92</v>
      </c>
      <c r="BB113" t="s">
        <v>92</v>
      </c>
      <c r="BC113" t="s">
        <v>92</v>
      </c>
      <c r="BD113" t="s">
        <v>93</v>
      </c>
      <c r="BE113" t="s">
        <v>93</v>
      </c>
      <c r="BF113" t="s">
        <v>93</v>
      </c>
      <c r="BG113" t="s">
        <v>93</v>
      </c>
      <c r="BH113" t="s">
        <v>93</v>
      </c>
    </row>
    <row r="114" spans="1:60" x14ac:dyDescent="0.3">
      <c r="A114">
        <v>22</v>
      </c>
      <c r="B114" t="s">
        <v>70</v>
      </c>
      <c r="C114" t="s">
        <v>113</v>
      </c>
      <c r="D114" t="s">
        <v>97</v>
      </c>
      <c r="E114" t="s">
        <v>73</v>
      </c>
      <c r="F114" t="s">
        <v>74</v>
      </c>
      <c r="G114" t="s">
        <v>135</v>
      </c>
      <c r="H114" t="s">
        <v>136</v>
      </c>
      <c r="I114" t="s">
        <v>76</v>
      </c>
      <c r="J114" t="s">
        <v>77</v>
      </c>
      <c r="K114" t="s">
        <v>131</v>
      </c>
      <c r="L114" t="s">
        <v>79</v>
      </c>
      <c r="M114" t="s">
        <v>80</v>
      </c>
      <c r="N114" t="s">
        <v>79</v>
      </c>
      <c r="O114" t="s">
        <v>81</v>
      </c>
      <c r="P114" t="s">
        <v>82</v>
      </c>
      <c r="Q114" t="s">
        <v>83</v>
      </c>
      <c r="R114" t="s">
        <v>79</v>
      </c>
      <c r="S114" t="s">
        <v>123</v>
      </c>
      <c r="T114" t="s">
        <v>151</v>
      </c>
      <c r="U114" t="s">
        <v>82</v>
      </c>
      <c r="V114" t="s">
        <v>106</v>
      </c>
      <c r="W114" t="s">
        <v>87</v>
      </c>
      <c r="X114" t="s">
        <v>112</v>
      </c>
      <c r="Y114" t="s">
        <v>93</v>
      </c>
      <c r="Z114" t="s">
        <v>93</v>
      </c>
      <c r="AA114" t="s">
        <v>92</v>
      </c>
      <c r="AB114" t="s">
        <v>93</v>
      </c>
      <c r="AC114" t="s">
        <v>93</v>
      </c>
      <c r="AD114" t="s">
        <v>92</v>
      </c>
      <c r="AE114" t="s">
        <v>92</v>
      </c>
      <c r="AF114" t="s">
        <v>92</v>
      </c>
      <c r="AG114" t="s">
        <v>92</v>
      </c>
      <c r="AH114" t="s">
        <v>95</v>
      </c>
      <c r="AI114" t="s">
        <v>92</v>
      </c>
      <c r="AJ114" t="s">
        <v>93</v>
      </c>
      <c r="AK114" t="s">
        <v>92</v>
      </c>
      <c r="AL114" t="s">
        <v>93</v>
      </c>
      <c r="AM114" t="s">
        <v>93</v>
      </c>
      <c r="AN114" t="s">
        <v>93</v>
      </c>
      <c r="AO114" t="s">
        <v>93</v>
      </c>
      <c r="AP114" t="s">
        <v>93</v>
      </c>
      <c r="AQ114" t="s">
        <v>93</v>
      </c>
      <c r="AR114" t="s">
        <v>93</v>
      </c>
      <c r="AS114" t="s">
        <v>95</v>
      </c>
      <c r="AT114" t="s">
        <v>95</v>
      </c>
      <c r="AU114" t="s">
        <v>94</v>
      </c>
      <c r="AV114" t="s">
        <v>95</v>
      </c>
      <c r="AW114" t="s">
        <v>94</v>
      </c>
      <c r="AX114" t="s">
        <v>94</v>
      </c>
      <c r="AY114" t="s">
        <v>94</v>
      </c>
      <c r="AZ114" t="s">
        <v>94</v>
      </c>
      <c r="BA114" t="s">
        <v>92</v>
      </c>
      <c r="BB114" t="s">
        <v>94</v>
      </c>
      <c r="BC114" t="s">
        <v>93</v>
      </c>
      <c r="BD114" t="s">
        <v>93</v>
      </c>
      <c r="BE114" t="s">
        <v>93</v>
      </c>
      <c r="BF114" t="s">
        <v>93</v>
      </c>
      <c r="BG114" t="s">
        <v>94</v>
      </c>
      <c r="BH114" t="s">
        <v>94</v>
      </c>
    </row>
    <row r="115" spans="1:60" x14ac:dyDescent="0.3">
      <c r="A115">
        <v>20</v>
      </c>
      <c r="B115" t="s">
        <v>70</v>
      </c>
      <c r="C115" t="s">
        <v>96</v>
      </c>
      <c r="D115" t="s">
        <v>97</v>
      </c>
      <c r="E115" t="s">
        <v>73</v>
      </c>
      <c r="F115" t="s">
        <v>100</v>
      </c>
      <c r="G115" t="s">
        <v>135</v>
      </c>
      <c r="H115" t="s">
        <v>100</v>
      </c>
      <c r="I115" t="s">
        <v>76</v>
      </c>
      <c r="J115" t="s">
        <v>77</v>
      </c>
      <c r="K115" t="s">
        <v>122</v>
      </c>
      <c r="L115" t="s">
        <v>79</v>
      </c>
      <c r="M115" t="s">
        <v>102</v>
      </c>
      <c r="N115" t="s">
        <v>79</v>
      </c>
      <c r="O115" t="s">
        <v>138</v>
      </c>
      <c r="P115" t="s">
        <v>79</v>
      </c>
      <c r="Q115" t="s">
        <v>83</v>
      </c>
      <c r="R115" t="s">
        <v>82</v>
      </c>
      <c r="S115" t="s">
        <v>145</v>
      </c>
      <c r="T115" t="s">
        <v>158</v>
      </c>
      <c r="U115" t="s">
        <v>79</v>
      </c>
      <c r="V115" t="s">
        <v>86</v>
      </c>
      <c r="W115" t="s">
        <v>141</v>
      </c>
      <c r="X115" t="s">
        <v>112</v>
      </c>
      <c r="Y115" t="s">
        <v>92</v>
      </c>
      <c r="Z115" t="s">
        <v>94</v>
      </c>
      <c r="AA115" t="s">
        <v>92</v>
      </c>
      <c r="AB115" t="s">
        <v>94</v>
      </c>
      <c r="AC115" t="s">
        <v>92</v>
      </c>
      <c r="AD115" t="s">
        <v>94</v>
      </c>
      <c r="AE115" t="s">
        <v>92</v>
      </c>
      <c r="AF115" t="s">
        <v>94</v>
      </c>
      <c r="AG115" t="s">
        <v>94</v>
      </c>
      <c r="AH115" t="s">
        <v>94</v>
      </c>
      <c r="AI115" t="s">
        <v>92</v>
      </c>
      <c r="AJ115" t="s">
        <v>94</v>
      </c>
      <c r="AK115" t="s">
        <v>94</v>
      </c>
      <c r="AL115" t="s">
        <v>94</v>
      </c>
      <c r="AM115" t="s">
        <v>94</v>
      </c>
      <c r="AN115" t="s">
        <v>92</v>
      </c>
      <c r="AO115" t="s">
        <v>94</v>
      </c>
      <c r="AP115" t="s">
        <v>94</v>
      </c>
      <c r="AQ115" t="s">
        <v>94</v>
      </c>
      <c r="AR115" t="s">
        <v>94</v>
      </c>
      <c r="AS115" t="s">
        <v>92</v>
      </c>
      <c r="AT115" t="s">
        <v>94</v>
      </c>
      <c r="AU115" t="s">
        <v>94</v>
      </c>
      <c r="AV115" t="s">
        <v>94</v>
      </c>
      <c r="AW115" t="s">
        <v>92</v>
      </c>
      <c r="AX115" t="s">
        <v>94</v>
      </c>
      <c r="AY115" t="s">
        <v>94</v>
      </c>
      <c r="AZ115" t="s">
        <v>92</v>
      </c>
      <c r="BA115" t="s">
        <v>94</v>
      </c>
      <c r="BB115" t="s">
        <v>92</v>
      </c>
      <c r="BC115" t="s">
        <v>94</v>
      </c>
      <c r="BD115" t="s">
        <v>92</v>
      </c>
      <c r="BE115" t="s">
        <v>94</v>
      </c>
      <c r="BF115" t="s">
        <v>94</v>
      </c>
      <c r="BG115" t="s">
        <v>94</v>
      </c>
      <c r="BH115" t="s">
        <v>92</v>
      </c>
    </row>
    <row r="116" spans="1:60" x14ac:dyDescent="0.3">
      <c r="A116">
        <v>23</v>
      </c>
      <c r="B116" t="s">
        <v>70</v>
      </c>
      <c r="C116" t="s">
        <v>96</v>
      </c>
      <c r="D116" t="s">
        <v>72</v>
      </c>
      <c r="E116" t="s">
        <v>73</v>
      </c>
      <c r="F116" t="s">
        <v>98</v>
      </c>
      <c r="G116" t="s">
        <v>75</v>
      </c>
      <c r="H116" t="s">
        <v>98</v>
      </c>
      <c r="I116" t="s">
        <v>76</v>
      </c>
      <c r="J116" t="s">
        <v>77</v>
      </c>
      <c r="K116" t="s">
        <v>122</v>
      </c>
      <c r="L116" t="s">
        <v>82</v>
      </c>
      <c r="M116" t="s">
        <v>102</v>
      </c>
      <c r="N116" t="s">
        <v>79</v>
      </c>
      <c r="O116" t="s">
        <v>81</v>
      </c>
      <c r="P116" t="s">
        <v>82</v>
      </c>
      <c r="Q116" t="s">
        <v>83</v>
      </c>
      <c r="R116" t="s">
        <v>82</v>
      </c>
      <c r="S116" t="s">
        <v>123</v>
      </c>
      <c r="T116" t="s">
        <v>85</v>
      </c>
      <c r="U116" t="s">
        <v>82</v>
      </c>
      <c r="V116" t="s">
        <v>106</v>
      </c>
      <c r="W116" t="s">
        <v>87</v>
      </c>
      <c r="Y116" t="s">
        <v>94</v>
      </c>
      <c r="Z116" t="s">
        <v>94</v>
      </c>
      <c r="AA116" t="s">
        <v>94</v>
      </c>
      <c r="AB116" t="s">
        <v>94</v>
      </c>
      <c r="AC116" t="s">
        <v>94</v>
      </c>
      <c r="AD116" t="s">
        <v>94</v>
      </c>
      <c r="AE116" t="s">
        <v>94</v>
      </c>
      <c r="AF116" t="s">
        <v>94</v>
      </c>
      <c r="AG116" t="s">
        <v>94</v>
      </c>
      <c r="AH116" t="s">
        <v>94</v>
      </c>
      <c r="AI116" t="s">
        <v>94</v>
      </c>
      <c r="AJ116" t="s">
        <v>94</v>
      </c>
      <c r="AK116" t="s">
        <v>94</v>
      </c>
      <c r="AL116" t="s">
        <v>94</v>
      </c>
      <c r="AM116" t="s">
        <v>94</v>
      </c>
      <c r="AN116" t="s">
        <v>94</v>
      </c>
      <c r="AO116" t="s">
        <v>94</v>
      </c>
      <c r="AP116" t="s">
        <v>94</v>
      </c>
      <c r="AQ116" t="s">
        <v>94</v>
      </c>
      <c r="AR116" t="s">
        <v>94</v>
      </c>
      <c r="AS116" t="s">
        <v>94</v>
      </c>
      <c r="AT116" t="s">
        <v>94</v>
      </c>
      <c r="AU116" t="s">
        <v>94</v>
      </c>
      <c r="AV116" t="s">
        <v>94</v>
      </c>
      <c r="AW116" t="s">
        <v>94</v>
      </c>
      <c r="AX116" t="s">
        <v>94</v>
      </c>
      <c r="AY116" t="s">
        <v>94</v>
      </c>
      <c r="AZ116" t="s">
        <v>94</v>
      </c>
      <c r="BA116" t="s">
        <v>94</v>
      </c>
      <c r="BB116" t="s">
        <v>94</v>
      </c>
      <c r="BC116" t="s">
        <v>94</v>
      </c>
      <c r="BD116" t="s">
        <v>94</v>
      </c>
      <c r="BE116" t="s">
        <v>94</v>
      </c>
      <c r="BF116" t="s">
        <v>94</v>
      </c>
      <c r="BG116" t="s">
        <v>94</v>
      </c>
      <c r="BH116" t="s">
        <v>94</v>
      </c>
    </row>
    <row r="117" spans="1:60" x14ac:dyDescent="0.3">
      <c r="A117">
        <v>22</v>
      </c>
      <c r="B117" t="s">
        <v>70</v>
      </c>
      <c r="C117" t="s">
        <v>96</v>
      </c>
      <c r="D117" t="s">
        <v>72</v>
      </c>
      <c r="E117" t="s">
        <v>73</v>
      </c>
      <c r="F117" t="s">
        <v>74</v>
      </c>
      <c r="G117" t="s">
        <v>135</v>
      </c>
      <c r="H117" t="s">
        <v>136</v>
      </c>
      <c r="I117" t="s">
        <v>76</v>
      </c>
      <c r="J117" t="s">
        <v>77</v>
      </c>
      <c r="K117" t="s">
        <v>122</v>
      </c>
      <c r="L117" t="s">
        <v>79</v>
      </c>
      <c r="M117" t="s">
        <v>80</v>
      </c>
      <c r="N117" t="s">
        <v>79</v>
      </c>
      <c r="O117" t="s">
        <v>81</v>
      </c>
      <c r="P117" t="s">
        <v>82</v>
      </c>
      <c r="Q117" t="s">
        <v>83</v>
      </c>
      <c r="R117" t="s">
        <v>79</v>
      </c>
      <c r="S117" t="s">
        <v>84</v>
      </c>
      <c r="T117" t="s">
        <v>206</v>
      </c>
      <c r="U117" t="s">
        <v>82</v>
      </c>
      <c r="V117" t="s">
        <v>86</v>
      </c>
      <c r="W117" t="s">
        <v>87</v>
      </c>
      <c r="X117" t="s">
        <v>112</v>
      </c>
      <c r="Y117" t="s">
        <v>94</v>
      </c>
      <c r="Z117" t="s">
        <v>94</v>
      </c>
      <c r="AA117" t="s">
        <v>92</v>
      </c>
      <c r="AB117" t="s">
        <v>94</v>
      </c>
      <c r="AC117" t="s">
        <v>92</v>
      </c>
      <c r="AD117" t="s">
        <v>94</v>
      </c>
      <c r="AE117" t="s">
        <v>94</v>
      </c>
      <c r="AF117" t="s">
        <v>94</v>
      </c>
      <c r="AG117" t="s">
        <v>94</v>
      </c>
      <c r="AH117" t="s">
        <v>94</v>
      </c>
      <c r="AI117" t="s">
        <v>94</v>
      </c>
      <c r="AJ117" t="s">
        <v>92</v>
      </c>
      <c r="AK117" t="s">
        <v>94</v>
      </c>
      <c r="AL117" t="s">
        <v>92</v>
      </c>
      <c r="AM117" t="s">
        <v>92</v>
      </c>
      <c r="AN117" t="s">
        <v>94</v>
      </c>
      <c r="AO117" t="s">
        <v>94</v>
      </c>
      <c r="AP117" t="s">
        <v>92</v>
      </c>
      <c r="AQ117" t="s">
        <v>92</v>
      </c>
      <c r="AR117" t="s">
        <v>94</v>
      </c>
      <c r="AS117" t="s">
        <v>94</v>
      </c>
      <c r="AT117" t="s">
        <v>94</v>
      </c>
      <c r="AU117" t="s">
        <v>94</v>
      </c>
      <c r="AV117" t="s">
        <v>94</v>
      </c>
      <c r="AW117" t="s">
        <v>94</v>
      </c>
      <c r="AX117" t="s">
        <v>94</v>
      </c>
      <c r="AY117" t="s">
        <v>92</v>
      </c>
      <c r="AZ117" t="s">
        <v>92</v>
      </c>
      <c r="BA117" t="s">
        <v>92</v>
      </c>
      <c r="BB117" t="s">
        <v>92</v>
      </c>
      <c r="BC117" t="s">
        <v>94</v>
      </c>
      <c r="BD117" t="s">
        <v>94</v>
      </c>
      <c r="BE117" t="s">
        <v>94</v>
      </c>
      <c r="BF117" t="s">
        <v>94</v>
      </c>
      <c r="BG117" t="s">
        <v>94</v>
      </c>
      <c r="BH117" t="s">
        <v>94</v>
      </c>
    </row>
    <row r="118" spans="1:60" x14ac:dyDescent="0.3">
      <c r="A118">
        <v>21</v>
      </c>
      <c r="B118" t="s">
        <v>70</v>
      </c>
      <c r="C118" t="s">
        <v>96</v>
      </c>
      <c r="D118" t="s">
        <v>72</v>
      </c>
      <c r="E118" t="s">
        <v>114</v>
      </c>
      <c r="F118" t="s">
        <v>136</v>
      </c>
      <c r="G118" t="s">
        <v>115</v>
      </c>
      <c r="H118" t="s">
        <v>98</v>
      </c>
      <c r="I118" t="s">
        <v>76</v>
      </c>
      <c r="J118" t="s">
        <v>77</v>
      </c>
      <c r="K118" t="s">
        <v>125</v>
      </c>
      <c r="L118" t="s">
        <v>82</v>
      </c>
      <c r="M118" t="s">
        <v>80</v>
      </c>
      <c r="N118" t="s">
        <v>79</v>
      </c>
      <c r="O118" t="s">
        <v>117</v>
      </c>
      <c r="P118" t="s">
        <v>79</v>
      </c>
      <c r="Q118" t="s">
        <v>83</v>
      </c>
      <c r="R118" t="s">
        <v>82</v>
      </c>
      <c r="S118" t="s">
        <v>84</v>
      </c>
      <c r="T118" t="s">
        <v>140</v>
      </c>
      <c r="U118" t="s">
        <v>82</v>
      </c>
      <c r="V118" t="s">
        <v>106</v>
      </c>
      <c r="W118" t="s">
        <v>141</v>
      </c>
      <c r="X118" t="s">
        <v>112</v>
      </c>
      <c r="Y118" t="s">
        <v>94</v>
      </c>
      <c r="Z118" t="s">
        <v>92</v>
      </c>
      <c r="AA118" t="s">
        <v>92</v>
      </c>
      <c r="AB118" t="s">
        <v>92</v>
      </c>
      <c r="AC118" t="s">
        <v>94</v>
      </c>
      <c r="AD118" t="s">
        <v>94</v>
      </c>
      <c r="AE118" t="s">
        <v>94</v>
      </c>
      <c r="AF118" t="s">
        <v>95</v>
      </c>
      <c r="AG118" t="s">
        <v>95</v>
      </c>
      <c r="AH118" t="s">
        <v>92</v>
      </c>
      <c r="AI118" t="s">
        <v>93</v>
      </c>
      <c r="AJ118" t="s">
        <v>92</v>
      </c>
      <c r="AK118" t="s">
        <v>92</v>
      </c>
      <c r="AL118" t="s">
        <v>94</v>
      </c>
      <c r="AM118" t="s">
        <v>94</v>
      </c>
      <c r="AN118" t="s">
        <v>92</v>
      </c>
      <c r="AO118" t="s">
        <v>92</v>
      </c>
      <c r="AP118" t="s">
        <v>92</v>
      </c>
      <c r="AQ118" t="s">
        <v>94</v>
      </c>
      <c r="AR118" t="s">
        <v>94</v>
      </c>
      <c r="AS118" t="s">
        <v>94</v>
      </c>
      <c r="AT118" t="s">
        <v>94</v>
      </c>
      <c r="AU118" t="s">
        <v>92</v>
      </c>
      <c r="AV118" t="s">
        <v>92</v>
      </c>
      <c r="AW118" t="s">
        <v>92</v>
      </c>
      <c r="AX118" t="s">
        <v>94</v>
      </c>
      <c r="AY118" t="s">
        <v>94</v>
      </c>
      <c r="AZ118" t="s">
        <v>94</v>
      </c>
      <c r="BA118" t="s">
        <v>93</v>
      </c>
      <c r="BB118" t="s">
        <v>93</v>
      </c>
      <c r="BC118" t="s">
        <v>92</v>
      </c>
      <c r="BD118" t="s">
        <v>93</v>
      </c>
      <c r="BE118" t="s">
        <v>93</v>
      </c>
      <c r="BF118" t="s">
        <v>94</v>
      </c>
      <c r="BG118" t="s">
        <v>94</v>
      </c>
      <c r="BH118" t="s">
        <v>94</v>
      </c>
    </row>
    <row r="119" spans="1:60" x14ac:dyDescent="0.3">
      <c r="A119">
        <v>22</v>
      </c>
      <c r="B119" t="s">
        <v>70</v>
      </c>
      <c r="C119" t="s">
        <v>157</v>
      </c>
      <c r="D119" t="s">
        <v>97</v>
      </c>
      <c r="E119" t="s">
        <v>108</v>
      </c>
      <c r="F119" t="s">
        <v>74</v>
      </c>
      <c r="G119" t="s">
        <v>75</v>
      </c>
      <c r="H119" t="s">
        <v>74</v>
      </c>
      <c r="I119" t="s">
        <v>75</v>
      </c>
      <c r="J119" t="s">
        <v>77</v>
      </c>
      <c r="K119" t="s">
        <v>131</v>
      </c>
      <c r="L119" t="s">
        <v>79</v>
      </c>
      <c r="M119" t="s">
        <v>80</v>
      </c>
      <c r="N119" t="s">
        <v>79</v>
      </c>
      <c r="O119" t="s">
        <v>109</v>
      </c>
      <c r="P119" t="s">
        <v>79</v>
      </c>
      <c r="Q119" t="s">
        <v>83</v>
      </c>
      <c r="R119" t="s">
        <v>79</v>
      </c>
      <c r="S119" t="s">
        <v>84</v>
      </c>
      <c r="T119" t="s">
        <v>158</v>
      </c>
      <c r="U119" t="s">
        <v>82</v>
      </c>
      <c r="V119" t="s">
        <v>106</v>
      </c>
      <c r="W119" t="s">
        <v>141</v>
      </c>
      <c r="X119" t="s">
        <v>112</v>
      </c>
      <c r="Y119" t="s">
        <v>95</v>
      </c>
      <c r="Z119" t="s">
        <v>94</v>
      </c>
      <c r="AA119" t="s">
        <v>94</v>
      </c>
      <c r="AB119" t="s">
        <v>94</v>
      </c>
      <c r="AC119" t="s">
        <v>94</v>
      </c>
      <c r="AD119" t="s">
        <v>94</v>
      </c>
      <c r="AE119" t="s">
        <v>94</v>
      </c>
      <c r="AF119" t="s">
        <v>94</v>
      </c>
      <c r="AG119" t="s">
        <v>94</v>
      </c>
      <c r="AH119" t="s">
        <v>94</v>
      </c>
      <c r="AI119" t="s">
        <v>94</v>
      </c>
      <c r="AJ119" t="s">
        <v>94</v>
      </c>
      <c r="AK119" t="s">
        <v>94</v>
      </c>
      <c r="AL119" t="s">
        <v>94</v>
      </c>
      <c r="AM119" t="s">
        <v>94</v>
      </c>
      <c r="AN119" t="s">
        <v>94</v>
      </c>
      <c r="AO119" t="s">
        <v>94</v>
      </c>
      <c r="AP119" t="s">
        <v>94</v>
      </c>
      <c r="AQ119" t="s">
        <v>94</v>
      </c>
      <c r="AR119" t="s">
        <v>94</v>
      </c>
      <c r="AS119" t="s">
        <v>94</v>
      </c>
      <c r="AT119" t="s">
        <v>94</v>
      </c>
      <c r="AU119" t="s">
        <v>94</v>
      </c>
      <c r="AV119" t="s">
        <v>94</v>
      </c>
      <c r="AW119" t="s">
        <v>94</v>
      </c>
      <c r="AX119" t="s">
        <v>94</v>
      </c>
      <c r="AY119" t="s">
        <v>94</v>
      </c>
      <c r="AZ119" t="s">
        <v>94</v>
      </c>
      <c r="BA119" t="s">
        <v>94</v>
      </c>
      <c r="BB119" t="s">
        <v>94</v>
      </c>
      <c r="BC119" t="s">
        <v>94</v>
      </c>
      <c r="BD119" t="s">
        <v>94</v>
      </c>
      <c r="BE119" t="s">
        <v>94</v>
      </c>
      <c r="BF119" t="s">
        <v>94</v>
      </c>
      <c r="BG119" t="s">
        <v>94</v>
      </c>
      <c r="BH119" t="s">
        <v>94</v>
      </c>
    </row>
    <row r="120" spans="1:60" x14ac:dyDescent="0.3">
      <c r="A120">
        <v>21</v>
      </c>
      <c r="B120" t="s">
        <v>70</v>
      </c>
      <c r="C120" t="s">
        <v>157</v>
      </c>
      <c r="D120" t="s">
        <v>72</v>
      </c>
      <c r="E120" t="s">
        <v>114</v>
      </c>
      <c r="F120" t="s">
        <v>98</v>
      </c>
      <c r="G120" t="s">
        <v>166</v>
      </c>
      <c r="H120" t="s">
        <v>100</v>
      </c>
      <c r="I120" t="s">
        <v>76</v>
      </c>
      <c r="J120" t="s">
        <v>101</v>
      </c>
      <c r="K120" t="s">
        <v>125</v>
      </c>
      <c r="L120" t="s">
        <v>82</v>
      </c>
      <c r="M120" t="s">
        <v>80</v>
      </c>
      <c r="N120" t="s">
        <v>79</v>
      </c>
      <c r="O120" t="s">
        <v>109</v>
      </c>
      <c r="P120" t="s">
        <v>82</v>
      </c>
      <c r="Q120" t="s">
        <v>83</v>
      </c>
      <c r="R120" t="s">
        <v>82</v>
      </c>
      <c r="S120" t="s">
        <v>142</v>
      </c>
      <c r="T120" t="s">
        <v>85</v>
      </c>
      <c r="U120" t="s">
        <v>82</v>
      </c>
      <c r="V120" t="s">
        <v>106</v>
      </c>
      <c r="W120" t="s">
        <v>141</v>
      </c>
      <c r="X120" t="s">
        <v>88</v>
      </c>
      <c r="Y120" t="s">
        <v>95</v>
      </c>
      <c r="Z120" t="s">
        <v>95</v>
      </c>
      <c r="AA120" t="s">
        <v>95</v>
      </c>
      <c r="AB120" t="s">
        <v>95</v>
      </c>
      <c r="AC120" t="s">
        <v>95</v>
      </c>
      <c r="AD120" t="s">
        <v>95</v>
      </c>
      <c r="AE120" t="s">
        <v>95</v>
      </c>
      <c r="AF120" t="s">
        <v>95</v>
      </c>
      <c r="AG120" t="s">
        <v>95</v>
      </c>
      <c r="AH120" t="s">
        <v>95</v>
      </c>
      <c r="AI120" t="s">
        <v>95</v>
      </c>
      <c r="AJ120" t="s">
        <v>95</v>
      </c>
      <c r="AK120" t="s">
        <v>95</v>
      </c>
      <c r="AL120" t="s">
        <v>95</v>
      </c>
      <c r="AM120" t="s">
        <v>95</v>
      </c>
      <c r="AN120" t="s">
        <v>95</v>
      </c>
      <c r="AO120" t="s">
        <v>95</v>
      </c>
      <c r="AP120" t="s">
        <v>95</v>
      </c>
      <c r="AQ120" t="s">
        <v>95</v>
      </c>
      <c r="AR120" t="s">
        <v>94</v>
      </c>
      <c r="AS120" t="s">
        <v>94</v>
      </c>
      <c r="AT120" t="s">
        <v>94</v>
      </c>
      <c r="AU120" t="s">
        <v>94</v>
      </c>
      <c r="AV120" t="s">
        <v>94</v>
      </c>
      <c r="AW120" t="s">
        <v>95</v>
      </c>
      <c r="AX120" t="s">
        <v>95</v>
      </c>
      <c r="AY120" t="s">
        <v>95</v>
      </c>
      <c r="AZ120" t="s">
        <v>95</v>
      </c>
      <c r="BA120" t="s">
        <v>95</v>
      </c>
      <c r="BB120" t="s">
        <v>95</v>
      </c>
      <c r="BC120" t="s">
        <v>95</v>
      </c>
      <c r="BD120" t="s">
        <v>95</v>
      </c>
      <c r="BE120" t="s">
        <v>95</v>
      </c>
      <c r="BF120" t="s">
        <v>95</v>
      </c>
      <c r="BG120" t="s">
        <v>94</v>
      </c>
      <c r="BH120" t="s">
        <v>95</v>
      </c>
    </row>
    <row r="121" spans="1:60" x14ac:dyDescent="0.3">
      <c r="A121">
        <v>21</v>
      </c>
      <c r="B121" t="s">
        <v>70</v>
      </c>
      <c r="C121" t="s">
        <v>157</v>
      </c>
      <c r="D121" t="s">
        <v>97</v>
      </c>
      <c r="E121" t="s">
        <v>108</v>
      </c>
      <c r="F121" t="s">
        <v>74</v>
      </c>
      <c r="G121" t="s">
        <v>75</v>
      </c>
      <c r="H121" t="s">
        <v>74</v>
      </c>
      <c r="I121" t="s">
        <v>76</v>
      </c>
      <c r="J121" t="s">
        <v>77</v>
      </c>
      <c r="K121" t="s">
        <v>131</v>
      </c>
      <c r="L121" t="s">
        <v>79</v>
      </c>
      <c r="M121" t="s">
        <v>80</v>
      </c>
      <c r="N121" t="s">
        <v>79</v>
      </c>
      <c r="O121" t="s">
        <v>81</v>
      </c>
      <c r="P121" t="s">
        <v>82</v>
      </c>
      <c r="Q121" t="s">
        <v>83</v>
      </c>
      <c r="R121" t="s">
        <v>82</v>
      </c>
      <c r="S121" t="s">
        <v>142</v>
      </c>
      <c r="T121" t="s">
        <v>206</v>
      </c>
      <c r="U121" t="s">
        <v>82</v>
      </c>
      <c r="V121" t="s">
        <v>106</v>
      </c>
      <c r="W121" t="s">
        <v>87</v>
      </c>
      <c r="X121" t="s">
        <v>112</v>
      </c>
      <c r="Y121" t="s">
        <v>92</v>
      </c>
      <c r="Z121" t="s">
        <v>92</v>
      </c>
      <c r="AA121" t="s">
        <v>92</v>
      </c>
      <c r="AB121" t="s">
        <v>93</v>
      </c>
      <c r="AC121" t="s">
        <v>93</v>
      </c>
      <c r="AD121" t="s">
        <v>93</v>
      </c>
      <c r="AE121" t="s">
        <v>92</v>
      </c>
      <c r="AF121" t="s">
        <v>93</v>
      </c>
      <c r="AG121" t="s">
        <v>93</v>
      </c>
      <c r="AH121" t="s">
        <v>92</v>
      </c>
      <c r="AI121" t="s">
        <v>93</v>
      </c>
      <c r="AJ121" t="s">
        <v>93</v>
      </c>
      <c r="AK121" t="s">
        <v>93</v>
      </c>
      <c r="AL121" t="s">
        <v>93</v>
      </c>
      <c r="AM121" t="s">
        <v>93</v>
      </c>
      <c r="AN121" t="s">
        <v>93</v>
      </c>
      <c r="AO121" t="s">
        <v>93</v>
      </c>
      <c r="AP121" t="s">
        <v>93</v>
      </c>
      <c r="AQ121" t="s">
        <v>92</v>
      </c>
      <c r="AR121" t="s">
        <v>94</v>
      </c>
      <c r="AS121" t="s">
        <v>95</v>
      </c>
      <c r="AT121" t="s">
        <v>94</v>
      </c>
      <c r="AU121" t="s">
        <v>92</v>
      </c>
      <c r="AV121" t="s">
        <v>92</v>
      </c>
      <c r="AW121" t="s">
        <v>92</v>
      </c>
      <c r="AX121" t="s">
        <v>92</v>
      </c>
      <c r="AY121" t="s">
        <v>94</v>
      </c>
      <c r="AZ121" t="s">
        <v>94</v>
      </c>
      <c r="BA121" t="s">
        <v>92</v>
      </c>
      <c r="BB121" t="s">
        <v>92</v>
      </c>
      <c r="BC121" t="s">
        <v>92</v>
      </c>
      <c r="BD121" t="s">
        <v>93</v>
      </c>
      <c r="BE121" t="s">
        <v>92</v>
      </c>
      <c r="BF121" t="s">
        <v>92</v>
      </c>
      <c r="BG121" t="s">
        <v>93</v>
      </c>
      <c r="BH121" t="s">
        <v>93</v>
      </c>
    </row>
    <row r="122" spans="1:60" x14ac:dyDescent="0.3">
      <c r="A122">
        <v>18</v>
      </c>
      <c r="B122" t="s">
        <v>70</v>
      </c>
      <c r="C122" t="s">
        <v>157</v>
      </c>
      <c r="D122" t="s">
        <v>72</v>
      </c>
      <c r="E122" t="s">
        <v>73</v>
      </c>
      <c r="F122" t="s">
        <v>74</v>
      </c>
      <c r="G122" t="s">
        <v>75</v>
      </c>
      <c r="H122" t="s">
        <v>74</v>
      </c>
      <c r="I122" t="s">
        <v>115</v>
      </c>
      <c r="J122" t="s">
        <v>77</v>
      </c>
      <c r="K122" t="s">
        <v>131</v>
      </c>
      <c r="L122" t="s">
        <v>79</v>
      </c>
      <c r="M122" t="s">
        <v>132</v>
      </c>
      <c r="N122" t="s">
        <v>79</v>
      </c>
      <c r="O122" t="s">
        <v>117</v>
      </c>
      <c r="P122" t="s">
        <v>82</v>
      </c>
      <c r="Q122" t="s">
        <v>83</v>
      </c>
      <c r="R122" t="s">
        <v>79</v>
      </c>
      <c r="S122" t="s">
        <v>84</v>
      </c>
      <c r="T122" t="s">
        <v>168</v>
      </c>
      <c r="U122" t="s">
        <v>82</v>
      </c>
      <c r="V122" t="s">
        <v>106</v>
      </c>
      <c r="W122" t="s">
        <v>120</v>
      </c>
      <c r="X122" t="s">
        <v>112</v>
      </c>
      <c r="Y122" t="s">
        <v>92</v>
      </c>
      <c r="Z122" t="s">
        <v>93</v>
      </c>
      <c r="AA122" t="s">
        <v>93</v>
      </c>
      <c r="AB122" t="s">
        <v>93</v>
      </c>
      <c r="AC122" t="s">
        <v>92</v>
      </c>
      <c r="AD122" t="s">
        <v>93</v>
      </c>
      <c r="AE122" t="s">
        <v>93</v>
      </c>
      <c r="AF122" t="s">
        <v>93</v>
      </c>
      <c r="AG122" t="s">
        <v>92</v>
      </c>
      <c r="AH122" t="s">
        <v>93</v>
      </c>
      <c r="AI122" t="s">
        <v>92</v>
      </c>
      <c r="AJ122" t="s">
        <v>92</v>
      </c>
      <c r="AK122" t="s">
        <v>93</v>
      </c>
      <c r="AL122" t="s">
        <v>95</v>
      </c>
      <c r="AM122" t="s">
        <v>95</v>
      </c>
      <c r="AN122" t="s">
        <v>93</v>
      </c>
      <c r="AO122" t="s">
        <v>93</v>
      </c>
      <c r="AP122" t="s">
        <v>93</v>
      </c>
      <c r="AQ122" t="s">
        <v>95</v>
      </c>
      <c r="AR122" t="s">
        <v>95</v>
      </c>
      <c r="AS122" t="s">
        <v>95</v>
      </c>
      <c r="AT122" t="s">
        <v>95</v>
      </c>
      <c r="AU122" t="s">
        <v>94</v>
      </c>
      <c r="AV122" t="s">
        <v>94</v>
      </c>
      <c r="AW122" t="s">
        <v>94</v>
      </c>
      <c r="AX122" t="s">
        <v>94</v>
      </c>
      <c r="AY122" t="s">
        <v>94</v>
      </c>
      <c r="AZ122" t="s">
        <v>94</v>
      </c>
      <c r="BA122" t="s">
        <v>93</v>
      </c>
      <c r="BB122" t="s">
        <v>92</v>
      </c>
      <c r="BC122" t="s">
        <v>92</v>
      </c>
      <c r="BD122" t="s">
        <v>94</v>
      </c>
      <c r="BE122" t="s">
        <v>92</v>
      </c>
      <c r="BF122" t="s">
        <v>92</v>
      </c>
      <c r="BG122" t="s">
        <v>95</v>
      </c>
      <c r="BH122" t="s">
        <v>95</v>
      </c>
    </row>
    <row r="123" spans="1:60" x14ac:dyDescent="0.3">
      <c r="A123">
        <v>20</v>
      </c>
      <c r="B123" t="s">
        <v>162</v>
      </c>
      <c r="C123" t="s">
        <v>157</v>
      </c>
      <c r="D123" t="s">
        <v>72</v>
      </c>
      <c r="E123" t="s">
        <v>73</v>
      </c>
      <c r="F123" t="s">
        <v>74</v>
      </c>
      <c r="G123" t="s">
        <v>99</v>
      </c>
      <c r="H123" t="s">
        <v>136</v>
      </c>
      <c r="I123" t="s">
        <v>76</v>
      </c>
      <c r="J123" t="s">
        <v>77</v>
      </c>
      <c r="K123" t="s">
        <v>122</v>
      </c>
      <c r="L123" t="s">
        <v>79</v>
      </c>
      <c r="M123" t="s">
        <v>80</v>
      </c>
      <c r="N123" t="s">
        <v>79</v>
      </c>
      <c r="O123" t="s">
        <v>81</v>
      </c>
      <c r="P123" t="s">
        <v>82</v>
      </c>
      <c r="Q123" t="s">
        <v>83</v>
      </c>
      <c r="R123" t="s">
        <v>82</v>
      </c>
      <c r="S123" t="s">
        <v>214</v>
      </c>
      <c r="T123" t="s">
        <v>158</v>
      </c>
      <c r="U123" t="s">
        <v>82</v>
      </c>
      <c r="V123" t="s">
        <v>106</v>
      </c>
      <c r="W123" t="s">
        <v>141</v>
      </c>
      <c r="X123" t="s">
        <v>112</v>
      </c>
      <c r="Y123" t="s">
        <v>93</v>
      </c>
      <c r="Z123" t="s">
        <v>93</v>
      </c>
      <c r="AA123" t="s">
        <v>93</v>
      </c>
      <c r="AB123" t="s">
        <v>93</v>
      </c>
      <c r="AC123" t="s">
        <v>93</v>
      </c>
      <c r="AD123" t="s">
        <v>93</v>
      </c>
      <c r="AE123" t="s">
        <v>93</v>
      </c>
      <c r="AF123" t="s">
        <v>93</v>
      </c>
      <c r="AG123" t="s">
        <v>93</v>
      </c>
      <c r="AH123" t="s">
        <v>93</v>
      </c>
      <c r="AI123" t="s">
        <v>93</v>
      </c>
      <c r="AJ123" t="s">
        <v>93</v>
      </c>
      <c r="AK123" t="s">
        <v>93</v>
      </c>
      <c r="AL123" t="s">
        <v>93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93</v>
      </c>
      <c r="AS123" t="s">
        <v>93</v>
      </c>
      <c r="AT123" t="s">
        <v>93</v>
      </c>
      <c r="AU123" t="s">
        <v>93</v>
      </c>
      <c r="AV123" t="s">
        <v>93</v>
      </c>
      <c r="AW123" t="s">
        <v>93</v>
      </c>
      <c r="AX123" t="s">
        <v>93</v>
      </c>
      <c r="AY123" t="s">
        <v>93</v>
      </c>
      <c r="AZ123" t="s">
        <v>93</v>
      </c>
      <c r="BA123" t="s">
        <v>93</v>
      </c>
      <c r="BB123" t="s">
        <v>93</v>
      </c>
      <c r="BC123" t="s">
        <v>93</v>
      </c>
      <c r="BD123" t="s">
        <v>93</v>
      </c>
      <c r="BE123" t="s">
        <v>93</v>
      </c>
      <c r="BF123" t="s">
        <v>93</v>
      </c>
      <c r="BG123" t="s">
        <v>93</v>
      </c>
      <c r="BH123" t="s">
        <v>93</v>
      </c>
    </row>
    <row r="124" spans="1:60" x14ac:dyDescent="0.3">
      <c r="A124">
        <v>20</v>
      </c>
      <c r="B124" t="s">
        <v>70</v>
      </c>
      <c r="C124" t="s">
        <v>157</v>
      </c>
      <c r="D124" t="s">
        <v>72</v>
      </c>
      <c r="E124" t="s">
        <v>114</v>
      </c>
      <c r="F124" t="s">
        <v>165</v>
      </c>
      <c r="G124" t="s">
        <v>146</v>
      </c>
      <c r="H124" t="s">
        <v>165</v>
      </c>
      <c r="I124" t="s">
        <v>76</v>
      </c>
      <c r="J124" t="s">
        <v>101</v>
      </c>
      <c r="K124" t="s">
        <v>125</v>
      </c>
      <c r="L124" t="s">
        <v>79</v>
      </c>
      <c r="M124" t="s">
        <v>80</v>
      </c>
      <c r="N124" t="s">
        <v>79</v>
      </c>
      <c r="O124" t="s">
        <v>81</v>
      </c>
      <c r="P124" t="s">
        <v>82</v>
      </c>
      <c r="Q124" t="s">
        <v>83</v>
      </c>
      <c r="R124" t="s">
        <v>79</v>
      </c>
      <c r="S124" t="s">
        <v>84</v>
      </c>
      <c r="T124" t="s">
        <v>139</v>
      </c>
      <c r="U124" t="s">
        <v>82</v>
      </c>
      <c r="V124" t="s">
        <v>106</v>
      </c>
      <c r="W124" t="s">
        <v>87</v>
      </c>
      <c r="X124" t="s">
        <v>112</v>
      </c>
      <c r="Y124" t="s">
        <v>94</v>
      </c>
      <c r="Z124" t="s">
        <v>94</v>
      </c>
      <c r="AA124" t="s">
        <v>95</v>
      </c>
      <c r="AB124" t="s">
        <v>94</v>
      </c>
      <c r="AC124" t="s">
        <v>95</v>
      </c>
      <c r="AD124" t="s">
        <v>94</v>
      </c>
      <c r="AE124" t="s">
        <v>94</v>
      </c>
      <c r="AF124" t="s">
        <v>94</v>
      </c>
      <c r="AG124" t="s">
        <v>95</v>
      </c>
      <c r="AH124" t="s">
        <v>94</v>
      </c>
      <c r="AI124" t="s">
        <v>94</v>
      </c>
      <c r="AJ124" t="s">
        <v>95</v>
      </c>
      <c r="AK124" t="s">
        <v>94</v>
      </c>
      <c r="AL124" t="s">
        <v>95</v>
      </c>
      <c r="AM124" t="s">
        <v>94</v>
      </c>
      <c r="AN124" t="s">
        <v>92</v>
      </c>
      <c r="AO124" t="s">
        <v>95</v>
      </c>
      <c r="AP124" t="s">
        <v>92</v>
      </c>
      <c r="AQ124" t="s">
        <v>94</v>
      </c>
      <c r="AR124" t="s">
        <v>94</v>
      </c>
      <c r="AS124" t="s">
        <v>94</v>
      </c>
      <c r="AT124" t="s">
        <v>94</v>
      </c>
      <c r="AU124" t="s">
        <v>94</v>
      </c>
      <c r="AV124" t="s">
        <v>94</v>
      </c>
      <c r="AW124" t="s">
        <v>95</v>
      </c>
      <c r="AX124" t="s">
        <v>94</v>
      </c>
      <c r="AY124" t="s">
        <v>95</v>
      </c>
      <c r="AZ124" t="s">
        <v>94</v>
      </c>
      <c r="BA124" t="s">
        <v>94</v>
      </c>
      <c r="BB124" t="s">
        <v>95</v>
      </c>
      <c r="BC124" t="s">
        <v>94</v>
      </c>
      <c r="BD124" t="s">
        <v>95</v>
      </c>
      <c r="BE124" t="s">
        <v>94</v>
      </c>
      <c r="BF124" t="s">
        <v>94</v>
      </c>
      <c r="BG124" t="s">
        <v>95</v>
      </c>
      <c r="BH124" t="s">
        <v>94</v>
      </c>
    </row>
    <row r="125" spans="1:60" x14ac:dyDescent="0.3">
      <c r="A125">
        <v>20</v>
      </c>
      <c r="B125" t="s">
        <v>70</v>
      </c>
      <c r="C125" t="s">
        <v>157</v>
      </c>
      <c r="D125" t="s">
        <v>72</v>
      </c>
      <c r="E125" t="s">
        <v>108</v>
      </c>
      <c r="F125" t="s">
        <v>74</v>
      </c>
      <c r="G125" t="s">
        <v>135</v>
      </c>
      <c r="H125" t="s">
        <v>74</v>
      </c>
      <c r="I125" t="s">
        <v>115</v>
      </c>
      <c r="J125" t="s">
        <v>77</v>
      </c>
      <c r="K125" t="s">
        <v>131</v>
      </c>
      <c r="L125" t="s">
        <v>79</v>
      </c>
      <c r="M125" t="s">
        <v>132</v>
      </c>
      <c r="N125" t="s">
        <v>79</v>
      </c>
      <c r="O125" t="s">
        <v>81</v>
      </c>
      <c r="P125" t="s">
        <v>79</v>
      </c>
      <c r="Q125" t="s">
        <v>83</v>
      </c>
      <c r="R125" t="s">
        <v>79</v>
      </c>
      <c r="S125" t="s">
        <v>84</v>
      </c>
      <c r="T125" t="s">
        <v>215</v>
      </c>
      <c r="U125" t="s">
        <v>79</v>
      </c>
      <c r="V125" t="s">
        <v>106</v>
      </c>
      <c r="W125" t="s">
        <v>120</v>
      </c>
      <c r="X125" t="s">
        <v>112</v>
      </c>
      <c r="Y125" t="s">
        <v>95</v>
      </c>
      <c r="Z125" t="s">
        <v>94</v>
      </c>
      <c r="AA125" t="s">
        <v>92</v>
      </c>
      <c r="AB125" t="s">
        <v>92</v>
      </c>
      <c r="AC125" t="s">
        <v>92</v>
      </c>
      <c r="AD125" t="s">
        <v>95</v>
      </c>
      <c r="AE125" t="s">
        <v>95</v>
      </c>
      <c r="AF125" t="s">
        <v>94</v>
      </c>
      <c r="AG125" t="s">
        <v>95</v>
      </c>
      <c r="AH125" t="s">
        <v>95</v>
      </c>
      <c r="AI125" t="s">
        <v>95</v>
      </c>
      <c r="AJ125" t="s">
        <v>95</v>
      </c>
      <c r="AK125" t="s">
        <v>95</v>
      </c>
      <c r="AL125" t="s">
        <v>94</v>
      </c>
      <c r="AM125" t="s">
        <v>94</v>
      </c>
      <c r="AN125" t="s">
        <v>95</v>
      </c>
      <c r="AO125" t="s">
        <v>94</v>
      </c>
      <c r="AP125" t="s">
        <v>94</v>
      </c>
      <c r="AQ125" t="s">
        <v>92</v>
      </c>
      <c r="AR125" t="s">
        <v>94</v>
      </c>
      <c r="AS125" t="s">
        <v>92</v>
      </c>
      <c r="AT125" t="s">
        <v>92</v>
      </c>
      <c r="AU125" t="s">
        <v>92</v>
      </c>
      <c r="AV125" t="s">
        <v>92</v>
      </c>
      <c r="AW125" t="s">
        <v>92</v>
      </c>
      <c r="AX125" t="s">
        <v>92</v>
      </c>
      <c r="AY125" t="s">
        <v>92</v>
      </c>
      <c r="AZ125" t="s">
        <v>92</v>
      </c>
      <c r="BA125" t="s">
        <v>95</v>
      </c>
      <c r="BB125" t="s">
        <v>94</v>
      </c>
      <c r="BC125" t="s">
        <v>94</v>
      </c>
      <c r="BD125" t="s">
        <v>94</v>
      </c>
      <c r="BE125" t="s">
        <v>94</v>
      </c>
      <c r="BF125" t="s">
        <v>95</v>
      </c>
      <c r="BG125" t="s">
        <v>94</v>
      </c>
      <c r="BH125" t="s">
        <v>95</v>
      </c>
    </row>
    <row r="126" spans="1:60" x14ac:dyDescent="0.3">
      <c r="A126">
        <v>22</v>
      </c>
      <c r="B126" t="s">
        <v>70</v>
      </c>
      <c r="C126" t="s">
        <v>157</v>
      </c>
      <c r="D126" t="s">
        <v>72</v>
      </c>
      <c r="E126" t="s">
        <v>108</v>
      </c>
      <c r="F126" t="s">
        <v>136</v>
      </c>
      <c r="G126" t="s">
        <v>115</v>
      </c>
      <c r="H126" t="s">
        <v>98</v>
      </c>
      <c r="I126" t="s">
        <v>76</v>
      </c>
      <c r="J126" t="s">
        <v>101</v>
      </c>
      <c r="K126" t="s">
        <v>78</v>
      </c>
      <c r="L126" t="s">
        <v>79</v>
      </c>
      <c r="M126" t="s">
        <v>80</v>
      </c>
      <c r="N126" t="s">
        <v>79</v>
      </c>
      <c r="O126" t="s">
        <v>117</v>
      </c>
      <c r="P126" t="s">
        <v>79</v>
      </c>
      <c r="Q126" t="s">
        <v>103</v>
      </c>
      <c r="R126" t="s">
        <v>79</v>
      </c>
      <c r="S126" t="s">
        <v>161</v>
      </c>
      <c r="T126" t="s">
        <v>152</v>
      </c>
      <c r="U126" t="s">
        <v>82</v>
      </c>
      <c r="V126" t="s">
        <v>86</v>
      </c>
      <c r="W126" t="s">
        <v>141</v>
      </c>
      <c r="X126" t="s">
        <v>112</v>
      </c>
      <c r="Y126" t="s">
        <v>94</v>
      </c>
      <c r="Z126" t="s">
        <v>94</v>
      </c>
      <c r="AA126" t="s">
        <v>94</v>
      </c>
      <c r="AB126" t="s">
        <v>94</v>
      </c>
      <c r="AC126" t="s">
        <v>94</v>
      </c>
      <c r="AD126" t="s">
        <v>94</v>
      </c>
      <c r="AE126" t="s">
        <v>94</v>
      </c>
      <c r="AF126" t="s">
        <v>94</v>
      </c>
      <c r="AG126" t="s">
        <v>94</v>
      </c>
      <c r="AH126" t="s">
        <v>94</v>
      </c>
      <c r="AI126" t="s">
        <v>94</v>
      </c>
      <c r="AJ126" t="s">
        <v>94</v>
      </c>
      <c r="AK126" t="s">
        <v>94</v>
      </c>
      <c r="AL126" t="s">
        <v>94</v>
      </c>
      <c r="AM126" t="s">
        <v>94</v>
      </c>
      <c r="AN126" t="s">
        <v>94</v>
      </c>
      <c r="AO126" t="s">
        <v>94</v>
      </c>
      <c r="AP126" t="s">
        <v>94</v>
      </c>
      <c r="AQ126" t="s">
        <v>94</v>
      </c>
      <c r="AR126" t="s">
        <v>94</v>
      </c>
      <c r="AS126" t="s">
        <v>94</v>
      </c>
      <c r="AT126" t="s">
        <v>94</v>
      </c>
      <c r="AU126" t="s">
        <v>94</v>
      </c>
      <c r="AV126" t="s">
        <v>94</v>
      </c>
      <c r="AW126" t="s">
        <v>94</v>
      </c>
      <c r="AX126" t="s">
        <v>94</v>
      </c>
      <c r="AY126" t="s">
        <v>94</v>
      </c>
      <c r="AZ126" t="s">
        <v>94</v>
      </c>
      <c r="BA126" t="s">
        <v>94</v>
      </c>
      <c r="BB126" t="s">
        <v>94</v>
      </c>
      <c r="BC126" t="s">
        <v>94</v>
      </c>
      <c r="BD126" t="s">
        <v>94</v>
      </c>
      <c r="BE126" t="s">
        <v>94</v>
      </c>
      <c r="BF126" t="s">
        <v>94</v>
      </c>
      <c r="BG126" t="s">
        <v>94</v>
      </c>
      <c r="BH126" t="s">
        <v>94</v>
      </c>
    </row>
    <row r="127" spans="1:60" x14ac:dyDescent="0.3">
      <c r="A127">
        <v>19</v>
      </c>
      <c r="B127" t="s">
        <v>70</v>
      </c>
      <c r="C127" t="s">
        <v>157</v>
      </c>
      <c r="D127" t="s">
        <v>72</v>
      </c>
      <c r="E127" t="s">
        <v>114</v>
      </c>
      <c r="F127" t="s">
        <v>74</v>
      </c>
      <c r="G127" t="s">
        <v>135</v>
      </c>
      <c r="H127" t="s">
        <v>136</v>
      </c>
      <c r="I127" t="s">
        <v>76</v>
      </c>
      <c r="J127" t="s">
        <v>77</v>
      </c>
      <c r="K127" t="s">
        <v>78</v>
      </c>
      <c r="L127" t="s">
        <v>79</v>
      </c>
      <c r="M127" t="s">
        <v>80</v>
      </c>
      <c r="N127" t="s">
        <v>79</v>
      </c>
      <c r="O127" t="s">
        <v>138</v>
      </c>
      <c r="P127" t="s">
        <v>79</v>
      </c>
      <c r="Q127" t="s">
        <v>83</v>
      </c>
      <c r="R127" t="s">
        <v>79</v>
      </c>
      <c r="S127" t="s">
        <v>84</v>
      </c>
      <c r="T127" t="s">
        <v>124</v>
      </c>
      <c r="U127" t="s">
        <v>82</v>
      </c>
      <c r="V127" t="s">
        <v>106</v>
      </c>
      <c r="W127" t="s">
        <v>87</v>
      </c>
      <c r="X127" t="s">
        <v>112</v>
      </c>
      <c r="Y127" t="s">
        <v>93</v>
      </c>
      <c r="Z127" t="s">
        <v>93</v>
      </c>
      <c r="AA127" t="s">
        <v>93</v>
      </c>
      <c r="AB127" t="s">
        <v>93</v>
      </c>
      <c r="AC127" t="s">
        <v>94</v>
      </c>
      <c r="AD127" t="s">
        <v>94</v>
      </c>
      <c r="AE127" t="s">
        <v>95</v>
      </c>
      <c r="AF127" t="s">
        <v>94</v>
      </c>
      <c r="AG127" t="s">
        <v>94</v>
      </c>
      <c r="AH127" t="s">
        <v>94</v>
      </c>
      <c r="AI127" t="s">
        <v>93</v>
      </c>
      <c r="AJ127" t="s">
        <v>93</v>
      </c>
      <c r="AK127" t="s">
        <v>93</v>
      </c>
      <c r="AL127" t="s">
        <v>95</v>
      </c>
      <c r="AM127" t="s">
        <v>95</v>
      </c>
      <c r="AN127" t="s">
        <v>93</v>
      </c>
      <c r="AO127" t="s">
        <v>93</v>
      </c>
      <c r="AP127" t="s">
        <v>93</v>
      </c>
      <c r="AQ127" t="s">
        <v>95</v>
      </c>
      <c r="AR127" t="s">
        <v>95</v>
      </c>
      <c r="AS127" t="s">
        <v>95</v>
      </c>
      <c r="AT127" t="s">
        <v>95</v>
      </c>
      <c r="AU127" t="s">
        <v>92</v>
      </c>
      <c r="AV127" t="s">
        <v>93</v>
      </c>
      <c r="AW127" t="s">
        <v>93</v>
      </c>
      <c r="AX127" t="s">
        <v>95</v>
      </c>
      <c r="AY127" t="s">
        <v>94</v>
      </c>
      <c r="AZ127" t="s">
        <v>95</v>
      </c>
    </row>
    <row r="128" spans="1:60" x14ac:dyDescent="0.3">
      <c r="A128">
        <v>20</v>
      </c>
      <c r="B128" t="s">
        <v>70</v>
      </c>
      <c r="C128" t="s">
        <v>157</v>
      </c>
      <c r="D128" t="s">
        <v>97</v>
      </c>
      <c r="E128" t="s">
        <v>73</v>
      </c>
      <c r="F128" t="s">
        <v>74</v>
      </c>
      <c r="G128" t="s">
        <v>166</v>
      </c>
      <c r="H128" t="s">
        <v>98</v>
      </c>
      <c r="I128" t="s">
        <v>76</v>
      </c>
      <c r="J128" t="s">
        <v>77</v>
      </c>
      <c r="K128" t="s">
        <v>125</v>
      </c>
      <c r="L128" t="s">
        <v>79</v>
      </c>
      <c r="M128" t="s">
        <v>102</v>
      </c>
      <c r="N128" t="s">
        <v>79</v>
      </c>
      <c r="O128" t="s">
        <v>109</v>
      </c>
      <c r="P128" t="s">
        <v>82</v>
      </c>
      <c r="Q128" t="s">
        <v>83</v>
      </c>
      <c r="R128" t="s">
        <v>82</v>
      </c>
      <c r="S128" t="s">
        <v>137</v>
      </c>
      <c r="T128" t="s">
        <v>216</v>
      </c>
      <c r="U128" t="s">
        <v>82</v>
      </c>
      <c r="V128" t="s">
        <v>86</v>
      </c>
      <c r="W128" t="s">
        <v>141</v>
      </c>
      <c r="X128" t="s">
        <v>112</v>
      </c>
      <c r="Y128" t="s">
        <v>92</v>
      </c>
      <c r="Z128" t="s">
        <v>92</v>
      </c>
      <c r="AA128" t="s">
        <v>92</v>
      </c>
      <c r="AB128" t="s">
        <v>93</v>
      </c>
      <c r="AC128" t="s">
        <v>92</v>
      </c>
      <c r="AD128" t="s">
        <v>93</v>
      </c>
      <c r="AE128" t="s">
        <v>92</v>
      </c>
      <c r="AF128" t="s">
        <v>93</v>
      </c>
      <c r="AG128" t="s">
        <v>92</v>
      </c>
      <c r="AH128" t="s">
        <v>92</v>
      </c>
      <c r="AI128" t="s">
        <v>93</v>
      </c>
      <c r="AJ128" t="s">
        <v>92</v>
      </c>
      <c r="AK128" t="s">
        <v>92</v>
      </c>
      <c r="AL128" t="s">
        <v>92</v>
      </c>
      <c r="AM128" t="s">
        <v>92</v>
      </c>
      <c r="AN128" t="s">
        <v>92</v>
      </c>
      <c r="AO128" t="s">
        <v>92</v>
      </c>
      <c r="AP128" t="s">
        <v>93</v>
      </c>
      <c r="AQ128" t="s">
        <v>93</v>
      </c>
      <c r="AR128" t="s">
        <v>93</v>
      </c>
      <c r="AS128" t="s">
        <v>93</v>
      </c>
      <c r="AT128" t="s">
        <v>93</v>
      </c>
      <c r="AU128" t="s">
        <v>93</v>
      </c>
      <c r="AV128" t="s">
        <v>93</v>
      </c>
      <c r="AW128" t="s">
        <v>92</v>
      </c>
      <c r="AX128" t="s">
        <v>92</v>
      </c>
      <c r="AY128" t="s">
        <v>92</v>
      </c>
      <c r="AZ128" t="s">
        <v>92</v>
      </c>
      <c r="BA128" t="s">
        <v>92</v>
      </c>
      <c r="BB128" t="s">
        <v>93</v>
      </c>
      <c r="BC128" t="s">
        <v>93</v>
      </c>
      <c r="BD128" t="s">
        <v>92</v>
      </c>
      <c r="BE128" t="s">
        <v>93</v>
      </c>
      <c r="BF128" t="s">
        <v>92</v>
      </c>
      <c r="BG128" t="s">
        <v>93</v>
      </c>
      <c r="BH128" t="s">
        <v>93</v>
      </c>
    </row>
    <row r="129" spans="1:60" x14ac:dyDescent="0.3">
      <c r="A129">
        <v>21</v>
      </c>
      <c r="B129" t="s">
        <v>70</v>
      </c>
      <c r="C129" t="s">
        <v>157</v>
      </c>
      <c r="D129" t="s">
        <v>97</v>
      </c>
      <c r="E129" t="s">
        <v>114</v>
      </c>
      <c r="F129" t="s">
        <v>74</v>
      </c>
      <c r="G129" t="s">
        <v>135</v>
      </c>
      <c r="H129" t="s">
        <v>74</v>
      </c>
      <c r="I129" t="s">
        <v>76</v>
      </c>
      <c r="J129" t="s">
        <v>77</v>
      </c>
      <c r="K129" t="s">
        <v>131</v>
      </c>
      <c r="L129" t="s">
        <v>79</v>
      </c>
      <c r="M129" t="s">
        <v>132</v>
      </c>
      <c r="N129" t="s">
        <v>79</v>
      </c>
      <c r="O129" t="s">
        <v>81</v>
      </c>
      <c r="P129" t="s">
        <v>82</v>
      </c>
      <c r="Q129" t="s">
        <v>118</v>
      </c>
      <c r="R129" t="s">
        <v>79</v>
      </c>
      <c r="S129" t="s">
        <v>154</v>
      </c>
      <c r="T129" t="s">
        <v>167</v>
      </c>
      <c r="U129" t="s">
        <v>79</v>
      </c>
      <c r="V129" t="s">
        <v>106</v>
      </c>
      <c r="W129" t="s">
        <v>141</v>
      </c>
      <c r="X129" t="s">
        <v>112</v>
      </c>
      <c r="Y129" t="s">
        <v>94</v>
      </c>
      <c r="Z129" t="s">
        <v>94</v>
      </c>
      <c r="AA129" t="s">
        <v>95</v>
      </c>
      <c r="AB129" t="s">
        <v>94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94</v>
      </c>
      <c r="AL129" t="s">
        <v>95</v>
      </c>
      <c r="AM129" t="s">
        <v>94</v>
      </c>
      <c r="AN129" t="s">
        <v>94</v>
      </c>
      <c r="AO129" t="s">
        <v>94</v>
      </c>
      <c r="AP129" t="s">
        <v>94</v>
      </c>
      <c r="AQ129" t="s">
        <v>94</v>
      </c>
      <c r="AR129" t="s">
        <v>94</v>
      </c>
      <c r="AS129" t="s">
        <v>94</v>
      </c>
      <c r="AT129" t="s">
        <v>94</v>
      </c>
      <c r="AU129" t="s">
        <v>95</v>
      </c>
      <c r="AV129" t="s">
        <v>94</v>
      </c>
      <c r="AW129" t="s">
        <v>95</v>
      </c>
      <c r="AX129" t="s">
        <v>94</v>
      </c>
      <c r="AY129" t="s">
        <v>94</v>
      </c>
      <c r="AZ129" t="s">
        <v>94</v>
      </c>
      <c r="BA129" t="s">
        <v>94</v>
      </c>
      <c r="BB129" t="s">
        <v>94</v>
      </c>
      <c r="BC129" t="s">
        <v>95</v>
      </c>
      <c r="BD129" t="s">
        <v>94</v>
      </c>
      <c r="BE129" t="s">
        <v>94</v>
      </c>
      <c r="BF129" t="s">
        <v>95</v>
      </c>
      <c r="BG129" t="s">
        <v>94</v>
      </c>
      <c r="BH129" t="s">
        <v>95</v>
      </c>
    </row>
    <row r="130" spans="1:60" x14ac:dyDescent="0.3">
      <c r="A130">
        <v>22</v>
      </c>
      <c r="B130" t="s">
        <v>70</v>
      </c>
      <c r="C130" t="s">
        <v>157</v>
      </c>
      <c r="D130" t="s">
        <v>72</v>
      </c>
      <c r="E130" t="s">
        <v>114</v>
      </c>
      <c r="F130" t="s">
        <v>98</v>
      </c>
      <c r="G130" t="s">
        <v>135</v>
      </c>
      <c r="H130" t="s">
        <v>98</v>
      </c>
      <c r="I130" t="s">
        <v>76</v>
      </c>
      <c r="J130" t="s">
        <v>77</v>
      </c>
      <c r="K130" t="s">
        <v>122</v>
      </c>
      <c r="L130" t="s">
        <v>79</v>
      </c>
      <c r="M130" t="s">
        <v>102</v>
      </c>
      <c r="N130" t="s">
        <v>79</v>
      </c>
      <c r="O130" t="s">
        <v>117</v>
      </c>
      <c r="P130" t="s">
        <v>82</v>
      </c>
      <c r="Q130" t="s">
        <v>83</v>
      </c>
      <c r="R130" t="s">
        <v>79</v>
      </c>
      <c r="S130" t="s">
        <v>84</v>
      </c>
      <c r="T130" t="s">
        <v>124</v>
      </c>
      <c r="U130" t="s">
        <v>82</v>
      </c>
      <c r="V130" t="s">
        <v>86</v>
      </c>
      <c r="W130" t="s">
        <v>87</v>
      </c>
      <c r="X130" t="s">
        <v>88</v>
      </c>
      <c r="Y130" t="s">
        <v>93</v>
      </c>
      <c r="Z130" t="s">
        <v>93</v>
      </c>
      <c r="AA130" t="s">
        <v>93</v>
      </c>
      <c r="AB130" t="s">
        <v>93</v>
      </c>
      <c r="AC130" t="s">
        <v>94</v>
      </c>
      <c r="AD130" t="s">
        <v>94</v>
      </c>
      <c r="AE130" t="s">
        <v>95</v>
      </c>
      <c r="AF130" t="s">
        <v>93</v>
      </c>
      <c r="AG130" t="s">
        <v>93</v>
      </c>
      <c r="AH130" t="s">
        <v>93</v>
      </c>
      <c r="AI130" t="s">
        <v>93</v>
      </c>
      <c r="AJ130" t="s">
        <v>93</v>
      </c>
      <c r="AK130" t="s">
        <v>93</v>
      </c>
      <c r="AL130" t="s">
        <v>95</v>
      </c>
      <c r="AM130" t="s">
        <v>95</v>
      </c>
      <c r="AN130" t="s">
        <v>93</v>
      </c>
      <c r="AO130" t="s">
        <v>93</v>
      </c>
      <c r="AP130" t="s">
        <v>93</v>
      </c>
      <c r="AQ130" t="s">
        <v>95</v>
      </c>
      <c r="AR130" t="s">
        <v>95</v>
      </c>
      <c r="AS130" t="s">
        <v>95</v>
      </c>
      <c r="AT130" t="s">
        <v>95</v>
      </c>
      <c r="AU130" t="s">
        <v>93</v>
      </c>
      <c r="AV130" t="s">
        <v>93</v>
      </c>
      <c r="AW130" t="s">
        <v>93</v>
      </c>
      <c r="AX130" t="s">
        <v>95</v>
      </c>
      <c r="AY130" t="s">
        <v>95</v>
      </c>
      <c r="AZ130" t="s">
        <v>95</v>
      </c>
      <c r="BA130" t="s">
        <v>93</v>
      </c>
      <c r="BB130" t="s">
        <v>93</v>
      </c>
      <c r="BC130" t="s">
        <v>93</v>
      </c>
      <c r="BD130" t="s">
        <v>93</v>
      </c>
      <c r="BE130" t="s">
        <v>93</v>
      </c>
      <c r="BF130" t="s">
        <v>95</v>
      </c>
      <c r="BG130" t="s">
        <v>95</v>
      </c>
      <c r="BH130" t="s">
        <v>95</v>
      </c>
    </row>
    <row r="131" spans="1:60" x14ac:dyDescent="0.3">
      <c r="A131">
        <v>21</v>
      </c>
      <c r="B131" t="s">
        <v>70</v>
      </c>
      <c r="C131" t="s">
        <v>96</v>
      </c>
      <c r="D131" t="s">
        <v>72</v>
      </c>
      <c r="E131" t="s">
        <v>73</v>
      </c>
      <c r="F131" t="s">
        <v>74</v>
      </c>
      <c r="G131" t="s">
        <v>115</v>
      </c>
      <c r="H131" t="s">
        <v>74</v>
      </c>
      <c r="I131" t="s">
        <v>75</v>
      </c>
      <c r="J131" t="s">
        <v>77</v>
      </c>
      <c r="K131" t="s">
        <v>78</v>
      </c>
      <c r="L131" t="s">
        <v>79</v>
      </c>
      <c r="M131" t="s">
        <v>80</v>
      </c>
      <c r="N131" t="s">
        <v>79</v>
      </c>
      <c r="O131" t="s">
        <v>81</v>
      </c>
      <c r="P131" t="s">
        <v>79</v>
      </c>
      <c r="Q131" t="s">
        <v>83</v>
      </c>
      <c r="R131" t="s">
        <v>79</v>
      </c>
      <c r="S131" t="s">
        <v>84</v>
      </c>
      <c r="T131" t="s">
        <v>124</v>
      </c>
      <c r="U131" t="s">
        <v>82</v>
      </c>
      <c r="V131" t="s">
        <v>86</v>
      </c>
      <c r="W131" t="s">
        <v>120</v>
      </c>
      <c r="X131" t="s">
        <v>112</v>
      </c>
      <c r="Y131" t="s">
        <v>95</v>
      </c>
      <c r="Z131" t="s">
        <v>95</v>
      </c>
      <c r="AA131" t="s">
        <v>95</v>
      </c>
      <c r="AB131" t="s">
        <v>95</v>
      </c>
      <c r="AC131" t="s">
        <v>95</v>
      </c>
      <c r="AD131" t="s">
        <v>95</v>
      </c>
      <c r="AE131" t="s">
        <v>95</v>
      </c>
      <c r="AF131" t="s">
        <v>95</v>
      </c>
      <c r="AG131" t="s">
        <v>95</v>
      </c>
      <c r="AH131" t="s">
        <v>95</v>
      </c>
      <c r="AI131" t="s">
        <v>95</v>
      </c>
      <c r="AJ131" t="s">
        <v>95</v>
      </c>
      <c r="AK131" t="s">
        <v>95</v>
      </c>
      <c r="AL131" t="s">
        <v>95</v>
      </c>
      <c r="AM131" t="s">
        <v>95</v>
      </c>
      <c r="AN131" t="s">
        <v>95</v>
      </c>
      <c r="AO131" t="s">
        <v>95</v>
      </c>
      <c r="AP131" t="s">
        <v>95</v>
      </c>
      <c r="AQ131" t="s">
        <v>95</v>
      </c>
      <c r="AR131" t="s">
        <v>95</v>
      </c>
      <c r="AS131" t="s">
        <v>95</v>
      </c>
      <c r="AT131" t="s">
        <v>95</v>
      </c>
      <c r="AU131" t="s">
        <v>95</v>
      </c>
      <c r="AV131" t="s">
        <v>95</v>
      </c>
      <c r="AW131" t="s">
        <v>95</v>
      </c>
      <c r="AX131" t="s">
        <v>95</v>
      </c>
      <c r="AY131" t="s">
        <v>95</v>
      </c>
      <c r="AZ131" t="s">
        <v>95</v>
      </c>
      <c r="BA131" t="s">
        <v>95</v>
      </c>
      <c r="BB131" t="s">
        <v>95</v>
      </c>
      <c r="BC131" t="s">
        <v>95</v>
      </c>
      <c r="BD131" t="s">
        <v>95</v>
      </c>
      <c r="BE131" t="s">
        <v>95</v>
      </c>
      <c r="BF131" t="s">
        <v>95</v>
      </c>
      <c r="BG131" t="s">
        <v>95</v>
      </c>
      <c r="BH131" t="s">
        <v>95</v>
      </c>
    </row>
    <row r="132" spans="1:60" x14ac:dyDescent="0.3">
      <c r="A132">
        <v>21</v>
      </c>
      <c r="B132" t="s">
        <v>70</v>
      </c>
      <c r="C132" t="s">
        <v>96</v>
      </c>
      <c r="D132" t="s">
        <v>72</v>
      </c>
      <c r="E132" t="s">
        <v>108</v>
      </c>
      <c r="F132" t="s">
        <v>74</v>
      </c>
      <c r="G132" t="s">
        <v>75</v>
      </c>
      <c r="H132" t="s">
        <v>74</v>
      </c>
      <c r="I132" t="s">
        <v>115</v>
      </c>
      <c r="J132" t="s">
        <v>77</v>
      </c>
      <c r="K132" t="s">
        <v>78</v>
      </c>
      <c r="L132" t="s">
        <v>79</v>
      </c>
      <c r="M132" t="s">
        <v>80</v>
      </c>
      <c r="N132" t="s">
        <v>79</v>
      </c>
      <c r="O132" t="s">
        <v>117</v>
      </c>
      <c r="P132" t="s">
        <v>79</v>
      </c>
      <c r="Q132" t="s">
        <v>83</v>
      </c>
      <c r="R132" t="s">
        <v>82</v>
      </c>
      <c r="S132" t="s">
        <v>84</v>
      </c>
      <c r="T132" t="s">
        <v>85</v>
      </c>
      <c r="U132" t="s">
        <v>82</v>
      </c>
      <c r="V132" t="s">
        <v>86</v>
      </c>
      <c r="W132" t="s">
        <v>120</v>
      </c>
      <c r="X132" t="s">
        <v>112</v>
      </c>
      <c r="Y132" t="s">
        <v>92</v>
      </c>
      <c r="Z132" t="s">
        <v>92</v>
      </c>
      <c r="AA132" t="s">
        <v>92</v>
      </c>
      <c r="AB132" t="s">
        <v>92</v>
      </c>
      <c r="AC132" t="s">
        <v>92</v>
      </c>
      <c r="AD132" t="s">
        <v>92</v>
      </c>
      <c r="AE132" t="s">
        <v>94</v>
      </c>
      <c r="AF132" t="s">
        <v>94</v>
      </c>
      <c r="AG132" t="s">
        <v>92</v>
      </c>
      <c r="AH132" t="s">
        <v>95</v>
      </c>
      <c r="AI132" t="s">
        <v>92</v>
      </c>
      <c r="AJ132" t="s">
        <v>92</v>
      </c>
      <c r="AK132" t="s">
        <v>93</v>
      </c>
      <c r="AL132" t="s">
        <v>92</v>
      </c>
      <c r="AM132" t="s">
        <v>94</v>
      </c>
      <c r="AN132" t="s">
        <v>92</v>
      </c>
      <c r="AO132" t="s">
        <v>92</v>
      </c>
      <c r="AP132" t="s">
        <v>92</v>
      </c>
      <c r="AQ132" t="s">
        <v>94</v>
      </c>
      <c r="AR132" t="s">
        <v>92</v>
      </c>
      <c r="AS132" t="s">
        <v>95</v>
      </c>
      <c r="AT132" t="s">
        <v>94</v>
      </c>
      <c r="AU132" t="s">
        <v>94</v>
      </c>
      <c r="AV132" t="s">
        <v>92</v>
      </c>
      <c r="AW132" t="s">
        <v>92</v>
      </c>
      <c r="AX132" t="s">
        <v>92</v>
      </c>
      <c r="AY132" t="s">
        <v>94</v>
      </c>
      <c r="AZ132" t="s">
        <v>94</v>
      </c>
      <c r="BA132" t="s">
        <v>92</v>
      </c>
      <c r="BB132" t="s">
        <v>92</v>
      </c>
      <c r="BC132" t="s">
        <v>92</v>
      </c>
      <c r="BD132" t="s">
        <v>92</v>
      </c>
      <c r="BE132" t="s">
        <v>92</v>
      </c>
      <c r="BF132" t="s">
        <v>92</v>
      </c>
      <c r="BG132" t="s">
        <v>95</v>
      </c>
      <c r="BH132" t="s">
        <v>94</v>
      </c>
    </row>
    <row r="133" spans="1:60" x14ac:dyDescent="0.3">
      <c r="A133">
        <v>21</v>
      </c>
      <c r="B133" t="s">
        <v>70</v>
      </c>
      <c r="C133" t="s">
        <v>157</v>
      </c>
      <c r="D133" t="s">
        <v>97</v>
      </c>
      <c r="E133" t="s">
        <v>108</v>
      </c>
      <c r="F133" t="s">
        <v>74</v>
      </c>
      <c r="G133" t="s">
        <v>115</v>
      </c>
      <c r="H133" t="s">
        <v>74</v>
      </c>
      <c r="I133" t="s">
        <v>76</v>
      </c>
      <c r="J133" t="s">
        <v>77</v>
      </c>
      <c r="K133" t="s">
        <v>131</v>
      </c>
      <c r="L133" t="s">
        <v>79</v>
      </c>
      <c r="M133" t="s">
        <v>80</v>
      </c>
      <c r="N133" t="s">
        <v>82</v>
      </c>
      <c r="O133" t="s">
        <v>138</v>
      </c>
      <c r="P133" t="s">
        <v>79</v>
      </c>
      <c r="Q133" t="s">
        <v>83</v>
      </c>
      <c r="R133" t="s">
        <v>79</v>
      </c>
      <c r="S133" t="s">
        <v>84</v>
      </c>
      <c r="T133" t="s">
        <v>124</v>
      </c>
      <c r="U133" t="s">
        <v>79</v>
      </c>
      <c r="V133" t="s">
        <v>106</v>
      </c>
      <c r="W133" t="s">
        <v>87</v>
      </c>
      <c r="X133" t="s">
        <v>112</v>
      </c>
      <c r="Y133" t="s">
        <v>92</v>
      </c>
      <c r="Z133" t="s">
        <v>92</v>
      </c>
      <c r="AA133" t="s">
        <v>92</v>
      </c>
      <c r="AB133" t="s">
        <v>92</v>
      </c>
      <c r="AC133" t="s">
        <v>92</v>
      </c>
      <c r="AD133" t="s">
        <v>92</v>
      </c>
      <c r="AE133" t="s">
        <v>92</v>
      </c>
      <c r="AF133" t="s">
        <v>92</v>
      </c>
      <c r="AG133" t="s">
        <v>92</v>
      </c>
      <c r="AH133" t="s">
        <v>92</v>
      </c>
      <c r="AI133" t="s">
        <v>92</v>
      </c>
      <c r="AJ133" t="s">
        <v>92</v>
      </c>
      <c r="AK133" t="s">
        <v>92</v>
      </c>
      <c r="AL133" t="s">
        <v>92</v>
      </c>
      <c r="AM133" t="s">
        <v>92</v>
      </c>
      <c r="AN133" t="s">
        <v>93</v>
      </c>
      <c r="AO133" t="s">
        <v>93</v>
      </c>
      <c r="AP133" t="s">
        <v>93</v>
      </c>
      <c r="AQ133" t="s">
        <v>93</v>
      </c>
      <c r="AR133" t="s">
        <v>93</v>
      </c>
      <c r="AS133" t="s">
        <v>93</v>
      </c>
      <c r="AT133" t="s">
        <v>93</v>
      </c>
      <c r="AU133" t="s">
        <v>95</v>
      </c>
      <c r="AV133" t="s">
        <v>95</v>
      </c>
      <c r="AW133" t="s">
        <v>95</v>
      </c>
      <c r="AX133" t="s">
        <v>95</v>
      </c>
      <c r="AY133" t="s">
        <v>93</v>
      </c>
      <c r="AZ133" t="s">
        <v>95</v>
      </c>
      <c r="BA133" t="s">
        <v>93</v>
      </c>
      <c r="BB133" t="s">
        <v>94</v>
      </c>
      <c r="BC133" t="s">
        <v>92</v>
      </c>
      <c r="BD133" t="s">
        <v>94</v>
      </c>
      <c r="BE133" t="s">
        <v>94</v>
      </c>
      <c r="BF133" t="s">
        <v>93</v>
      </c>
      <c r="BG133" t="s">
        <v>94</v>
      </c>
      <c r="BH133" t="s">
        <v>94</v>
      </c>
    </row>
    <row r="134" spans="1:60" x14ac:dyDescent="0.3">
      <c r="A134">
        <v>21</v>
      </c>
      <c r="B134" t="s">
        <v>128</v>
      </c>
      <c r="C134" t="s">
        <v>157</v>
      </c>
      <c r="D134" t="s">
        <v>72</v>
      </c>
      <c r="E134" t="s">
        <v>114</v>
      </c>
      <c r="F134" t="s">
        <v>136</v>
      </c>
      <c r="G134" t="s">
        <v>135</v>
      </c>
      <c r="H134" t="s">
        <v>98</v>
      </c>
      <c r="I134" t="s">
        <v>76</v>
      </c>
      <c r="J134" t="s">
        <v>77</v>
      </c>
      <c r="K134" t="s">
        <v>125</v>
      </c>
      <c r="L134" t="s">
        <v>79</v>
      </c>
      <c r="M134" t="s">
        <v>80</v>
      </c>
      <c r="N134" t="s">
        <v>79</v>
      </c>
      <c r="O134" t="s">
        <v>109</v>
      </c>
      <c r="P134" t="s">
        <v>82</v>
      </c>
      <c r="Q134" t="s">
        <v>83</v>
      </c>
      <c r="R134" t="s">
        <v>79</v>
      </c>
      <c r="S134" t="s">
        <v>84</v>
      </c>
      <c r="T134" t="s">
        <v>190</v>
      </c>
      <c r="U134" t="s">
        <v>79</v>
      </c>
      <c r="V134" t="s">
        <v>106</v>
      </c>
      <c r="W134" t="s">
        <v>120</v>
      </c>
      <c r="X134" t="s">
        <v>112</v>
      </c>
      <c r="Y134" t="s">
        <v>94</v>
      </c>
      <c r="Z134" t="s">
        <v>92</v>
      </c>
      <c r="AA134" t="s">
        <v>93</v>
      </c>
      <c r="AB134" t="s">
        <v>93</v>
      </c>
      <c r="AC134" t="s">
        <v>92</v>
      </c>
      <c r="AD134" t="s">
        <v>92</v>
      </c>
      <c r="AE134" t="s">
        <v>93</v>
      </c>
      <c r="AF134" t="s">
        <v>92</v>
      </c>
      <c r="AG134" t="s">
        <v>93</v>
      </c>
      <c r="AH134" t="s">
        <v>92</v>
      </c>
      <c r="AI134" t="s">
        <v>92</v>
      </c>
      <c r="AJ134" t="s">
        <v>92</v>
      </c>
      <c r="AK134" t="s">
        <v>92</v>
      </c>
      <c r="AL134" t="s">
        <v>92</v>
      </c>
      <c r="AM134" t="s">
        <v>92</v>
      </c>
      <c r="AN134" t="s">
        <v>94</v>
      </c>
      <c r="AO134" t="s">
        <v>92</v>
      </c>
      <c r="AP134" t="s">
        <v>92</v>
      </c>
      <c r="AQ134" t="s">
        <v>94</v>
      </c>
      <c r="AR134" t="s">
        <v>92</v>
      </c>
      <c r="AS134" t="s">
        <v>92</v>
      </c>
      <c r="AT134" t="s">
        <v>93</v>
      </c>
      <c r="AU134" t="s">
        <v>94</v>
      </c>
      <c r="AV134" t="s">
        <v>93</v>
      </c>
      <c r="AW134" t="s">
        <v>92</v>
      </c>
      <c r="AX134" t="s">
        <v>93</v>
      </c>
      <c r="AY134" t="s">
        <v>92</v>
      </c>
      <c r="AZ134" t="s">
        <v>93</v>
      </c>
      <c r="BA134" t="s">
        <v>94</v>
      </c>
      <c r="BB134" t="s">
        <v>92</v>
      </c>
      <c r="BC134" t="s">
        <v>93</v>
      </c>
      <c r="BD134" t="s">
        <v>93</v>
      </c>
      <c r="BE134" t="s">
        <v>92</v>
      </c>
      <c r="BF134" t="s">
        <v>93</v>
      </c>
      <c r="BG134" t="s">
        <v>93</v>
      </c>
      <c r="BH134" t="s">
        <v>93</v>
      </c>
    </row>
    <row r="135" spans="1:60" x14ac:dyDescent="0.3">
      <c r="A135">
        <v>21</v>
      </c>
      <c r="B135" t="s">
        <v>128</v>
      </c>
      <c r="C135" t="s">
        <v>96</v>
      </c>
      <c r="D135" t="s">
        <v>72</v>
      </c>
      <c r="E135" t="s">
        <v>114</v>
      </c>
      <c r="F135" t="s">
        <v>74</v>
      </c>
      <c r="G135" t="s">
        <v>115</v>
      </c>
      <c r="H135" t="s">
        <v>136</v>
      </c>
      <c r="I135" t="s">
        <v>76</v>
      </c>
      <c r="J135" t="s">
        <v>77</v>
      </c>
      <c r="K135" t="s">
        <v>122</v>
      </c>
      <c r="L135" t="s">
        <v>79</v>
      </c>
      <c r="M135" t="s">
        <v>80</v>
      </c>
      <c r="N135" t="s">
        <v>79</v>
      </c>
      <c r="O135" t="s">
        <v>138</v>
      </c>
      <c r="P135" t="s">
        <v>79</v>
      </c>
      <c r="Q135" t="s">
        <v>83</v>
      </c>
      <c r="R135" t="s">
        <v>79</v>
      </c>
      <c r="S135" t="s">
        <v>184</v>
      </c>
      <c r="T135" t="s">
        <v>85</v>
      </c>
      <c r="U135" t="s">
        <v>79</v>
      </c>
      <c r="V135" t="s">
        <v>148</v>
      </c>
      <c r="W135" t="s">
        <v>87</v>
      </c>
      <c r="X135" t="s">
        <v>88</v>
      </c>
      <c r="Y135" t="s">
        <v>94</v>
      </c>
      <c r="Z135" t="s">
        <v>95</v>
      </c>
      <c r="AA135" t="s">
        <v>94</v>
      </c>
      <c r="AB135" t="s">
        <v>95</v>
      </c>
      <c r="AC135" t="s">
        <v>94</v>
      </c>
      <c r="AD135" t="s">
        <v>95</v>
      </c>
      <c r="AE135" t="s">
        <v>95</v>
      </c>
      <c r="AF135" t="s">
        <v>94</v>
      </c>
      <c r="AG135" t="s">
        <v>95</v>
      </c>
      <c r="AH135" t="s">
        <v>94</v>
      </c>
      <c r="AI135" t="s">
        <v>95</v>
      </c>
      <c r="AJ135" t="s">
        <v>94</v>
      </c>
      <c r="AK135" t="s">
        <v>95</v>
      </c>
      <c r="AL135" t="s">
        <v>94</v>
      </c>
      <c r="AM135" t="s">
        <v>95</v>
      </c>
      <c r="AN135" t="s">
        <v>94</v>
      </c>
      <c r="AO135" t="s">
        <v>94</v>
      </c>
      <c r="AP135" t="s">
        <v>94</v>
      </c>
      <c r="AQ135" t="s">
        <v>94</v>
      </c>
      <c r="AR135" t="s">
        <v>92</v>
      </c>
      <c r="AS135" t="s">
        <v>94</v>
      </c>
      <c r="AT135" t="s">
        <v>95</v>
      </c>
      <c r="AU135" t="s">
        <v>94</v>
      </c>
      <c r="AV135" t="s">
        <v>94</v>
      </c>
      <c r="AW135" t="s">
        <v>92</v>
      </c>
      <c r="AX135" t="s">
        <v>95</v>
      </c>
      <c r="AY135" t="s">
        <v>94</v>
      </c>
      <c r="AZ135" t="s">
        <v>95</v>
      </c>
      <c r="BA135" t="s">
        <v>94</v>
      </c>
      <c r="BB135" t="s">
        <v>94</v>
      </c>
      <c r="BC135" t="s">
        <v>95</v>
      </c>
      <c r="BD135" t="s">
        <v>94</v>
      </c>
      <c r="BE135" t="s">
        <v>95</v>
      </c>
      <c r="BF135" t="s">
        <v>95</v>
      </c>
      <c r="BG135" t="s">
        <v>94</v>
      </c>
      <c r="BH135" t="s">
        <v>95</v>
      </c>
    </row>
    <row r="136" spans="1:60" x14ac:dyDescent="0.3">
      <c r="A136">
        <v>24</v>
      </c>
      <c r="B136" t="s">
        <v>70</v>
      </c>
      <c r="C136" t="s">
        <v>113</v>
      </c>
      <c r="D136" t="s">
        <v>149</v>
      </c>
      <c r="E136" t="s">
        <v>73</v>
      </c>
      <c r="F136" t="s">
        <v>74</v>
      </c>
      <c r="G136" t="s">
        <v>75</v>
      </c>
      <c r="H136" t="s">
        <v>136</v>
      </c>
      <c r="I136" t="s">
        <v>76</v>
      </c>
      <c r="J136" t="s">
        <v>77</v>
      </c>
      <c r="K136" t="s">
        <v>122</v>
      </c>
      <c r="L136" t="s">
        <v>79</v>
      </c>
      <c r="M136" t="s">
        <v>102</v>
      </c>
      <c r="N136" t="s">
        <v>79</v>
      </c>
      <c r="O136" t="s">
        <v>117</v>
      </c>
      <c r="P136" t="s">
        <v>82</v>
      </c>
      <c r="Q136" t="s">
        <v>83</v>
      </c>
      <c r="R136" t="s">
        <v>82</v>
      </c>
      <c r="S136" t="s">
        <v>211</v>
      </c>
      <c r="T136" t="s">
        <v>85</v>
      </c>
      <c r="U136" t="s">
        <v>82</v>
      </c>
      <c r="V136" t="s">
        <v>106</v>
      </c>
      <c r="W136" t="s">
        <v>141</v>
      </c>
      <c r="X136" t="s">
        <v>112</v>
      </c>
      <c r="Y136" t="s">
        <v>94</v>
      </c>
      <c r="Z136" t="s">
        <v>94</v>
      </c>
      <c r="AA136" t="s">
        <v>94</v>
      </c>
      <c r="AB136" t="s">
        <v>94</v>
      </c>
      <c r="AC136" t="s">
        <v>94</v>
      </c>
      <c r="AD136" t="s">
        <v>94</v>
      </c>
      <c r="AE136" t="s">
        <v>94</v>
      </c>
      <c r="AF136" t="s">
        <v>94</v>
      </c>
      <c r="AG136" t="s">
        <v>94</v>
      </c>
      <c r="AH136" t="s">
        <v>94</v>
      </c>
      <c r="AI136" t="s">
        <v>94</v>
      </c>
      <c r="AJ136" t="s">
        <v>94</v>
      </c>
      <c r="AK136" t="s">
        <v>94</v>
      </c>
      <c r="AL136" t="s">
        <v>94</v>
      </c>
      <c r="AM136" t="s">
        <v>94</v>
      </c>
      <c r="AN136" t="s">
        <v>94</v>
      </c>
      <c r="AO136" t="s">
        <v>94</v>
      </c>
      <c r="AP136" t="s">
        <v>94</v>
      </c>
      <c r="AQ136" t="s">
        <v>94</v>
      </c>
      <c r="AR136" t="s">
        <v>94</v>
      </c>
      <c r="AS136" t="s">
        <v>94</v>
      </c>
      <c r="AT136" t="s">
        <v>94</v>
      </c>
      <c r="AU136" t="s">
        <v>94</v>
      </c>
      <c r="AV136" t="s">
        <v>94</v>
      </c>
      <c r="AW136" t="s">
        <v>94</v>
      </c>
      <c r="AX136" t="s">
        <v>94</v>
      </c>
      <c r="AY136" t="s">
        <v>94</v>
      </c>
      <c r="AZ136" t="s">
        <v>94</v>
      </c>
      <c r="BA136" t="s">
        <v>94</v>
      </c>
      <c r="BB136" t="s">
        <v>94</v>
      </c>
      <c r="BC136" t="s">
        <v>94</v>
      </c>
      <c r="BD136" t="s">
        <v>94</v>
      </c>
      <c r="BE136" t="s">
        <v>94</v>
      </c>
      <c r="BF136" t="s">
        <v>94</v>
      </c>
      <c r="BG136" t="s">
        <v>94</v>
      </c>
      <c r="BH136" t="s">
        <v>94</v>
      </c>
    </row>
    <row r="137" spans="1:60" x14ac:dyDescent="0.3">
      <c r="A137">
        <v>25</v>
      </c>
      <c r="B137" t="s">
        <v>70</v>
      </c>
      <c r="C137" t="s">
        <v>71</v>
      </c>
      <c r="D137" t="s">
        <v>72</v>
      </c>
      <c r="E137" t="s">
        <v>73</v>
      </c>
      <c r="F137" t="s">
        <v>74</v>
      </c>
      <c r="G137" t="s">
        <v>115</v>
      </c>
      <c r="H137" t="s">
        <v>74</v>
      </c>
      <c r="I137" t="s">
        <v>75</v>
      </c>
      <c r="J137" t="s">
        <v>77</v>
      </c>
      <c r="K137" t="s">
        <v>78</v>
      </c>
      <c r="L137" t="s">
        <v>79</v>
      </c>
      <c r="M137" t="s">
        <v>102</v>
      </c>
      <c r="N137" t="s">
        <v>79</v>
      </c>
      <c r="O137" t="s">
        <v>81</v>
      </c>
      <c r="P137" t="s">
        <v>82</v>
      </c>
      <c r="Q137" t="s">
        <v>103</v>
      </c>
      <c r="R137" t="s">
        <v>82</v>
      </c>
      <c r="S137" t="s">
        <v>217</v>
      </c>
      <c r="T137" t="s">
        <v>158</v>
      </c>
      <c r="U137" t="s">
        <v>82</v>
      </c>
      <c r="V137" t="s">
        <v>106</v>
      </c>
      <c r="W137" t="s">
        <v>141</v>
      </c>
      <c r="X137" t="s">
        <v>112</v>
      </c>
      <c r="Y137" t="s">
        <v>94</v>
      </c>
      <c r="Z137" t="s">
        <v>94</v>
      </c>
      <c r="AA137" t="s">
        <v>94</v>
      </c>
      <c r="AB137" t="s">
        <v>94</v>
      </c>
      <c r="AC137" t="s">
        <v>94</v>
      </c>
      <c r="AD137" t="s">
        <v>94</v>
      </c>
      <c r="AE137" t="s">
        <v>94</v>
      </c>
      <c r="AF137" t="s">
        <v>94</v>
      </c>
      <c r="AG137" t="s">
        <v>94</v>
      </c>
      <c r="AH137" t="s">
        <v>94</v>
      </c>
      <c r="AI137" t="s">
        <v>94</v>
      </c>
      <c r="AJ137" t="s">
        <v>94</v>
      </c>
      <c r="AK137" t="s">
        <v>94</v>
      </c>
      <c r="AL137" t="s">
        <v>94</v>
      </c>
      <c r="AM137" t="s">
        <v>94</v>
      </c>
      <c r="AN137" t="s">
        <v>93</v>
      </c>
      <c r="AO137" t="s">
        <v>94</v>
      </c>
      <c r="AP137" t="s">
        <v>94</v>
      </c>
      <c r="AQ137" t="s">
        <v>94</v>
      </c>
      <c r="AR137" t="s">
        <v>94</v>
      </c>
      <c r="AS137" t="s">
        <v>94</v>
      </c>
      <c r="AT137" t="s">
        <v>94</v>
      </c>
      <c r="AU137" t="s">
        <v>94</v>
      </c>
      <c r="AV137" t="s">
        <v>94</v>
      </c>
      <c r="AW137" t="s">
        <v>94</v>
      </c>
      <c r="AX137" t="s">
        <v>94</v>
      </c>
      <c r="AY137" t="s">
        <v>94</v>
      </c>
      <c r="AZ137" t="s">
        <v>94</v>
      </c>
      <c r="BA137" t="s">
        <v>94</v>
      </c>
      <c r="BB137" t="s">
        <v>94</v>
      </c>
      <c r="BC137" t="s">
        <v>94</v>
      </c>
      <c r="BD137" t="s">
        <v>94</v>
      </c>
      <c r="BE137" t="s">
        <v>94</v>
      </c>
      <c r="BF137" t="s">
        <v>94</v>
      </c>
      <c r="BG137" t="s">
        <v>94</v>
      </c>
      <c r="BH137" t="s">
        <v>94</v>
      </c>
    </row>
    <row r="138" spans="1:60" x14ac:dyDescent="0.3">
      <c r="A138">
        <v>21</v>
      </c>
      <c r="B138" t="s">
        <v>70</v>
      </c>
      <c r="C138" t="s">
        <v>157</v>
      </c>
      <c r="D138" t="s">
        <v>97</v>
      </c>
      <c r="E138" t="s">
        <v>108</v>
      </c>
      <c r="F138" t="s">
        <v>136</v>
      </c>
      <c r="G138" t="s">
        <v>135</v>
      </c>
      <c r="H138" t="s">
        <v>136</v>
      </c>
      <c r="I138" t="s">
        <v>76</v>
      </c>
      <c r="J138" t="s">
        <v>77</v>
      </c>
      <c r="K138" t="s">
        <v>122</v>
      </c>
      <c r="L138" t="s">
        <v>82</v>
      </c>
      <c r="M138" t="s">
        <v>102</v>
      </c>
      <c r="N138" t="s">
        <v>79</v>
      </c>
      <c r="O138" t="s">
        <v>81</v>
      </c>
      <c r="P138" t="s">
        <v>82</v>
      </c>
      <c r="Q138" t="s">
        <v>83</v>
      </c>
      <c r="R138" t="s">
        <v>82</v>
      </c>
      <c r="S138" t="s">
        <v>218</v>
      </c>
      <c r="T138" t="s">
        <v>219</v>
      </c>
      <c r="U138" t="s">
        <v>82</v>
      </c>
      <c r="V138" t="s">
        <v>106</v>
      </c>
      <c r="W138" t="s">
        <v>141</v>
      </c>
      <c r="Y138" t="s">
        <v>94</v>
      </c>
      <c r="Z138" t="s">
        <v>94</v>
      </c>
      <c r="AA138" t="s">
        <v>94</v>
      </c>
      <c r="AB138" t="s">
        <v>92</v>
      </c>
      <c r="AC138" t="s">
        <v>92</v>
      </c>
      <c r="AD138" t="s">
        <v>92</v>
      </c>
      <c r="AE138" t="s">
        <v>94</v>
      </c>
      <c r="AF138" t="s">
        <v>92</v>
      </c>
      <c r="AG138" t="s">
        <v>94</v>
      </c>
      <c r="AH138" t="s">
        <v>92</v>
      </c>
      <c r="AI138" t="s">
        <v>94</v>
      </c>
      <c r="AJ138" t="s">
        <v>92</v>
      </c>
      <c r="AK138" t="s">
        <v>94</v>
      </c>
      <c r="AL138" t="s">
        <v>92</v>
      </c>
      <c r="AM138" t="s">
        <v>94</v>
      </c>
      <c r="AN138" t="s">
        <v>94</v>
      </c>
      <c r="AO138" t="s">
        <v>92</v>
      </c>
      <c r="AP138" t="s">
        <v>94</v>
      </c>
      <c r="AQ138" t="s">
        <v>92</v>
      </c>
      <c r="AR138" t="s">
        <v>94</v>
      </c>
      <c r="AS138" t="s">
        <v>92</v>
      </c>
      <c r="AT138" t="s">
        <v>94</v>
      </c>
      <c r="AU138" t="s">
        <v>94</v>
      </c>
      <c r="AV138" t="s">
        <v>94</v>
      </c>
      <c r="AW138" t="s">
        <v>94</v>
      </c>
      <c r="AX138" t="s">
        <v>92</v>
      </c>
      <c r="AY138" t="s">
        <v>94</v>
      </c>
      <c r="AZ138" t="s">
        <v>92</v>
      </c>
      <c r="BA138" t="s">
        <v>94</v>
      </c>
      <c r="BB138" t="s">
        <v>94</v>
      </c>
      <c r="BC138" t="s">
        <v>94</v>
      </c>
      <c r="BD138" t="s">
        <v>94</v>
      </c>
      <c r="BE138" t="s">
        <v>94</v>
      </c>
      <c r="BF138" t="s">
        <v>92</v>
      </c>
      <c r="BG138" t="s">
        <v>94</v>
      </c>
      <c r="BH138" t="s">
        <v>94</v>
      </c>
    </row>
    <row r="139" spans="1:60" x14ac:dyDescent="0.3">
      <c r="A139">
        <v>22</v>
      </c>
      <c r="B139" t="s">
        <v>70</v>
      </c>
      <c r="C139" t="s">
        <v>96</v>
      </c>
      <c r="D139" t="s">
        <v>72</v>
      </c>
      <c r="E139" t="s">
        <v>114</v>
      </c>
      <c r="F139" t="s">
        <v>136</v>
      </c>
      <c r="G139" t="s">
        <v>135</v>
      </c>
      <c r="H139" t="s">
        <v>136</v>
      </c>
      <c r="I139" t="s">
        <v>76</v>
      </c>
      <c r="J139" t="s">
        <v>101</v>
      </c>
      <c r="K139" t="s">
        <v>125</v>
      </c>
      <c r="L139" t="s">
        <v>82</v>
      </c>
      <c r="M139" t="s">
        <v>102</v>
      </c>
      <c r="N139" t="s">
        <v>79</v>
      </c>
      <c r="O139" t="s">
        <v>81</v>
      </c>
      <c r="P139" t="s">
        <v>82</v>
      </c>
      <c r="Q139" t="s">
        <v>83</v>
      </c>
      <c r="R139" t="s">
        <v>82</v>
      </c>
      <c r="S139" t="s">
        <v>220</v>
      </c>
      <c r="T139" t="s">
        <v>85</v>
      </c>
      <c r="U139" t="s">
        <v>79</v>
      </c>
      <c r="V139" t="s">
        <v>106</v>
      </c>
      <c r="W139" t="s">
        <v>87</v>
      </c>
      <c r="Y139" t="s">
        <v>94</v>
      </c>
      <c r="Z139" t="s">
        <v>92</v>
      </c>
      <c r="AA139" t="s">
        <v>94</v>
      </c>
      <c r="AB139" t="s">
        <v>92</v>
      </c>
      <c r="AC139" t="s">
        <v>92</v>
      </c>
      <c r="AD139" t="s">
        <v>92</v>
      </c>
      <c r="AE139" t="s">
        <v>92</v>
      </c>
      <c r="AF139" t="s">
        <v>92</v>
      </c>
      <c r="AG139" t="s">
        <v>92</v>
      </c>
      <c r="AH139" t="s">
        <v>94</v>
      </c>
      <c r="AI139" t="s">
        <v>92</v>
      </c>
      <c r="AJ139" t="s">
        <v>92</v>
      </c>
      <c r="AK139" t="s">
        <v>94</v>
      </c>
      <c r="AL139" t="s">
        <v>92</v>
      </c>
      <c r="AM139" t="s">
        <v>92</v>
      </c>
      <c r="AN139" t="s">
        <v>94</v>
      </c>
      <c r="AO139" t="s">
        <v>93</v>
      </c>
      <c r="AP139" t="s">
        <v>93</v>
      </c>
      <c r="AQ139" t="s">
        <v>92</v>
      </c>
      <c r="AR139" t="s">
        <v>94</v>
      </c>
      <c r="AS139" t="s">
        <v>93</v>
      </c>
      <c r="AT139" t="s">
        <v>94</v>
      </c>
      <c r="AU139" t="s">
        <v>94</v>
      </c>
      <c r="AV139" t="s">
        <v>92</v>
      </c>
      <c r="AW139" t="s">
        <v>94</v>
      </c>
      <c r="AX139" t="s">
        <v>94</v>
      </c>
      <c r="AY139" t="s">
        <v>92</v>
      </c>
      <c r="AZ139" t="s">
        <v>94</v>
      </c>
      <c r="BA139" t="s">
        <v>94</v>
      </c>
      <c r="BB139" t="s">
        <v>94</v>
      </c>
      <c r="BC139" t="s">
        <v>94</v>
      </c>
      <c r="BD139" t="s">
        <v>94</v>
      </c>
      <c r="BE139" t="s">
        <v>94</v>
      </c>
      <c r="BF139" t="s">
        <v>94</v>
      </c>
      <c r="BG139" t="s">
        <v>94</v>
      </c>
      <c r="BH139" t="s">
        <v>94</v>
      </c>
    </row>
    <row r="140" spans="1:60" x14ac:dyDescent="0.3">
      <c r="A140">
        <v>21</v>
      </c>
      <c r="B140" t="s">
        <v>70</v>
      </c>
      <c r="C140" t="s">
        <v>157</v>
      </c>
      <c r="D140" t="s">
        <v>97</v>
      </c>
      <c r="E140" t="s">
        <v>108</v>
      </c>
      <c r="F140" t="s">
        <v>74</v>
      </c>
      <c r="G140" t="s">
        <v>135</v>
      </c>
      <c r="H140" t="s">
        <v>74</v>
      </c>
      <c r="I140" t="s">
        <v>166</v>
      </c>
      <c r="J140" t="s">
        <v>77</v>
      </c>
      <c r="K140" t="s">
        <v>122</v>
      </c>
      <c r="L140" t="s">
        <v>79</v>
      </c>
      <c r="M140" t="s">
        <v>102</v>
      </c>
      <c r="N140" t="s">
        <v>79</v>
      </c>
      <c r="O140" t="s">
        <v>117</v>
      </c>
      <c r="P140" t="s">
        <v>82</v>
      </c>
      <c r="Q140" t="s">
        <v>83</v>
      </c>
      <c r="R140" t="s">
        <v>82</v>
      </c>
      <c r="S140" t="s">
        <v>211</v>
      </c>
      <c r="T140" t="s">
        <v>85</v>
      </c>
      <c r="U140" t="s">
        <v>79</v>
      </c>
      <c r="V140" t="s">
        <v>106</v>
      </c>
      <c r="W140" t="s">
        <v>141</v>
      </c>
      <c r="X140" t="s">
        <v>160</v>
      </c>
      <c r="Y140" t="s">
        <v>94</v>
      </c>
      <c r="Z140" t="s">
        <v>94</v>
      </c>
      <c r="AA140" t="s">
        <v>92</v>
      </c>
      <c r="AB140" t="s">
        <v>94</v>
      </c>
      <c r="AC140" t="s">
        <v>92</v>
      </c>
      <c r="AD140" t="s">
        <v>94</v>
      </c>
      <c r="AE140" t="s">
        <v>94</v>
      </c>
      <c r="AF140" t="s">
        <v>92</v>
      </c>
      <c r="AG140" t="s">
        <v>94</v>
      </c>
      <c r="AH140" t="s">
        <v>94</v>
      </c>
      <c r="AI140" t="s">
        <v>94</v>
      </c>
      <c r="AJ140" t="s">
        <v>92</v>
      </c>
      <c r="AK140" t="s">
        <v>94</v>
      </c>
      <c r="AL140" t="s">
        <v>92</v>
      </c>
      <c r="AM140" t="s">
        <v>94</v>
      </c>
      <c r="AN140" t="s">
        <v>94</v>
      </c>
      <c r="AO140" t="s">
        <v>94</v>
      </c>
      <c r="AP140" t="s">
        <v>94</v>
      </c>
      <c r="AQ140" t="s">
        <v>94</v>
      </c>
      <c r="AR140" t="s">
        <v>94</v>
      </c>
      <c r="AS140" t="s">
        <v>94</v>
      </c>
      <c r="AT140" t="s">
        <v>94</v>
      </c>
      <c r="AU140" t="s">
        <v>94</v>
      </c>
      <c r="AV140" t="s">
        <v>94</v>
      </c>
      <c r="AW140" t="s">
        <v>94</v>
      </c>
      <c r="AX140" t="s">
        <v>94</v>
      </c>
      <c r="AY140" t="s">
        <v>94</v>
      </c>
      <c r="AZ140" t="s">
        <v>94</v>
      </c>
      <c r="BA140" t="s">
        <v>94</v>
      </c>
      <c r="BB140" t="s">
        <v>92</v>
      </c>
      <c r="BC140" t="s">
        <v>92</v>
      </c>
      <c r="BD140" t="s">
        <v>94</v>
      </c>
      <c r="BE140" t="s">
        <v>92</v>
      </c>
      <c r="BF140" t="s">
        <v>94</v>
      </c>
      <c r="BG140" t="s">
        <v>92</v>
      </c>
      <c r="BH140" t="s">
        <v>94</v>
      </c>
    </row>
    <row r="141" spans="1:60" x14ac:dyDescent="0.3">
      <c r="A141">
        <v>23</v>
      </c>
      <c r="B141" t="s">
        <v>70</v>
      </c>
      <c r="C141" t="s">
        <v>96</v>
      </c>
      <c r="D141" t="s">
        <v>149</v>
      </c>
      <c r="E141" t="s">
        <v>108</v>
      </c>
      <c r="F141" t="s">
        <v>136</v>
      </c>
      <c r="G141" t="s">
        <v>75</v>
      </c>
      <c r="H141" t="s">
        <v>98</v>
      </c>
      <c r="I141" t="s">
        <v>76</v>
      </c>
      <c r="J141" t="s">
        <v>77</v>
      </c>
      <c r="K141" t="s">
        <v>122</v>
      </c>
      <c r="L141" t="s">
        <v>82</v>
      </c>
      <c r="M141" t="s">
        <v>102</v>
      </c>
      <c r="N141" t="s">
        <v>79</v>
      </c>
      <c r="O141" t="s">
        <v>81</v>
      </c>
      <c r="P141" t="s">
        <v>82</v>
      </c>
      <c r="Q141" t="s">
        <v>83</v>
      </c>
      <c r="R141" t="s">
        <v>79</v>
      </c>
      <c r="S141" t="s">
        <v>126</v>
      </c>
      <c r="T141" t="s">
        <v>219</v>
      </c>
      <c r="U141" t="s">
        <v>82</v>
      </c>
      <c r="V141" t="s">
        <v>106</v>
      </c>
      <c r="W141" t="s">
        <v>141</v>
      </c>
      <c r="Y141" t="s">
        <v>92</v>
      </c>
      <c r="Z141" t="s">
        <v>94</v>
      </c>
      <c r="AA141" t="s">
        <v>94</v>
      </c>
      <c r="AB141" t="s">
        <v>94</v>
      </c>
      <c r="AC141" t="s">
        <v>92</v>
      </c>
      <c r="AD141" t="s">
        <v>92</v>
      </c>
      <c r="AE141" t="s">
        <v>92</v>
      </c>
      <c r="AF141" t="s">
        <v>92</v>
      </c>
      <c r="AG141" t="s">
        <v>94</v>
      </c>
      <c r="AH141" t="s">
        <v>92</v>
      </c>
      <c r="AI141" t="s">
        <v>94</v>
      </c>
      <c r="AJ141" t="s">
        <v>92</v>
      </c>
      <c r="AK141" t="s">
        <v>94</v>
      </c>
      <c r="AL141" t="s">
        <v>92</v>
      </c>
      <c r="AM141" t="s">
        <v>92</v>
      </c>
      <c r="AN141" t="s">
        <v>94</v>
      </c>
      <c r="AO141" t="s">
        <v>94</v>
      </c>
      <c r="AP141" t="s">
        <v>94</v>
      </c>
      <c r="AQ141" t="s">
        <v>94</v>
      </c>
      <c r="AR141" t="s">
        <v>94</v>
      </c>
      <c r="AS141" t="s">
        <v>94</v>
      </c>
      <c r="AT141" t="s">
        <v>94</v>
      </c>
      <c r="AU141" t="s">
        <v>94</v>
      </c>
      <c r="AV141" t="s">
        <v>94</v>
      </c>
      <c r="AW141" t="s">
        <v>94</v>
      </c>
      <c r="AX141" t="s">
        <v>94</v>
      </c>
      <c r="AY141" t="s">
        <v>92</v>
      </c>
      <c r="AZ141" t="s">
        <v>94</v>
      </c>
      <c r="BA141" t="s">
        <v>92</v>
      </c>
      <c r="BB141" t="s">
        <v>92</v>
      </c>
      <c r="BC141" t="s">
        <v>92</v>
      </c>
      <c r="BD141" t="s">
        <v>92</v>
      </c>
      <c r="BE141" t="s">
        <v>94</v>
      </c>
      <c r="BF141" t="s">
        <v>92</v>
      </c>
      <c r="BG141" t="s">
        <v>94</v>
      </c>
      <c r="BH141" t="s">
        <v>92</v>
      </c>
    </row>
    <row r="142" spans="1:60" x14ac:dyDescent="0.3">
      <c r="A142">
        <v>23</v>
      </c>
      <c r="B142" t="s">
        <v>70</v>
      </c>
      <c r="C142" t="s">
        <v>96</v>
      </c>
      <c r="D142" t="s">
        <v>72</v>
      </c>
      <c r="E142" t="s">
        <v>73</v>
      </c>
      <c r="F142" t="s">
        <v>136</v>
      </c>
      <c r="G142" t="s">
        <v>115</v>
      </c>
      <c r="H142" t="s">
        <v>136</v>
      </c>
      <c r="I142" t="s">
        <v>166</v>
      </c>
      <c r="J142" t="s">
        <v>77</v>
      </c>
      <c r="K142" t="s">
        <v>122</v>
      </c>
      <c r="L142" t="s">
        <v>82</v>
      </c>
      <c r="M142" t="s">
        <v>102</v>
      </c>
      <c r="N142" t="s">
        <v>79</v>
      </c>
      <c r="O142" t="s">
        <v>81</v>
      </c>
      <c r="P142" t="s">
        <v>82</v>
      </c>
      <c r="Q142" t="s">
        <v>83</v>
      </c>
      <c r="R142" t="s">
        <v>82</v>
      </c>
      <c r="S142" t="s">
        <v>110</v>
      </c>
      <c r="T142" t="s">
        <v>85</v>
      </c>
      <c r="U142" t="s">
        <v>82</v>
      </c>
      <c r="V142" t="s">
        <v>106</v>
      </c>
      <c r="W142" t="s">
        <v>141</v>
      </c>
      <c r="Y142" t="s">
        <v>92</v>
      </c>
      <c r="Z142" t="s">
        <v>92</v>
      </c>
      <c r="AA142" t="s">
        <v>92</v>
      </c>
      <c r="AB142" t="s">
        <v>94</v>
      </c>
      <c r="AC142" t="s">
        <v>94</v>
      </c>
      <c r="AD142" t="s">
        <v>92</v>
      </c>
      <c r="AE142" t="s">
        <v>94</v>
      </c>
      <c r="AF142" t="s">
        <v>94</v>
      </c>
      <c r="AG142" t="s">
        <v>92</v>
      </c>
      <c r="AH142" t="s">
        <v>94</v>
      </c>
      <c r="AI142" t="s">
        <v>92</v>
      </c>
      <c r="AJ142" t="s">
        <v>94</v>
      </c>
      <c r="AK142" t="s">
        <v>94</v>
      </c>
      <c r="AL142" t="s">
        <v>94</v>
      </c>
      <c r="AM142" t="s">
        <v>94</v>
      </c>
      <c r="AN142" t="s">
        <v>94</v>
      </c>
      <c r="AO142" t="s">
        <v>92</v>
      </c>
      <c r="AP142" t="s">
        <v>92</v>
      </c>
      <c r="AQ142" t="s">
        <v>92</v>
      </c>
      <c r="AR142" t="s">
        <v>92</v>
      </c>
      <c r="AS142" t="s">
        <v>92</v>
      </c>
      <c r="AT142" t="s">
        <v>92</v>
      </c>
      <c r="AU142" t="s">
        <v>92</v>
      </c>
      <c r="AV142" t="s">
        <v>92</v>
      </c>
      <c r="AW142" t="s">
        <v>92</v>
      </c>
      <c r="AX142" t="s">
        <v>94</v>
      </c>
      <c r="AY142" t="s">
        <v>92</v>
      </c>
      <c r="AZ142" t="s">
        <v>92</v>
      </c>
      <c r="BA142" t="s">
        <v>92</v>
      </c>
      <c r="BB142" t="s">
        <v>92</v>
      </c>
      <c r="BC142" t="s">
        <v>94</v>
      </c>
      <c r="BD142" t="s">
        <v>92</v>
      </c>
      <c r="BE142" t="s">
        <v>94</v>
      </c>
      <c r="BF142" t="s">
        <v>94</v>
      </c>
      <c r="BG142" t="s">
        <v>94</v>
      </c>
      <c r="BH142" t="s">
        <v>92</v>
      </c>
    </row>
    <row r="143" spans="1:60" x14ac:dyDescent="0.3">
      <c r="A143">
        <v>22</v>
      </c>
      <c r="B143" t="s">
        <v>128</v>
      </c>
      <c r="C143" t="s">
        <v>96</v>
      </c>
      <c r="D143" t="s">
        <v>72</v>
      </c>
      <c r="E143" t="s">
        <v>108</v>
      </c>
      <c r="F143" t="s">
        <v>74</v>
      </c>
      <c r="G143" t="s">
        <v>135</v>
      </c>
      <c r="H143" t="s">
        <v>136</v>
      </c>
      <c r="I143" t="s">
        <v>76</v>
      </c>
      <c r="J143" t="s">
        <v>77</v>
      </c>
      <c r="K143" t="s">
        <v>122</v>
      </c>
      <c r="L143" t="s">
        <v>79</v>
      </c>
      <c r="M143" t="s">
        <v>102</v>
      </c>
      <c r="N143" t="s">
        <v>79</v>
      </c>
      <c r="O143" t="s">
        <v>81</v>
      </c>
      <c r="P143" t="s">
        <v>82</v>
      </c>
      <c r="Q143" t="s">
        <v>83</v>
      </c>
      <c r="R143" t="s">
        <v>82</v>
      </c>
      <c r="S143" t="s">
        <v>193</v>
      </c>
      <c r="T143" t="s">
        <v>85</v>
      </c>
      <c r="U143" t="s">
        <v>82</v>
      </c>
      <c r="V143" t="s">
        <v>106</v>
      </c>
      <c r="W143" t="s">
        <v>141</v>
      </c>
      <c r="X143" t="s">
        <v>160</v>
      </c>
      <c r="Y143" t="s">
        <v>94</v>
      </c>
      <c r="Z143" t="s">
        <v>92</v>
      </c>
      <c r="AA143" t="s">
        <v>93</v>
      </c>
      <c r="AB143" t="s">
        <v>92</v>
      </c>
      <c r="AC143" t="s">
        <v>93</v>
      </c>
      <c r="AD143" t="s">
        <v>92</v>
      </c>
      <c r="AE143" t="s">
        <v>92</v>
      </c>
      <c r="AF143" t="s">
        <v>94</v>
      </c>
      <c r="AG143" t="s">
        <v>92</v>
      </c>
      <c r="AH143" t="s">
        <v>92</v>
      </c>
      <c r="AI143" t="s">
        <v>92</v>
      </c>
      <c r="AJ143" t="s">
        <v>93</v>
      </c>
      <c r="AK143" t="s">
        <v>92</v>
      </c>
      <c r="AL143" t="s">
        <v>92</v>
      </c>
      <c r="AM143" t="s">
        <v>93</v>
      </c>
      <c r="AN143" t="s">
        <v>94</v>
      </c>
      <c r="AO143" t="s">
        <v>92</v>
      </c>
      <c r="AP143" t="s">
        <v>94</v>
      </c>
      <c r="AQ143" t="s">
        <v>92</v>
      </c>
      <c r="AR143" t="s">
        <v>94</v>
      </c>
      <c r="AS143" t="s">
        <v>94</v>
      </c>
      <c r="AT143" t="s">
        <v>94</v>
      </c>
      <c r="AU143" t="s">
        <v>94</v>
      </c>
      <c r="AV143" t="s">
        <v>94</v>
      </c>
      <c r="AW143" t="s">
        <v>94</v>
      </c>
      <c r="AX143" t="s">
        <v>94</v>
      </c>
      <c r="AY143" t="s">
        <v>94</v>
      </c>
      <c r="AZ143" t="s">
        <v>92</v>
      </c>
      <c r="BA143" t="s">
        <v>94</v>
      </c>
      <c r="BB143" t="s">
        <v>94</v>
      </c>
      <c r="BC143" t="s">
        <v>94</v>
      </c>
      <c r="BD143" t="s">
        <v>94</v>
      </c>
      <c r="BE143" t="s">
        <v>94</v>
      </c>
      <c r="BF143" t="s">
        <v>94</v>
      </c>
      <c r="BG143" t="s">
        <v>94</v>
      </c>
      <c r="BH143" t="s">
        <v>94</v>
      </c>
    </row>
    <row r="144" spans="1:60" x14ac:dyDescent="0.3">
      <c r="A144">
        <v>24</v>
      </c>
      <c r="B144" t="s">
        <v>70</v>
      </c>
      <c r="C144" t="s">
        <v>113</v>
      </c>
      <c r="D144" t="s">
        <v>149</v>
      </c>
      <c r="E144" t="s">
        <v>73</v>
      </c>
      <c r="F144" t="s">
        <v>136</v>
      </c>
      <c r="G144" t="s">
        <v>135</v>
      </c>
      <c r="H144" t="s">
        <v>136</v>
      </c>
      <c r="I144" t="s">
        <v>76</v>
      </c>
      <c r="J144" t="s">
        <v>101</v>
      </c>
      <c r="K144" t="s">
        <v>122</v>
      </c>
      <c r="L144" t="s">
        <v>82</v>
      </c>
      <c r="M144" t="s">
        <v>80</v>
      </c>
      <c r="N144" t="s">
        <v>82</v>
      </c>
      <c r="O144" t="s">
        <v>81</v>
      </c>
      <c r="P144" t="s">
        <v>82</v>
      </c>
      <c r="Q144" t="s">
        <v>103</v>
      </c>
      <c r="R144" t="s">
        <v>82</v>
      </c>
      <c r="S144" t="s">
        <v>221</v>
      </c>
      <c r="T144" t="s">
        <v>190</v>
      </c>
      <c r="U144" t="s">
        <v>82</v>
      </c>
      <c r="V144" t="s">
        <v>106</v>
      </c>
      <c r="W144" t="s">
        <v>141</v>
      </c>
      <c r="Y144" t="s">
        <v>94</v>
      </c>
      <c r="Z144" t="s">
        <v>94</v>
      </c>
      <c r="AA144" t="s">
        <v>94</v>
      </c>
      <c r="AB144" t="s">
        <v>94</v>
      </c>
      <c r="AC144" t="s">
        <v>94</v>
      </c>
      <c r="AD144" t="s">
        <v>94</v>
      </c>
      <c r="AE144" t="s">
        <v>94</v>
      </c>
      <c r="AF144" t="s">
        <v>94</v>
      </c>
      <c r="AG144" t="s">
        <v>94</v>
      </c>
      <c r="AH144" t="s">
        <v>94</v>
      </c>
      <c r="AI144" t="s">
        <v>94</v>
      </c>
      <c r="AJ144" t="s">
        <v>94</v>
      </c>
      <c r="AK144" t="s">
        <v>94</v>
      </c>
      <c r="AL144" t="s">
        <v>94</v>
      </c>
      <c r="AM144" t="s">
        <v>94</v>
      </c>
      <c r="AN144" t="s">
        <v>94</v>
      </c>
      <c r="AO144" t="s">
        <v>94</v>
      </c>
      <c r="AP144" t="s">
        <v>94</v>
      </c>
      <c r="AQ144" t="s">
        <v>94</v>
      </c>
      <c r="AR144" t="s">
        <v>94</v>
      </c>
      <c r="AS144" t="s">
        <v>94</v>
      </c>
      <c r="AT144" t="s">
        <v>94</v>
      </c>
      <c r="AU144" t="s">
        <v>94</v>
      </c>
      <c r="AV144" t="s">
        <v>94</v>
      </c>
      <c r="AW144" t="s">
        <v>94</v>
      </c>
      <c r="AX144" t="s">
        <v>94</v>
      </c>
      <c r="AY144" t="s">
        <v>94</v>
      </c>
      <c r="AZ144" t="s">
        <v>94</v>
      </c>
      <c r="BA144" t="s">
        <v>94</v>
      </c>
      <c r="BB144" t="s">
        <v>94</v>
      </c>
      <c r="BC144" t="s">
        <v>94</v>
      </c>
      <c r="BD144" t="s">
        <v>94</v>
      </c>
      <c r="BE144" t="s">
        <v>94</v>
      </c>
      <c r="BF144" t="s">
        <v>94</v>
      </c>
      <c r="BG144" t="s">
        <v>94</v>
      </c>
      <c r="BH144" t="s">
        <v>94</v>
      </c>
    </row>
    <row r="145" spans="1:60" x14ac:dyDescent="0.3">
      <c r="A145">
        <v>23</v>
      </c>
      <c r="B145" t="s">
        <v>70</v>
      </c>
      <c r="C145" t="s">
        <v>96</v>
      </c>
      <c r="D145" t="s">
        <v>72</v>
      </c>
      <c r="E145" t="s">
        <v>73</v>
      </c>
      <c r="F145" t="s">
        <v>136</v>
      </c>
      <c r="G145" t="s">
        <v>135</v>
      </c>
      <c r="H145" t="s">
        <v>136</v>
      </c>
      <c r="I145" t="s">
        <v>76</v>
      </c>
      <c r="J145" t="s">
        <v>77</v>
      </c>
      <c r="K145" t="s">
        <v>125</v>
      </c>
      <c r="L145" t="s">
        <v>82</v>
      </c>
      <c r="M145" t="s">
        <v>80</v>
      </c>
      <c r="N145" t="s">
        <v>82</v>
      </c>
      <c r="O145" t="s">
        <v>81</v>
      </c>
      <c r="P145" t="s">
        <v>82</v>
      </c>
      <c r="Q145" t="s">
        <v>118</v>
      </c>
      <c r="R145" t="s">
        <v>82</v>
      </c>
      <c r="S145" t="s">
        <v>222</v>
      </c>
      <c r="T145" t="s">
        <v>85</v>
      </c>
      <c r="U145" t="s">
        <v>82</v>
      </c>
      <c r="V145" t="s">
        <v>106</v>
      </c>
      <c r="W145" t="s">
        <v>141</v>
      </c>
      <c r="Y145" t="s">
        <v>94</v>
      </c>
      <c r="Z145" t="s">
        <v>94</v>
      </c>
      <c r="AA145" t="s">
        <v>94</v>
      </c>
      <c r="AB145" t="s">
        <v>94</v>
      </c>
      <c r="AC145" t="s">
        <v>94</v>
      </c>
      <c r="AD145" t="s">
        <v>94</v>
      </c>
      <c r="AE145" t="s">
        <v>94</v>
      </c>
      <c r="AF145" t="s">
        <v>94</v>
      </c>
      <c r="AG145" t="s">
        <v>94</v>
      </c>
      <c r="AH145" t="s">
        <v>94</v>
      </c>
      <c r="AI145" t="s">
        <v>94</v>
      </c>
      <c r="AJ145" t="s">
        <v>94</v>
      </c>
      <c r="AK145" t="s">
        <v>94</v>
      </c>
      <c r="AL145" t="s">
        <v>94</v>
      </c>
      <c r="AM145" t="s">
        <v>94</v>
      </c>
      <c r="AN145" t="s">
        <v>94</v>
      </c>
      <c r="AO145" t="s">
        <v>94</v>
      </c>
      <c r="AP145" t="s">
        <v>94</v>
      </c>
      <c r="AQ145" t="s">
        <v>94</v>
      </c>
      <c r="AR145" t="s">
        <v>94</v>
      </c>
      <c r="AS145" t="s">
        <v>94</v>
      </c>
      <c r="AT145" t="s">
        <v>94</v>
      </c>
      <c r="AU145" t="s">
        <v>94</v>
      </c>
      <c r="AV145" t="s">
        <v>94</v>
      </c>
      <c r="AW145" t="s">
        <v>92</v>
      </c>
      <c r="AX145" t="s">
        <v>94</v>
      </c>
      <c r="AY145" t="s">
        <v>94</v>
      </c>
      <c r="AZ145" t="s">
        <v>94</v>
      </c>
      <c r="BA145" t="s">
        <v>94</v>
      </c>
      <c r="BB145" t="s">
        <v>94</v>
      </c>
      <c r="BC145" t="s">
        <v>94</v>
      </c>
      <c r="BD145" t="s">
        <v>94</v>
      </c>
      <c r="BE145" t="s">
        <v>94</v>
      </c>
      <c r="BF145" t="s">
        <v>94</v>
      </c>
      <c r="BG145" t="s">
        <v>94</v>
      </c>
      <c r="BH145" t="s">
        <v>94</v>
      </c>
    </row>
    <row r="146" spans="1:60" x14ac:dyDescent="0.3">
      <c r="A146">
        <v>22</v>
      </c>
      <c r="B146" t="s">
        <v>70</v>
      </c>
      <c r="C146" t="s">
        <v>157</v>
      </c>
      <c r="D146" t="s">
        <v>72</v>
      </c>
      <c r="E146" t="s">
        <v>108</v>
      </c>
      <c r="F146" t="s">
        <v>136</v>
      </c>
      <c r="G146" t="s">
        <v>135</v>
      </c>
      <c r="H146" t="s">
        <v>100</v>
      </c>
      <c r="I146" t="s">
        <v>76</v>
      </c>
      <c r="J146" t="s">
        <v>77</v>
      </c>
      <c r="K146" t="s">
        <v>125</v>
      </c>
      <c r="L146" t="s">
        <v>79</v>
      </c>
      <c r="M146" t="s">
        <v>102</v>
      </c>
      <c r="N146" t="s">
        <v>79</v>
      </c>
      <c r="O146" t="s">
        <v>117</v>
      </c>
      <c r="P146" t="s">
        <v>82</v>
      </c>
      <c r="Q146" t="s">
        <v>83</v>
      </c>
      <c r="R146" t="s">
        <v>82</v>
      </c>
      <c r="S146" t="s">
        <v>223</v>
      </c>
      <c r="T146" t="s">
        <v>85</v>
      </c>
      <c r="U146" t="s">
        <v>82</v>
      </c>
      <c r="V146" t="s">
        <v>106</v>
      </c>
      <c r="W146" t="s">
        <v>141</v>
      </c>
      <c r="X146" t="s">
        <v>112</v>
      </c>
      <c r="Y146" t="s">
        <v>94</v>
      </c>
      <c r="Z146" t="s">
        <v>94</v>
      </c>
      <c r="AA146" t="s">
        <v>94</v>
      </c>
      <c r="AB146" t="s">
        <v>94</v>
      </c>
      <c r="AC146" t="s">
        <v>94</v>
      </c>
      <c r="AD146" t="s">
        <v>94</v>
      </c>
      <c r="AE146" t="s">
        <v>94</v>
      </c>
      <c r="AF146" t="s">
        <v>94</v>
      </c>
      <c r="AG146" t="s">
        <v>94</v>
      </c>
      <c r="AH146" t="s">
        <v>94</v>
      </c>
      <c r="AI146" t="s">
        <v>94</v>
      </c>
      <c r="AJ146" t="s">
        <v>94</v>
      </c>
      <c r="AK146" t="s">
        <v>94</v>
      </c>
      <c r="AL146" t="s">
        <v>94</v>
      </c>
      <c r="AM146" t="s">
        <v>94</v>
      </c>
      <c r="AN146" t="s">
        <v>94</v>
      </c>
      <c r="AO146" t="s">
        <v>94</v>
      </c>
      <c r="AP146" t="s">
        <v>94</v>
      </c>
      <c r="AQ146" t="s">
        <v>94</v>
      </c>
      <c r="AR146" t="s">
        <v>94</v>
      </c>
      <c r="AS146" t="s">
        <v>94</v>
      </c>
      <c r="AT146" t="s">
        <v>94</v>
      </c>
      <c r="AU146" t="s">
        <v>94</v>
      </c>
      <c r="AV146" t="s">
        <v>94</v>
      </c>
      <c r="AW146" t="s">
        <v>94</v>
      </c>
      <c r="AX146" t="s">
        <v>94</v>
      </c>
      <c r="AY146" t="s">
        <v>94</v>
      </c>
      <c r="AZ146" t="s">
        <v>94</v>
      </c>
      <c r="BA146" t="s">
        <v>94</v>
      </c>
      <c r="BB146" t="s">
        <v>94</v>
      </c>
      <c r="BC146" t="s">
        <v>94</v>
      </c>
      <c r="BD146" t="s">
        <v>94</v>
      </c>
      <c r="BE146" t="s">
        <v>94</v>
      </c>
      <c r="BF146" t="s">
        <v>94</v>
      </c>
      <c r="BG146" t="s">
        <v>94</v>
      </c>
      <c r="BH146" t="s">
        <v>94</v>
      </c>
    </row>
    <row r="147" spans="1:60" x14ac:dyDescent="0.3">
      <c r="A147">
        <v>21</v>
      </c>
      <c r="B147" t="s">
        <v>70</v>
      </c>
      <c r="C147" t="s">
        <v>96</v>
      </c>
      <c r="D147" t="s">
        <v>72</v>
      </c>
      <c r="E147" t="s">
        <v>108</v>
      </c>
      <c r="F147" t="s">
        <v>74</v>
      </c>
      <c r="G147" t="s">
        <v>99</v>
      </c>
      <c r="H147" t="s">
        <v>74</v>
      </c>
      <c r="I147" t="s">
        <v>75</v>
      </c>
      <c r="J147" t="s">
        <v>77</v>
      </c>
      <c r="K147" t="s">
        <v>122</v>
      </c>
      <c r="L147" t="s">
        <v>79</v>
      </c>
      <c r="M147" t="s">
        <v>80</v>
      </c>
      <c r="N147" t="s">
        <v>79</v>
      </c>
      <c r="O147" t="s">
        <v>81</v>
      </c>
      <c r="P147" t="s">
        <v>82</v>
      </c>
      <c r="Q147" t="s">
        <v>83</v>
      </c>
      <c r="R147" t="s">
        <v>82</v>
      </c>
      <c r="S147" t="s">
        <v>84</v>
      </c>
      <c r="T147" t="s">
        <v>175</v>
      </c>
      <c r="U147" t="s">
        <v>82</v>
      </c>
      <c r="V147" t="s">
        <v>106</v>
      </c>
      <c r="W147" t="s">
        <v>87</v>
      </c>
      <c r="X147" t="s">
        <v>127</v>
      </c>
      <c r="Y147" t="s">
        <v>92</v>
      </c>
      <c r="Z147" t="s">
        <v>92</v>
      </c>
      <c r="AA147" t="s">
        <v>92</v>
      </c>
      <c r="AB147" t="s">
        <v>92</v>
      </c>
      <c r="AC147" t="s">
        <v>92</v>
      </c>
      <c r="AD147" t="s">
        <v>92</v>
      </c>
      <c r="AE147" t="s">
        <v>95</v>
      </c>
      <c r="AF147" t="s">
        <v>94</v>
      </c>
      <c r="AG147" t="s">
        <v>94</v>
      </c>
      <c r="AH147" t="s">
        <v>94</v>
      </c>
      <c r="AI147" t="s">
        <v>92</v>
      </c>
      <c r="AJ147" t="s">
        <v>92</v>
      </c>
      <c r="AK147" t="s">
        <v>92</v>
      </c>
      <c r="AL147" t="s">
        <v>95</v>
      </c>
      <c r="AM147" t="s">
        <v>95</v>
      </c>
      <c r="AN147" t="s">
        <v>93</v>
      </c>
      <c r="AO147" t="s">
        <v>93</v>
      </c>
      <c r="AP147" t="s">
        <v>93</v>
      </c>
      <c r="AQ147" t="s">
        <v>95</v>
      </c>
      <c r="AR147" t="s">
        <v>95</v>
      </c>
      <c r="AS147" t="s">
        <v>95</v>
      </c>
      <c r="AT147" t="s">
        <v>95</v>
      </c>
      <c r="AU147" t="s">
        <v>94</v>
      </c>
      <c r="AV147" t="s">
        <v>94</v>
      </c>
      <c r="AW147" t="s">
        <v>94</v>
      </c>
      <c r="AX147" t="s">
        <v>92</v>
      </c>
      <c r="AY147" t="s">
        <v>95</v>
      </c>
      <c r="AZ147" t="s">
        <v>95</v>
      </c>
      <c r="BA147" t="s">
        <v>92</v>
      </c>
      <c r="BB147" t="s">
        <v>92</v>
      </c>
      <c r="BC147" t="s">
        <v>92</v>
      </c>
      <c r="BD147" t="s">
        <v>92</v>
      </c>
      <c r="BE147" t="s">
        <v>92</v>
      </c>
      <c r="BF147" t="s">
        <v>95</v>
      </c>
      <c r="BG147" t="s">
        <v>94</v>
      </c>
      <c r="BH147" t="s">
        <v>95</v>
      </c>
    </row>
    <row r="148" spans="1:60" x14ac:dyDescent="0.3">
      <c r="A148">
        <v>21</v>
      </c>
      <c r="B148" t="s">
        <v>128</v>
      </c>
      <c r="C148" t="s">
        <v>96</v>
      </c>
      <c r="D148" t="s">
        <v>72</v>
      </c>
      <c r="E148" t="s">
        <v>108</v>
      </c>
      <c r="F148" t="s">
        <v>74</v>
      </c>
      <c r="G148" t="s">
        <v>224</v>
      </c>
      <c r="H148" t="s">
        <v>74</v>
      </c>
      <c r="I148" t="s">
        <v>76</v>
      </c>
      <c r="J148" t="s">
        <v>77</v>
      </c>
      <c r="K148" t="s">
        <v>122</v>
      </c>
      <c r="L148" t="s">
        <v>79</v>
      </c>
      <c r="M148" t="s">
        <v>132</v>
      </c>
      <c r="N148" t="s">
        <v>79</v>
      </c>
      <c r="O148" t="s">
        <v>109</v>
      </c>
      <c r="P148" t="s">
        <v>79</v>
      </c>
      <c r="Q148" t="s">
        <v>83</v>
      </c>
      <c r="R148" t="s">
        <v>82</v>
      </c>
      <c r="S148" t="s">
        <v>84</v>
      </c>
      <c r="T148" t="s">
        <v>119</v>
      </c>
      <c r="U148" t="s">
        <v>79</v>
      </c>
      <c r="V148" t="s">
        <v>106</v>
      </c>
      <c r="W148" t="s">
        <v>87</v>
      </c>
      <c r="X148" t="s">
        <v>112</v>
      </c>
      <c r="Y148" t="s">
        <v>94</v>
      </c>
      <c r="Z148" t="s">
        <v>92</v>
      </c>
      <c r="AA148" t="s">
        <v>94</v>
      </c>
      <c r="AB148" t="s">
        <v>92</v>
      </c>
      <c r="AC148" t="s">
        <v>94</v>
      </c>
      <c r="AD148" t="s">
        <v>92</v>
      </c>
      <c r="AE148" t="s">
        <v>94</v>
      </c>
      <c r="AF148" t="s">
        <v>92</v>
      </c>
      <c r="AG148" t="s">
        <v>92</v>
      </c>
      <c r="AH148" t="s">
        <v>92</v>
      </c>
      <c r="AI148" t="s">
        <v>94</v>
      </c>
      <c r="AJ148" t="s">
        <v>94</v>
      </c>
      <c r="AK148" t="s">
        <v>94</v>
      </c>
      <c r="AL148" t="s">
        <v>94</v>
      </c>
      <c r="AM148" t="s">
        <v>94</v>
      </c>
      <c r="AN148" t="s">
        <v>93</v>
      </c>
      <c r="AO148" t="s">
        <v>93</v>
      </c>
      <c r="AP148" t="s">
        <v>93</v>
      </c>
      <c r="AQ148" t="s">
        <v>93</v>
      </c>
      <c r="AR148" t="s">
        <v>93</v>
      </c>
      <c r="AS148" t="s">
        <v>93</v>
      </c>
      <c r="AT148" t="s">
        <v>93</v>
      </c>
      <c r="AU148" t="s">
        <v>92</v>
      </c>
      <c r="AV148" t="s">
        <v>92</v>
      </c>
      <c r="AW148" t="s">
        <v>94</v>
      </c>
      <c r="AX148" t="s">
        <v>94</v>
      </c>
      <c r="AY148" t="s">
        <v>94</v>
      </c>
      <c r="AZ148" t="s">
        <v>94</v>
      </c>
      <c r="BA148" t="s">
        <v>93</v>
      </c>
      <c r="BB148" t="s">
        <v>93</v>
      </c>
      <c r="BC148" t="s">
        <v>93</v>
      </c>
      <c r="BD148" t="s">
        <v>93</v>
      </c>
      <c r="BE148" t="s">
        <v>93</v>
      </c>
      <c r="BF148" t="s">
        <v>93</v>
      </c>
      <c r="BG148" t="s">
        <v>93</v>
      </c>
      <c r="BH148" t="s">
        <v>93</v>
      </c>
    </row>
    <row r="149" spans="1:60" x14ac:dyDescent="0.3">
      <c r="A149">
        <v>23</v>
      </c>
      <c r="B149" t="s">
        <v>70</v>
      </c>
      <c r="C149" t="s">
        <v>96</v>
      </c>
      <c r="D149" t="s">
        <v>149</v>
      </c>
      <c r="E149" t="s">
        <v>73</v>
      </c>
      <c r="F149" t="s">
        <v>136</v>
      </c>
      <c r="G149" t="s">
        <v>135</v>
      </c>
      <c r="H149" t="s">
        <v>98</v>
      </c>
      <c r="I149" t="s">
        <v>76</v>
      </c>
      <c r="J149" t="s">
        <v>77</v>
      </c>
      <c r="K149" t="s">
        <v>122</v>
      </c>
      <c r="L149" t="s">
        <v>82</v>
      </c>
      <c r="M149" t="s">
        <v>80</v>
      </c>
      <c r="N149" t="s">
        <v>79</v>
      </c>
      <c r="O149" t="s">
        <v>117</v>
      </c>
      <c r="P149" t="s">
        <v>82</v>
      </c>
      <c r="Q149" t="s">
        <v>83</v>
      </c>
      <c r="R149" t="s">
        <v>82</v>
      </c>
      <c r="S149" t="s">
        <v>221</v>
      </c>
      <c r="T149" t="s">
        <v>85</v>
      </c>
      <c r="U149" t="s">
        <v>82</v>
      </c>
      <c r="V149" t="s">
        <v>106</v>
      </c>
      <c r="W149" t="s">
        <v>141</v>
      </c>
      <c r="Y149" t="s">
        <v>94</v>
      </c>
      <c r="Z149" t="s">
        <v>94</v>
      </c>
      <c r="AA149" t="s">
        <v>94</v>
      </c>
      <c r="AB149" t="s">
        <v>94</v>
      </c>
      <c r="AC149" t="s">
        <v>94</v>
      </c>
      <c r="AD149" t="s">
        <v>94</v>
      </c>
      <c r="AE149" t="s">
        <v>94</v>
      </c>
      <c r="AF149" t="s">
        <v>94</v>
      </c>
      <c r="AG149" t="s">
        <v>94</v>
      </c>
      <c r="AH149" t="s">
        <v>94</v>
      </c>
      <c r="AI149" t="s">
        <v>94</v>
      </c>
      <c r="AJ149" t="s">
        <v>94</v>
      </c>
      <c r="AK149" t="s">
        <v>94</v>
      </c>
      <c r="AL149" t="s">
        <v>94</v>
      </c>
      <c r="AM149" t="s">
        <v>94</v>
      </c>
      <c r="AN149" t="s">
        <v>94</v>
      </c>
      <c r="AO149" t="s">
        <v>94</v>
      </c>
      <c r="AP149" t="s">
        <v>94</v>
      </c>
      <c r="AQ149" t="s">
        <v>94</v>
      </c>
      <c r="AR149" t="s">
        <v>94</v>
      </c>
      <c r="AS149" t="s">
        <v>94</v>
      </c>
      <c r="AT149" t="s">
        <v>94</v>
      </c>
      <c r="AU149" t="s">
        <v>94</v>
      </c>
      <c r="AV149" t="s">
        <v>94</v>
      </c>
      <c r="AW149" t="s">
        <v>94</v>
      </c>
      <c r="AX149" t="s">
        <v>94</v>
      </c>
      <c r="AY149" t="s">
        <v>94</v>
      </c>
      <c r="AZ149" t="s">
        <v>94</v>
      </c>
      <c r="BA149" t="s">
        <v>94</v>
      </c>
      <c r="BB149" t="s">
        <v>94</v>
      </c>
      <c r="BC149" t="s">
        <v>94</v>
      </c>
      <c r="BD149" t="s">
        <v>94</v>
      </c>
      <c r="BE149" t="s">
        <v>94</v>
      </c>
      <c r="BF149" t="s">
        <v>94</v>
      </c>
      <c r="BG149" t="s">
        <v>94</v>
      </c>
      <c r="BH149" t="s">
        <v>94</v>
      </c>
    </row>
    <row r="150" spans="1:60" x14ac:dyDescent="0.3">
      <c r="A150">
        <v>23</v>
      </c>
      <c r="B150" t="s">
        <v>70</v>
      </c>
      <c r="C150" t="s">
        <v>96</v>
      </c>
      <c r="D150" t="s">
        <v>149</v>
      </c>
      <c r="E150" t="s">
        <v>73</v>
      </c>
      <c r="F150" t="s">
        <v>98</v>
      </c>
      <c r="G150" t="s">
        <v>135</v>
      </c>
      <c r="H150" t="s">
        <v>136</v>
      </c>
      <c r="I150" t="s">
        <v>76</v>
      </c>
      <c r="J150" t="s">
        <v>77</v>
      </c>
      <c r="K150" t="s">
        <v>122</v>
      </c>
      <c r="L150" t="s">
        <v>82</v>
      </c>
      <c r="M150" t="s">
        <v>80</v>
      </c>
      <c r="N150" t="s">
        <v>79</v>
      </c>
      <c r="O150" t="s">
        <v>81</v>
      </c>
      <c r="P150" t="s">
        <v>82</v>
      </c>
      <c r="Q150" t="s">
        <v>83</v>
      </c>
      <c r="R150" t="s">
        <v>82</v>
      </c>
      <c r="S150" t="s">
        <v>110</v>
      </c>
      <c r="T150" t="s">
        <v>85</v>
      </c>
      <c r="U150" t="s">
        <v>82</v>
      </c>
      <c r="V150" t="s">
        <v>106</v>
      </c>
      <c r="W150" t="s">
        <v>141</v>
      </c>
      <c r="Y150" t="s">
        <v>94</v>
      </c>
      <c r="Z150" t="s">
        <v>94</v>
      </c>
      <c r="AA150" t="s">
        <v>94</v>
      </c>
      <c r="AB150" t="s">
        <v>94</v>
      </c>
      <c r="AC150" t="s">
        <v>94</v>
      </c>
      <c r="AD150" t="s">
        <v>94</v>
      </c>
      <c r="AE150" t="s">
        <v>94</v>
      </c>
      <c r="AF150" t="s">
        <v>94</v>
      </c>
      <c r="AG150" t="s">
        <v>94</v>
      </c>
      <c r="AH150" t="s">
        <v>94</v>
      </c>
      <c r="AI150" t="s">
        <v>94</v>
      </c>
      <c r="AJ150" t="s">
        <v>94</v>
      </c>
      <c r="AK150" t="s">
        <v>94</v>
      </c>
      <c r="AL150" t="s">
        <v>92</v>
      </c>
      <c r="AM150" t="s">
        <v>94</v>
      </c>
      <c r="AN150" t="s">
        <v>92</v>
      </c>
      <c r="AO150" t="s">
        <v>92</v>
      </c>
      <c r="AP150" t="s">
        <v>94</v>
      </c>
      <c r="AQ150" t="s">
        <v>92</v>
      </c>
      <c r="AR150" t="s">
        <v>92</v>
      </c>
      <c r="AS150" t="s">
        <v>94</v>
      </c>
      <c r="AT150" t="s">
        <v>92</v>
      </c>
      <c r="AU150" t="s">
        <v>92</v>
      </c>
      <c r="AV150" t="s">
        <v>94</v>
      </c>
      <c r="AW150" t="s">
        <v>94</v>
      </c>
      <c r="AX150" t="s">
        <v>94</v>
      </c>
      <c r="AY150" t="s">
        <v>92</v>
      </c>
      <c r="AZ150" t="s">
        <v>94</v>
      </c>
      <c r="BA150" t="s">
        <v>92</v>
      </c>
      <c r="BB150" t="s">
        <v>92</v>
      </c>
      <c r="BC150" t="s">
        <v>94</v>
      </c>
      <c r="BD150" t="s">
        <v>92</v>
      </c>
      <c r="BE150" t="s">
        <v>94</v>
      </c>
      <c r="BF150" t="s">
        <v>94</v>
      </c>
      <c r="BG150" t="s">
        <v>94</v>
      </c>
      <c r="BH150" t="s">
        <v>94</v>
      </c>
    </row>
    <row r="151" spans="1:60" x14ac:dyDescent="0.3">
      <c r="A151">
        <v>24</v>
      </c>
      <c r="B151" t="s">
        <v>70</v>
      </c>
      <c r="C151" t="s">
        <v>113</v>
      </c>
      <c r="D151" t="s">
        <v>97</v>
      </c>
      <c r="E151" t="s">
        <v>108</v>
      </c>
      <c r="F151" t="s">
        <v>98</v>
      </c>
      <c r="G151" t="s">
        <v>115</v>
      </c>
      <c r="H151" t="s">
        <v>98</v>
      </c>
      <c r="I151" t="s">
        <v>76</v>
      </c>
      <c r="J151" t="s">
        <v>77</v>
      </c>
      <c r="K151" t="s">
        <v>125</v>
      </c>
      <c r="L151" t="s">
        <v>82</v>
      </c>
      <c r="M151" t="s">
        <v>80</v>
      </c>
      <c r="N151" t="s">
        <v>79</v>
      </c>
      <c r="O151" t="s">
        <v>81</v>
      </c>
      <c r="P151" t="s">
        <v>82</v>
      </c>
      <c r="Q151" t="s">
        <v>83</v>
      </c>
      <c r="R151" t="s">
        <v>82</v>
      </c>
      <c r="S151" t="s">
        <v>222</v>
      </c>
      <c r="T151" t="s">
        <v>85</v>
      </c>
      <c r="U151" t="s">
        <v>82</v>
      </c>
      <c r="V151" t="s">
        <v>106</v>
      </c>
      <c r="W151" t="s">
        <v>141</v>
      </c>
      <c r="Y151" t="s">
        <v>92</v>
      </c>
      <c r="Z151" t="s">
        <v>94</v>
      </c>
      <c r="AA151" t="s">
        <v>92</v>
      </c>
      <c r="AB151" t="s">
        <v>92</v>
      </c>
      <c r="AC151" t="s">
        <v>92</v>
      </c>
      <c r="AD151" t="s">
        <v>94</v>
      </c>
      <c r="AE151" t="s">
        <v>92</v>
      </c>
      <c r="AF151" t="s">
        <v>94</v>
      </c>
      <c r="AG151" t="s">
        <v>92</v>
      </c>
      <c r="AH151" t="s">
        <v>94</v>
      </c>
      <c r="AI151" t="s">
        <v>92</v>
      </c>
      <c r="AJ151" t="s">
        <v>94</v>
      </c>
      <c r="AK151" t="s">
        <v>94</v>
      </c>
      <c r="AL151" t="s">
        <v>94</v>
      </c>
      <c r="AM151" t="s">
        <v>94</v>
      </c>
      <c r="AN151" t="s">
        <v>94</v>
      </c>
      <c r="AO151" t="s">
        <v>92</v>
      </c>
      <c r="AP151" t="s">
        <v>94</v>
      </c>
      <c r="AQ151" t="s">
        <v>94</v>
      </c>
      <c r="AR151" t="s">
        <v>94</v>
      </c>
      <c r="AS151" t="s">
        <v>94</v>
      </c>
      <c r="AT151" t="s">
        <v>92</v>
      </c>
      <c r="AU151" t="s">
        <v>92</v>
      </c>
      <c r="AV151" t="s">
        <v>94</v>
      </c>
      <c r="AW151" t="s">
        <v>92</v>
      </c>
      <c r="AX151" t="s">
        <v>94</v>
      </c>
      <c r="AY151" t="s">
        <v>94</v>
      </c>
      <c r="AZ151" t="s">
        <v>94</v>
      </c>
      <c r="BA151" t="s">
        <v>94</v>
      </c>
      <c r="BB151" t="s">
        <v>94</v>
      </c>
      <c r="BC151" t="s">
        <v>94</v>
      </c>
      <c r="BD151" t="s">
        <v>92</v>
      </c>
      <c r="BE151" t="s">
        <v>94</v>
      </c>
      <c r="BF151" t="s">
        <v>94</v>
      </c>
      <c r="BG151" t="s">
        <v>94</v>
      </c>
      <c r="BH151" t="s">
        <v>94</v>
      </c>
    </row>
    <row r="152" spans="1:60" x14ac:dyDescent="0.3">
      <c r="A152">
        <v>22</v>
      </c>
      <c r="B152" t="s">
        <v>70</v>
      </c>
      <c r="C152" t="s">
        <v>157</v>
      </c>
      <c r="D152" t="s">
        <v>72</v>
      </c>
      <c r="E152" t="s">
        <v>114</v>
      </c>
      <c r="F152" t="s">
        <v>136</v>
      </c>
      <c r="G152" t="s">
        <v>135</v>
      </c>
      <c r="H152" t="s">
        <v>100</v>
      </c>
      <c r="I152" t="s">
        <v>76</v>
      </c>
      <c r="J152" t="s">
        <v>101</v>
      </c>
      <c r="K152" t="s">
        <v>125</v>
      </c>
      <c r="L152" t="s">
        <v>79</v>
      </c>
      <c r="M152" t="s">
        <v>80</v>
      </c>
      <c r="N152" t="s">
        <v>79</v>
      </c>
      <c r="O152" t="s">
        <v>179</v>
      </c>
      <c r="P152" t="s">
        <v>79</v>
      </c>
      <c r="Q152" t="s">
        <v>83</v>
      </c>
      <c r="R152" t="s">
        <v>79</v>
      </c>
      <c r="S152" t="s">
        <v>225</v>
      </c>
      <c r="T152" t="s">
        <v>158</v>
      </c>
      <c r="U152" t="s">
        <v>79</v>
      </c>
      <c r="V152" t="s">
        <v>86</v>
      </c>
      <c r="W152" t="s">
        <v>141</v>
      </c>
      <c r="X152" t="s">
        <v>160</v>
      </c>
      <c r="Y152" t="s">
        <v>94</v>
      </c>
      <c r="Z152" t="s">
        <v>94</v>
      </c>
      <c r="AA152" t="s">
        <v>94</v>
      </c>
      <c r="AB152" t="s">
        <v>94</v>
      </c>
      <c r="AC152" t="s">
        <v>94</v>
      </c>
      <c r="AD152" t="s">
        <v>94</v>
      </c>
      <c r="AE152" t="s">
        <v>92</v>
      </c>
      <c r="AF152" t="s">
        <v>94</v>
      </c>
      <c r="AG152" t="s">
        <v>94</v>
      </c>
      <c r="AH152" t="s">
        <v>94</v>
      </c>
      <c r="AI152" t="s">
        <v>94</v>
      </c>
      <c r="AJ152" t="s">
        <v>94</v>
      </c>
      <c r="AK152" t="s">
        <v>94</v>
      </c>
      <c r="AL152" t="s">
        <v>94</v>
      </c>
      <c r="AM152" t="s">
        <v>94</v>
      </c>
      <c r="AN152" t="s">
        <v>94</v>
      </c>
      <c r="AO152" t="s">
        <v>94</v>
      </c>
      <c r="AP152" t="s">
        <v>94</v>
      </c>
      <c r="AQ152" t="s">
        <v>94</v>
      </c>
      <c r="AR152" t="s">
        <v>94</v>
      </c>
      <c r="AS152" t="s">
        <v>94</v>
      </c>
      <c r="AT152" t="s">
        <v>94</v>
      </c>
      <c r="AU152" t="s">
        <v>92</v>
      </c>
      <c r="AV152" t="s">
        <v>94</v>
      </c>
      <c r="AW152" t="s">
        <v>92</v>
      </c>
      <c r="AX152" t="s">
        <v>92</v>
      </c>
      <c r="AY152" t="s">
        <v>92</v>
      </c>
      <c r="AZ152" t="s">
        <v>94</v>
      </c>
      <c r="BA152" t="s">
        <v>92</v>
      </c>
      <c r="BB152" t="s">
        <v>94</v>
      </c>
      <c r="BC152" t="s">
        <v>94</v>
      </c>
      <c r="BD152" t="s">
        <v>94</v>
      </c>
      <c r="BE152" t="s">
        <v>94</v>
      </c>
      <c r="BF152" t="s">
        <v>94</v>
      </c>
      <c r="BG152" t="s">
        <v>94</v>
      </c>
      <c r="BH152" t="s">
        <v>94</v>
      </c>
    </row>
    <row r="153" spans="1:60" x14ac:dyDescent="0.3">
      <c r="A153">
        <v>22</v>
      </c>
      <c r="B153" t="s">
        <v>70</v>
      </c>
      <c r="C153" t="s">
        <v>96</v>
      </c>
      <c r="D153" t="s">
        <v>72</v>
      </c>
      <c r="E153" t="s">
        <v>73</v>
      </c>
      <c r="F153" t="s">
        <v>136</v>
      </c>
      <c r="G153" t="s">
        <v>75</v>
      </c>
      <c r="H153" t="s">
        <v>98</v>
      </c>
      <c r="I153" t="s">
        <v>75</v>
      </c>
      <c r="J153" t="s">
        <v>77</v>
      </c>
      <c r="K153" t="s">
        <v>122</v>
      </c>
      <c r="L153" t="s">
        <v>82</v>
      </c>
      <c r="M153" t="s">
        <v>80</v>
      </c>
      <c r="N153" t="s">
        <v>79</v>
      </c>
      <c r="O153" t="s">
        <v>81</v>
      </c>
      <c r="P153" t="s">
        <v>82</v>
      </c>
      <c r="Q153" t="s">
        <v>83</v>
      </c>
      <c r="R153" t="s">
        <v>82</v>
      </c>
      <c r="S153" t="s">
        <v>226</v>
      </c>
      <c r="T153" t="s">
        <v>85</v>
      </c>
      <c r="U153" t="s">
        <v>82</v>
      </c>
      <c r="V153" t="s">
        <v>106</v>
      </c>
      <c r="W153" t="s">
        <v>141</v>
      </c>
      <c r="Y153" t="s">
        <v>94</v>
      </c>
      <c r="Z153" t="s">
        <v>94</v>
      </c>
      <c r="AA153" t="s">
        <v>94</v>
      </c>
      <c r="AB153" t="s">
        <v>94</v>
      </c>
      <c r="AC153" t="s">
        <v>94</v>
      </c>
      <c r="AD153" t="s">
        <v>94</v>
      </c>
      <c r="AE153" t="s">
        <v>94</v>
      </c>
      <c r="AF153" t="s">
        <v>94</v>
      </c>
      <c r="AG153" t="s">
        <v>94</v>
      </c>
      <c r="AH153" t="s">
        <v>94</v>
      </c>
      <c r="AI153" t="s">
        <v>94</v>
      </c>
      <c r="AJ153" t="s">
        <v>94</v>
      </c>
      <c r="AK153" t="s">
        <v>94</v>
      </c>
      <c r="AL153" t="s">
        <v>94</v>
      </c>
      <c r="AM153" t="s">
        <v>94</v>
      </c>
      <c r="AN153" t="s">
        <v>94</v>
      </c>
      <c r="AO153" t="s">
        <v>94</v>
      </c>
      <c r="AP153" t="s">
        <v>94</v>
      </c>
      <c r="AQ153" t="s">
        <v>94</v>
      </c>
      <c r="AR153" t="s">
        <v>94</v>
      </c>
      <c r="AS153" t="s">
        <v>94</v>
      </c>
      <c r="AT153" t="s">
        <v>94</v>
      </c>
      <c r="AU153" t="s">
        <v>94</v>
      </c>
      <c r="AV153" t="s">
        <v>94</v>
      </c>
      <c r="AW153" t="s">
        <v>94</v>
      </c>
      <c r="AX153" t="s">
        <v>94</v>
      </c>
      <c r="AY153" t="s">
        <v>94</v>
      </c>
      <c r="AZ153" t="s">
        <v>94</v>
      </c>
      <c r="BA153" t="s">
        <v>94</v>
      </c>
      <c r="BB153" t="s">
        <v>94</v>
      </c>
      <c r="BC153" t="s">
        <v>94</v>
      </c>
      <c r="BD153" t="s">
        <v>94</v>
      </c>
      <c r="BE153" t="s">
        <v>94</v>
      </c>
      <c r="BF153" t="s">
        <v>94</v>
      </c>
      <c r="BG153" t="s">
        <v>94</v>
      </c>
      <c r="BH153" t="s">
        <v>94</v>
      </c>
    </row>
    <row r="154" spans="1:60" x14ac:dyDescent="0.3">
      <c r="A154">
        <v>25</v>
      </c>
      <c r="B154" t="s">
        <v>70</v>
      </c>
      <c r="C154" t="s">
        <v>113</v>
      </c>
      <c r="D154" t="s">
        <v>72</v>
      </c>
      <c r="E154" t="s">
        <v>108</v>
      </c>
      <c r="F154" t="s">
        <v>74</v>
      </c>
      <c r="G154" t="s">
        <v>115</v>
      </c>
      <c r="H154" t="s">
        <v>74</v>
      </c>
      <c r="I154" t="s">
        <v>115</v>
      </c>
      <c r="J154" t="s">
        <v>101</v>
      </c>
      <c r="K154" t="s">
        <v>122</v>
      </c>
      <c r="L154" t="s">
        <v>79</v>
      </c>
      <c r="M154" t="s">
        <v>102</v>
      </c>
      <c r="N154" t="s">
        <v>79</v>
      </c>
      <c r="O154" t="s">
        <v>117</v>
      </c>
      <c r="P154" t="s">
        <v>82</v>
      </c>
      <c r="Q154" t="s">
        <v>83</v>
      </c>
      <c r="R154" t="s">
        <v>82</v>
      </c>
      <c r="S154" t="s">
        <v>221</v>
      </c>
      <c r="T154" t="s">
        <v>219</v>
      </c>
      <c r="U154" t="s">
        <v>82</v>
      </c>
      <c r="V154" t="s">
        <v>106</v>
      </c>
      <c r="W154" t="s">
        <v>141</v>
      </c>
      <c r="X154" t="s">
        <v>112</v>
      </c>
      <c r="Y154" t="s">
        <v>94</v>
      </c>
      <c r="Z154" t="s">
        <v>94</v>
      </c>
      <c r="AA154" t="s">
        <v>94</v>
      </c>
      <c r="AB154" t="s">
        <v>94</v>
      </c>
      <c r="AC154" t="s">
        <v>94</v>
      </c>
      <c r="AD154" t="s">
        <v>94</v>
      </c>
      <c r="AE154" t="s">
        <v>94</v>
      </c>
      <c r="AF154" t="s">
        <v>94</v>
      </c>
      <c r="AG154" t="s">
        <v>94</v>
      </c>
      <c r="AH154" t="s">
        <v>94</v>
      </c>
      <c r="AI154" t="s">
        <v>94</v>
      </c>
      <c r="AJ154" t="s">
        <v>94</v>
      </c>
      <c r="AK154" t="s">
        <v>94</v>
      </c>
      <c r="AL154" t="s">
        <v>94</v>
      </c>
      <c r="AM154" t="s">
        <v>94</v>
      </c>
      <c r="AN154" t="s">
        <v>94</v>
      </c>
      <c r="AO154" t="s">
        <v>94</v>
      </c>
      <c r="AP154" t="s">
        <v>94</v>
      </c>
      <c r="AQ154" t="s">
        <v>94</v>
      </c>
      <c r="AR154" t="s">
        <v>94</v>
      </c>
      <c r="AS154" t="s">
        <v>94</v>
      </c>
      <c r="AT154" t="s">
        <v>94</v>
      </c>
      <c r="AU154" t="s">
        <v>94</v>
      </c>
      <c r="AV154" t="s">
        <v>94</v>
      </c>
      <c r="AW154" t="s">
        <v>94</v>
      </c>
      <c r="AX154" t="s">
        <v>94</v>
      </c>
      <c r="AY154" t="s">
        <v>94</v>
      </c>
      <c r="AZ154" t="s">
        <v>94</v>
      </c>
      <c r="BA154" t="s">
        <v>94</v>
      </c>
      <c r="BB154" t="s">
        <v>94</v>
      </c>
      <c r="BC154" t="s">
        <v>94</v>
      </c>
      <c r="BD154" t="s">
        <v>94</v>
      </c>
      <c r="BE154" t="s">
        <v>94</v>
      </c>
      <c r="BF154" t="s">
        <v>94</v>
      </c>
      <c r="BG154" t="s">
        <v>94</v>
      </c>
      <c r="BH154" t="s">
        <v>94</v>
      </c>
    </row>
    <row r="155" spans="1:60" x14ac:dyDescent="0.3">
      <c r="A155">
        <v>23</v>
      </c>
      <c r="B155" t="s">
        <v>70</v>
      </c>
      <c r="C155" t="s">
        <v>157</v>
      </c>
      <c r="D155" t="s">
        <v>72</v>
      </c>
      <c r="E155" t="s">
        <v>108</v>
      </c>
      <c r="F155" t="s">
        <v>136</v>
      </c>
      <c r="G155" t="s">
        <v>135</v>
      </c>
      <c r="H155" t="s">
        <v>98</v>
      </c>
      <c r="I155" t="s">
        <v>76</v>
      </c>
      <c r="J155" t="s">
        <v>77</v>
      </c>
      <c r="K155" t="s">
        <v>122</v>
      </c>
      <c r="L155" t="s">
        <v>79</v>
      </c>
      <c r="M155" t="s">
        <v>102</v>
      </c>
      <c r="N155" t="s">
        <v>82</v>
      </c>
      <c r="O155" t="s">
        <v>81</v>
      </c>
      <c r="P155" t="s">
        <v>82</v>
      </c>
      <c r="Q155" t="s">
        <v>83</v>
      </c>
      <c r="R155" t="s">
        <v>82</v>
      </c>
      <c r="S155" t="s">
        <v>221</v>
      </c>
      <c r="T155" t="s">
        <v>85</v>
      </c>
      <c r="U155" t="s">
        <v>82</v>
      </c>
      <c r="V155" t="s">
        <v>106</v>
      </c>
      <c r="W155" t="s">
        <v>141</v>
      </c>
      <c r="X155" t="s">
        <v>112</v>
      </c>
      <c r="Y155" t="s">
        <v>94</v>
      </c>
      <c r="Z155" t="s">
        <v>94</v>
      </c>
      <c r="AA155" t="s">
        <v>94</v>
      </c>
      <c r="AB155" t="s">
        <v>94</v>
      </c>
      <c r="AC155" t="s">
        <v>94</v>
      </c>
      <c r="AD155" t="s">
        <v>94</v>
      </c>
      <c r="AE155" t="s">
        <v>94</v>
      </c>
      <c r="AF155" t="s">
        <v>94</v>
      </c>
      <c r="AG155" t="s">
        <v>94</v>
      </c>
      <c r="AH155" t="s">
        <v>94</v>
      </c>
      <c r="AI155" t="s">
        <v>94</v>
      </c>
      <c r="AJ155" t="s">
        <v>94</v>
      </c>
      <c r="AK155" t="s">
        <v>94</v>
      </c>
      <c r="AL155" t="s">
        <v>94</v>
      </c>
      <c r="AM155" t="s">
        <v>94</v>
      </c>
      <c r="AN155" t="s">
        <v>94</v>
      </c>
      <c r="AO155" t="s">
        <v>94</v>
      </c>
      <c r="AP155" t="s">
        <v>94</v>
      </c>
      <c r="AQ155" t="s">
        <v>94</v>
      </c>
      <c r="AR155" t="s">
        <v>94</v>
      </c>
      <c r="AS155" t="s">
        <v>94</v>
      </c>
      <c r="AT155" t="s">
        <v>94</v>
      </c>
      <c r="AU155" t="s">
        <v>94</v>
      </c>
      <c r="AV155" t="s">
        <v>94</v>
      </c>
      <c r="AW155" t="s">
        <v>94</v>
      </c>
      <c r="AX155" t="s">
        <v>94</v>
      </c>
      <c r="AY155" t="s">
        <v>94</v>
      </c>
      <c r="AZ155" t="s">
        <v>94</v>
      </c>
      <c r="BA155" t="s">
        <v>94</v>
      </c>
      <c r="BB155" t="s">
        <v>94</v>
      </c>
      <c r="BC155" t="s">
        <v>94</v>
      </c>
      <c r="BD155" t="s">
        <v>94</v>
      </c>
      <c r="BE155" t="s">
        <v>94</v>
      </c>
      <c r="BF155" t="s">
        <v>94</v>
      </c>
      <c r="BG155" t="s">
        <v>94</v>
      </c>
      <c r="BH155" t="s">
        <v>94</v>
      </c>
    </row>
    <row r="156" spans="1:60" x14ac:dyDescent="0.3">
      <c r="A156">
        <v>21</v>
      </c>
      <c r="B156" t="s">
        <v>70</v>
      </c>
      <c r="C156" t="s">
        <v>157</v>
      </c>
      <c r="D156" t="s">
        <v>149</v>
      </c>
      <c r="E156" t="s">
        <v>114</v>
      </c>
      <c r="F156" t="s">
        <v>136</v>
      </c>
      <c r="G156" t="s">
        <v>75</v>
      </c>
      <c r="H156" t="s">
        <v>136</v>
      </c>
      <c r="I156" t="s">
        <v>76</v>
      </c>
      <c r="J156" t="s">
        <v>77</v>
      </c>
      <c r="K156" t="s">
        <v>125</v>
      </c>
      <c r="L156" t="s">
        <v>82</v>
      </c>
      <c r="M156" t="s">
        <v>132</v>
      </c>
      <c r="N156" t="s">
        <v>79</v>
      </c>
      <c r="O156" t="s">
        <v>109</v>
      </c>
      <c r="P156" t="s">
        <v>79</v>
      </c>
      <c r="Q156" t="s">
        <v>83</v>
      </c>
      <c r="R156" t="s">
        <v>79</v>
      </c>
      <c r="S156" t="s">
        <v>84</v>
      </c>
      <c r="T156" t="s">
        <v>227</v>
      </c>
      <c r="U156" t="s">
        <v>79</v>
      </c>
      <c r="V156" t="s">
        <v>86</v>
      </c>
      <c r="W156" t="s">
        <v>141</v>
      </c>
      <c r="X156" t="s">
        <v>127</v>
      </c>
      <c r="Y156" t="s">
        <v>93</v>
      </c>
      <c r="Z156" t="s">
        <v>93</v>
      </c>
      <c r="AA156" t="s">
        <v>93</v>
      </c>
      <c r="AB156" t="s">
        <v>93</v>
      </c>
      <c r="AC156" t="s">
        <v>94</v>
      </c>
      <c r="AD156" t="s">
        <v>94</v>
      </c>
      <c r="AE156" t="s">
        <v>94</v>
      </c>
      <c r="AF156" t="s">
        <v>93</v>
      </c>
      <c r="AG156" t="s">
        <v>94</v>
      </c>
      <c r="AH156" t="s">
        <v>93</v>
      </c>
      <c r="AI156" t="s">
        <v>93</v>
      </c>
      <c r="AJ156" t="s">
        <v>93</v>
      </c>
      <c r="AK156" t="s">
        <v>94</v>
      </c>
      <c r="AL156" t="s">
        <v>94</v>
      </c>
      <c r="AM156" t="s">
        <v>93</v>
      </c>
      <c r="AN156" t="s">
        <v>93</v>
      </c>
      <c r="AO156" t="s">
        <v>93</v>
      </c>
      <c r="AP156" t="s">
        <v>93</v>
      </c>
      <c r="AQ156" t="s">
        <v>95</v>
      </c>
      <c r="AR156" t="s">
        <v>95</v>
      </c>
      <c r="AS156" t="s">
        <v>95</v>
      </c>
      <c r="AT156" t="s">
        <v>95</v>
      </c>
      <c r="AU156" t="s">
        <v>94</v>
      </c>
      <c r="AV156" t="s">
        <v>94</v>
      </c>
      <c r="AW156" t="s">
        <v>94</v>
      </c>
      <c r="AX156" t="s">
        <v>94</v>
      </c>
      <c r="AY156" t="s">
        <v>94</v>
      </c>
      <c r="AZ156" t="s">
        <v>94</v>
      </c>
    </row>
    <row r="157" spans="1:60" x14ac:dyDescent="0.3">
      <c r="A157">
        <v>25</v>
      </c>
      <c r="B157" t="s">
        <v>70</v>
      </c>
      <c r="C157" t="s">
        <v>153</v>
      </c>
      <c r="D157" t="s">
        <v>97</v>
      </c>
      <c r="E157" t="s">
        <v>73</v>
      </c>
      <c r="F157" t="s">
        <v>74</v>
      </c>
      <c r="G157" t="s">
        <v>75</v>
      </c>
      <c r="H157" t="s">
        <v>74</v>
      </c>
      <c r="I157" t="s">
        <v>115</v>
      </c>
      <c r="J157" t="s">
        <v>77</v>
      </c>
      <c r="K157" t="s">
        <v>122</v>
      </c>
      <c r="L157" t="s">
        <v>82</v>
      </c>
      <c r="M157" t="s">
        <v>80</v>
      </c>
      <c r="N157" t="s">
        <v>82</v>
      </c>
      <c r="O157" t="s">
        <v>117</v>
      </c>
      <c r="P157" t="s">
        <v>82</v>
      </c>
      <c r="Q157" t="s">
        <v>83</v>
      </c>
      <c r="R157" t="s">
        <v>82</v>
      </c>
      <c r="S157" t="s">
        <v>84</v>
      </c>
      <c r="T157" t="s">
        <v>228</v>
      </c>
      <c r="U157" t="s">
        <v>82</v>
      </c>
      <c r="V157" t="s">
        <v>106</v>
      </c>
      <c r="W157" t="s">
        <v>141</v>
      </c>
      <c r="Y157" t="s">
        <v>94</v>
      </c>
      <c r="Z157" t="s">
        <v>94</v>
      </c>
      <c r="AA157" t="s">
        <v>94</v>
      </c>
      <c r="AB157" t="s">
        <v>94</v>
      </c>
      <c r="AC157" t="s">
        <v>94</v>
      </c>
      <c r="AD157" t="s">
        <v>94</v>
      </c>
      <c r="AE157" t="s">
        <v>94</v>
      </c>
      <c r="AF157" t="s">
        <v>94</v>
      </c>
      <c r="AG157" t="s">
        <v>94</v>
      </c>
      <c r="AH157" t="s">
        <v>94</v>
      </c>
      <c r="AI157" t="s">
        <v>94</v>
      </c>
      <c r="AJ157" t="s">
        <v>94</v>
      </c>
      <c r="AK157" t="s">
        <v>94</v>
      </c>
      <c r="AL157" t="s">
        <v>94</v>
      </c>
      <c r="AM157" t="s">
        <v>94</v>
      </c>
      <c r="AN157" t="s">
        <v>94</v>
      </c>
      <c r="AO157" t="s">
        <v>94</v>
      </c>
      <c r="AP157" t="s">
        <v>94</v>
      </c>
      <c r="AQ157" t="s">
        <v>94</v>
      </c>
      <c r="AR157" t="s">
        <v>94</v>
      </c>
      <c r="AS157" t="s">
        <v>94</v>
      </c>
      <c r="AT157" t="s">
        <v>94</v>
      </c>
      <c r="AU157" t="s">
        <v>94</v>
      </c>
      <c r="AV157" t="s">
        <v>94</v>
      </c>
      <c r="AW157" t="s">
        <v>94</v>
      </c>
      <c r="AX157" t="s">
        <v>94</v>
      </c>
      <c r="AY157" t="s">
        <v>94</v>
      </c>
      <c r="AZ157" t="s">
        <v>94</v>
      </c>
      <c r="BA157" t="s">
        <v>95</v>
      </c>
      <c r="BB157" t="s">
        <v>95</v>
      </c>
      <c r="BC157" t="s">
        <v>95</v>
      </c>
      <c r="BD157" t="s">
        <v>95</v>
      </c>
      <c r="BE157" t="s">
        <v>95</v>
      </c>
      <c r="BF157" t="s">
        <v>95</v>
      </c>
      <c r="BG157" t="s">
        <v>95</v>
      </c>
      <c r="BH157" t="s">
        <v>95</v>
      </c>
    </row>
    <row r="158" spans="1:60" x14ac:dyDescent="0.3">
      <c r="A158">
        <v>23</v>
      </c>
      <c r="B158" t="s">
        <v>70</v>
      </c>
      <c r="C158" t="s">
        <v>113</v>
      </c>
      <c r="D158" t="s">
        <v>97</v>
      </c>
      <c r="E158" t="s">
        <v>114</v>
      </c>
      <c r="F158" t="s">
        <v>100</v>
      </c>
      <c r="G158" t="s">
        <v>146</v>
      </c>
      <c r="H158" t="s">
        <v>100</v>
      </c>
      <c r="I158" t="s">
        <v>76</v>
      </c>
      <c r="J158" t="s">
        <v>101</v>
      </c>
      <c r="K158" t="s">
        <v>125</v>
      </c>
      <c r="L158" t="s">
        <v>79</v>
      </c>
      <c r="M158" t="s">
        <v>80</v>
      </c>
      <c r="N158" t="s">
        <v>79</v>
      </c>
      <c r="O158" t="s">
        <v>81</v>
      </c>
      <c r="P158" t="s">
        <v>79</v>
      </c>
      <c r="Q158" t="s">
        <v>83</v>
      </c>
      <c r="R158" t="s">
        <v>79</v>
      </c>
      <c r="S158" t="s">
        <v>84</v>
      </c>
      <c r="T158" t="s">
        <v>124</v>
      </c>
      <c r="U158" t="s">
        <v>79</v>
      </c>
      <c r="V158" t="s">
        <v>86</v>
      </c>
      <c r="W158" t="s">
        <v>120</v>
      </c>
      <c r="X158" t="s">
        <v>229</v>
      </c>
      <c r="Y158" t="s">
        <v>94</v>
      </c>
      <c r="Z158" t="s">
        <v>92</v>
      </c>
      <c r="AA158" t="s">
        <v>94</v>
      </c>
      <c r="AB158" t="s">
        <v>92</v>
      </c>
      <c r="AC158" t="s">
        <v>94</v>
      </c>
      <c r="AD158" t="s">
        <v>95</v>
      </c>
      <c r="AE158" t="s">
        <v>94</v>
      </c>
      <c r="AF158" t="s">
        <v>92</v>
      </c>
      <c r="AG158" t="s">
        <v>95</v>
      </c>
      <c r="AH158" t="s">
        <v>92</v>
      </c>
      <c r="AI158" t="s">
        <v>94</v>
      </c>
      <c r="AJ158" t="s">
        <v>95</v>
      </c>
      <c r="AK158" t="s">
        <v>94</v>
      </c>
      <c r="AL158" t="s">
        <v>92</v>
      </c>
      <c r="AM158" t="s">
        <v>95</v>
      </c>
      <c r="AN158" t="s">
        <v>95</v>
      </c>
      <c r="AO158" t="s">
        <v>94</v>
      </c>
      <c r="AP158" t="s">
        <v>92</v>
      </c>
      <c r="AQ158" t="s">
        <v>95</v>
      </c>
      <c r="AR158" t="s">
        <v>94</v>
      </c>
      <c r="AS158" t="s">
        <v>92</v>
      </c>
      <c r="AT158" t="s">
        <v>94</v>
      </c>
      <c r="AU158" t="s">
        <v>94</v>
      </c>
      <c r="AV158" t="s">
        <v>92</v>
      </c>
      <c r="AW158" t="s">
        <v>95</v>
      </c>
      <c r="AX158" t="s">
        <v>94</v>
      </c>
      <c r="AY158" t="s">
        <v>92</v>
      </c>
      <c r="AZ158" t="s">
        <v>95</v>
      </c>
      <c r="BA158" t="s">
        <v>92</v>
      </c>
      <c r="BB158" t="s">
        <v>95</v>
      </c>
      <c r="BC158" t="s">
        <v>94</v>
      </c>
      <c r="BD158" t="s">
        <v>92</v>
      </c>
      <c r="BE158" t="s">
        <v>95</v>
      </c>
      <c r="BF158" t="s">
        <v>95</v>
      </c>
      <c r="BG158" t="s">
        <v>92</v>
      </c>
      <c r="BH158" t="s">
        <v>94</v>
      </c>
    </row>
    <row r="159" spans="1:60" x14ac:dyDescent="0.3">
      <c r="A159">
        <v>22</v>
      </c>
      <c r="B159" t="s">
        <v>70</v>
      </c>
      <c r="C159" t="s">
        <v>113</v>
      </c>
      <c r="D159" t="s">
        <v>72</v>
      </c>
      <c r="E159" t="s">
        <v>73</v>
      </c>
      <c r="F159" t="s">
        <v>74</v>
      </c>
      <c r="G159" t="s">
        <v>135</v>
      </c>
      <c r="H159" t="s">
        <v>74</v>
      </c>
      <c r="I159" t="s">
        <v>115</v>
      </c>
      <c r="J159" t="s">
        <v>101</v>
      </c>
      <c r="K159" t="s">
        <v>122</v>
      </c>
      <c r="L159" t="s">
        <v>79</v>
      </c>
      <c r="M159" t="s">
        <v>80</v>
      </c>
      <c r="N159" t="s">
        <v>82</v>
      </c>
      <c r="O159" t="s">
        <v>138</v>
      </c>
      <c r="P159" t="s">
        <v>79</v>
      </c>
      <c r="Q159" t="s">
        <v>83</v>
      </c>
      <c r="R159" t="s">
        <v>79</v>
      </c>
      <c r="S159" t="s">
        <v>84</v>
      </c>
      <c r="T159" t="s">
        <v>152</v>
      </c>
      <c r="U159" t="s">
        <v>82</v>
      </c>
      <c r="V159" t="s">
        <v>106</v>
      </c>
      <c r="W159" t="s">
        <v>141</v>
      </c>
      <c r="X159" t="s">
        <v>112</v>
      </c>
      <c r="Y159" t="s">
        <v>94</v>
      </c>
      <c r="Z159" t="s">
        <v>94</v>
      </c>
      <c r="AA159" t="s">
        <v>92</v>
      </c>
      <c r="AB159" t="s">
        <v>93</v>
      </c>
      <c r="AC159" t="s">
        <v>92</v>
      </c>
      <c r="AD159" t="s">
        <v>92</v>
      </c>
      <c r="AE159" t="s">
        <v>92</v>
      </c>
      <c r="AF159" t="s">
        <v>92</v>
      </c>
      <c r="AG159" t="s">
        <v>92</v>
      </c>
      <c r="AH159" t="s">
        <v>92</v>
      </c>
      <c r="AI159" t="s">
        <v>92</v>
      </c>
      <c r="AJ159" t="s">
        <v>92</v>
      </c>
      <c r="AK159" t="s">
        <v>92</v>
      </c>
      <c r="AL159" t="s">
        <v>92</v>
      </c>
      <c r="AM159" t="s">
        <v>92</v>
      </c>
      <c r="AN159" t="s">
        <v>93</v>
      </c>
      <c r="AO159" t="s">
        <v>93</v>
      </c>
      <c r="AP159" t="s">
        <v>93</v>
      </c>
      <c r="AQ159" t="s">
        <v>95</v>
      </c>
      <c r="AR159" t="s">
        <v>95</v>
      </c>
      <c r="AS159" t="s">
        <v>95</v>
      </c>
      <c r="AT159" t="s">
        <v>95</v>
      </c>
      <c r="AU159" t="s">
        <v>94</v>
      </c>
      <c r="AV159" t="s">
        <v>94</v>
      </c>
      <c r="AW159" t="s">
        <v>92</v>
      </c>
      <c r="AX159" t="s">
        <v>92</v>
      </c>
      <c r="AY159" t="s">
        <v>94</v>
      </c>
      <c r="AZ159" t="s">
        <v>95</v>
      </c>
      <c r="BA159" t="s">
        <v>93</v>
      </c>
      <c r="BB159" t="s">
        <v>93</v>
      </c>
      <c r="BC159" t="s">
        <v>93</v>
      </c>
      <c r="BD159" t="s">
        <v>93</v>
      </c>
      <c r="BE159" t="s">
        <v>93</v>
      </c>
      <c r="BF159" t="s">
        <v>93</v>
      </c>
      <c r="BG159" t="s">
        <v>93</v>
      </c>
      <c r="BH159" t="s">
        <v>93</v>
      </c>
    </row>
    <row r="160" spans="1:60" x14ac:dyDescent="0.3">
      <c r="A160">
        <v>21</v>
      </c>
      <c r="B160" t="s">
        <v>70</v>
      </c>
      <c r="C160" t="s">
        <v>96</v>
      </c>
      <c r="D160" t="s">
        <v>72</v>
      </c>
      <c r="E160" t="s">
        <v>114</v>
      </c>
      <c r="F160" t="s">
        <v>98</v>
      </c>
      <c r="G160" t="s">
        <v>230</v>
      </c>
      <c r="H160" t="s">
        <v>165</v>
      </c>
      <c r="I160" t="s">
        <v>76</v>
      </c>
      <c r="J160" t="s">
        <v>101</v>
      </c>
      <c r="K160" t="s">
        <v>125</v>
      </c>
      <c r="L160" t="s">
        <v>79</v>
      </c>
      <c r="M160" t="s">
        <v>102</v>
      </c>
      <c r="N160" t="s">
        <v>82</v>
      </c>
      <c r="O160" t="s">
        <v>138</v>
      </c>
      <c r="P160" t="s">
        <v>82</v>
      </c>
      <c r="Q160" t="s">
        <v>103</v>
      </c>
      <c r="R160" t="s">
        <v>82</v>
      </c>
      <c r="S160" t="s">
        <v>211</v>
      </c>
      <c r="T160" t="s">
        <v>85</v>
      </c>
      <c r="U160" t="s">
        <v>82</v>
      </c>
      <c r="V160" t="s">
        <v>106</v>
      </c>
      <c r="W160" t="s">
        <v>87</v>
      </c>
      <c r="Y160" t="s">
        <v>93</v>
      </c>
      <c r="Z160" t="s">
        <v>93</v>
      </c>
      <c r="AA160" t="s">
        <v>93</v>
      </c>
      <c r="AB160" t="s">
        <v>93</v>
      </c>
      <c r="AC160" t="s">
        <v>92</v>
      </c>
      <c r="AD160" t="s">
        <v>92</v>
      </c>
      <c r="AE160" t="s">
        <v>94</v>
      </c>
      <c r="AF160" t="s">
        <v>93</v>
      </c>
      <c r="AG160" t="s">
        <v>93</v>
      </c>
      <c r="AH160" t="s">
        <v>93</v>
      </c>
      <c r="AI160" t="s">
        <v>93</v>
      </c>
      <c r="AJ160" t="s">
        <v>93</v>
      </c>
      <c r="AK160" t="s">
        <v>93</v>
      </c>
      <c r="AL160" t="s">
        <v>93</v>
      </c>
      <c r="AM160" t="s">
        <v>93</v>
      </c>
      <c r="AN160" t="s">
        <v>92</v>
      </c>
      <c r="AO160" t="s">
        <v>92</v>
      </c>
      <c r="AP160" t="s">
        <v>92</v>
      </c>
      <c r="AQ160" t="s">
        <v>92</v>
      </c>
      <c r="AR160" t="s">
        <v>92</v>
      </c>
      <c r="AS160" t="s">
        <v>92</v>
      </c>
      <c r="AT160" t="s">
        <v>92</v>
      </c>
      <c r="AU160" t="s">
        <v>92</v>
      </c>
      <c r="AV160" t="s">
        <v>92</v>
      </c>
      <c r="AW160" t="s">
        <v>92</v>
      </c>
      <c r="AX160" t="s">
        <v>92</v>
      </c>
      <c r="AY160" t="s">
        <v>92</v>
      </c>
      <c r="AZ160" t="s">
        <v>92</v>
      </c>
      <c r="BA160" t="s">
        <v>92</v>
      </c>
      <c r="BB160" t="s">
        <v>92</v>
      </c>
      <c r="BC160" t="s">
        <v>94</v>
      </c>
      <c r="BD160" t="s">
        <v>94</v>
      </c>
      <c r="BE160" t="s">
        <v>94</v>
      </c>
      <c r="BF160" t="s">
        <v>94</v>
      </c>
      <c r="BG160" t="s">
        <v>94</v>
      </c>
      <c r="BH160" t="s">
        <v>92</v>
      </c>
    </row>
    <row r="161" spans="1:60" x14ac:dyDescent="0.3">
      <c r="A161">
        <v>23</v>
      </c>
      <c r="B161" t="s">
        <v>70</v>
      </c>
      <c r="C161" t="s">
        <v>113</v>
      </c>
      <c r="D161" t="s">
        <v>72</v>
      </c>
      <c r="E161" t="s">
        <v>114</v>
      </c>
      <c r="F161" t="s">
        <v>136</v>
      </c>
      <c r="G161" t="s">
        <v>135</v>
      </c>
      <c r="H161" t="s">
        <v>136</v>
      </c>
      <c r="I161" t="s">
        <v>76</v>
      </c>
      <c r="J161" t="s">
        <v>77</v>
      </c>
      <c r="K161" t="s">
        <v>125</v>
      </c>
      <c r="L161" t="s">
        <v>79</v>
      </c>
      <c r="M161" t="s">
        <v>80</v>
      </c>
      <c r="N161" t="s">
        <v>79</v>
      </c>
      <c r="O161" t="s">
        <v>109</v>
      </c>
      <c r="P161" t="s">
        <v>79</v>
      </c>
      <c r="Q161" t="s">
        <v>83</v>
      </c>
      <c r="R161" t="s">
        <v>79</v>
      </c>
      <c r="S161" t="s">
        <v>84</v>
      </c>
      <c r="T161" t="s">
        <v>159</v>
      </c>
      <c r="U161" t="s">
        <v>82</v>
      </c>
      <c r="V161" t="s">
        <v>106</v>
      </c>
      <c r="W161" t="s">
        <v>141</v>
      </c>
      <c r="X161" t="s">
        <v>112</v>
      </c>
      <c r="Y161" t="s">
        <v>93</v>
      </c>
      <c r="Z161" t="s">
        <v>93</v>
      </c>
      <c r="AA161" t="s">
        <v>93</v>
      </c>
      <c r="AB161" t="s">
        <v>93</v>
      </c>
      <c r="AC161" t="s">
        <v>94</v>
      </c>
      <c r="AD161" t="s">
        <v>94</v>
      </c>
      <c r="AE161" t="s">
        <v>94</v>
      </c>
      <c r="AF161" t="s">
        <v>93</v>
      </c>
      <c r="AG161" t="s">
        <v>93</v>
      </c>
      <c r="AH161" t="s">
        <v>93</v>
      </c>
      <c r="AI161" t="s">
        <v>93</v>
      </c>
      <c r="AJ161" t="s">
        <v>93</v>
      </c>
      <c r="AK161" t="s">
        <v>93</v>
      </c>
      <c r="AL161" t="s">
        <v>94</v>
      </c>
      <c r="AM161" t="s">
        <v>94</v>
      </c>
      <c r="AN161" t="s">
        <v>93</v>
      </c>
      <c r="AO161" t="s">
        <v>93</v>
      </c>
      <c r="AP161" t="s">
        <v>93</v>
      </c>
      <c r="AQ161" t="s">
        <v>95</v>
      </c>
      <c r="AR161" t="s">
        <v>95</v>
      </c>
      <c r="AS161" t="s">
        <v>95</v>
      </c>
      <c r="AT161" t="s">
        <v>95</v>
      </c>
      <c r="AU161" t="s">
        <v>93</v>
      </c>
      <c r="AV161" t="s">
        <v>93</v>
      </c>
      <c r="AW161" t="s">
        <v>93</v>
      </c>
      <c r="AX161" t="s">
        <v>95</v>
      </c>
      <c r="AY161" t="s">
        <v>95</v>
      </c>
      <c r="AZ161" t="s">
        <v>94</v>
      </c>
      <c r="BA161" t="s">
        <v>94</v>
      </c>
      <c r="BB161" t="s">
        <v>94</v>
      </c>
      <c r="BC161" t="s">
        <v>94</v>
      </c>
      <c r="BD161" t="s">
        <v>94</v>
      </c>
      <c r="BE161" t="s">
        <v>94</v>
      </c>
      <c r="BF161" t="s">
        <v>92</v>
      </c>
      <c r="BG161" t="s">
        <v>92</v>
      </c>
      <c r="BH161" t="s">
        <v>92</v>
      </c>
    </row>
    <row r="162" spans="1:60" x14ac:dyDescent="0.3">
      <c r="A162">
        <v>21</v>
      </c>
      <c r="B162" t="s">
        <v>70</v>
      </c>
      <c r="C162" t="s">
        <v>96</v>
      </c>
      <c r="D162" t="s">
        <v>72</v>
      </c>
      <c r="E162" t="s">
        <v>114</v>
      </c>
      <c r="F162" t="s">
        <v>74</v>
      </c>
      <c r="G162" t="s">
        <v>75</v>
      </c>
      <c r="H162" t="s">
        <v>136</v>
      </c>
      <c r="I162" t="s">
        <v>76</v>
      </c>
      <c r="J162" t="s">
        <v>101</v>
      </c>
      <c r="K162" t="s">
        <v>125</v>
      </c>
      <c r="L162" t="s">
        <v>79</v>
      </c>
      <c r="M162" t="s">
        <v>80</v>
      </c>
      <c r="N162" t="s">
        <v>82</v>
      </c>
      <c r="O162" t="s">
        <v>138</v>
      </c>
      <c r="P162" t="s">
        <v>79</v>
      </c>
      <c r="Q162" t="s">
        <v>83</v>
      </c>
      <c r="R162" t="s">
        <v>79</v>
      </c>
      <c r="S162" t="s">
        <v>84</v>
      </c>
      <c r="T162" t="s">
        <v>159</v>
      </c>
      <c r="U162" t="s">
        <v>79</v>
      </c>
      <c r="V162" t="s">
        <v>86</v>
      </c>
      <c r="W162" t="s">
        <v>87</v>
      </c>
      <c r="X162" t="s">
        <v>127</v>
      </c>
      <c r="Y162" t="s">
        <v>94</v>
      </c>
      <c r="Z162" t="s">
        <v>94</v>
      </c>
      <c r="AA162" t="s">
        <v>92</v>
      </c>
      <c r="AB162" t="s">
        <v>94</v>
      </c>
      <c r="AC162" t="s">
        <v>94</v>
      </c>
      <c r="AD162" t="s">
        <v>92</v>
      </c>
      <c r="AE162" t="s">
        <v>94</v>
      </c>
      <c r="AF162" t="s">
        <v>92</v>
      </c>
      <c r="AG162" t="s">
        <v>92</v>
      </c>
      <c r="AH162" t="s">
        <v>94</v>
      </c>
      <c r="AI162" t="s">
        <v>94</v>
      </c>
      <c r="AJ162" t="s">
        <v>92</v>
      </c>
      <c r="AK162" t="s">
        <v>92</v>
      </c>
      <c r="AL162" t="s">
        <v>94</v>
      </c>
      <c r="AM162" t="s">
        <v>92</v>
      </c>
      <c r="AN162" t="s">
        <v>94</v>
      </c>
      <c r="AO162" t="s">
        <v>95</v>
      </c>
      <c r="AP162" t="s">
        <v>94</v>
      </c>
      <c r="AQ162" t="s">
        <v>92</v>
      </c>
      <c r="AR162" t="s">
        <v>92</v>
      </c>
      <c r="AS162" t="s">
        <v>94</v>
      </c>
      <c r="AT162" t="s">
        <v>92</v>
      </c>
      <c r="AU162" t="s">
        <v>94</v>
      </c>
      <c r="AV162" t="s">
        <v>94</v>
      </c>
      <c r="AW162" t="s">
        <v>92</v>
      </c>
      <c r="AX162" t="s">
        <v>94</v>
      </c>
      <c r="AY162" t="s">
        <v>94</v>
      </c>
      <c r="AZ162" t="s">
        <v>92</v>
      </c>
      <c r="BA162" t="s">
        <v>94</v>
      </c>
      <c r="BB162" t="s">
        <v>95</v>
      </c>
      <c r="BC162" t="s">
        <v>94</v>
      </c>
      <c r="BD162" t="s">
        <v>94</v>
      </c>
      <c r="BE162" t="s">
        <v>92</v>
      </c>
      <c r="BF162" t="s">
        <v>92</v>
      </c>
      <c r="BG162" t="s">
        <v>94</v>
      </c>
      <c r="BH162" t="s">
        <v>92</v>
      </c>
    </row>
    <row r="163" spans="1:60" x14ac:dyDescent="0.3">
      <c r="A163">
        <v>23</v>
      </c>
      <c r="B163" t="s">
        <v>70</v>
      </c>
      <c r="C163" t="s">
        <v>96</v>
      </c>
      <c r="D163" t="s">
        <v>72</v>
      </c>
      <c r="E163" t="s">
        <v>114</v>
      </c>
      <c r="F163" t="s">
        <v>98</v>
      </c>
      <c r="G163" t="s">
        <v>135</v>
      </c>
      <c r="H163" t="s">
        <v>98</v>
      </c>
      <c r="I163" t="s">
        <v>76</v>
      </c>
      <c r="J163" t="s">
        <v>77</v>
      </c>
      <c r="K163" t="s">
        <v>125</v>
      </c>
      <c r="L163" t="s">
        <v>79</v>
      </c>
      <c r="M163" t="s">
        <v>80</v>
      </c>
      <c r="N163" t="s">
        <v>79</v>
      </c>
      <c r="O163" t="s">
        <v>81</v>
      </c>
      <c r="P163" t="s">
        <v>82</v>
      </c>
      <c r="Q163" t="s">
        <v>103</v>
      </c>
      <c r="R163" t="s">
        <v>82</v>
      </c>
      <c r="S163" t="s">
        <v>142</v>
      </c>
      <c r="T163" t="s">
        <v>85</v>
      </c>
      <c r="U163" t="s">
        <v>82</v>
      </c>
      <c r="V163" t="s">
        <v>106</v>
      </c>
      <c r="W163" t="s">
        <v>87</v>
      </c>
      <c r="X163" t="s">
        <v>112</v>
      </c>
      <c r="Y163" t="s">
        <v>95</v>
      </c>
      <c r="Z163" t="s">
        <v>94</v>
      </c>
      <c r="AA163" t="s">
        <v>92</v>
      </c>
      <c r="AB163" t="s">
        <v>94</v>
      </c>
      <c r="AC163" t="s">
        <v>94</v>
      </c>
      <c r="AD163" t="s">
        <v>94</v>
      </c>
      <c r="AE163" t="s">
        <v>94</v>
      </c>
      <c r="AF163" t="s">
        <v>92</v>
      </c>
      <c r="AG163" t="s">
        <v>94</v>
      </c>
      <c r="AH163" t="s">
        <v>94</v>
      </c>
      <c r="AI163" t="s">
        <v>92</v>
      </c>
      <c r="AJ163" t="s">
        <v>94</v>
      </c>
      <c r="AK163" t="s">
        <v>94</v>
      </c>
      <c r="AL163" t="s">
        <v>94</v>
      </c>
      <c r="AM163" t="s">
        <v>94</v>
      </c>
      <c r="AN163" t="s">
        <v>94</v>
      </c>
      <c r="AO163" t="s">
        <v>94</v>
      </c>
      <c r="AP163" t="s">
        <v>94</v>
      </c>
      <c r="AQ163" t="s">
        <v>94</v>
      </c>
      <c r="AR163" t="s">
        <v>94</v>
      </c>
      <c r="AS163" t="s">
        <v>94</v>
      </c>
      <c r="AT163" t="s">
        <v>94</v>
      </c>
      <c r="AU163" t="s">
        <v>94</v>
      </c>
      <c r="AV163" t="s">
        <v>94</v>
      </c>
      <c r="AW163" t="s">
        <v>94</v>
      </c>
      <c r="AX163" t="s">
        <v>94</v>
      </c>
      <c r="AY163" t="s">
        <v>94</v>
      </c>
      <c r="AZ163" t="s">
        <v>92</v>
      </c>
      <c r="BA163" t="s">
        <v>94</v>
      </c>
      <c r="BB163" t="s">
        <v>92</v>
      </c>
      <c r="BC163" t="s">
        <v>92</v>
      </c>
      <c r="BD163" t="s">
        <v>94</v>
      </c>
      <c r="BE163" t="s">
        <v>92</v>
      </c>
      <c r="BF163" t="s">
        <v>94</v>
      </c>
      <c r="BG163" t="s">
        <v>92</v>
      </c>
      <c r="BH163" t="s">
        <v>94</v>
      </c>
    </row>
    <row r="164" spans="1:60" x14ac:dyDescent="0.3">
      <c r="A164">
        <v>24</v>
      </c>
      <c r="B164" t="s">
        <v>70</v>
      </c>
      <c r="C164" t="s">
        <v>113</v>
      </c>
      <c r="D164" t="s">
        <v>72</v>
      </c>
      <c r="E164" t="s">
        <v>114</v>
      </c>
      <c r="F164" t="s">
        <v>100</v>
      </c>
      <c r="G164" t="s">
        <v>166</v>
      </c>
      <c r="H164" t="s">
        <v>100</v>
      </c>
      <c r="I164" t="s">
        <v>76</v>
      </c>
      <c r="J164" t="s">
        <v>77</v>
      </c>
      <c r="K164" t="s">
        <v>125</v>
      </c>
      <c r="L164" t="s">
        <v>79</v>
      </c>
      <c r="M164" t="s">
        <v>102</v>
      </c>
      <c r="N164" t="s">
        <v>82</v>
      </c>
      <c r="O164" t="s">
        <v>109</v>
      </c>
      <c r="P164" t="s">
        <v>79</v>
      </c>
      <c r="Q164" t="s">
        <v>83</v>
      </c>
      <c r="R164" t="s">
        <v>82</v>
      </c>
      <c r="S164" t="s">
        <v>142</v>
      </c>
      <c r="T164" t="s">
        <v>159</v>
      </c>
      <c r="U164" t="s">
        <v>82</v>
      </c>
      <c r="V164" t="s">
        <v>106</v>
      </c>
      <c r="W164" t="s">
        <v>87</v>
      </c>
      <c r="X164" t="s">
        <v>112</v>
      </c>
      <c r="Y164" t="s">
        <v>94</v>
      </c>
      <c r="Z164" t="s">
        <v>92</v>
      </c>
      <c r="AA164" t="s">
        <v>94</v>
      </c>
      <c r="AB164" t="s">
        <v>94</v>
      </c>
      <c r="AC164" t="s">
        <v>94</v>
      </c>
      <c r="AD164" t="s">
        <v>94</v>
      </c>
      <c r="AE164" t="s">
        <v>94</v>
      </c>
      <c r="AF164" t="s">
        <v>94</v>
      </c>
      <c r="AG164" t="s">
        <v>94</v>
      </c>
      <c r="AH164" t="s">
        <v>94</v>
      </c>
      <c r="AI164" t="s">
        <v>94</v>
      </c>
      <c r="AJ164" t="s">
        <v>92</v>
      </c>
      <c r="AK164" t="s">
        <v>94</v>
      </c>
      <c r="AL164" t="s">
        <v>94</v>
      </c>
      <c r="AM164" t="s">
        <v>94</v>
      </c>
      <c r="AN164" t="s">
        <v>94</v>
      </c>
      <c r="AO164" t="s">
        <v>94</v>
      </c>
      <c r="AP164" t="s">
        <v>94</v>
      </c>
      <c r="AQ164" t="s">
        <v>92</v>
      </c>
      <c r="AR164" t="s">
        <v>94</v>
      </c>
      <c r="AS164" t="s">
        <v>94</v>
      </c>
      <c r="AT164" t="s">
        <v>92</v>
      </c>
      <c r="AU164" t="s">
        <v>94</v>
      </c>
      <c r="AV164" t="s">
        <v>94</v>
      </c>
      <c r="AW164" t="s">
        <v>94</v>
      </c>
      <c r="AX164" t="s">
        <v>95</v>
      </c>
      <c r="AY164" t="s">
        <v>94</v>
      </c>
      <c r="AZ164" t="s">
        <v>94</v>
      </c>
      <c r="BA164" t="s">
        <v>94</v>
      </c>
      <c r="BB164" t="s">
        <v>95</v>
      </c>
      <c r="BC164" t="s">
        <v>94</v>
      </c>
      <c r="BD164" t="s">
        <v>94</v>
      </c>
      <c r="BE164" t="s">
        <v>95</v>
      </c>
      <c r="BF164" t="s">
        <v>92</v>
      </c>
      <c r="BG164" t="s">
        <v>95</v>
      </c>
      <c r="BH164" t="s">
        <v>94</v>
      </c>
    </row>
    <row r="165" spans="1:60" x14ac:dyDescent="0.3">
      <c r="A165">
        <v>23</v>
      </c>
      <c r="B165" t="s">
        <v>70</v>
      </c>
      <c r="C165" t="s">
        <v>96</v>
      </c>
      <c r="D165" t="s">
        <v>149</v>
      </c>
      <c r="E165" t="s">
        <v>73</v>
      </c>
      <c r="F165" t="s">
        <v>136</v>
      </c>
      <c r="G165" t="s">
        <v>115</v>
      </c>
      <c r="H165" t="s">
        <v>136</v>
      </c>
      <c r="I165" t="s">
        <v>76</v>
      </c>
      <c r="J165" t="s">
        <v>77</v>
      </c>
      <c r="K165" t="s">
        <v>78</v>
      </c>
      <c r="L165" t="s">
        <v>79</v>
      </c>
      <c r="M165" t="s">
        <v>80</v>
      </c>
      <c r="N165" t="s">
        <v>82</v>
      </c>
      <c r="O165" t="s">
        <v>117</v>
      </c>
      <c r="P165" t="s">
        <v>79</v>
      </c>
      <c r="Q165" t="s">
        <v>118</v>
      </c>
      <c r="R165" t="s">
        <v>79</v>
      </c>
      <c r="S165" t="s">
        <v>84</v>
      </c>
      <c r="T165" t="s">
        <v>124</v>
      </c>
      <c r="U165" t="s">
        <v>79</v>
      </c>
      <c r="V165" t="s">
        <v>148</v>
      </c>
      <c r="W165" t="s">
        <v>120</v>
      </c>
      <c r="X165" t="s">
        <v>88</v>
      </c>
      <c r="Y165" t="s">
        <v>92</v>
      </c>
      <c r="Z165" t="s">
        <v>94</v>
      </c>
      <c r="AA165" t="s">
        <v>92</v>
      </c>
      <c r="AB165" t="s">
        <v>94</v>
      </c>
      <c r="AC165" t="s">
        <v>92</v>
      </c>
      <c r="AD165" t="s">
        <v>94</v>
      </c>
      <c r="AE165" t="s">
        <v>92</v>
      </c>
      <c r="AF165" t="s">
        <v>94</v>
      </c>
      <c r="AG165" t="s">
        <v>92</v>
      </c>
      <c r="AH165" t="s">
        <v>94</v>
      </c>
      <c r="AI165" t="s">
        <v>92</v>
      </c>
      <c r="AJ165" t="s">
        <v>94</v>
      </c>
      <c r="AK165" t="s">
        <v>92</v>
      </c>
      <c r="AL165" t="s">
        <v>94</v>
      </c>
      <c r="AM165" t="s">
        <v>92</v>
      </c>
      <c r="AN165" t="s">
        <v>92</v>
      </c>
      <c r="AO165" t="s">
        <v>94</v>
      </c>
      <c r="AP165" t="s">
        <v>92</v>
      </c>
      <c r="AQ165" t="s">
        <v>94</v>
      </c>
      <c r="AR165" t="s">
        <v>92</v>
      </c>
      <c r="AS165" t="s">
        <v>94</v>
      </c>
      <c r="AT165" t="s">
        <v>92</v>
      </c>
      <c r="AU165" t="s">
        <v>92</v>
      </c>
      <c r="AV165" t="s">
        <v>94</v>
      </c>
      <c r="AW165" t="s">
        <v>92</v>
      </c>
      <c r="AX165" t="s">
        <v>94</v>
      </c>
      <c r="AY165" t="s">
        <v>92</v>
      </c>
      <c r="AZ165" t="s">
        <v>94</v>
      </c>
      <c r="BA165" t="s">
        <v>92</v>
      </c>
      <c r="BB165" t="s">
        <v>94</v>
      </c>
      <c r="BC165" t="s">
        <v>92</v>
      </c>
      <c r="BD165" t="s">
        <v>94</v>
      </c>
      <c r="BE165" t="s">
        <v>92</v>
      </c>
      <c r="BF165" t="s">
        <v>94</v>
      </c>
      <c r="BG165" t="s">
        <v>92</v>
      </c>
      <c r="BH165" t="s">
        <v>92</v>
      </c>
    </row>
    <row r="166" spans="1:60" x14ac:dyDescent="0.3">
      <c r="A166">
        <v>21</v>
      </c>
      <c r="B166" t="s">
        <v>70</v>
      </c>
      <c r="C166" t="s">
        <v>96</v>
      </c>
      <c r="D166" t="s">
        <v>97</v>
      </c>
      <c r="E166" t="s">
        <v>73</v>
      </c>
      <c r="F166" t="s">
        <v>136</v>
      </c>
      <c r="G166" t="s">
        <v>99</v>
      </c>
      <c r="H166" t="s">
        <v>136</v>
      </c>
      <c r="I166" t="s">
        <v>76</v>
      </c>
      <c r="J166" t="s">
        <v>77</v>
      </c>
      <c r="K166" t="s">
        <v>122</v>
      </c>
      <c r="L166" t="s">
        <v>79</v>
      </c>
      <c r="M166" t="s">
        <v>102</v>
      </c>
      <c r="N166" t="s">
        <v>79</v>
      </c>
      <c r="O166" t="s">
        <v>179</v>
      </c>
      <c r="P166" t="s">
        <v>79</v>
      </c>
      <c r="Q166" t="s">
        <v>83</v>
      </c>
      <c r="R166" t="s">
        <v>79</v>
      </c>
      <c r="S166" t="s">
        <v>84</v>
      </c>
      <c r="T166" t="s">
        <v>150</v>
      </c>
      <c r="U166" t="s">
        <v>82</v>
      </c>
      <c r="V166" t="s">
        <v>86</v>
      </c>
      <c r="W166" t="s">
        <v>141</v>
      </c>
      <c r="X166" t="s">
        <v>112</v>
      </c>
      <c r="Y166" t="s">
        <v>94</v>
      </c>
      <c r="Z166" t="s">
        <v>94</v>
      </c>
      <c r="AA166" t="s">
        <v>92</v>
      </c>
      <c r="AB166" t="s">
        <v>92</v>
      </c>
      <c r="AC166" t="s">
        <v>92</v>
      </c>
      <c r="AD166" t="s">
        <v>92</v>
      </c>
      <c r="AE166" t="s">
        <v>94</v>
      </c>
      <c r="AF166" t="s">
        <v>93</v>
      </c>
      <c r="AG166" t="s">
        <v>93</v>
      </c>
      <c r="AH166" t="s">
        <v>93</v>
      </c>
      <c r="AI166" t="s">
        <v>92</v>
      </c>
      <c r="AJ166" t="s">
        <v>92</v>
      </c>
      <c r="AK166" t="s">
        <v>92</v>
      </c>
      <c r="AL166" t="s">
        <v>92</v>
      </c>
      <c r="AM166" t="s">
        <v>94</v>
      </c>
      <c r="AN166" t="s">
        <v>93</v>
      </c>
      <c r="AO166" t="s">
        <v>93</v>
      </c>
      <c r="AP166" t="s">
        <v>93</v>
      </c>
      <c r="AQ166" t="s">
        <v>93</v>
      </c>
      <c r="AR166" t="s">
        <v>95</v>
      </c>
      <c r="AS166" t="s">
        <v>95</v>
      </c>
      <c r="AT166" t="s">
        <v>95</v>
      </c>
      <c r="AU166" t="s">
        <v>94</v>
      </c>
      <c r="AV166" t="s">
        <v>94</v>
      </c>
      <c r="AW166" t="s">
        <v>93</v>
      </c>
      <c r="AX166" t="s">
        <v>94</v>
      </c>
      <c r="AY166" t="s">
        <v>95</v>
      </c>
      <c r="AZ166" t="s">
        <v>95</v>
      </c>
      <c r="BA166" t="s">
        <v>92</v>
      </c>
      <c r="BB166" t="s">
        <v>92</v>
      </c>
      <c r="BC166" t="s">
        <v>92</v>
      </c>
      <c r="BD166" t="s">
        <v>92</v>
      </c>
      <c r="BE166" t="s">
        <v>94</v>
      </c>
      <c r="BF166" t="s">
        <v>95</v>
      </c>
      <c r="BG166" t="s">
        <v>95</v>
      </c>
      <c r="BH166" t="s">
        <v>95</v>
      </c>
    </row>
    <row r="167" spans="1:60" x14ac:dyDescent="0.3">
      <c r="A167" t="s">
        <v>231</v>
      </c>
      <c r="B167" t="s">
        <v>70</v>
      </c>
      <c r="C167" t="s">
        <v>157</v>
      </c>
      <c r="D167" t="s">
        <v>97</v>
      </c>
      <c r="E167" t="s">
        <v>108</v>
      </c>
      <c r="F167" t="s">
        <v>74</v>
      </c>
      <c r="G167" t="s">
        <v>135</v>
      </c>
      <c r="H167" t="s">
        <v>136</v>
      </c>
      <c r="I167" t="s">
        <v>76</v>
      </c>
      <c r="J167" t="s">
        <v>101</v>
      </c>
      <c r="K167" t="s">
        <v>78</v>
      </c>
      <c r="L167" t="s">
        <v>82</v>
      </c>
      <c r="M167" t="s">
        <v>80</v>
      </c>
      <c r="N167" t="s">
        <v>79</v>
      </c>
      <c r="O167" t="s">
        <v>109</v>
      </c>
      <c r="P167" t="s">
        <v>79</v>
      </c>
      <c r="Q167" t="s">
        <v>103</v>
      </c>
      <c r="R167" t="s">
        <v>79</v>
      </c>
      <c r="S167" t="s">
        <v>84</v>
      </c>
      <c r="T167" t="s">
        <v>158</v>
      </c>
      <c r="U167" t="s">
        <v>82</v>
      </c>
      <c r="V167" t="s">
        <v>86</v>
      </c>
      <c r="W167" t="s">
        <v>141</v>
      </c>
      <c r="X167" t="s">
        <v>112</v>
      </c>
      <c r="Y167" t="s">
        <v>93</v>
      </c>
      <c r="Z167" t="s">
        <v>93</v>
      </c>
      <c r="AA167" t="s">
        <v>93</v>
      </c>
      <c r="AB167" t="s">
        <v>94</v>
      </c>
      <c r="AC167" t="s">
        <v>93</v>
      </c>
      <c r="AD167" t="s">
        <v>93</v>
      </c>
      <c r="AE167" t="s">
        <v>93</v>
      </c>
      <c r="AF167" t="s">
        <v>94</v>
      </c>
      <c r="AG167" t="s">
        <v>92</v>
      </c>
      <c r="AH167" t="s">
        <v>93</v>
      </c>
      <c r="AI167" t="s">
        <v>93</v>
      </c>
      <c r="AJ167" t="s">
        <v>93</v>
      </c>
      <c r="AK167" t="s">
        <v>93</v>
      </c>
      <c r="AL167" t="s">
        <v>94</v>
      </c>
      <c r="AM167" t="s">
        <v>92</v>
      </c>
      <c r="AN167" t="s">
        <v>93</v>
      </c>
      <c r="AO167" t="s">
        <v>93</v>
      </c>
      <c r="AP167" t="s">
        <v>93</v>
      </c>
      <c r="AQ167" t="s">
        <v>94</v>
      </c>
      <c r="AR167" t="s">
        <v>94</v>
      </c>
      <c r="AS167" t="s">
        <v>95</v>
      </c>
      <c r="AT167" t="s">
        <v>93</v>
      </c>
      <c r="AU167" t="s">
        <v>94</v>
      </c>
      <c r="AV167" t="s">
        <v>95</v>
      </c>
      <c r="AW167" t="s">
        <v>95</v>
      </c>
      <c r="AX167" t="s">
        <v>93</v>
      </c>
      <c r="AY167" t="s">
        <v>93</v>
      </c>
      <c r="AZ167" t="s">
        <v>93</v>
      </c>
      <c r="BA167" t="s">
        <v>94</v>
      </c>
      <c r="BB167" t="s">
        <v>94</v>
      </c>
      <c r="BC167" t="s">
        <v>94</v>
      </c>
      <c r="BD167" t="s">
        <v>94</v>
      </c>
      <c r="BE167" t="s">
        <v>94</v>
      </c>
      <c r="BF167" t="s">
        <v>93</v>
      </c>
      <c r="BG167" t="s">
        <v>93</v>
      </c>
      <c r="BH167" t="s">
        <v>93</v>
      </c>
    </row>
    <row r="168" spans="1:60" x14ac:dyDescent="0.3">
      <c r="A168">
        <v>24</v>
      </c>
      <c r="B168" t="s">
        <v>70</v>
      </c>
      <c r="C168" t="s">
        <v>113</v>
      </c>
      <c r="D168" t="s">
        <v>97</v>
      </c>
      <c r="E168" t="s">
        <v>108</v>
      </c>
      <c r="F168" t="s">
        <v>100</v>
      </c>
      <c r="G168" t="s">
        <v>166</v>
      </c>
      <c r="H168" t="s">
        <v>100</v>
      </c>
      <c r="I168" t="s">
        <v>76</v>
      </c>
      <c r="J168" t="s">
        <v>101</v>
      </c>
      <c r="K168" t="s">
        <v>125</v>
      </c>
      <c r="L168" t="s">
        <v>79</v>
      </c>
      <c r="M168" t="s">
        <v>80</v>
      </c>
      <c r="N168" t="s">
        <v>79</v>
      </c>
      <c r="O168" t="s">
        <v>81</v>
      </c>
      <c r="P168" t="s">
        <v>79</v>
      </c>
      <c r="Q168" t="s">
        <v>83</v>
      </c>
      <c r="R168" t="s">
        <v>79</v>
      </c>
      <c r="S168" t="s">
        <v>84</v>
      </c>
      <c r="T168" t="s">
        <v>119</v>
      </c>
      <c r="U168" t="s">
        <v>82</v>
      </c>
      <c r="V168" t="s">
        <v>106</v>
      </c>
      <c r="W168" t="s">
        <v>141</v>
      </c>
      <c r="X168" t="s">
        <v>88</v>
      </c>
      <c r="Y168" t="s">
        <v>93</v>
      </c>
      <c r="Z168" t="s">
        <v>93</v>
      </c>
      <c r="AA168" t="s">
        <v>93</v>
      </c>
      <c r="AB168" t="s">
        <v>93</v>
      </c>
      <c r="AC168" t="s">
        <v>92</v>
      </c>
      <c r="AD168" t="s">
        <v>92</v>
      </c>
      <c r="AE168" t="s">
        <v>92</v>
      </c>
      <c r="AF168" t="s">
        <v>93</v>
      </c>
      <c r="AG168" t="s">
        <v>93</v>
      </c>
      <c r="AH168" t="s">
        <v>93</v>
      </c>
      <c r="AI168" t="s">
        <v>93</v>
      </c>
      <c r="AJ168" t="s">
        <v>93</v>
      </c>
      <c r="AK168" t="s">
        <v>93</v>
      </c>
      <c r="AL168" t="s">
        <v>94</v>
      </c>
      <c r="AM168" t="s">
        <v>94</v>
      </c>
      <c r="AN168" t="s">
        <v>93</v>
      </c>
      <c r="AO168" t="s">
        <v>93</v>
      </c>
      <c r="AP168" t="s">
        <v>93</v>
      </c>
      <c r="AQ168" t="s">
        <v>95</v>
      </c>
      <c r="AR168" t="s">
        <v>94</v>
      </c>
      <c r="AS168" t="s">
        <v>95</v>
      </c>
      <c r="AT168" t="s">
        <v>95</v>
      </c>
      <c r="AU168" t="s">
        <v>93</v>
      </c>
      <c r="AV168" t="s">
        <v>92</v>
      </c>
      <c r="AW168" t="s">
        <v>93</v>
      </c>
      <c r="AX168" t="s">
        <v>94</v>
      </c>
      <c r="AY168" t="s">
        <v>95</v>
      </c>
      <c r="AZ168" t="s">
        <v>95</v>
      </c>
      <c r="BA168" t="s">
        <v>93</v>
      </c>
      <c r="BB168" t="s">
        <v>93</v>
      </c>
      <c r="BC168" t="s">
        <v>93</v>
      </c>
      <c r="BD168" t="s">
        <v>93</v>
      </c>
      <c r="BE168" t="s">
        <v>93</v>
      </c>
      <c r="BF168" t="s">
        <v>95</v>
      </c>
      <c r="BG168" t="s">
        <v>95</v>
      </c>
      <c r="BH168" t="s">
        <v>94</v>
      </c>
    </row>
    <row r="169" spans="1:60" x14ac:dyDescent="0.3">
      <c r="A169">
        <v>22</v>
      </c>
      <c r="B169" t="s">
        <v>70</v>
      </c>
      <c r="C169" t="s">
        <v>96</v>
      </c>
      <c r="D169" t="s">
        <v>149</v>
      </c>
      <c r="E169" t="s">
        <v>114</v>
      </c>
      <c r="F169" t="s">
        <v>74</v>
      </c>
      <c r="G169" t="s">
        <v>75</v>
      </c>
      <c r="H169" t="s">
        <v>136</v>
      </c>
      <c r="I169" t="s">
        <v>75</v>
      </c>
      <c r="J169" t="s">
        <v>77</v>
      </c>
      <c r="K169" t="s">
        <v>125</v>
      </c>
      <c r="L169" t="s">
        <v>79</v>
      </c>
      <c r="M169" t="s">
        <v>80</v>
      </c>
      <c r="N169" t="s">
        <v>79</v>
      </c>
      <c r="O169" t="s">
        <v>109</v>
      </c>
      <c r="P169" t="s">
        <v>79</v>
      </c>
      <c r="Q169" t="s">
        <v>83</v>
      </c>
      <c r="R169" t="s">
        <v>79</v>
      </c>
      <c r="S169" t="s">
        <v>137</v>
      </c>
      <c r="T169" t="s">
        <v>156</v>
      </c>
      <c r="U169" t="s">
        <v>79</v>
      </c>
      <c r="V169" t="s">
        <v>106</v>
      </c>
      <c r="W169" t="s">
        <v>141</v>
      </c>
      <c r="X169" t="s">
        <v>112</v>
      </c>
      <c r="Y169" t="s">
        <v>92</v>
      </c>
      <c r="Z169" t="s">
        <v>93</v>
      </c>
      <c r="AA169" t="s">
        <v>93</v>
      </c>
      <c r="AB169" t="s">
        <v>93</v>
      </c>
      <c r="AC169" t="s">
        <v>92</v>
      </c>
      <c r="AD169" t="s">
        <v>92</v>
      </c>
      <c r="AE169" t="s">
        <v>95</v>
      </c>
      <c r="AF169" t="s">
        <v>92</v>
      </c>
      <c r="AG169" t="s">
        <v>92</v>
      </c>
      <c r="AH169" t="s">
        <v>93</v>
      </c>
      <c r="AI169" t="s">
        <v>93</v>
      </c>
      <c r="AJ169" t="s">
        <v>93</v>
      </c>
      <c r="AK169" t="s">
        <v>93</v>
      </c>
      <c r="AL169" t="s">
        <v>92</v>
      </c>
      <c r="AM169" t="s">
        <v>92</v>
      </c>
      <c r="AN169" t="s">
        <v>93</v>
      </c>
      <c r="AO169" t="s">
        <v>93</v>
      </c>
      <c r="AP169" t="s">
        <v>93</v>
      </c>
      <c r="AQ169" t="s">
        <v>95</v>
      </c>
      <c r="AR169" t="s">
        <v>95</v>
      </c>
      <c r="AS169" t="s">
        <v>95</v>
      </c>
      <c r="AT169" t="s">
        <v>92</v>
      </c>
      <c r="AU169" t="s">
        <v>95</v>
      </c>
      <c r="AV169" t="s">
        <v>95</v>
      </c>
      <c r="AW169" t="s">
        <v>94</v>
      </c>
      <c r="AX169" t="s">
        <v>94</v>
      </c>
      <c r="AY169" t="s">
        <v>94</v>
      </c>
      <c r="AZ169" t="s">
        <v>95</v>
      </c>
      <c r="BA169" t="s">
        <v>93</v>
      </c>
      <c r="BB169" t="s">
        <v>93</v>
      </c>
      <c r="BC169" t="s">
        <v>93</v>
      </c>
      <c r="BD169" t="s">
        <v>93</v>
      </c>
      <c r="BE169" t="s">
        <v>93</v>
      </c>
      <c r="BF169" t="s">
        <v>92</v>
      </c>
      <c r="BG169" t="s">
        <v>95</v>
      </c>
      <c r="BH169" t="s">
        <v>92</v>
      </c>
    </row>
    <row r="170" spans="1:60" x14ac:dyDescent="0.3">
      <c r="A170">
        <v>21</v>
      </c>
      <c r="B170" t="s">
        <v>70</v>
      </c>
      <c r="C170" t="s">
        <v>96</v>
      </c>
      <c r="D170" t="s">
        <v>72</v>
      </c>
      <c r="E170" t="s">
        <v>73</v>
      </c>
      <c r="F170" t="s">
        <v>74</v>
      </c>
      <c r="G170" t="s">
        <v>115</v>
      </c>
      <c r="H170" t="s">
        <v>74</v>
      </c>
      <c r="I170" t="s">
        <v>75</v>
      </c>
      <c r="J170" t="s">
        <v>77</v>
      </c>
      <c r="K170" t="s">
        <v>78</v>
      </c>
      <c r="L170" t="s">
        <v>79</v>
      </c>
      <c r="M170" t="s">
        <v>80</v>
      </c>
      <c r="N170" t="s">
        <v>79</v>
      </c>
      <c r="O170" t="s">
        <v>81</v>
      </c>
      <c r="P170" t="s">
        <v>79</v>
      </c>
      <c r="Q170" t="s">
        <v>83</v>
      </c>
      <c r="R170" t="s">
        <v>79</v>
      </c>
      <c r="S170" t="s">
        <v>84</v>
      </c>
      <c r="T170" t="s">
        <v>124</v>
      </c>
      <c r="U170" t="s">
        <v>79</v>
      </c>
      <c r="V170" t="s">
        <v>106</v>
      </c>
      <c r="W170" t="s">
        <v>120</v>
      </c>
      <c r="X170" t="s">
        <v>112</v>
      </c>
      <c r="Y170" t="s">
        <v>93</v>
      </c>
      <c r="Z170" t="s">
        <v>93</v>
      </c>
      <c r="AA170" t="s">
        <v>93</v>
      </c>
      <c r="AB170" t="s">
        <v>93</v>
      </c>
      <c r="AC170" t="s">
        <v>93</v>
      </c>
      <c r="AD170" t="s">
        <v>93</v>
      </c>
      <c r="AE170" t="s">
        <v>92</v>
      </c>
      <c r="AF170" t="s">
        <v>94</v>
      </c>
      <c r="AG170" t="s">
        <v>93</v>
      </c>
      <c r="AH170" t="s">
        <v>94</v>
      </c>
      <c r="AI170" t="s">
        <v>92</v>
      </c>
      <c r="AJ170" t="s">
        <v>92</v>
      </c>
      <c r="AK170" t="s">
        <v>92</v>
      </c>
      <c r="AL170" t="s">
        <v>92</v>
      </c>
      <c r="AM170" t="s">
        <v>92</v>
      </c>
      <c r="AN170" t="s">
        <v>92</v>
      </c>
      <c r="AO170" t="s">
        <v>92</v>
      </c>
      <c r="AP170" t="s">
        <v>92</v>
      </c>
      <c r="AQ170" t="s">
        <v>92</v>
      </c>
      <c r="AR170" t="s">
        <v>93</v>
      </c>
      <c r="AS170" t="s">
        <v>93</v>
      </c>
      <c r="AT170" t="s">
        <v>92</v>
      </c>
      <c r="AU170" t="s">
        <v>94</v>
      </c>
      <c r="AV170" t="s">
        <v>94</v>
      </c>
      <c r="AW170" t="s">
        <v>94</v>
      </c>
      <c r="AX170" t="s">
        <v>94</v>
      </c>
      <c r="AY170" t="s">
        <v>95</v>
      </c>
      <c r="AZ170" t="s">
        <v>94</v>
      </c>
      <c r="BA170" t="s">
        <v>94</v>
      </c>
      <c r="BB170" t="s">
        <v>95</v>
      </c>
      <c r="BC170" t="s">
        <v>94</v>
      </c>
      <c r="BD170" t="s">
        <v>95</v>
      </c>
      <c r="BE170" t="s">
        <v>94</v>
      </c>
      <c r="BF170" t="s">
        <v>94</v>
      </c>
      <c r="BG170" t="s">
        <v>94</v>
      </c>
      <c r="BH170" t="s">
        <v>94</v>
      </c>
    </row>
    <row r="171" spans="1:60" x14ac:dyDescent="0.3">
      <c r="A171">
        <v>21</v>
      </c>
      <c r="B171" t="s">
        <v>70</v>
      </c>
      <c r="C171" t="s">
        <v>96</v>
      </c>
      <c r="D171" t="s">
        <v>72</v>
      </c>
      <c r="E171" t="s">
        <v>108</v>
      </c>
      <c r="F171" t="s">
        <v>136</v>
      </c>
      <c r="G171" t="s">
        <v>115</v>
      </c>
      <c r="H171" t="s">
        <v>98</v>
      </c>
      <c r="I171" t="s">
        <v>76</v>
      </c>
      <c r="J171" t="s">
        <v>77</v>
      </c>
      <c r="K171" t="s">
        <v>125</v>
      </c>
      <c r="L171" t="s">
        <v>82</v>
      </c>
      <c r="M171" t="s">
        <v>80</v>
      </c>
      <c r="N171" t="s">
        <v>79</v>
      </c>
      <c r="O171" t="s">
        <v>117</v>
      </c>
      <c r="P171" t="s">
        <v>79</v>
      </c>
      <c r="Q171" t="s">
        <v>83</v>
      </c>
      <c r="R171" t="s">
        <v>79</v>
      </c>
      <c r="S171" t="s">
        <v>84</v>
      </c>
      <c r="T171" t="s">
        <v>85</v>
      </c>
      <c r="U171" t="s">
        <v>82</v>
      </c>
      <c r="V171" t="s">
        <v>106</v>
      </c>
      <c r="W171" t="s">
        <v>141</v>
      </c>
      <c r="X171" t="s">
        <v>112</v>
      </c>
      <c r="Y171" t="s">
        <v>94</v>
      </c>
      <c r="Z171" t="s">
        <v>92</v>
      </c>
      <c r="AA171" t="s">
        <v>92</v>
      </c>
      <c r="AB171" t="s">
        <v>93</v>
      </c>
      <c r="AC171" t="s">
        <v>94</v>
      </c>
      <c r="AD171" t="s">
        <v>94</v>
      </c>
      <c r="AE171" t="s">
        <v>94</v>
      </c>
      <c r="AF171" t="s">
        <v>94</v>
      </c>
      <c r="AG171" t="s">
        <v>94</v>
      </c>
      <c r="AH171" t="s">
        <v>94</v>
      </c>
      <c r="AI171" t="s">
        <v>92</v>
      </c>
      <c r="AJ171" t="s">
        <v>94</v>
      </c>
      <c r="AK171" t="s">
        <v>92</v>
      </c>
      <c r="AL171" t="s">
        <v>92</v>
      </c>
      <c r="AM171" t="s">
        <v>92</v>
      </c>
      <c r="AN171" t="s">
        <v>93</v>
      </c>
      <c r="AO171" t="s">
        <v>92</v>
      </c>
      <c r="AP171" t="s">
        <v>92</v>
      </c>
      <c r="AQ171" t="s">
        <v>94</v>
      </c>
      <c r="AR171" t="s">
        <v>94</v>
      </c>
      <c r="AS171" t="s">
        <v>94</v>
      </c>
      <c r="AT171" t="s">
        <v>94</v>
      </c>
      <c r="AU171" t="s">
        <v>92</v>
      </c>
      <c r="AV171" t="s">
        <v>92</v>
      </c>
      <c r="AW171" t="s">
        <v>92</v>
      </c>
      <c r="AX171" t="s">
        <v>94</v>
      </c>
      <c r="AY171" t="s">
        <v>94</v>
      </c>
      <c r="AZ171" t="s">
        <v>94</v>
      </c>
      <c r="BA171" t="s">
        <v>92</v>
      </c>
      <c r="BB171" t="s">
        <v>92</v>
      </c>
      <c r="BC171" t="s">
        <v>92</v>
      </c>
      <c r="BD171" t="s">
        <v>92</v>
      </c>
      <c r="BE171" t="s">
        <v>92</v>
      </c>
      <c r="BF171" t="s">
        <v>92</v>
      </c>
      <c r="BG171" t="s">
        <v>94</v>
      </c>
      <c r="BH171" t="s">
        <v>94</v>
      </c>
    </row>
    <row r="172" spans="1:60" x14ac:dyDescent="0.3">
      <c r="A172">
        <v>20</v>
      </c>
      <c r="B172" t="s">
        <v>70</v>
      </c>
      <c r="C172" t="s">
        <v>96</v>
      </c>
      <c r="D172" t="s">
        <v>97</v>
      </c>
      <c r="E172" t="s">
        <v>73</v>
      </c>
      <c r="F172" t="s">
        <v>74</v>
      </c>
      <c r="G172" t="s">
        <v>115</v>
      </c>
      <c r="H172" t="s">
        <v>136</v>
      </c>
      <c r="I172" t="s">
        <v>76</v>
      </c>
      <c r="J172" t="s">
        <v>77</v>
      </c>
      <c r="K172" t="s">
        <v>122</v>
      </c>
      <c r="L172" t="s">
        <v>79</v>
      </c>
      <c r="M172" t="s">
        <v>80</v>
      </c>
      <c r="N172" t="s">
        <v>79</v>
      </c>
      <c r="O172" t="s">
        <v>133</v>
      </c>
      <c r="P172" t="s">
        <v>82</v>
      </c>
      <c r="Q172" t="s">
        <v>83</v>
      </c>
      <c r="R172" t="s">
        <v>82</v>
      </c>
      <c r="S172" t="s">
        <v>84</v>
      </c>
      <c r="T172" t="s">
        <v>124</v>
      </c>
      <c r="U172" t="s">
        <v>82</v>
      </c>
      <c r="V172" t="s">
        <v>86</v>
      </c>
      <c r="W172" t="s">
        <v>87</v>
      </c>
      <c r="X172" t="s">
        <v>112</v>
      </c>
      <c r="Y172" t="s">
        <v>93</v>
      </c>
      <c r="Z172" t="s">
        <v>92</v>
      </c>
      <c r="AA172" t="s">
        <v>93</v>
      </c>
      <c r="AB172" t="s">
        <v>93</v>
      </c>
      <c r="AC172" t="s">
        <v>94</v>
      </c>
      <c r="AD172" t="s">
        <v>94</v>
      </c>
      <c r="AE172" t="s">
        <v>94</v>
      </c>
      <c r="AF172" t="s">
        <v>94</v>
      </c>
      <c r="AG172" t="s">
        <v>94</v>
      </c>
      <c r="AH172" t="s">
        <v>94</v>
      </c>
      <c r="AI172" t="s">
        <v>92</v>
      </c>
      <c r="AJ172" t="s">
        <v>94</v>
      </c>
      <c r="AK172" t="s">
        <v>92</v>
      </c>
      <c r="AL172" t="s">
        <v>94</v>
      </c>
      <c r="AM172" t="s">
        <v>95</v>
      </c>
      <c r="AN172" t="s">
        <v>93</v>
      </c>
      <c r="AO172" t="s">
        <v>93</v>
      </c>
      <c r="AP172" t="s">
        <v>93</v>
      </c>
      <c r="AQ172" t="s">
        <v>95</v>
      </c>
      <c r="AR172" t="s">
        <v>95</v>
      </c>
      <c r="AS172" t="s">
        <v>95</v>
      </c>
      <c r="AT172" t="s">
        <v>95</v>
      </c>
      <c r="AU172" t="s">
        <v>92</v>
      </c>
      <c r="AV172" t="s">
        <v>92</v>
      </c>
      <c r="AW172" t="s">
        <v>92</v>
      </c>
      <c r="AX172" t="s">
        <v>94</v>
      </c>
      <c r="AY172" t="s">
        <v>95</v>
      </c>
      <c r="AZ172" t="s">
        <v>95</v>
      </c>
    </row>
    <row r="173" spans="1:60" x14ac:dyDescent="0.3">
      <c r="A173">
        <v>22</v>
      </c>
      <c r="B173" t="s">
        <v>70</v>
      </c>
      <c r="C173" t="s">
        <v>96</v>
      </c>
      <c r="D173" t="s">
        <v>72</v>
      </c>
      <c r="E173" t="s">
        <v>114</v>
      </c>
      <c r="F173" t="s">
        <v>165</v>
      </c>
      <c r="G173" t="s">
        <v>75</v>
      </c>
      <c r="H173" t="s">
        <v>98</v>
      </c>
      <c r="I173" t="s">
        <v>76</v>
      </c>
      <c r="J173" t="s">
        <v>77</v>
      </c>
      <c r="K173" t="s">
        <v>125</v>
      </c>
      <c r="L173" t="s">
        <v>79</v>
      </c>
      <c r="M173" t="s">
        <v>80</v>
      </c>
      <c r="N173" t="s">
        <v>79</v>
      </c>
      <c r="O173" t="s">
        <v>109</v>
      </c>
      <c r="P173" t="s">
        <v>79</v>
      </c>
      <c r="Q173" t="s">
        <v>83</v>
      </c>
      <c r="R173" t="s">
        <v>79</v>
      </c>
      <c r="S173" t="s">
        <v>84</v>
      </c>
      <c r="T173" t="s">
        <v>159</v>
      </c>
      <c r="U173" t="s">
        <v>82</v>
      </c>
      <c r="V173" t="s">
        <v>106</v>
      </c>
      <c r="W173" t="s">
        <v>87</v>
      </c>
      <c r="X173" t="s">
        <v>112</v>
      </c>
      <c r="Y173" t="s">
        <v>93</v>
      </c>
      <c r="Z173" t="s">
        <v>93</v>
      </c>
      <c r="AA173" t="s">
        <v>93</v>
      </c>
      <c r="AB173" t="s">
        <v>93</v>
      </c>
      <c r="AC173" t="s">
        <v>95</v>
      </c>
      <c r="AD173" t="s">
        <v>95</v>
      </c>
      <c r="AE173" t="s">
        <v>93</v>
      </c>
      <c r="AF173" t="s">
        <v>95</v>
      </c>
      <c r="AG173" t="s">
        <v>93</v>
      </c>
      <c r="AH173" t="s">
        <v>93</v>
      </c>
      <c r="AI173" t="s">
        <v>93</v>
      </c>
      <c r="AJ173" t="s">
        <v>93</v>
      </c>
      <c r="AK173" t="s">
        <v>93</v>
      </c>
      <c r="AL173" t="s">
        <v>93</v>
      </c>
      <c r="AM173" t="s">
        <v>93</v>
      </c>
      <c r="AN173" t="s">
        <v>93</v>
      </c>
      <c r="AO173" t="s">
        <v>93</v>
      </c>
      <c r="AP173" t="s">
        <v>93</v>
      </c>
      <c r="AQ173" t="s">
        <v>93</v>
      </c>
      <c r="AR173" t="s">
        <v>93</v>
      </c>
      <c r="AS173" t="s">
        <v>93</v>
      </c>
      <c r="AT173" t="s">
        <v>93</v>
      </c>
      <c r="AU173" t="s">
        <v>93</v>
      </c>
      <c r="AV173" t="s">
        <v>95</v>
      </c>
      <c r="AW173" t="s">
        <v>95</v>
      </c>
      <c r="AX173" t="s">
        <v>93</v>
      </c>
      <c r="AY173" t="s">
        <v>93</v>
      </c>
      <c r="AZ173" t="s">
        <v>93</v>
      </c>
      <c r="BA173" t="s">
        <v>93</v>
      </c>
      <c r="BB173" t="s">
        <v>93</v>
      </c>
      <c r="BC173" t="s">
        <v>93</v>
      </c>
      <c r="BD173" t="s">
        <v>93</v>
      </c>
      <c r="BE173" t="s">
        <v>93</v>
      </c>
      <c r="BF173" t="s">
        <v>93</v>
      </c>
      <c r="BG173" t="s">
        <v>93</v>
      </c>
      <c r="BH173" t="s">
        <v>93</v>
      </c>
    </row>
    <row r="174" spans="1:60" x14ac:dyDescent="0.3">
      <c r="A174">
        <v>21</v>
      </c>
      <c r="B174" t="s">
        <v>70</v>
      </c>
      <c r="C174" t="s">
        <v>96</v>
      </c>
      <c r="D174" t="s">
        <v>72</v>
      </c>
      <c r="E174" t="s">
        <v>114</v>
      </c>
      <c r="F174" t="s">
        <v>136</v>
      </c>
      <c r="G174" t="s">
        <v>75</v>
      </c>
      <c r="H174" t="s">
        <v>136</v>
      </c>
      <c r="I174" t="s">
        <v>76</v>
      </c>
      <c r="J174" t="s">
        <v>77</v>
      </c>
      <c r="K174" t="s">
        <v>125</v>
      </c>
      <c r="L174" t="s">
        <v>82</v>
      </c>
      <c r="M174" t="s">
        <v>80</v>
      </c>
      <c r="N174" t="s">
        <v>79</v>
      </c>
      <c r="O174" t="s">
        <v>109</v>
      </c>
      <c r="P174" t="s">
        <v>82</v>
      </c>
      <c r="Q174" t="s">
        <v>103</v>
      </c>
      <c r="R174" t="s">
        <v>79</v>
      </c>
      <c r="S174" t="s">
        <v>84</v>
      </c>
      <c r="T174" t="s">
        <v>130</v>
      </c>
      <c r="U174" t="s">
        <v>82</v>
      </c>
      <c r="V174" t="s">
        <v>106</v>
      </c>
      <c r="W174" t="s">
        <v>87</v>
      </c>
      <c r="X174" t="s">
        <v>88</v>
      </c>
      <c r="Y174" t="s">
        <v>94</v>
      </c>
      <c r="Z174" t="s">
        <v>94</v>
      </c>
      <c r="AA174" t="s">
        <v>94</v>
      </c>
      <c r="AB174" t="s">
        <v>94</v>
      </c>
      <c r="AC174" t="s">
        <v>94</v>
      </c>
      <c r="AD174" t="s">
        <v>94</v>
      </c>
      <c r="AE174" t="s">
        <v>92</v>
      </c>
      <c r="AF174" t="s">
        <v>95</v>
      </c>
      <c r="AG174" t="s">
        <v>94</v>
      </c>
      <c r="AH174" t="s">
        <v>94</v>
      </c>
      <c r="AI174" t="s">
        <v>92</v>
      </c>
      <c r="AJ174" t="s">
        <v>95</v>
      </c>
      <c r="AK174" t="s">
        <v>95</v>
      </c>
      <c r="AL174" t="s">
        <v>95</v>
      </c>
      <c r="AM174" t="s">
        <v>95</v>
      </c>
      <c r="AN174" t="s">
        <v>95</v>
      </c>
      <c r="AO174" t="s">
        <v>95</v>
      </c>
      <c r="AP174" t="s">
        <v>95</v>
      </c>
      <c r="AQ174" t="s">
        <v>95</v>
      </c>
      <c r="AR174" t="s">
        <v>95</v>
      </c>
      <c r="AS174" t="s">
        <v>95</v>
      </c>
      <c r="AT174" t="s">
        <v>95</v>
      </c>
      <c r="AU174" t="s">
        <v>95</v>
      </c>
      <c r="AV174" t="s">
        <v>95</v>
      </c>
      <c r="AW174" t="s">
        <v>95</v>
      </c>
      <c r="AX174" t="s">
        <v>95</v>
      </c>
      <c r="AY174" t="s">
        <v>95</v>
      </c>
      <c r="AZ174" t="s">
        <v>95</v>
      </c>
      <c r="BA174" t="s">
        <v>95</v>
      </c>
      <c r="BB174" t="s">
        <v>95</v>
      </c>
      <c r="BC174" t="s">
        <v>95</v>
      </c>
      <c r="BD174" t="s">
        <v>95</v>
      </c>
      <c r="BE174" t="s">
        <v>95</v>
      </c>
      <c r="BF174" t="s">
        <v>95</v>
      </c>
      <c r="BG174" t="s">
        <v>95</v>
      </c>
      <c r="BH174" t="s">
        <v>95</v>
      </c>
    </row>
    <row r="175" spans="1:60" x14ac:dyDescent="0.3">
      <c r="A175">
        <v>23</v>
      </c>
      <c r="B175" t="s">
        <v>70</v>
      </c>
      <c r="C175" t="s">
        <v>96</v>
      </c>
      <c r="D175" t="s">
        <v>97</v>
      </c>
      <c r="E175" t="s">
        <v>108</v>
      </c>
      <c r="F175" t="s">
        <v>74</v>
      </c>
      <c r="G175" t="s">
        <v>99</v>
      </c>
      <c r="H175" t="s">
        <v>74</v>
      </c>
      <c r="I175" t="s">
        <v>76</v>
      </c>
      <c r="J175" t="s">
        <v>77</v>
      </c>
      <c r="K175" t="s">
        <v>78</v>
      </c>
      <c r="L175" t="s">
        <v>79</v>
      </c>
      <c r="M175" t="s">
        <v>102</v>
      </c>
      <c r="N175" t="s">
        <v>82</v>
      </c>
      <c r="O175" t="s">
        <v>109</v>
      </c>
      <c r="P175" t="s">
        <v>79</v>
      </c>
      <c r="Q175" t="s">
        <v>83</v>
      </c>
      <c r="R175" t="s">
        <v>79</v>
      </c>
      <c r="S175" t="s">
        <v>84</v>
      </c>
      <c r="T175" t="s">
        <v>111</v>
      </c>
      <c r="U175" t="s">
        <v>79</v>
      </c>
      <c r="V175" t="s">
        <v>86</v>
      </c>
      <c r="W175" t="s">
        <v>141</v>
      </c>
      <c r="X175" t="s">
        <v>112</v>
      </c>
      <c r="Y175" t="s">
        <v>95</v>
      </c>
      <c r="Z175" t="s">
        <v>95</v>
      </c>
      <c r="AA175" t="s">
        <v>93</v>
      </c>
      <c r="AB175" t="s">
        <v>94</v>
      </c>
      <c r="AC175" t="s">
        <v>94</v>
      </c>
      <c r="AD175" t="s">
        <v>94</v>
      </c>
      <c r="AE175" t="s">
        <v>95</v>
      </c>
      <c r="AF175" t="s">
        <v>94</v>
      </c>
      <c r="AG175" t="s">
        <v>95</v>
      </c>
      <c r="AH175" t="s">
        <v>94</v>
      </c>
      <c r="AI175" t="s">
        <v>95</v>
      </c>
      <c r="AJ175" t="s">
        <v>94</v>
      </c>
      <c r="AK175" t="s">
        <v>95</v>
      </c>
      <c r="AL175" t="s">
        <v>95</v>
      </c>
      <c r="AM175" t="s">
        <v>94</v>
      </c>
      <c r="AN175" t="s">
        <v>92</v>
      </c>
      <c r="AO175" t="s">
        <v>92</v>
      </c>
      <c r="AP175" t="s">
        <v>92</v>
      </c>
      <c r="AQ175" t="s">
        <v>92</v>
      </c>
      <c r="AR175" t="s">
        <v>92</v>
      </c>
      <c r="AS175" t="s">
        <v>92</v>
      </c>
      <c r="AT175" t="s">
        <v>92</v>
      </c>
      <c r="AU175" t="s">
        <v>95</v>
      </c>
      <c r="AV175" t="s">
        <v>95</v>
      </c>
      <c r="AW175" t="s">
        <v>95</v>
      </c>
      <c r="AX175" t="s">
        <v>95</v>
      </c>
      <c r="AY175" t="s">
        <v>95</v>
      </c>
      <c r="AZ175" t="s">
        <v>95</v>
      </c>
      <c r="BA175" t="s">
        <v>94</v>
      </c>
      <c r="BB175" t="s">
        <v>94</v>
      </c>
      <c r="BC175" t="s">
        <v>94</v>
      </c>
      <c r="BD175" t="s">
        <v>94</v>
      </c>
      <c r="BE175" t="s">
        <v>94</v>
      </c>
      <c r="BF175" t="s">
        <v>94</v>
      </c>
      <c r="BG175" t="s">
        <v>92</v>
      </c>
      <c r="BH175" t="s">
        <v>94</v>
      </c>
    </row>
    <row r="176" spans="1:60" x14ac:dyDescent="0.3">
      <c r="A176">
        <v>21</v>
      </c>
      <c r="B176" t="s">
        <v>70</v>
      </c>
      <c r="C176" t="s">
        <v>96</v>
      </c>
      <c r="D176" t="s">
        <v>72</v>
      </c>
      <c r="E176" t="s">
        <v>114</v>
      </c>
      <c r="F176" t="s">
        <v>136</v>
      </c>
      <c r="G176" t="s">
        <v>146</v>
      </c>
      <c r="H176" t="s">
        <v>100</v>
      </c>
      <c r="I176" t="s">
        <v>76</v>
      </c>
      <c r="J176" t="s">
        <v>101</v>
      </c>
      <c r="K176" t="s">
        <v>122</v>
      </c>
      <c r="L176" t="s">
        <v>82</v>
      </c>
      <c r="M176" t="s">
        <v>80</v>
      </c>
      <c r="N176" t="s">
        <v>82</v>
      </c>
      <c r="O176" t="s">
        <v>117</v>
      </c>
      <c r="P176" t="s">
        <v>82</v>
      </c>
      <c r="Q176" t="s">
        <v>83</v>
      </c>
      <c r="R176" t="s">
        <v>82</v>
      </c>
      <c r="S176" t="s">
        <v>226</v>
      </c>
      <c r="T176" t="s">
        <v>85</v>
      </c>
      <c r="U176" t="s">
        <v>82</v>
      </c>
      <c r="V176" t="s">
        <v>106</v>
      </c>
      <c r="W176" t="s">
        <v>120</v>
      </c>
      <c r="X176" t="s">
        <v>127</v>
      </c>
      <c r="Y176" t="s">
        <v>93</v>
      </c>
      <c r="Z176" t="s">
        <v>93</v>
      </c>
      <c r="AA176" t="s">
        <v>92</v>
      </c>
      <c r="AB176" t="s">
        <v>92</v>
      </c>
      <c r="AC176" t="s">
        <v>92</v>
      </c>
      <c r="AD176" t="s">
        <v>92</v>
      </c>
      <c r="AE176" t="s">
        <v>93</v>
      </c>
      <c r="AF176" t="s">
        <v>93</v>
      </c>
      <c r="AG176" t="s">
        <v>92</v>
      </c>
      <c r="AH176" t="s">
        <v>93</v>
      </c>
      <c r="AI176" t="s">
        <v>93</v>
      </c>
      <c r="AJ176" t="s">
        <v>93</v>
      </c>
      <c r="AK176" t="s">
        <v>93</v>
      </c>
      <c r="AL176" t="s">
        <v>94</v>
      </c>
      <c r="AM176" t="s">
        <v>94</v>
      </c>
      <c r="AN176" t="s">
        <v>92</v>
      </c>
      <c r="AO176" t="s">
        <v>92</v>
      </c>
      <c r="AP176" t="s">
        <v>92</v>
      </c>
      <c r="AQ176" t="s">
        <v>94</v>
      </c>
      <c r="AR176" t="s">
        <v>95</v>
      </c>
      <c r="AS176" t="s">
        <v>95</v>
      </c>
      <c r="AT176" t="s">
        <v>95</v>
      </c>
      <c r="AU176" t="s">
        <v>93</v>
      </c>
      <c r="AV176" t="s">
        <v>93</v>
      </c>
      <c r="AW176" t="s">
        <v>93</v>
      </c>
      <c r="AX176" t="s">
        <v>92</v>
      </c>
      <c r="AY176" t="s">
        <v>93</v>
      </c>
      <c r="AZ176" t="s">
        <v>93</v>
      </c>
      <c r="BA176" t="s">
        <v>92</v>
      </c>
      <c r="BB176" t="s">
        <v>92</v>
      </c>
      <c r="BC176" t="s">
        <v>92</v>
      </c>
      <c r="BD176" t="s">
        <v>92</v>
      </c>
      <c r="BE176" t="s">
        <v>92</v>
      </c>
      <c r="BF176" t="s">
        <v>92</v>
      </c>
      <c r="BG176" t="s">
        <v>92</v>
      </c>
      <c r="BH176" t="s">
        <v>95</v>
      </c>
    </row>
    <row r="177" spans="1:60" x14ac:dyDescent="0.3">
      <c r="A177">
        <v>20</v>
      </c>
      <c r="B177" t="s">
        <v>70</v>
      </c>
      <c r="C177" t="s">
        <v>96</v>
      </c>
      <c r="D177" t="s">
        <v>72</v>
      </c>
      <c r="E177" t="s">
        <v>114</v>
      </c>
      <c r="F177" t="s">
        <v>74</v>
      </c>
      <c r="G177" t="s">
        <v>75</v>
      </c>
      <c r="H177" t="s">
        <v>100</v>
      </c>
      <c r="I177" t="s">
        <v>76</v>
      </c>
      <c r="J177" t="s">
        <v>77</v>
      </c>
      <c r="K177" t="s">
        <v>122</v>
      </c>
      <c r="L177" t="s">
        <v>79</v>
      </c>
      <c r="M177" t="s">
        <v>80</v>
      </c>
      <c r="N177" t="s">
        <v>79</v>
      </c>
      <c r="O177" t="s">
        <v>81</v>
      </c>
      <c r="P177" t="s">
        <v>79</v>
      </c>
      <c r="Q177" t="s">
        <v>83</v>
      </c>
      <c r="R177" t="s">
        <v>82</v>
      </c>
      <c r="S177" t="s">
        <v>84</v>
      </c>
      <c r="T177" t="s">
        <v>186</v>
      </c>
      <c r="U177" t="s">
        <v>79</v>
      </c>
      <c r="V177" t="s">
        <v>106</v>
      </c>
      <c r="W177" t="s">
        <v>120</v>
      </c>
      <c r="X177" t="s">
        <v>88</v>
      </c>
      <c r="Y177" t="s">
        <v>94</v>
      </c>
      <c r="Z177" t="s">
        <v>95</v>
      </c>
      <c r="AA177" t="s">
        <v>94</v>
      </c>
      <c r="AB177" t="s">
        <v>95</v>
      </c>
      <c r="AC177" t="s">
        <v>94</v>
      </c>
      <c r="AD177" t="s">
        <v>94</v>
      </c>
      <c r="AE177" t="s">
        <v>95</v>
      </c>
      <c r="AF177" t="s">
        <v>94</v>
      </c>
      <c r="AG177" t="s">
        <v>95</v>
      </c>
      <c r="AH177" t="s">
        <v>94</v>
      </c>
      <c r="AI177" t="s">
        <v>94</v>
      </c>
      <c r="AJ177" t="s">
        <v>95</v>
      </c>
      <c r="AK177" t="s">
        <v>95</v>
      </c>
      <c r="AL177" t="s">
        <v>94</v>
      </c>
      <c r="AM177" t="s">
        <v>95</v>
      </c>
      <c r="AN177" t="s">
        <v>94</v>
      </c>
      <c r="AO177" t="s">
        <v>94</v>
      </c>
      <c r="AP177" t="s">
        <v>94</v>
      </c>
      <c r="AQ177" t="s">
        <v>94</v>
      </c>
      <c r="AR177" t="s">
        <v>94</v>
      </c>
      <c r="AS177" t="s">
        <v>95</v>
      </c>
      <c r="AT177" t="s">
        <v>95</v>
      </c>
      <c r="AU177" t="s">
        <v>94</v>
      </c>
      <c r="AV177" t="s">
        <v>94</v>
      </c>
      <c r="AW177" t="s">
        <v>95</v>
      </c>
      <c r="AX177" t="s">
        <v>94</v>
      </c>
      <c r="AY177" t="s">
        <v>94</v>
      </c>
      <c r="AZ177" t="s">
        <v>95</v>
      </c>
      <c r="BA177" t="s">
        <v>94</v>
      </c>
      <c r="BB177" t="s">
        <v>94</v>
      </c>
      <c r="BC177" t="s">
        <v>94</v>
      </c>
      <c r="BD177" t="s">
        <v>95</v>
      </c>
      <c r="BE177" t="s">
        <v>94</v>
      </c>
      <c r="BF177" t="s">
        <v>94</v>
      </c>
      <c r="BG177" t="s">
        <v>95</v>
      </c>
      <c r="BH177" t="s">
        <v>94</v>
      </c>
    </row>
    <row r="178" spans="1:60" x14ac:dyDescent="0.3">
      <c r="A178">
        <v>21</v>
      </c>
      <c r="B178" t="s">
        <v>70</v>
      </c>
      <c r="C178" t="s">
        <v>96</v>
      </c>
      <c r="D178" t="s">
        <v>72</v>
      </c>
      <c r="E178" t="s">
        <v>108</v>
      </c>
      <c r="F178" t="s">
        <v>74</v>
      </c>
      <c r="G178" t="s">
        <v>75</v>
      </c>
      <c r="H178" t="s">
        <v>74</v>
      </c>
      <c r="I178" t="s">
        <v>115</v>
      </c>
      <c r="J178" t="s">
        <v>77</v>
      </c>
      <c r="K178" t="s">
        <v>78</v>
      </c>
      <c r="L178" t="s">
        <v>79</v>
      </c>
      <c r="M178" t="s">
        <v>80</v>
      </c>
      <c r="N178" t="s">
        <v>79</v>
      </c>
      <c r="O178" t="s">
        <v>117</v>
      </c>
      <c r="P178" t="s">
        <v>79</v>
      </c>
      <c r="Q178" t="s">
        <v>83</v>
      </c>
      <c r="R178" t="s">
        <v>82</v>
      </c>
      <c r="S178" t="s">
        <v>84</v>
      </c>
      <c r="T178" t="s">
        <v>85</v>
      </c>
      <c r="U178" t="s">
        <v>82</v>
      </c>
      <c r="V178" t="s">
        <v>86</v>
      </c>
      <c r="W178" t="s">
        <v>87</v>
      </c>
      <c r="X178" t="s">
        <v>112</v>
      </c>
      <c r="Y178" t="s">
        <v>92</v>
      </c>
      <c r="Z178" t="s">
        <v>92</v>
      </c>
      <c r="AA178" t="s">
        <v>92</v>
      </c>
      <c r="AB178" t="s">
        <v>92</v>
      </c>
      <c r="AC178" t="s">
        <v>94</v>
      </c>
      <c r="AD178" t="s">
        <v>94</v>
      </c>
      <c r="AE178" t="s">
        <v>92</v>
      </c>
      <c r="AF178" t="s">
        <v>92</v>
      </c>
      <c r="AG178" t="s">
        <v>92</v>
      </c>
      <c r="AH178" t="s">
        <v>95</v>
      </c>
      <c r="AI178" t="s">
        <v>92</v>
      </c>
      <c r="AJ178" t="s">
        <v>92</v>
      </c>
      <c r="AK178" t="s">
        <v>92</v>
      </c>
      <c r="AL178" t="s">
        <v>94</v>
      </c>
      <c r="AM178" t="s">
        <v>94</v>
      </c>
      <c r="AN178" t="s">
        <v>92</v>
      </c>
      <c r="AO178" t="s">
        <v>94</v>
      </c>
      <c r="AP178" t="s">
        <v>94</v>
      </c>
      <c r="AQ178" t="s">
        <v>92</v>
      </c>
      <c r="AR178" t="s">
        <v>94</v>
      </c>
      <c r="AS178" t="s">
        <v>94</v>
      </c>
      <c r="AT178" t="s">
        <v>95</v>
      </c>
      <c r="AU178" t="s">
        <v>93</v>
      </c>
      <c r="AV178" t="s">
        <v>92</v>
      </c>
      <c r="AW178" t="s">
        <v>92</v>
      </c>
      <c r="AX178" t="s">
        <v>94</v>
      </c>
      <c r="AY178" t="s">
        <v>94</v>
      </c>
      <c r="AZ178" t="s">
        <v>94</v>
      </c>
      <c r="BA178" t="s">
        <v>92</v>
      </c>
      <c r="BB178" t="s">
        <v>92</v>
      </c>
      <c r="BC178" t="s">
        <v>92</v>
      </c>
      <c r="BD178" t="s">
        <v>92</v>
      </c>
      <c r="BE178" t="s">
        <v>92</v>
      </c>
      <c r="BF178" t="s">
        <v>94</v>
      </c>
      <c r="BG178" t="s">
        <v>95</v>
      </c>
      <c r="BH178" t="s">
        <v>94</v>
      </c>
    </row>
    <row r="179" spans="1:60" x14ac:dyDescent="0.3">
      <c r="A179">
        <v>21</v>
      </c>
      <c r="B179" t="s">
        <v>70</v>
      </c>
      <c r="C179" t="s">
        <v>96</v>
      </c>
      <c r="D179" t="s">
        <v>149</v>
      </c>
      <c r="E179" t="s">
        <v>73</v>
      </c>
      <c r="F179" t="s">
        <v>100</v>
      </c>
      <c r="G179" t="s">
        <v>135</v>
      </c>
      <c r="H179" t="s">
        <v>98</v>
      </c>
      <c r="I179" t="s">
        <v>75</v>
      </c>
      <c r="J179" t="s">
        <v>77</v>
      </c>
      <c r="K179" t="s">
        <v>125</v>
      </c>
      <c r="L179" t="s">
        <v>79</v>
      </c>
      <c r="M179" t="s">
        <v>80</v>
      </c>
      <c r="N179" t="s">
        <v>79</v>
      </c>
      <c r="O179" t="s">
        <v>81</v>
      </c>
      <c r="P179" t="s">
        <v>82</v>
      </c>
      <c r="Q179" t="s">
        <v>83</v>
      </c>
      <c r="R179" t="s">
        <v>82</v>
      </c>
      <c r="S179" t="s">
        <v>142</v>
      </c>
      <c r="T179" t="s">
        <v>124</v>
      </c>
      <c r="U179" t="s">
        <v>82</v>
      </c>
      <c r="V179" t="s">
        <v>86</v>
      </c>
      <c r="W179" t="s">
        <v>141</v>
      </c>
      <c r="X179" t="s">
        <v>112</v>
      </c>
      <c r="Y179" t="s">
        <v>94</v>
      </c>
      <c r="Z179" t="s">
        <v>94</v>
      </c>
      <c r="AA179" t="s">
        <v>94</v>
      </c>
      <c r="AB179" t="s">
        <v>94</v>
      </c>
      <c r="AC179" t="s">
        <v>94</v>
      </c>
      <c r="AD179" t="s">
        <v>94</v>
      </c>
      <c r="AE179" t="s">
        <v>94</v>
      </c>
      <c r="AF179" t="s">
        <v>94</v>
      </c>
      <c r="AG179" t="s">
        <v>94</v>
      </c>
      <c r="AH179" t="s">
        <v>94</v>
      </c>
      <c r="AI179" t="s">
        <v>95</v>
      </c>
      <c r="AJ179" t="s">
        <v>94</v>
      </c>
      <c r="AK179" t="s">
        <v>94</v>
      </c>
      <c r="AL179" t="s">
        <v>94</v>
      </c>
      <c r="AM179" t="s">
        <v>94</v>
      </c>
      <c r="AN179" t="s">
        <v>94</v>
      </c>
      <c r="AO179" t="s">
        <v>94</v>
      </c>
      <c r="AP179" t="s">
        <v>92</v>
      </c>
      <c r="AQ179" t="s">
        <v>94</v>
      </c>
      <c r="AR179" t="s">
        <v>92</v>
      </c>
      <c r="AS179" t="s">
        <v>94</v>
      </c>
      <c r="AT179" t="s">
        <v>94</v>
      </c>
      <c r="AU179" t="s">
        <v>94</v>
      </c>
      <c r="AV179" t="s">
        <v>92</v>
      </c>
      <c r="AW179" t="s">
        <v>94</v>
      </c>
      <c r="AX179" t="s">
        <v>94</v>
      </c>
      <c r="AY179" t="s">
        <v>95</v>
      </c>
      <c r="AZ179" t="s">
        <v>94</v>
      </c>
      <c r="BA179" t="s">
        <v>92</v>
      </c>
      <c r="BB179" t="s">
        <v>94</v>
      </c>
      <c r="BC179" t="s">
        <v>92</v>
      </c>
      <c r="BD179" t="s">
        <v>94</v>
      </c>
      <c r="BE179" t="s">
        <v>94</v>
      </c>
      <c r="BF179" t="s">
        <v>94</v>
      </c>
      <c r="BG179" t="s">
        <v>94</v>
      </c>
      <c r="BH179" t="s">
        <v>94</v>
      </c>
    </row>
    <row r="180" spans="1:60" x14ac:dyDescent="0.3">
      <c r="A180">
        <v>23</v>
      </c>
      <c r="B180" t="s">
        <v>70</v>
      </c>
      <c r="C180" t="s">
        <v>113</v>
      </c>
      <c r="D180" t="s">
        <v>72</v>
      </c>
      <c r="E180" t="s">
        <v>114</v>
      </c>
      <c r="F180" t="s">
        <v>74</v>
      </c>
      <c r="G180" t="s">
        <v>135</v>
      </c>
      <c r="H180" t="s">
        <v>98</v>
      </c>
      <c r="I180" t="s">
        <v>76</v>
      </c>
      <c r="J180" t="s">
        <v>77</v>
      </c>
      <c r="K180" t="s">
        <v>122</v>
      </c>
      <c r="L180" t="s">
        <v>82</v>
      </c>
      <c r="M180" t="s">
        <v>80</v>
      </c>
      <c r="N180" t="s">
        <v>79</v>
      </c>
      <c r="O180" t="s">
        <v>109</v>
      </c>
      <c r="P180" t="s">
        <v>82</v>
      </c>
      <c r="Q180" t="s">
        <v>83</v>
      </c>
      <c r="R180" t="s">
        <v>79</v>
      </c>
      <c r="S180" t="s">
        <v>84</v>
      </c>
      <c r="T180" t="s">
        <v>130</v>
      </c>
      <c r="U180" t="s">
        <v>79</v>
      </c>
      <c r="V180" t="s">
        <v>86</v>
      </c>
      <c r="W180" t="s">
        <v>87</v>
      </c>
      <c r="X180" t="s">
        <v>88</v>
      </c>
      <c r="Y180" t="s">
        <v>94</v>
      </c>
      <c r="Z180" t="s">
        <v>93</v>
      </c>
      <c r="AA180" t="s">
        <v>93</v>
      </c>
      <c r="AB180" t="s">
        <v>92</v>
      </c>
      <c r="AC180" t="s">
        <v>94</v>
      </c>
      <c r="AD180" t="s">
        <v>94</v>
      </c>
      <c r="AE180" t="s">
        <v>92</v>
      </c>
      <c r="AF180" t="s">
        <v>93</v>
      </c>
      <c r="AG180" t="s">
        <v>93</v>
      </c>
      <c r="AH180" t="s">
        <v>93</v>
      </c>
      <c r="AI180" t="s">
        <v>93</v>
      </c>
      <c r="AJ180" t="s">
        <v>93</v>
      </c>
      <c r="AK180" t="s">
        <v>93</v>
      </c>
      <c r="AL180" t="s">
        <v>93</v>
      </c>
      <c r="AM180" t="s">
        <v>92</v>
      </c>
      <c r="AN180" t="s">
        <v>93</v>
      </c>
      <c r="AO180" t="s">
        <v>93</v>
      </c>
      <c r="AP180" t="s">
        <v>93</v>
      </c>
      <c r="AQ180" t="s">
        <v>94</v>
      </c>
      <c r="AR180" t="s">
        <v>95</v>
      </c>
      <c r="AS180" t="s">
        <v>95</v>
      </c>
      <c r="AT180" t="s">
        <v>95</v>
      </c>
      <c r="AU180" t="s">
        <v>92</v>
      </c>
      <c r="AV180" t="s">
        <v>93</v>
      </c>
      <c r="AW180" t="s">
        <v>93</v>
      </c>
      <c r="AX180" t="s">
        <v>93</v>
      </c>
      <c r="AY180" t="s">
        <v>95</v>
      </c>
      <c r="AZ180" t="s">
        <v>95</v>
      </c>
    </row>
    <row r="181" spans="1:60" x14ac:dyDescent="0.3">
      <c r="A181">
        <v>22</v>
      </c>
      <c r="B181" t="s">
        <v>70</v>
      </c>
      <c r="C181" t="s">
        <v>113</v>
      </c>
      <c r="D181" t="s">
        <v>149</v>
      </c>
      <c r="E181" t="s">
        <v>108</v>
      </c>
      <c r="F181" t="s">
        <v>74</v>
      </c>
      <c r="G181" t="s">
        <v>115</v>
      </c>
      <c r="H181" t="s">
        <v>74</v>
      </c>
      <c r="I181" t="s">
        <v>76</v>
      </c>
      <c r="J181" t="s">
        <v>77</v>
      </c>
      <c r="K181" t="s">
        <v>122</v>
      </c>
      <c r="L181" t="s">
        <v>82</v>
      </c>
      <c r="M181" t="s">
        <v>80</v>
      </c>
      <c r="N181" t="s">
        <v>82</v>
      </c>
      <c r="O181" t="s">
        <v>133</v>
      </c>
      <c r="P181" t="s">
        <v>79</v>
      </c>
      <c r="Q181" t="s">
        <v>103</v>
      </c>
      <c r="R181" t="s">
        <v>79</v>
      </c>
      <c r="S181" t="s">
        <v>137</v>
      </c>
      <c r="T181" t="s">
        <v>164</v>
      </c>
      <c r="U181" t="s">
        <v>82</v>
      </c>
      <c r="V181" t="s">
        <v>86</v>
      </c>
      <c r="W181" t="s">
        <v>141</v>
      </c>
      <c r="Y181" t="s">
        <v>92</v>
      </c>
      <c r="Z181" t="s">
        <v>92</v>
      </c>
      <c r="AA181" t="s">
        <v>92</v>
      </c>
      <c r="AB181" t="s">
        <v>92</v>
      </c>
      <c r="AC181" t="s">
        <v>93</v>
      </c>
      <c r="AD181" t="s">
        <v>92</v>
      </c>
      <c r="AE181" t="s">
        <v>93</v>
      </c>
      <c r="AF181" t="s">
        <v>93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93</v>
      </c>
      <c r="AM181" t="s">
        <v>93</v>
      </c>
      <c r="AN181" t="s">
        <v>93</v>
      </c>
      <c r="AO181" t="s">
        <v>93</v>
      </c>
      <c r="AP181" t="s">
        <v>93</v>
      </c>
      <c r="AQ181" t="s">
        <v>94</v>
      </c>
      <c r="AR181" t="s">
        <v>94</v>
      </c>
      <c r="AS181" t="s">
        <v>95</v>
      </c>
      <c r="AT181" t="s">
        <v>94</v>
      </c>
      <c r="AU181" t="s">
        <v>94</v>
      </c>
      <c r="AV181" t="s">
        <v>93</v>
      </c>
      <c r="AW181" t="s">
        <v>93</v>
      </c>
      <c r="AX181" t="s">
        <v>92</v>
      </c>
      <c r="AY181" t="s">
        <v>92</v>
      </c>
      <c r="AZ181" t="s">
        <v>95</v>
      </c>
      <c r="BA181" t="s">
        <v>93</v>
      </c>
      <c r="BB181" t="s">
        <v>93</v>
      </c>
      <c r="BC181" t="s">
        <v>92</v>
      </c>
      <c r="BD181" t="s">
        <v>92</v>
      </c>
      <c r="BE181" t="s">
        <v>92</v>
      </c>
      <c r="BF181" t="s">
        <v>93</v>
      </c>
      <c r="BG181" t="s">
        <v>93</v>
      </c>
      <c r="BH181" t="s">
        <v>93</v>
      </c>
    </row>
    <row r="182" spans="1:60" x14ac:dyDescent="0.3">
      <c r="A182">
        <v>21</v>
      </c>
      <c r="B182" t="s">
        <v>70</v>
      </c>
      <c r="C182" t="s">
        <v>96</v>
      </c>
      <c r="D182" t="s">
        <v>97</v>
      </c>
      <c r="E182" t="s">
        <v>108</v>
      </c>
      <c r="F182" t="s">
        <v>136</v>
      </c>
      <c r="G182" t="s">
        <v>135</v>
      </c>
      <c r="H182" t="s">
        <v>98</v>
      </c>
      <c r="I182" t="s">
        <v>76</v>
      </c>
      <c r="J182" t="s">
        <v>77</v>
      </c>
      <c r="K182" t="s">
        <v>131</v>
      </c>
      <c r="L182" t="s">
        <v>79</v>
      </c>
      <c r="M182" t="s">
        <v>80</v>
      </c>
      <c r="N182" t="s">
        <v>82</v>
      </c>
      <c r="O182" t="s">
        <v>117</v>
      </c>
      <c r="P182" t="s">
        <v>79</v>
      </c>
      <c r="Q182" t="s">
        <v>103</v>
      </c>
      <c r="R182" t="s">
        <v>79</v>
      </c>
      <c r="S182" t="s">
        <v>137</v>
      </c>
      <c r="T182" t="s">
        <v>232</v>
      </c>
      <c r="U182" t="s">
        <v>79</v>
      </c>
      <c r="V182" t="s">
        <v>106</v>
      </c>
      <c r="W182" t="s">
        <v>141</v>
      </c>
      <c r="X182" t="s">
        <v>112</v>
      </c>
      <c r="Y182" t="s">
        <v>93</v>
      </c>
      <c r="Z182" t="s">
        <v>93</v>
      </c>
      <c r="AA182" t="s">
        <v>93</v>
      </c>
      <c r="AB182" t="s">
        <v>93</v>
      </c>
      <c r="AC182" t="s">
        <v>94</v>
      </c>
      <c r="AD182" t="s">
        <v>94</v>
      </c>
      <c r="AE182" t="s">
        <v>94</v>
      </c>
      <c r="AF182" t="s">
        <v>93</v>
      </c>
      <c r="AG182" t="s">
        <v>93</v>
      </c>
      <c r="AH182" t="s">
        <v>93</v>
      </c>
      <c r="AI182" t="s">
        <v>93</v>
      </c>
      <c r="AJ182" t="s">
        <v>93</v>
      </c>
      <c r="AK182" t="s">
        <v>93</v>
      </c>
      <c r="AL182" t="s">
        <v>95</v>
      </c>
      <c r="AM182" t="s">
        <v>95</v>
      </c>
      <c r="AN182" t="s">
        <v>93</v>
      </c>
      <c r="AO182" t="s">
        <v>93</v>
      </c>
      <c r="AP182" t="s">
        <v>93</v>
      </c>
      <c r="AQ182" t="s">
        <v>95</v>
      </c>
      <c r="AR182" t="s">
        <v>95</v>
      </c>
      <c r="AS182" t="s">
        <v>95</v>
      </c>
      <c r="AT182" t="s">
        <v>95</v>
      </c>
      <c r="AU182" t="s">
        <v>93</v>
      </c>
      <c r="AV182" t="s">
        <v>93</v>
      </c>
      <c r="AW182" t="s">
        <v>92</v>
      </c>
      <c r="AX182" t="s">
        <v>93</v>
      </c>
      <c r="AY182" t="s">
        <v>93</v>
      </c>
      <c r="AZ182" t="s">
        <v>92</v>
      </c>
    </row>
    <row r="183" spans="1:60" x14ac:dyDescent="0.3">
      <c r="A183">
        <v>21</v>
      </c>
      <c r="B183" t="s">
        <v>70</v>
      </c>
      <c r="C183" t="s">
        <v>96</v>
      </c>
      <c r="D183" t="s">
        <v>149</v>
      </c>
      <c r="E183" t="s">
        <v>108</v>
      </c>
      <c r="F183" t="s">
        <v>74</v>
      </c>
      <c r="G183" t="s">
        <v>75</v>
      </c>
      <c r="H183" t="s">
        <v>74</v>
      </c>
      <c r="I183" t="s">
        <v>75</v>
      </c>
      <c r="J183" t="s">
        <v>77</v>
      </c>
      <c r="K183" t="s">
        <v>131</v>
      </c>
      <c r="L183" t="s">
        <v>79</v>
      </c>
      <c r="M183" t="s">
        <v>102</v>
      </c>
      <c r="N183" t="s">
        <v>79</v>
      </c>
      <c r="O183" t="s">
        <v>138</v>
      </c>
      <c r="P183" t="s">
        <v>82</v>
      </c>
      <c r="Q183" t="s">
        <v>103</v>
      </c>
      <c r="R183" t="s">
        <v>79</v>
      </c>
      <c r="S183" t="s">
        <v>137</v>
      </c>
      <c r="T183" t="s">
        <v>175</v>
      </c>
      <c r="U183" t="s">
        <v>79</v>
      </c>
      <c r="V183" t="s">
        <v>86</v>
      </c>
      <c r="W183" t="s">
        <v>87</v>
      </c>
      <c r="X183" t="s">
        <v>112</v>
      </c>
      <c r="Y183" t="s">
        <v>92</v>
      </c>
      <c r="Z183" t="s">
        <v>92</v>
      </c>
      <c r="AA183" t="s">
        <v>92</v>
      </c>
      <c r="AB183" t="s">
        <v>92</v>
      </c>
      <c r="AC183" t="s">
        <v>92</v>
      </c>
      <c r="AD183" t="s">
        <v>92</v>
      </c>
      <c r="AE183" t="s">
        <v>92</v>
      </c>
      <c r="AF183" t="s">
        <v>92</v>
      </c>
      <c r="AG183" t="s">
        <v>92</v>
      </c>
      <c r="AH183" t="s">
        <v>92</v>
      </c>
      <c r="AI183" t="s">
        <v>92</v>
      </c>
      <c r="AJ183" t="s">
        <v>92</v>
      </c>
      <c r="AK183" t="s">
        <v>92</v>
      </c>
      <c r="AL183" t="s">
        <v>95</v>
      </c>
      <c r="AM183" t="s">
        <v>95</v>
      </c>
      <c r="AN183" t="s">
        <v>93</v>
      </c>
      <c r="AO183" t="s">
        <v>93</v>
      </c>
      <c r="AP183" t="s">
        <v>93</v>
      </c>
      <c r="AQ183" t="s">
        <v>93</v>
      </c>
      <c r="AR183" t="s">
        <v>93</v>
      </c>
      <c r="AS183" t="s">
        <v>95</v>
      </c>
      <c r="AT183" t="s">
        <v>95</v>
      </c>
      <c r="AU183" t="s">
        <v>92</v>
      </c>
      <c r="AV183" t="s">
        <v>92</v>
      </c>
      <c r="AW183" t="s">
        <v>92</v>
      </c>
      <c r="AX183" t="s">
        <v>92</v>
      </c>
      <c r="AY183" t="s">
        <v>95</v>
      </c>
      <c r="AZ183" t="s">
        <v>95</v>
      </c>
      <c r="BA183" t="s">
        <v>93</v>
      </c>
      <c r="BB183" t="s">
        <v>93</v>
      </c>
      <c r="BC183" t="s">
        <v>93</v>
      </c>
      <c r="BD183" t="s">
        <v>93</v>
      </c>
      <c r="BE183" t="s">
        <v>93</v>
      </c>
      <c r="BF183" t="s">
        <v>95</v>
      </c>
      <c r="BG183" t="s">
        <v>95</v>
      </c>
      <c r="BH183" t="s">
        <v>95</v>
      </c>
    </row>
    <row r="184" spans="1:60" x14ac:dyDescent="0.3">
      <c r="A184">
        <v>22</v>
      </c>
      <c r="B184" t="s">
        <v>70</v>
      </c>
      <c r="C184" t="s">
        <v>157</v>
      </c>
      <c r="D184" t="s">
        <v>97</v>
      </c>
      <c r="E184" t="s">
        <v>108</v>
      </c>
      <c r="F184" t="s">
        <v>74</v>
      </c>
      <c r="G184" t="s">
        <v>75</v>
      </c>
      <c r="H184" t="s">
        <v>74</v>
      </c>
      <c r="I184" t="s">
        <v>75</v>
      </c>
      <c r="J184" t="s">
        <v>77</v>
      </c>
      <c r="K184" t="s">
        <v>131</v>
      </c>
      <c r="L184" t="s">
        <v>79</v>
      </c>
      <c r="M184" t="s">
        <v>80</v>
      </c>
      <c r="N184" t="s">
        <v>79</v>
      </c>
      <c r="O184" t="s">
        <v>109</v>
      </c>
      <c r="P184" t="s">
        <v>79</v>
      </c>
      <c r="Q184" t="s">
        <v>83</v>
      </c>
      <c r="R184" t="s">
        <v>79</v>
      </c>
      <c r="S184" t="s">
        <v>145</v>
      </c>
      <c r="T184" t="s">
        <v>158</v>
      </c>
      <c r="U184" t="s">
        <v>79</v>
      </c>
      <c r="V184" t="s">
        <v>106</v>
      </c>
      <c r="W184" t="s">
        <v>141</v>
      </c>
      <c r="X184" t="s">
        <v>112</v>
      </c>
      <c r="Y184" t="s">
        <v>92</v>
      </c>
      <c r="Z184" t="s">
        <v>94</v>
      </c>
      <c r="AA184" t="s">
        <v>94</v>
      </c>
      <c r="AB184" t="s">
        <v>94</v>
      </c>
      <c r="AC184" t="s">
        <v>94</v>
      </c>
      <c r="AD184" t="s">
        <v>94</v>
      </c>
      <c r="AE184" t="s">
        <v>94</v>
      </c>
      <c r="AF184" t="s">
        <v>94</v>
      </c>
      <c r="AG184" t="s">
        <v>94</v>
      </c>
      <c r="AH184" t="s">
        <v>94</v>
      </c>
      <c r="AI184" t="s">
        <v>94</v>
      </c>
      <c r="AJ184" t="s">
        <v>94</v>
      </c>
      <c r="AK184" t="s">
        <v>94</v>
      </c>
      <c r="AL184" t="s">
        <v>94</v>
      </c>
      <c r="AM184" t="s">
        <v>94</v>
      </c>
      <c r="AN184" t="s">
        <v>94</v>
      </c>
      <c r="AO184" t="s">
        <v>94</v>
      </c>
      <c r="AP184" t="s">
        <v>94</v>
      </c>
      <c r="AQ184" t="s">
        <v>94</v>
      </c>
      <c r="AR184" t="s">
        <v>94</v>
      </c>
      <c r="AS184" t="s">
        <v>94</v>
      </c>
      <c r="AT184" t="s">
        <v>94</v>
      </c>
      <c r="AU184" t="s">
        <v>94</v>
      </c>
      <c r="AV184" t="s">
        <v>94</v>
      </c>
      <c r="AW184" t="s">
        <v>94</v>
      </c>
      <c r="AX184" t="s">
        <v>94</v>
      </c>
      <c r="AY184" t="s">
        <v>94</v>
      </c>
      <c r="AZ184" t="s">
        <v>94</v>
      </c>
      <c r="BA184" t="s">
        <v>94</v>
      </c>
      <c r="BB184" t="s">
        <v>94</v>
      </c>
      <c r="BC184" t="s">
        <v>94</v>
      </c>
      <c r="BD184" t="s">
        <v>94</v>
      </c>
      <c r="BE184" t="s">
        <v>94</v>
      </c>
      <c r="BF184" t="s">
        <v>94</v>
      </c>
      <c r="BG184" t="s">
        <v>94</v>
      </c>
      <c r="BH184" t="s">
        <v>94</v>
      </c>
    </row>
    <row r="185" spans="1:60" x14ac:dyDescent="0.3">
      <c r="A185">
        <v>19</v>
      </c>
      <c r="B185" t="s">
        <v>70</v>
      </c>
      <c r="C185" t="s">
        <v>157</v>
      </c>
      <c r="D185" t="s">
        <v>72</v>
      </c>
      <c r="E185" t="s">
        <v>114</v>
      </c>
      <c r="F185" t="s">
        <v>74</v>
      </c>
      <c r="G185" t="s">
        <v>135</v>
      </c>
      <c r="H185" t="s">
        <v>136</v>
      </c>
      <c r="I185" t="s">
        <v>76</v>
      </c>
      <c r="J185" t="s">
        <v>77</v>
      </c>
      <c r="K185" t="s">
        <v>78</v>
      </c>
      <c r="L185" t="s">
        <v>79</v>
      </c>
      <c r="M185" t="s">
        <v>80</v>
      </c>
      <c r="N185" t="s">
        <v>79</v>
      </c>
      <c r="O185" t="s">
        <v>138</v>
      </c>
      <c r="P185" t="s">
        <v>79</v>
      </c>
      <c r="Q185" t="s">
        <v>83</v>
      </c>
      <c r="R185" t="s">
        <v>79</v>
      </c>
      <c r="S185" t="s">
        <v>84</v>
      </c>
      <c r="T185" t="s">
        <v>124</v>
      </c>
      <c r="U185" t="s">
        <v>82</v>
      </c>
      <c r="V185" t="s">
        <v>106</v>
      </c>
      <c r="W185" t="s">
        <v>87</v>
      </c>
      <c r="X185" t="s">
        <v>112</v>
      </c>
      <c r="Y185" t="s">
        <v>93</v>
      </c>
      <c r="Z185" t="s">
        <v>93</v>
      </c>
      <c r="AA185" t="s">
        <v>93</v>
      </c>
      <c r="AB185" t="s">
        <v>93</v>
      </c>
      <c r="AC185" t="s">
        <v>94</v>
      </c>
      <c r="AD185" t="s">
        <v>94</v>
      </c>
      <c r="AE185" t="s">
        <v>94</v>
      </c>
      <c r="AF185" t="s">
        <v>94</v>
      </c>
      <c r="AG185" t="s">
        <v>92</v>
      </c>
      <c r="AH185" t="s">
        <v>92</v>
      </c>
      <c r="AI185" t="s">
        <v>93</v>
      </c>
      <c r="AJ185" t="s">
        <v>93</v>
      </c>
      <c r="AK185" t="s">
        <v>93</v>
      </c>
      <c r="AL185" t="s">
        <v>94</v>
      </c>
      <c r="AM185" t="s">
        <v>94</v>
      </c>
      <c r="AN185" t="s">
        <v>93</v>
      </c>
      <c r="AO185" t="s">
        <v>93</v>
      </c>
      <c r="AP185" t="s">
        <v>93</v>
      </c>
      <c r="AQ185" t="s">
        <v>94</v>
      </c>
      <c r="AR185" t="s">
        <v>95</v>
      </c>
      <c r="AS185" t="s">
        <v>95</v>
      </c>
      <c r="AT185" t="s">
        <v>95</v>
      </c>
      <c r="AU185" t="s">
        <v>93</v>
      </c>
      <c r="AV185" t="s">
        <v>93</v>
      </c>
      <c r="AW185" t="s">
        <v>93</v>
      </c>
      <c r="AX185" t="s">
        <v>94</v>
      </c>
      <c r="AY185" t="s">
        <v>94</v>
      </c>
      <c r="AZ185" t="s">
        <v>94</v>
      </c>
    </row>
    <row r="186" spans="1:60" x14ac:dyDescent="0.3">
      <c r="A186">
        <v>21</v>
      </c>
      <c r="B186" t="s">
        <v>70</v>
      </c>
      <c r="C186" t="s">
        <v>157</v>
      </c>
      <c r="D186" t="s">
        <v>97</v>
      </c>
      <c r="E186" t="s">
        <v>108</v>
      </c>
      <c r="F186" t="s">
        <v>74</v>
      </c>
      <c r="G186" t="s">
        <v>115</v>
      </c>
      <c r="H186" t="s">
        <v>74</v>
      </c>
      <c r="I186" t="s">
        <v>76</v>
      </c>
      <c r="J186" t="s">
        <v>77</v>
      </c>
      <c r="K186" t="s">
        <v>131</v>
      </c>
      <c r="L186" t="s">
        <v>79</v>
      </c>
      <c r="M186" t="s">
        <v>80</v>
      </c>
      <c r="N186" t="s">
        <v>82</v>
      </c>
      <c r="O186" t="s">
        <v>81</v>
      </c>
      <c r="P186" t="s">
        <v>79</v>
      </c>
      <c r="Q186" t="s">
        <v>83</v>
      </c>
      <c r="R186" t="s">
        <v>79</v>
      </c>
      <c r="S186" t="s">
        <v>84</v>
      </c>
      <c r="T186" t="s">
        <v>124</v>
      </c>
      <c r="U186" t="s">
        <v>79</v>
      </c>
      <c r="V186" t="s">
        <v>106</v>
      </c>
      <c r="W186" t="s">
        <v>87</v>
      </c>
      <c r="X186" t="s">
        <v>112</v>
      </c>
      <c r="Y186" t="s">
        <v>92</v>
      </c>
      <c r="Z186" t="s">
        <v>93</v>
      </c>
      <c r="AA186" t="s">
        <v>93</v>
      </c>
      <c r="AB186" t="s">
        <v>93</v>
      </c>
      <c r="AC186" t="s">
        <v>93</v>
      </c>
      <c r="AD186" t="s">
        <v>93</v>
      </c>
      <c r="AE186" t="s">
        <v>93</v>
      </c>
      <c r="AF186" t="s">
        <v>93</v>
      </c>
      <c r="AG186" t="s">
        <v>93</v>
      </c>
      <c r="AH186" t="s">
        <v>93</v>
      </c>
      <c r="AI186" t="s">
        <v>93</v>
      </c>
      <c r="AJ186" t="s">
        <v>93</v>
      </c>
      <c r="AK186" t="s">
        <v>93</v>
      </c>
      <c r="AL186" t="s">
        <v>93</v>
      </c>
      <c r="AM186" t="s">
        <v>93</v>
      </c>
      <c r="AN186" t="s">
        <v>93</v>
      </c>
      <c r="AO186" t="s">
        <v>93</v>
      </c>
      <c r="AP186" t="s">
        <v>93</v>
      </c>
      <c r="AQ186" t="s">
        <v>93</v>
      </c>
      <c r="AR186" t="s">
        <v>93</v>
      </c>
      <c r="AS186" t="s">
        <v>93</v>
      </c>
      <c r="AT186" t="s">
        <v>93</v>
      </c>
      <c r="AU186" t="s">
        <v>95</v>
      </c>
      <c r="AV186" t="s">
        <v>95</v>
      </c>
      <c r="AW186" t="s">
        <v>95</v>
      </c>
      <c r="AX186" t="s">
        <v>95</v>
      </c>
      <c r="AY186" t="s">
        <v>95</v>
      </c>
      <c r="AZ186" t="s">
        <v>95</v>
      </c>
      <c r="BA186" t="s">
        <v>93</v>
      </c>
      <c r="BB186" t="s">
        <v>93</v>
      </c>
      <c r="BC186" t="s">
        <v>93</v>
      </c>
      <c r="BD186" t="s">
        <v>93</v>
      </c>
      <c r="BE186" t="s">
        <v>93</v>
      </c>
      <c r="BF186" t="s">
        <v>93</v>
      </c>
      <c r="BG186" t="s">
        <v>93</v>
      </c>
      <c r="BH186" t="s">
        <v>93</v>
      </c>
    </row>
    <row r="187" spans="1:60" x14ac:dyDescent="0.3">
      <c r="A187">
        <v>21</v>
      </c>
      <c r="B187" t="s">
        <v>70</v>
      </c>
      <c r="C187" t="s">
        <v>157</v>
      </c>
      <c r="D187" t="s">
        <v>97</v>
      </c>
      <c r="E187" t="s">
        <v>108</v>
      </c>
      <c r="F187" t="s">
        <v>74</v>
      </c>
      <c r="G187" t="s">
        <v>75</v>
      </c>
      <c r="H187" t="s">
        <v>74</v>
      </c>
      <c r="I187" t="s">
        <v>76</v>
      </c>
      <c r="J187" t="s">
        <v>77</v>
      </c>
      <c r="K187" t="s">
        <v>131</v>
      </c>
      <c r="L187" t="s">
        <v>79</v>
      </c>
      <c r="M187" t="s">
        <v>80</v>
      </c>
      <c r="N187" t="s">
        <v>79</v>
      </c>
      <c r="O187" t="s">
        <v>117</v>
      </c>
      <c r="P187" t="s">
        <v>79</v>
      </c>
      <c r="Q187" t="s">
        <v>83</v>
      </c>
      <c r="R187" t="s">
        <v>82</v>
      </c>
      <c r="S187" t="s">
        <v>142</v>
      </c>
      <c r="T187" t="s">
        <v>206</v>
      </c>
      <c r="U187" t="s">
        <v>82</v>
      </c>
      <c r="V187" t="s">
        <v>106</v>
      </c>
      <c r="W187" t="s">
        <v>87</v>
      </c>
      <c r="X187" t="s">
        <v>112</v>
      </c>
      <c r="Y187" t="s">
        <v>92</v>
      </c>
      <c r="Z187" t="s">
        <v>93</v>
      </c>
      <c r="AA187" t="s">
        <v>93</v>
      </c>
      <c r="AB187" t="s">
        <v>93</v>
      </c>
      <c r="AC187" t="s">
        <v>92</v>
      </c>
      <c r="AD187" t="s">
        <v>92</v>
      </c>
      <c r="AE187" t="s">
        <v>93</v>
      </c>
      <c r="AF187" t="s">
        <v>93</v>
      </c>
      <c r="AG187" t="s">
        <v>92</v>
      </c>
      <c r="AH187" t="s">
        <v>92</v>
      </c>
      <c r="AI187" t="s">
        <v>93</v>
      </c>
      <c r="AJ187" t="s">
        <v>93</v>
      </c>
      <c r="AK187" t="s">
        <v>93</v>
      </c>
      <c r="AL187" t="s">
        <v>92</v>
      </c>
      <c r="AM187" t="s">
        <v>92</v>
      </c>
      <c r="AN187" t="s">
        <v>93</v>
      </c>
      <c r="AO187" t="s">
        <v>93</v>
      </c>
      <c r="AP187" t="s">
        <v>93</v>
      </c>
      <c r="AQ187" t="s">
        <v>94</v>
      </c>
      <c r="AR187" t="s">
        <v>94</v>
      </c>
      <c r="AS187" t="s">
        <v>94</v>
      </c>
      <c r="AT187" t="s">
        <v>94</v>
      </c>
      <c r="AU187" t="s">
        <v>92</v>
      </c>
      <c r="AV187" t="s">
        <v>92</v>
      </c>
      <c r="AW187" t="s">
        <v>92</v>
      </c>
      <c r="AX187" t="s">
        <v>92</v>
      </c>
      <c r="AY187" t="s">
        <v>94</v>
      </c>
      <c r="AZ187" t="s">
        <v>92</v>
      </c>
      <c r="BA187" t="s">
        <v>93</v>
      </c>
      <c r="BB187" t="s">
        <v>93</v>
      </c>
      <c r="BC187" t="s">
        <v>93</v>
      </c>
      <c r="BD187" t="s">
        <v>93</v>
      </c>
      <c r="BE187" t="s">
        <v>93</v>
      </c>
      <c r="BF187" t="s">
        <v>93</v>
      </c>
      <c r="BG187" t="s">
        <v>93</v>
      </c>
      <c r="BH187" t="s">
        <v>93</v>
      </c>
    </row>
    <row r="188" spans="1:60" x14ac:dyDescent="0.3">
      <c r="A188">
        <v>20</v>
      </c>
      <c r="B188" t="s">
        <v>70</v>
      </c>
      <c r="C188" t="s">
        <v>157</v>
      </c>
      <c r="D188" t="s">
        <v>97</v>
      </c>
      <c r="E188" t="s">
        <v>73</v>
      </c>
      <c r="F188" t="s">
        <v>74</v>
      </c>
      <c r="G188" t="s">
        <v>166</v>
      </c>
      <c r="H188" t="s">
        <v>98</v>
      </c>
      <c r="I188" t="s">
        <v>76</v>
      </c>
      <c r="J188" t="s">
        <v>77</v>
      </c>
      <c r="K188" t="s">
        <v>125</v>
      </c>
      <c r="L188" t="s">
        <v>79</v>
      </c>
      <c r="M188" t="s">
        <v>102</v>
      </c>
      <c r="N188" t="s">
        <v>79</v>
      </c>
      <c r="O188" t="s">
        <v>109</v>
      </c>
      <c r="P188" t="s">
        <v>82</v>
      </c>
      <c r="Q188" t="s">
        <v>83</v>
      </c>
      <c r="R188" t="s">
        <v>79</v>
      </c>
      <c r="S188" t="s">
        <v>137</v>
      </c>
      <c r="T188" t="s">
        <v>105</v>
      </c>
      <c r="U188" t="s">
        <v>82</v>
      </c>
      <c r="V188" t="s">
        <v>86</v>
      </c>
      <c r="W188" t="s">
        <v>141</v>
      </c>
      <c r="X188" t="s">
        <v>112</v>
      </c>
      <c r="Y188" t="s">
        <v>92</v>
      </c>
      <c r="Z188" t="s">
        <v>92</v>
      </c>
      <c r="AA188" t="s">
        <v>92</v>
      </c>
      <c r="AB188" t="s">
        <v>92</v>
      </c>
      <c r="AC188" t="s">
        <v>92</v>
      </c>
      <c r="AD188" t="s">
        <v>92</v>
      </c>
      <c r="AE188" t="s">
        <v>92</v>
      </c>
      <c r="AF188" t="s">
        <v>92</v>
      </c>
      <c r="AG188" t="s">
        <v>92</v>
      </c>
      <c r="AH188" t="s">
        <v>93</v>
      </c>
      <c r="AI188" t="s">
        <v>93</v>
      </c>
      <c r="AJ188" t="s">
        <v>93</v>
      </c>
      <c r="AK188" t="s">
        <v>93</v>
      </c>
      <c r="AL188" t="s">
        <v>93</v>
      </c>
      <c r="AM188" t="s">
        <v>93</v>
      </c>
      <c r="AN188" t="s">
        <v>92</v>
      </c>
      <c r="AO188" t="s">
        <v>93</v>
      </c>
      <c r="AP188" t="s">
        <v>92</v>
      </c>
      <c r="AQ188" t="s">
        <v>93</v>
      </c>
      <c r="AR188" t="s">
        <v>92</v>
      </c>
      <c r="AS188" t="s">
        <v>93</v>
      </c>
      <c r="AT188" t="s">
        <v>92</v>
      </c>
      <c r="AU188" t="s">
        <v>94</v>
      </c>
      <c r="AV188" t="s">
        <v>95</v>
      </c>
      <c r="AW188" t="s">
        <v>92</v>
      </c>
      <c r="AX188" t="s">
        <v>94</v>
      </c>
      <c r="AY188" t="s">
        <v>94</v>
      </c>
      <c r="AZ188" t="s">
        <v>94</v>
      </c>
      <c r="BA188" t="s">
        <v>93</v>
      </c>
      <c r="BB188" t="s">
        <v>93</v>
      </c>
      <c r="BC188" t="s">
        <v>93</v>
      </c>
      <c r="BD188" t="s">
        <v>93</v>
      </c>
      <c r="BE188" t="s">
        <v>93</v>
      </c>
      <c r="BF188" t="s">
        <v>93</v>
      </c>
      <c r="BG188" t="s">
        <v>93</v>
      </c>
      <c r="BH188" t="s">
        <v>93</v>
      </c>
    </row>
    <row r="189" spans="1:60" x14ac:dyDescent="0.3">
      <c r="A189">
        <v>20</v>
      </c>
      <c r="B189" t="s">
        <v>70</v>
      </c>
      <c r="C189" t="s">
        <v>157</v>
      </c>
      <c r="D189" t="s">
        <v>72</v>
      </c>
      <c r="E189" t="s">
        <v>114</v>
      </c>
      <c r="F189" t="s">
        <v>165</v>
      </c>
      <c r="G189" t="s">
        <v>146</v>
      </c>
      <c r="H189" t="s">
        <v>165</v>
      </c>
      <c r="I189" t="s">
        <v>76</v>
      </c>
      <c r="J189" t="s">
        <v>101</v>
      </c>
      <c r="K189" t="s">
        <v>125</v>
      </c>
      <c r="L189" t="s">
        <v>79</v>
      </c>
      <c r="M189" t="s">
        <v>80</v>
      </c>
      <c r="N189" t="s">
        <v>79</v>
      </c>
      <c r="O189" t="s">
        <v>109</v>
      </c>
      <c r="P189" t="s">
        <v>79</v>
      </c>
      <c r="Q189" t="s">
        <v>83</v>
      </c>
      <c r="R189" t="s">
        <v>79</v>
      </c>
      <c r="S189" t="s">
        <v>84</v>
      </c>
      <c r="T189" t="s">
        <v>139</v>
      </c>
      <c r="U189" t="s">
        <v>82</v>
      </c>
      <c r="V189" t="s">
        <v>106</v>
      </c>
      <c r="W189" t="s">
        <v>141</v>
      </c>
      <c r="X189" t="s">
        <v>112</v>
      </c>
      <c r="Y189" t="s">
        <v>94</v>
      </c>
      <c r="Z189" t="s">
        <v>94</v>
      </c>
      <c r="AA189" t="s">
        <v>95</v>
      </c>
      <c r="AB189" t="s">
        <v>94</v>
      </c>
      <c r="AC189" t="s">
        <v>94</v>
      </c>
      <c r="AD189" t="s">
        <v>94</v>
      </c>
      <c r="AE189" t="s">
        <v>94</v>
      </c>
      <c r="AF189" t="s">
        <v>94</v>
      </c>
      <c r="AG189" t="s">
        <v>94</v>
      </c>
      <c r="AH189" t="s">
        <v>94</v>
      </c>
      <c r="AI189" t="s">
        <v>95</v>
      </c>
      <c r="AJ189" t="s">
        <v>94</v>
      </c>
      <c r="AK189" t="s">
        <v>94</v>
      </c>
      <c r="AL189" t="s">
        <v>94</v>
      </c>
      <c r="AM189" t="s">
        <v>94</v>
      </c>
      <c r="AN189" t="s">
        <v>94</v>
      </c>
      <c r="AO189" t="s">
        <v>94</v>
      </c>
      <c r="AP189" t="s">
        <v>94</v>
      </c>
      <c r="AQ189" t="s">
        <v>94</v>
      </c>
      <c r="AR189" t="s">
        <v>94</v>
      </c>
      <c r="AS189" t="s">
        <v>92</v>
      </c>
      <c r="AT189" t="s">
        <v>94</v>
      </c>
      <c r="AU189" t="s">
        <v>94</v>
      </c>
      <c r="AV189" t="s">
        <v>94</v>
      </c>
      <c r="AW189" t="s">
        <v>92</v>
      </c>
      <c r="AX189" t="s">
        <v>94</v>
      </c>
      <c r="AY189" t="s">
        <v>94</v>
      </c>
      <c r="AZ189" t="s">
        <v>94</v>
      </c>
      <c r="BA189" t="s">
        <v>94</v>
      </c>
      <c r="BB189" t="s">
        <v>94</v>
      </c>
      <c r="BC189" t="s">
        <v>94</v>
      </c>
      <c r="BD189" t="s">
        <v>94</v>
      </c>
      <c r="BE189" t="s">
        <v>92</v>
      </c>
      <c r="BF189" t="s">
        <v>94</v>
      </c>
      <c r="BG189" t="s">
        <v>94</v>
      </c>
      <c r="BH189" t="s">
        <v>94</v>
      </c>
    </row>
    <row r="190" spans="1:60" x14ac:dyDescent="0.3">
      <c r="A190">
        <v>20</v>
      </c>
      <c r="B190" t="s">
        <v>70</v>
      </c>
      <c r="C190" t="s">
        <v>157</v>
      </c>
      <c r="D190" t="s">
        <v>72</v>
      </c>
      <c r="E190" t="s">
        <v>108</v>
      </c>
      <c r="F190" t="s">
        <v>74</v>
      </c>
      <c r="G190" t="s">
        <v>135</v>
      </c>
      <c r="H190" t="s">
        <v>74</v>
      </c>
      <c r="I190" t="s">
        <v>115</v>
      </c>
      <c r="J190" t="s">
        <v>77</v>
      </c>
      <c r="K190" t="s">
        <v>131</v>
      </c>
      <c r="L190" t="s">
        <v>79</v>
      </c>
      <c r="M190" t="s">
        <v>80</v>
      </c>
      <c r="N190" t="s">
        <v>79</v>
      </c>
      <c r="O190" t="s">
        <v>109</v>
      </c>
      <c r="P190" t="s">
        <v>82</v>
      </c>
      <c r="Q190" t="s">
        <v>118</v>
      </c>
      <c r="R190" t="s">
        <v>82</v>
      </c>
      <c r="S190" t="s">
        <v>84</v>
      </c>
      <c r="T190" t="s">
        <v>139</v>
      </c>
      <c r="U190" t="s">
        <v>79</v>
      </c>
      <c r="V190" t="s">
        <v>106</v>
      </c>
      <c r="W190" t="s">
        <v>87</v>
      </c>
      <c r="X190" t="s">
        <v>112</v>
      </c>
      <c r="Y190" t="s">
        <v>95</v>
      </c>
      <c r="Z190" t="s">
        <v>94</v>
      </c>
      <c r="AA190" t="s">
        <v>94</v>
      </c>
      <c r="AB190" t="s">
        <v>94</v>
      </c>
      <c r="AC190" t="s">
        <v>92</v>
      </c>
      <c r="AD190" t="s">
        <v>94</v>
      </c>
      <c r="AE190" t="s">
        <v>92</v>
      </c>
      <c r="AF190" t="s">
        <v>95</v>
      </c>
      <c r="AG190" t="s">
        <v>92</v>
      </c>
      <c r="AH190" t="s">
        <v>92</v>
      </c>
      <c r="AI190" t="s">
        <v>92</v>
      </c>
      <c r="AJ190" t="s">
        <v>92</v>
      </c>
      <c r="AK190" t="s">
        <v>95</v>
      </c>
      <c r="AL190" t="s">
        <v>92</v>
      </c>
      <c r="AM190" t="s">
        <v>95</v>
      </c>
      <c r="AN190" t="s">
        <v>92</v>
      </c>
      <c r="AO190" t="s">
        <v>92</v>
      </c>
      <c r="AP190" t="s">
        <v>92</v>
      </c>
      <c r="AQ190" t="s">
        <v>92</v>
      </c>
      <c r="AR190" t="s">
        <v>92</v>
      </c>
      <c r="AS190" t="s">
        <v>92</v>
      </c>
      <c r="AT190" t="s">
        <v>93</v>
      </c>
      <c r="AU190" t="s">
        <v>94</v>
      </c>
      <c r="AV190" t="s">
        <v>94</v>
      </c>
      <c r="AW190" t="s">
        <v>94</v>
      </c>
      <c r="AX190" t="s">
        <v>94</v>
      </c>
      <c r="AY190" t="s">
        <v>94</v>
      </c>
      <c r="AZ190" t="s">
        <v>94</v>
      </c>
      <c r="BA190" t="s">
        <v>95</v>
      </c>
      <c r="BB190" t="s">
        <v>92</v>
      </c>
      <c r="BC190" t="s">
        <v>95</v>
      </c>
      <c r="BD190" t="s">
        <v>92</v>
      </c>
      <c r="BE190" t="s">
        <v>95</v>
      </c>
      <c r="BF190" t="s">
        <v>92</v>
      </c>
      <c r="BG190" t="s">
        <v>95</v>
      </c>
      <c r="BH190" t="s">
        <v>92</v>
      </c>
    </row>
    <row r="191" spans="1:60" x14ac:dyDescent="0.3">
      <c r="A191">
        <v>21</v>
      </c>
      <c r="B191" t="s">
        <v>128</v>
      </c>
      <c r="C191" t="s">
        <v>157</v>
      </c>
      <c r="D191" t="s">
        <v>72</v>
      </c>
      <c r="E191" t="s">
        <v>114</v>
      </c>
      <c r="F191" t="s">
        <v>136</v>
      </c>
      <c r="G191" t="s">
        <v>135</v>
      </c>
      <c r="H191" t="s">
        <v>98</v>
      </c>
      <c r="I191" t="s">
        <v>76</v>
      </c>
      <c r="J191" t="s">
        <v>77</v>
      </c>
      <c r="K191" t="s">
        <v>125</v>
      </c>
      <c r="L191" t="s">
        <v>79</v>
      </c>
      <c r="M191" t="s">
        <v>80</v>
      </c>
      <c r="N191" t="s">
        <v>79</v>
      </c>
      <c r="O191" t="s">
        <v>109</v>
      </c>
      <c r="P191" t="s">
        <v>82</v>
      </c>
      <c r="Q191" t="s">
        <v>83</v>
      </c>
      <c r="R191" t="s">
        <v>79</v>
      </c>
      <c r="S191" t="s">
        <v>84</v>
      </c>
      <c r="T191" t="s">
        <v>233</v>
      </c>
      <c r="U191" t="s">
        <v>82</v>
      </c>
      <c r="V191" t="s">
        <v>106</v>
      </c>
      <c r="W191" t="s">
        <v>120</v>
      </c>
      <c r="X191" t="s">
        <v>112</v>
      </c>
      <c r="Y191" t="s">
        <v>94</v>
      </c>
      <c r="Z191" t="s">
        <v>94</v>
      </c>
      <c r="AA191" t="s">
        <v>92</v>
      </c>
      <c r="AB191" t="s">
        <v>92</v>
      </c>
      <c r="AC191" t="s">
        <v>92</v>
      </c>
      <c r="AD191" t="s">
        <v>94</v>
      </c>
      <c r="AE191" t="s">
        <v>94</v>
      </c>
      <c r="AF191" t="s">
        <v>92</v>
      </c>
      <c r="AG191" t="s">
        <v>92</v>
      </c>
      <c r="AH191" t="s">
        <v>94</v>
      </c>
      <c r="AI191" t="s">
        <v>92</v>
      </c>
      <c r="AJ191" t="s">
        <v>94</v>
      </c>
      <c r="AK191" t="s">
        <v>92</v>
      </c>
      <c r="AL191" t="s">
        <v>94</v>
      </c>
      <c r="AM191" t="s">
        <v>92</v>
      </c>
      <c r="AN191" t="s">
        <v>94</v>
      </c>
      <c r="AO191" t="s">
        <v>94</v>
      </c>
      <c r="AP191" t="s">
        <v>92</v>
      </c>
      <c r="AQ191" t="s">
        <v>94</v>
      </c>
      <c r="AR191" t="s">
        <v>94</v>
      </c>
      <c r="AS191" t="s">
        <v>94</v>
      </c>
      <c r="AT191" t="s">
        <v>94</v>
      </c>
      <c r="AU191" t="s">
        <v>94</v>
      </c>
      <c r="AV191" t="s">
        <v>94</v>
      </c>
      <c r="AW191" t="s">
        <v>92</v>
      </c>
      <c r="AX191" t="s">
        <v>94</v>
      </c>
      <c r="AY191" t="s">
        <v>92</v>
      </c>
      <c r="AZ191" t="s">
        <v>94</v>
      </c>
      <c r="BA191" t="s">
        <v>94</v>
      </c>
      <c r="BB191" t="s">
        <v>92</v>
      </c>
      <c r="BC191" t="s">
        <v>94</v>
      </c>
      <c r="BD191" t="s">
        <v>94</v>
      </c>
      <c r="BE191" t="s">
        <v>92</v>
      </c>
      <c r="BF191" t="s">
        <v>93</v>
      </c>
      <c r="BG191" t="s">
        <v>93</v>
      </c>
      <c r="BH191" t="s">
        <v>92</v>
      </c>
    </row>
    <row r="192" spans="1:60" x14ac:dyDescent="0.3">
      <c r="A192">
        <v>22</v>
      </c>
      <c r="B192" t="s">
        <v>70</v>
      </c>
      <c r="C192" t="s">
        <v>157</v>
      </c>
      <c r="D192" t="s">
        <v>97</v>
      </c>
      <c r="E192" t="s">
        <v>114</v>
      </c>
      <c r="F192" t="s">
        <v>136</v>
      </c>
      <c r="G192" t="s">
        <v>135</v>
      </c>
      <c r="H192" t="s">
        <v>100</v>
      </c>
      <c r="I192" t="s">
        <v>76</v>
      </c>
      <c r="J192" t="s">
        <v>101</v>
      </c>
      <c r="K192" t="s">
        <v>125</v>
      </c>
      <c r="L192" t="s">
        <v>79</v>
      </c>
      <c r="M192" t="s">
        <v>80</v>
      </c>
      <c r="N192" t="s">
        <v>79</v>
      </c>
      <c r="O192" t="s">
        <v>117</v>
      </c>
      <c r="P192" t="s">
        <v>82</v>
      </c>
      <c r="Q192" t="s">
        <v>83</v>
      </c>
      <c r="R192" t="s">
        <v>79</v>
      </c>
      <c r="S192" t="s">
        <v>84</v>
      </c>
      <c r="T192" t="s">
        <v>167</v>
      </c>
      <c r="U192" t="s">
        <v>82</v>
      </c>
      <c r="V192" t="s">
        <v>106</v>
      </c>
      <c r="W192" t="s">
        <v>87</v>
      </c>
      <c r="X192" t="s">
        <v>112</v>
      </c>
      <c r="Y192" t="s">
        <v>94</v>
      </c>
      <c r="Z192" t="s">
        <v>92</v>
      </c>
      <c r="AA192" t="s">
        <v>94</v>
      </c>
      <c r="AB192" t="s">
        <v>94</v>
      </c>
      <c r="AC192" t="s">
        <v>94</v>
      </c>
      <c r="AD192" t="s">
        <v>94</v>
      </c>
      <c r="AE192" t="s">
        <v>94</v>
      </c>
      <c r="AF192" t="s">
        <v>94</v>
      </c>
      <c r="AG192" t="s">
        <v>94</v>
      </c>
      <c r="AH192" t="s">
        <v>93</v>
      </c>
      <c r="AI192" t="s">
        <v>93</v>
      </c>
      <c r="AJ192" t="s">
        <v>93</v>
      </c>
      <c r="AK192" t="s">
        <v>93</v>
      </c>
      <c r="AL192" t="s">
        <v>95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95</v>
      </c>
      <c r="AS192" t="s">
        <v>95</v>
      </c>
      <c r="AT192" t="s">
        <v>95</v>
      </c>
      <c r="AU192" t="s">
        <v>93</v>
      </c>
      <c r="AV192" t="s">
        <v>93</v>
      </c>
      <c r="AW192" t="s">
        <v>93</v>
      </c>
      <c r="AX192" t="s">
        <v>94</v>
      </c>
      <c r="AY192" t="s">
        <v>95</v>
      </c>
      <c r="AZ192" t="s">
        <v>95</v>
      </c>
      <c r="BA192" t="s">
        <v>93</v>
      </c>
      <c r="BB192" t="s">
        <v>93</v>
      </c>
      <c r="BC192" t="s">
        <v>93</v>
      </c>
      <c r="BD192" t="s">
        <v>93</v>
      </c>
      <c r="BE192" t="s">
        <v>93</v>
      </c>
      <c r="BF192" t="s">
        <v>93</v>
      </c>
      <c r="BG192" t="s">
        <v>95</v>
      </c>
      <c r="BH192" t="s">
        <v>95</v>
      </c>
    </row>
    <row r="193" spans="1:60" x14ac:dyDescent="0.3">
      <c r="A193">
        <v>21</v>
      </c>
      <c r="B193" t="s">
        <v>70</v>
      </c>
      <c r="C193" t="s">
        <v>157</v>
      </c>
      <c r="D193" t="s">
        <v>72</v>
      </c>
      <c r="E193" t="s">
        <v>114</v>
      </c>
      <c r="F193" t="s">
        <v>98</v>
      </c>
      <c r="G193" t="s">
        <v>234</v>
      </c>
      <c r="H193" t="s">
        <v>100</v>
      </c>
      <c r="I193" t="s">
        <v>76</v>
      </c>
      <c r="J193" t="s">
        <v>101</v>
      </c>
      <c r="K193" t="s">
        <v>125</v>
      </c>
      <c r="L193" t="s">
        <v>79</v>
      </c>
      <c r="M193" t="s">
        <v>80</v>
      </c>
      <c r="N193" t="s">
        <v>79</v>
      </c>
      <c r="O193" t="s">
        <v>81</v>
      </c>
      <c r="P193" t="s">
        <v>82</v>
      </c>
      <c r="Q193" t="s">
        <v>83</v>
      </c>
      <c r="R193" t="s">
        <v>82</v>
      </c>
      <c r="S193" t="s">
        <v>142</v>
      </c>
      <c r="T193" t="s">
        <v>85</v>
      </c>
      <c r="U193" t="s">
        <v>82</v>
      </c>
      <c r="V193" t="s">
        <v>106</v>
      </c>
      <c r="W193" t="s">
        <v>141</v>
      </c>
      <c r="X193" t="s">
        <v>88</v>
      </c>
      <c r="Y193" t="s">
        <v>95</v>
      </c>
      <c r="Z193" t="s">
        <v>94</v>
      </c>
      <c r="AA193" t="s">
        <v>94</v>
      </c>
      <c r="AB193" t="s">
        <v>94</v>
      </c>
      <c r="AC193" t="s">
        <v>94</v>
      </c>
      <c r="AD193" t="s">
        <v>94</v>
      </c>
      <c r="AE193" t="s">
        <v>94</v>
      </c>
      <c r="AF193" t="s">
        <v>94</v>
      </c>
      <c r="AG193" t="s">
        <v>94</v>
      </c>
      <c r="AH193" t="s">
        <v>94</v>
      </c>
      <c r="AI193" t="s">
        <v>94</v>
      </c>
      <c r="AJ193" t="s">
        <v>94</v>
      </c>
      <c r="AK193" t="s">
        <v>94</v>
      </c>
      <c r="AL193" t="s">
        <v>94</v>
      </c>
      <c r="AM193" t="s">
        <v>94</v>
      </c>
      <c r="AN193" t="s">
        <v>94</v>
      </c>
      <c r="AO193" t="s">
        <v>95</v>
      </c>
      <c r="AP193" t="s">
        <v>95</v>
      </c>
      <c r="AQ193" t="s">
        <v>95</v>
      </c>
      <c r="AR193" t="s">
        <v>95</v>
      </c>
      <c r="AS193" t="s">
        <v>95</v>
      </c>
      <c r="AT193" t="s">
        <v>95</v>
      </c>
      <c r="AU193" t="s">
        <v>95</v>
      </c>
      <c r="AV193" t="s">
        <v>94</v>
      </c>
      <c r="AW193" t="s">
        <v>95</v>
      </c>
      <c r="AX193" t="s">
        <v>95</v>
      </c>
      <c r="AY193" t="s">
        <v>95</v>
      </c>
      <c r="AZ193" t="s">
        <v>95</v>
      </c>
      <c r="BA193" t="s">
        <v>94</v>
      </c>
      <c r="BB193" t="s">
        <v>94</v>
      </c>
      <c r="BC193" t="s">
        <v>94</v>
      </c>
      <c r="BD193" t="s">
        <v>94</v>
      </c>
      <c r="BE193" t="s">
        <v>94</v>
      </c>
      <c r="BF193" t="s">
        <v>94</v>
      </c>
      <c r="BG193" t="s">
        <v>94</v>
      </c>
      <c r="BH193" t="s">
        <v>95</v>
      </c>
    </row>
    <row r="194" spans="1:60" x14ac:dyDescent="0.3">
      <c r="A194">
        <v>20</v>
      </c>
      <c r="B194" t="s">
        <v>70</v>
      </c>
      <c r="C194" t="s">
        <v>96</v>
      </c>
      <c r="D194" t="s">
        <v>97</v>
      </c>
      <c r="E194" t="s">
        <v>73</v>
      </c>
      <c r="F194" t="s">
        <v>100</v>
      </c>
      <c r="G194" t="s">
        <v>115</v>
      </c>
      <c r="H194" t="s">
        <v>100</v>
      </c>
      <c r="I194" t="s">
        <v>76</v>
      </c>
      <c r="J194" t="s">
        <v>77</v>
      </c>
      <c r="K194" t="s">
        <v>122</v>
      </c>
      <c r="L194" t="s">
        <v>79</v>
      </c>
      <c r="M194" t="s">
        <v>80</v>
      </c>
      <c r="N194" t="s">
        <v>79</v>
      </c>
      <c r="O194" t="s">
        <v>138</v>
      </c>
      <c r="P194" t="s">
        <v>79</v>
      </c>
      <c r="Q194" t="s">
        <v>83</v>
      </c>
      <c r="R194" t="s">
        <v>79</v>
      </c>
      <c r="S194" t="s">
        <v>235</v>
      </c>
      <c r="T194" t="s">
        <v>236</v>
      </c>
      <c r="U194" t="s">
        <v>79</v>
      </c>
      <c r="V194" t="s">
        <v>86</v>
      </c>
      <c r="W194" t="s">
        <v>141</v>
      </c>
      <c r="X194" t="s">
        <v>112</v>
      </c>
      <c r="Y194" t="s">
        <v>92</v>
      </c>
      <c r="Z194" t="s">
        <v>94</v>
      </c>
      <c r="AA194" t="s">
        <v>92</v>
      </c>
      <c r="AB194" t="s">
        <v>94</v>
      </c>
      <c r="AC194" t="s">
        <v>92</v>
      </c>
      <c r="AD194" t="s">
        <v>92</v>
      </c>
      <c r="AE194" t="s">
        <v>94</v>
      </c>
      <c r="AF194" t="s">
        <v>92</v>
      </c>
      <c r="AG194" t="s">
        <v>92</v>
      </c>
      <c r="AH194" t="s">
        <v>92</v>
      </c>
      <c r="AI194" t="s">
        <v>92</v>
      </c>
      <c r="AJ194" t="s">
        <v>92</v>
      </c>
      <c r="AK194" t="s">
        <v>92</v>
      </c>
      <c r="AL194" t="s">
        <v>92</v>
      </c>
      <c r="AM194" t="s">
        <v>92</v>
      </c>
      <c r="AN194" t="s">
        <v>92</v>
      </c>
      <c r="AO194" t="s">
        <v>92</v>
      </c>
      <c r="AP194" t="s">
        <v>93</v>
      </c>
      <c r="AQ194" t="s">
        <v>92</v>
      </c>
      <c r="AR194" t="s">
        <v>92</v>
      </c>
      <c r="AS194" t="s">
        <v>93</v>
      </c>
      <c r="AT194" t="s">
        <v>92</v>
      </c>
      <c r="AU194" t="s">
        <v>92</v>
      </c>
      <c r="AV194" t="s">
        <v>93</v>
      </c>
      <c r="AW194" t="s">
        <v>92</v>
      </c>
      <c r="AX194" t="s">
        <v>93</v>
      </c>
      <c r="AY194" t="s">
        <v>94</v>
      </c>
      <c r="AZ194" t="s">
        <v>92</v>
      </c>
      <c r="BA194" t="s">
        <v>92</v>
      </c>
      <c r="BB194" t="s">
        <v>92</v>
      </c>
      <c r="BC194" t="s">
        <v>92</v>
      </c>
      <c r="BD194" t="s">
        <v>93</v>
      </c>
      <c r="BE194" t="s">
        <v>92</v>
      </c>
      <c r="BF194" t="s">
        <v>92</v>
      </c>
      <c r="BG194" t="s">
        <v>93</v>
      </c>
      <c r="BH194" t="s">
        <v>92</v>
      </c>
    </row>
    <row r="195" spans="1:60" x14ac:dyDescent="0.3">
      <c r="A195">
        <v>22</v>
      </c>
      <c r="B195" t="s">
        <v>70</v>
      </c>
      <c r="C195" t="s">
        <v>157</v>
      </c>
      <c r="D195" t="s">
        <v>72</v>
      </c>
      <c r="E195" t="s">
        <v>114</v>
      </c>
      <c r="F195" t="s">
        <v>98</v>
      </c>
      <c r="G195" t="s">
        <v>135</v>
      </c>
      <c r="H195" t="s">
        <v>98</v>
      </c>
      <c r="I195" t="s">
        <v>76</v>
      </c>
      <c r="J195" t="s">
        <v>77</v>
      </c>
      <c r="K195" t="s">
        <v>125</v>
      </c>
      <c r="L195" t="s">
        <v>79</v>
      </c>
      <c r="M195" t="s">
        <v>102</v>
      </c>
      <c r="N195" t="s">
        <v>79</v>
      </c>
      <c r="O195" t="s">
        <v>117</v>
      </c>
      <c r="P195" t="s">
        <v>82</v>
      </c>
      <c r="Q195" t="s">
        <v>83</v>
      </c>
      <c r="R195" t="s">
        <v>82</v>
      </c>
      <c r="S195" t="s">
        <v>84</v>
      </c>
      <c r="T195" t="s">
        <v>124</v>
      </c>
      <c r="U195" t="s">
        <v>82</v>
      </c>
      <c r="V195" t="s">
        <v>86</v>
      </c>
      <c r="W195" t="s">
        <v>87</v>
      </c>
      <c r="X195" t="s">
        <v>88</v>
      </c>
      <c r="Y195" t="s">
        <v>93</v>
      </c>
      <c r="Z195" t="s">
        <v>93</v>
      </c>
      <c r="AA195" t="s">
        <v>93</v>
      </c>
      <c r="AB195" t="s">
        <v>93</v>
      </c>
      <c r="AC195" t="s">
        <v>94</v>
      </c>
      <c r="AD195" t="s">
        <v>94</v>
      </c>
      <c r="AE195" t="s">
        <v>95</v>
      </c>
      <c r="AF195" t="s">
        <v>93</v>
      </c>
      <c r="AG195" t="s">
        <v>93</v>
      </c>
      <c r="AH195" t="s">
        <v>93</v>
      </c>
      <c r="AI195" t="s">
        <v>93</v>
      </c>
      <c r="AJ195" t="s">
        <v>93</v>
      </c>
      <c r="AK195" t="s">
        <v>93</v>
      </c>
      <c r="AL195" t="s">
        <v>95</v>
      </c>
      <c r="AM195" t="s">
        <v>95</v>
      </c>
      <c r="AN195" t="s">
        <v>93</v>
      </c>
      <c r="AO195" t="s">
        <v>93</v>
      </c>
      <c r="AP195" t="s">
        <v>93</v>
      </c>
      <c r="AQ195" t="s">
        <v>95</v>
      </c>
      <c r="AR195" t="s">
        <v>95</v>
      </c>
      <c r="AS195" t="s">
        <v>95</v>
      </c>
      <c r="AT195" t="s">
        <v>95</v>
      </c>
      <c r="AU195" t="s">
        <v>93</v>
      </c>
      <c r="AV195" t="s">
        <v>93</v>
      </c>
      <c r="AW195" t="s">
        <v>93</v>
      </c>
      <c r="AX195" t="s">
        <v>95</v>
      </c>
      <c r="AY195" t="s">
        <v>95</v>
      </c>
      <c r="AZ195" t="s">
        <v>95</v>
      </c>
      <c r="BA195" t="s">
        <v>93</v>
      </c>
      <c r="BB195" t="s">
        <v>93</v>
      </c>
      <c r="BC195" t="s">
        <v>93</v>
      </c>
      <c r="BD195" t="s">
        <v>93</v>
      </c>
      <c r="BE195" t="s">
        <v>93</v>
      </c>
      <c r="BF195" t="s">
        <v>95</v>
      </c>
      <c r="BG195" t="s">
        <v>95</v>
      </c>
      <c r="BH195" t="s">
        <v>95</v>
      </c>
    </row>
    <row r="196" spans="1:60" x14ac:dyDescent="0.3">
      <c r="A196">
        <v>19</v>
      </c>
      <c r="B196" t="s">
        <v>70</v>
      </c>
      <c r="C196" t="s">
        <v>157</v>
      </c>
      <c r="D196" t="s">
        <v>72</v>
      </c>
      <c r="E196" t="s">
        <v>73</v>
      </c>
      <c r="F196" t="s">
        <v>74</v>
      </c>
      <c r="G196" t="s">
        <v>135</v>
      </c>
      <c r="H196" t="s">
        <v>136</v>
      </c>
      <c r="I196" t="s">
        <v>115</v>
      </c>
      <c r="J196" t="s">
        <v>77</v>
      </c>
      <c r="K196" t="s">
        <v>122</v>
      </c>
      <c r="L196" t="s">
        <v>79</v>
      </c>
      <c r="M196" t="s">
        <v>80</v>
      </c>
      <c r="N196" t="s">
        <v>82</v>
      </c>
      <c r="O196" t="s">
        <v>117</v>
      </c>
      <c r="P196" t="s">
        <v>82</v>
      </c>
      <c r="Q196" t="s">
        <v>83</v>
      </c>
      <c r="R196" t="s">
        <v>79</v>
      </c>
      <c r="S196" t="s">
        <v>123</v>
      </c>
      <c r="T196" t="s">
        <v>130</v>
      </c>
      <c r="U196" t="s">
        <v>82</v>
      </c>
      <c r="V196" t="s">
        <v>106</v>
      </c>
      <c r="W196" t="s">
        <v>141</v>
      </c>
      <c r="X196" t="s">
        <v>112</v>
      </c>
      <c r="Y196" t="s">
        <v>92</v>
      </c>
      <c r="Z196" t="s">
        <v>92</v>
      </c>
      <c r="AA196" t="s">
        <v>92</v>
      </c>
      <c r="AB196" t="s">
        <v>93</v>
      </c>
      <c r="AC196" t="s">
        <v>94</v>
      </c>
      <c r="AD196" t="s">
        <v>94</v>
      </c>
      <c r="AE196" t="s">
        <v>95</v>
      </c>
      <c r="AF196" t="s">
        <v>92</v>
      </c>
      <c r="AG196" t="s">
        <v>92</v>
      </c>
      <c r="AH196" t="s">
        <v>92</v>
      </c>
      <c r="AI196" t="s">
        <v>93</v>
      </c>
      <c r="AJ196" t="s">
        <v>92</v>
      </c>
      <c r="AK196" t="s">
        <v>92</v>
      </c>
      <c r="AL196" t="s">
        <v>94</v>
      </c>
      <c r="AM196" t="s">
        <v>94</v>
      </c>
      <c r="AN196" t="s">
        <v>93</v>
      </c>
      <c r="AO196" t="s">
        <v>93</v>
      </c>
      <c r="AP196" t="s">
        <v>93</v>
      </c>
      <c r="AQ196" t="s">
        <v>95</v>
      </c>
      <c r="AR196" t="s">
        <v>95</v>
      </c>
      <c r="AS196" t="s">
        <v>95</v>
      </c>
      <c r="AT196" t="s">
        <v>95</v>
      </c>
      <c r="AU196" t="s">
        <v>92</v>
      </c>
      <c r="AV196" t="s">
        <v>92</v>
      </c>
      <c r="AW196" t="s">
        <v>92</v>
      </c>
      <c r="AX196" t="s">
        <v>94</v>
      </c>
      <c r="AY196" t="s">
        <v>95</v>
      </c>
      <c r="AZ196" t="s">
        <v>95</v>
      </c>
      <c r="BA196" t="s">
        <v>93</v>
      </c>
      <c r="BB196" t="s">
        <v>93</v>
      </c>
      <c r="BC196" t="s">
        <v>92</v>
      </c>
      <c r="BD196" t="s">
        <v>93</v>
      </c>
      <c r="BE196" t="s">
        <v>92</v>
      </c>
      <c r="BF196" t="s">
        <v>95</v>
      </c>
      <c r="BG196" t="s">
        <v>95</v>
      </c>
      <c r="BH196" t="s">
        <v>95</v>
      </c>
    </row>
    <row r="197" spans="1:60" x14ac:dyDescent="0.3">
      <c r="A197">
        <v>22</v>
      </c>
      <c r="B197" t="s">
        <v>70</v>
      </c>
      <c r="C197" t="s">
        <v>113</v>
      </c>
      <c r="D197" t="s">
        <v>72</v>
      </c>
      <c r="E197" t="s">
        <v>114</v>
      </c>
      <c r="F197" t="s">
        <v>100</v>
      </c>
      <c r="G197" t="s">
        <v>210</v>
      </c>
      <c r="H197" t="s">
        <v>100</v>
      </c>
      <c r="I197" t="s">
        <v>76</v>
      </c>
      <c r="J197" t="s">
        <v>101</v>
      </c>
      <c r="K197" t="s">
        <v>125</v>
      </c>
      <c r="L197" t="s">
        <v>82</v>
      </c>
      <c r="M197" t="s">
        <v>80</v>
      </c>
      <c r="N197" t="s">
        <v>82</v>
      </c>
      <c r="O197" t="s">
        <v>179</v>
      </c>
      <c r="P197" t="s">
        <v>79</v>
      </c>
      <c r="Q197" t="s">
        <v>103</v>
      </c>
      <c r="R197" t="s">
        <v>79</v>
      </c>
      <c r="S197" t="s">
        <v>154</v>
      </c>
      <c r="T197" t="s">
        <v>168</v>
      </c>
      <c r="U197" t="s">
        <v>82</v>
      </c>
      <c r="V197" t="s">
        <v>106</v>
      </c>
      <c r="W197" t="s">
        <v>87</v>
      </c>
      <c r="X197" t="s">
        <v>127</v>
      </c>
      <c r="Y197" t="s">
        <v>94</v>
      </c>
      <c r="Z197" t="s">
        <v>94</v>
      </c>
      <c r="AA197" t="s">
        <v>92</v>
      </c>
      <c r="AB197" t="s">
        <v>94</v>
      </c>
      <c r="AC197" t="s">
        <v>92</v>
      </c>
      <c r="AD197" t="s">
        <v>92</v>
      </c>
      <c r="AE197" t="s">
        <v>92</v>
      </c>
      <c r="AF197" t="s">
        <v>95</v>
      </c>
      <c r="AG197" t="s">
        <v>92</v>
      </c>
      <c r="AH197" t="s">
        <v>94</v>
      </c>
      <c r="AI197" t="s">
        <v>92</v>
      </c>
      <c r="AJ197" t="s">
        <v>94</v>
      </c>
      <c r="AK197" t="s">
        <v>94</v>
      </c>
      <c r="AL197" t="s">
        <v>94</v>
      </c>
      <c r="AM197" t="s">
        <v>94</v>
      </c>
      <c r="AN197" t="s">
        <v>92</v>
      </c>
      <c r="AO197" t="s">
        <v>92</v>
      </c>
      <c r="AP197" t="s">
        <v>94</v>
      </c>
      <c r="AQ197" t="s">
        <v>94</v>
      </c>
      <c r="AR197" t="s">
        <v>94</v>
      </c>
      <c r="AS197" t="s">
        <v>92</v>
      </c>
      <c r="AT197" t="s">
        <v>94</v>
      </c>
      <c r="AU197" t="s">
        <v>94</v>
      </c>
      <c r="AV197" t="s">
        <v>94</v>
      </c>
      <c r="AW197" t="s">
        <v>94</v>
      </c>
      <c r="AX197" t="s">
        <v>94</v>
      </c>
      <c r="AY197" t="s">
        <v>94</v>
      </c>
      <c r="AZ197" t="s">
        <v>94</v>
      </c>
      <c r="BA197" t="s">
        <v>94</v>
      </c>
      <c r="BB197" t="s">
        <v>94</v>
      </c>
      <c r="BC197" t="s">
        <v>94</v>
      </c>
      <c r="BD197" t="s">
        <v>94</v>
      </c>
      <c r="BE197" t="s">
        <v>94</v>
      </c>
      <c r="BF197" t="s">
        <v>94</v>
      </c>
      <c r="BG197" t="s">
        <v>94</v>
      </c>
      <c r="BH197" t="s">
        <v>94</v>
      </c>
    </row>
    <row r="198" spans="1:60" x14ac:dyDescent="0.3">
      <c r="A198">
        <v>20</v>
      </c>
      <c r="B198" t="s">
        <v>70</v>
      </c>
      <c r="C198" t="s">
        <v>113</v>
      </c>
      <c r="D198" t="s">
        <v>72</v>
      </c>
      <c r="E198" t="s">
        <v>108</v>
      </c>
      <c r="F198" t="s">
        <v>74</v>
      </c>
      <c r="G198" t="s">
        <v>115</v>
      </c>
      <c r="H198" t="s">
        <v>74</v>
      </c>
      <c r="I198" t="s">
        <v>75</v>
      </c>
      <c r="J198" t="s">
        <v>77</v>
      </c>
      <c r="K198" t="s">
        <v>78</v>
      </c>
      <c r="L198" t="s">
        <v>79</v>
      </c>
      <c r="M198" t="s">
        <v>80</v>
      </c>
      <c r="N198" t="s">
        <v>79</v>
      </c>
      <c r="O198" t="s">
        <v>109</v>
      </c>
      <c r="P198" t="s">
        <v>82</v>
      </c>
      <c r="Q198" t="s">
        <v>83</v>
      </c>
      <c r="R198" t="s">
        <v>82</v>
      </c>
      <c r="S198" t="s">
        <v>84</v>
      </c>
      <c r="T198" t="s">
        <v>150</v>
      </c>
      <c r="U198" t="s">
        <v>79</v>
      </c>
      <c r="V198" t="s">
        <v>86</v>
      </c>
      <c r="W198" t="s">
        <v>87</v>
      </c>
      <c r="X198" t="s">
        <v>112</v>
      </c>
      <c r="Y198" t="s">
        <v>93</v>
      </c>
      <c r="Z198" t="s">
        <v>93</v>
      </c>
      <c r="AA198" t="s">
        <v>93</v>
      </c>
      <c r="AB198" t="s">
        <v>93</v>
      </c>
      <c r="AC198" t="s">
        <v>94</v>
      </c>
      <c r="AD198" t="s">
        <v>94</v>
      </c>
      <c r="AE198" t="s">
        <v>95</v>
      </c>
      <c r="AF198" t="s">
        <v>93</v>
      </c>
      <c r="AG198" t="s">
        <v>93</v>
      </c>
      <c r="AH198" t="s">
        <v>93</v>
      </c>
      <c r="AI198" t="s">
        <v>93</v>
      </c>
      <c r="AJ198" t="s">
        <v>93</v>
      </c>
      <c r="AK198" t="s">
        <v>92</v>
      </c>
      <c r="AL198" t="s">
        <v>94</v>
      </c>
      <c r="AM198" t="s">
        <v>95</v>
      </c>
      <c r="AN198" t="s">
        <v>93</v>
      </c>
      <c r="AO198" t="s">
        <v>93</v>
      </c>
      <c r="AP198" t="s">
        <v>93</v>
      </c>
      <c r="AQ198" t="s">
        <v>95</v>
      </c>
      <c r="AR198" t="s">
        <v>95</v>
      </c>
      <c r="AS198" t="s">
        <v>95</v>
      </c>
      <c r="AT198" t="s">
        <v>95</v>
      </c>
      <c r="AU198" t="s">
        <v>92</v>
      </c>
      <c r="AV198" t="s">
        <v>92</v>
      </c>
      <c r="AW198" t="s">
        <v>92</v>
      </c>
      <c r="AX198" t="s">
        <v>94</v>
      </c>
      <c r="AY198" t="s">
        <v>95</v>
      </c>
      <c r="AZ198" t="s">
        <v>95</v>
      </c>
    </row>
    <row r="199" spans="1:60" x14ac:dyDescent="0.3">
      <c r="A199">
        <v>23</v>
      </c>
      <c r="B199" t="s">
        <v>70</v>
      </c>
      <c r="C199" t="s">
        <v>71</v>
      </c>
      <c r="D199" t="s">
        <v>97</v>
      </c>
      <c r="E199" t="s">
        <v>114</v>
      </c>
      <c r="F199" t="s">
        <v>98</v>
      </c>
      <c r="G199" t="s">
        <v>75</v>
      </c>
      <c r="H199" t="s">
        <v>100</v>
      </c>
      <c r="I199" t="s">
        <v>76</v>
      </c>
      <c r="J199" t="s">
        <v>101</v>
      </c>
      <c r="K199" t="s">
        <v>125</v>
      </c>
      <c r="L199" t="s">
        <v>79</v>
      </c>
      <c r="M199" t="s">
        <v>80</v>
      </c>
      <c r="N199" t="s">
        <v>82</v>
      </c>
      <c r="O199" t="s">
        <v>117</v>
      </c>
      <c r="P199" t="s">
        <v>79</v>
      </c>
      <c r="Q199" t="s">
        <v>103</v>
      </c>
      <c r="R199" t="s">
        <v>79</v>
      </c>
      <c r="S199" t="s">
        <v>84</v>
      </c>
      <c r="T199" t="s">
        <v>158</v>
      </c>
      <c r="U199" t="s">
        <v>79</v>
      </c>
      <c r="V199" t="s">
        <v>86</v>
      </c>
      <c r="W199" t="s">
        <v>141</v>
      </c>
      <c r="X199" t="s">
        <v>112</v>
      </c>
      <c r="Y199" t="s">
        <v>92</v>
      </c>
      <c r="Z199" t="s">
        <v>92</v>
      </c>
      <c r="AA199" t="s">
        <v>94</v>
      </c>
      <c r="AB199" t="s">
        <v>94</v>
      </c>
      <c r="AC199" t="s">
        <v>93</v>
      </c>
      <c r="AD199" t="s">
        <v>93</v>
      </c>
      <c r="AE199" t="s">
        <v>93</v>
      </c>
      <c r="AF199" t="s">
        <v>94</v>
      </c>
      <c r="AG199" t="s">
        <v>94</v>
      </c>
      <c r="AH199" t="s">
        <v>93</v>
      </c>
      <c r="AI199" t="s">
        <v>93</v>
      </c>
      <c r="AJ199" t="s">
        <v>94</v>
      </c>
      <c r="AK199" t="s">
        <v>94</v>
      </c>
      <c r="AL199" t="s">
        <v>94</v>
      </c>
      <c r="AM199" t="s">
        <v>94</v>
      </c>
      <c r="AN199" t="s">
        <v>93</v>
      </c>
      <c r="AO199" t="s">
        <v>93</v>
      </c>
      <c r="AP199" t="s">
        <v>93</v>
      </c>
      <c r="AQ199" t="s">
        <v>94</v>
      </c>
      <c r="AR199" t="s">
        <v>94</v>
      </c>
      <c r="AS199" t="s">
        <v>95</v>
      </c>
      <c r="AT199" t="s">
        <v>95</v>
      </c>
      <c r="AU199" t="s">
        <v>94</v>
      </c>
      <c r="AV199" t="s">
        <v>92</v>
      </c>
      <c r="AW199" t="s">
        <v>94</v>
      </c>
      <c r="AX199" t="s">
        <v>94</v>
      </c>
      <c r="AY199" t="s">
        <v>94</v>
      </c>
      <c r="AZ199" t="s">
        <v>95</v>
      </c>
      <c r="BA199" t="s">
        <v>95</v>
      </c>
      <c r="BB199" t="s">
        <v>95</v>
      </c>
      <c r="BC199" t="s">
        <v>95</v>
      </c>
      <c r="BD199" t="s">
        <v>95</v>
      </c>
      <c r="BE199" t="s">
        <v>95</v>
      </c>
      <c r="BF199" t="s">
        <v>95</v>
      </c>
      <c r="BG199" t="s">
        <v>95</v>
      </c>
      <c r="BH199" t="s">
        <v>95</v>
      </c>
    </row>
    <row r="200" spans="1:60" x14ac:dyDescent="0.3">
      <c r="A200">
        <v>21</v>
      </c>
      <c r="B200" t="s">
        <v>70</v>
      </c>
      <c r="C200" t="s">
        <v>96</v>
      </c>
      <c r="D200" t="s">
        <v>72</v>
      </c>
      <c r="E200" t="s">
        <v>114</v>
      </c>
      <c r="F200" t="s">
        <v>74</v>
      </c>
      <c r="G200" t="s">
        <v>99</v>
      </c>
      <c r="H200" t="s">
        <v>74</v>
      </c>
      <c r="I200" t="s">
        <v>75</v>
      </c>
      <c r="J200" t="s">
        <v>101</v>
      </c>
      <c r="K200" t="s">
        <v>122</v>
      </c>
      <c r="L200" t="s">
        <v>82</v>
      </c>
      <c r="M200" t="s">
        <v>80</v>
      </c>
      <c r="N200" t="s">
        <v>79</v>
      </c>
      <c r="O200" t="s">
        <v>81</v>
      </c>
      <c r="P200" t="s">
        <v>79</v>
      </c>
      <c r="Q200" t="s">
        <v>83</v>
      </c>
      <c r="R200" t="s">
        <v>79</v>
      </c>
      <c r="S200" t="s">
        <v>84</v>
      </c>
      <c r="T200" t="s">
        <v>152</v>
      </c>
      <c r="U200" t="s">
        <v>82</v>
      </c>
      <c r="V200" t="s">
        <v>86</v>
      </c>
      <c r="W200" t="s">
        <v>141</v>
      </c>
      <c r="X200" t="s">
        <v>112</v>
      </c>
      <c r="Y200" t="s">
        <v>93</v>
      </c>
      <c r="Z200" t="s">
        <v>93</v>
      </c>
      <c r="AA200" t="s">
        <v>93</v>
      </c>
      <c r="AB200" t="s">
        <v>93</v>
      </c>
      <c r="AC200" t="s">
        <v>95</v>
      </c>
      <c r="AD200" t="s">
        <v>95</v>
      </c>
      <c r="AE200" t="s">
        <v>95</v>
      </c>
      <c r="AF200" t="s">
        <v>94</v>
      </c>
      <c r="AG200" t="s">
        <v>93</v>
      </c>
      <c r="AH200" t="s">
        <v>93</v>
      </c>
      <c r="AI200" t="s">
        <v>93</v>
      </c>
      <c r="AJ200" t="s">
        <v>93</v>
      </c>
      <c r="AK200" t="s">
        <v>93</v>
      </c>
      <c r="AL200" t="s">
        <v>94</v>
      </c>
      <c r="AM200" t="s">
        <v>94</v>
      </c>
      <c r="AN200" t="s">
        <v>93</v>
      </c>
      <c r="AO200" t="s">
        <v>93</v>
      </c>
      <c r="AP200" t="s">
        <v>93</v>
      </c>
      <c r="AQ200" t="s">
        <v>93</v>
      </c>
      <c r="AR200" t="s">
        <v>93</v>
      </c>
      <c r="AS200" t="s">
        <v>93</v>
      </c>
      <c r="AT200" t="s">
        <v>93</v>
      </c>
      <c r="AU200" t="s">
        <v>93</v>
      </c>
      <c r="AV200" t="s">
        <v>93</v>
      </c>
      <c r="AW200" t="s">
        <v>93</v>
      </c>
      <c r="AX200" t="s">
        <v>95</v>
      </c>
      <c r="AY200" t="s">
        <v>95</v>
      </c>
      <c r="AZ200" t="s">
        <v>95</v>
      </c>
      <c r="BA200" t="s">
        <v>93</v>
      </c>
      <c r="BB200" t="s">
        <v>93</v>
      </c>
      <c r="BC200" t="s">
        <v>93</v>
      </c>
      <c r="BD200" t="s">
        <v>93</v>
      </c>
      <c r="BE200" t="s">
        <v>93</v>
      </c>
      <c r="BF200" t="s">
        <v>95</v>
      </c>
      <c r="BG200" t="s">
        <v>95</v>
      </c>
      <c r="BH200" t="s">
        <v>95</v>
      </c>
    </row>
    <row r="201" spans="1:60" x14ac:dyDescent="0.3">
      <c r="A201">
        <v>22</v>
      </c>
      <c r="B201" t="s">
        <v>70</v>
      </c>
      <c r="C201" t="s">
        <v>157</v>
      </c>
      <c r="D201" t="s">
        <v>97</v>
      </c>
      <c r="E201" t="s">
        <v>108</v>
      </c>
      <c r="F201" t="s">
        <v>74</v>
      </c>
      <c r="G201" t="s">
        <v>135</v>
      </c>
      <c r="H201" t="s">
        <v>98</v>
      </c>
      <c r="I201" t="s">
        <v>76</v>
      </c>
      <c r="J201" t="s">
        <v>77</v>
      </c>
      <c r="K201" t="s">
        <v>122</v>
      </c>
      <c r="L201" t="s">
        <v>79</v>
      </c>
      <c r="M201" t="s">
        <v>80</v>
      </c>
      <c r="N201" t="s">
        <v>79</v>
      </c>
      <c r="O201" t="s">
        <v>109</v>
      </c>
      <c r="P201" t="s">
        <v>79</v>
      </c>
      <c r="Q201" t="s">
        <v>103</v>
      </c>
      <c r="R201" t="s">
        <v>79</v>
      </c>
      <c r="S201" t="s">
        <v>84</v>
      </c>
      <c r="T201" t="s">
        <v>130</v>
      </c>
      <c r="U201" t="s">
        <v>79</v>
      </c>
      <c r="V201" t="s">
        <v>106</v>
      </c>
      <c r="W201" t="s">
        <v>141</v>
      </c>
      <c r="X201" t="s">
        <v>112</v>
      </c>
      <c r="Y201" t="s">
        <v>93</v>
      </c>
      <c r="Z201" t="s">
        <v>93</v>
      </c>
      <c r="AA201" t="s">
        <v>93</v>
      </c>
      <c r="AB201" t="s">
        <v>93</v>
      </c>
      <c r="AC201" t="s">
        <v>92</v>
      </c>
      <c r="AD201" t="s">
        <v>92</v>
      </c>
      <c r="AE201" t="s">
        <v>94</v>
      </c>
      <c r="AF201" t="s">
        <v>93</v>
      </c>
      <c r="AG201" t="s">
        <v>93</v>
      </c>
      <c r="AH201" t="s">
        <v>93</v>
      </c>
      <c r="AI201" t="s">
        <v>93</v>
      </c>
      <c r="AJ201" t="s">
        <v>93</v>
      </c>
      <c r="AK201" t="s">
        <v>93</v>
      </c>
      <c r="AL201" t="s">
        <v>92</v>
      </c>
      <c r="AM201" t="s">
        <v>92</v>
      </c>
      <c r="AN201" t="s">
        <v>92</v>
      </c>
      <c r="AO201" t="s">
        <v>92</v>
      </c>
      <c r="AP201" t="s">
        <v>92</v>
      </c>
      <c r="AQ201" t="s">
        <v>92</v>
      </c>
      <c r="AR201" t="s">
        <v>95</v>
      </c>
      <c r="AS201" t="s">
        <v>95</v>
      </c>
      <c r="AT201" t="s">
        <v>95</v>
      </c>
      <c r="AU201" t="s">
        <v>92</v>
      </c>
      <c r="AV201" t="s">
        <v>92</v>
      </c>
      <c r="AW201" t="s">
        <v>92</v>
      </c>
      <c r="AX201" t="s">
        <v>92</v>
      </c>
      <c r="AY201" t="s">
        <v>95</v>
      </c>
      <c r="AZ201" t="s">
        <v>95</v>
      </c>
    </row>
    <row r="202" spans="1:60" x14ac:dyDescent="0.3">
      <c r="A202">
        <v>20</v>
      </c>
      <c r="B202" t="s">
        <v>70</v>
      </c>
      <c r="C202" t="s">
        <v>157</v>
      </c>
      <c r="D202" t="s">
        <v>149</v>
      </c>
      <c r="E202" t="s">
        <v>108</v>
      </c>
      <c r="F202" t="s">
        <v>74</v>
      </c>
      <c r="G202" t="s">
        <v>75</v>
      </c>
      <c r="H202" t="s">
        <v>74</v>
      </c>
      <c r="I202" t="s">
        <v>115</v>
      </c>
      <c r="J202" t="s">
        <v>77</v>
      </c>
      <c r="K202" t="s">
        <v>131</v>
      </c>
      <c r="L202" t="s">
        <v>79</v>
      </c>
      <c r="M202" t="s">
        <v>80</v>
      </c>
      <c r="N202" t="s">
        <v>82</v>
      </c>
      <c r="O202" t="s">
        <v>117</v>
      </c>
      <c r="P202" t="s">
        <v>79</v>
      </c>
      <c r="Q202" t="s">
        <v>83</v>
      </c>
      <c r="R202" t="s">
        <v>79</v>
      </c>
      <c r="S202" t="s">
        <v>84</v>
      </c>
      <c r="T202" t="s">
        <v>232</v>
      </c>
      <c r="U202" t="s">
        <v>79</v>
      </c>
      <c r="V202" t="s">
        <v>86</v>
      </c>
      <c r="W202" t="s">
        <v>120</v>
      </c>
      <c r="X202" t="s">
        <v>112</v>
      </c>
      <c r="Y202" t="s">
        <v>92</v>
      </c>
      <c r="Z202" t="s">
        <v>93</v>
      </c>
      <c r="AA202" t="s">
        <v>93</v>
      </c>
      <c r="AB202" t="s">
        <v>93</v>
      </c>
      <c r="AC202" t="s">
        <v>93</v>
      </c>
      <c r="AD202" t="s">
        <v>93</v>
      </c>
      <c r="AE202" t="s">
        <v>94</v>
      </c>
      <c r="AF202" t="s">
        <v>95</v>
      </c>
      <c r="AG202" t="s">
        <v>93</v>
      </c>
      <c r="AH202" t="s">
        <v>93</v>
      </c>
      <c r="AI202" t="s">
        <v>93</v>
      </c>
      <c r="AJ202" t="s">
        <v>93</v>
      </c>
      <c r="AK202" t="s">
        <v>93</v>
      </c>
      <c r="AL202" t="s">
        <v>95</v>
      </c>
      <c r="AM202" t="s">
        <v>93</v>
      </c>
      <c r="AN202" t="s">
        <v>93</v>
      </c>
      <c r="AO202" t="s">
        <v>93</v>
      </c>
      <c r="AP202" t="s">
        <v>93</v>
      </c>
      <c r="AQ202" t="s">
        <v>95</v>
      </c>
      <c r="AR202" t="s">
        <v>95</v>
      </c>
      <c r="AS202" t="s">
        <v>95</v>
      </c>
      <c r="AT202" t="s">
        <v>95</v>
      </c>
      <c r="AU202" t="s">
        <v>92</v>
      </c>
      <c r="AV202" t="s">
        <v>92</v>
      </c>
      <c r="AW202" t="s">
        <v>92</v>
      </c>
      <c r="AX202" t="s">
        <v>93</v>
      </c>
      <c r="AY202" t="s">
        <v>95</v>
      </c>
      <c r="AZ202" t="s">
        <v>95</v>
      </c>
      <c r="BA202" t="s">
        <v>92</v>
      </c>
      <c r="BB202" t="s">
        <v>95</v>
      </c>
      <c r="BC202" t="s">
        <v>94</v>
      </c>
      <c r="BD202" t="s">
        <v>94</v>
      </c>
      <c r="BE202" t="s">
        <v>95</v>
      </c>
      <c r="BF202" t="s">
        <v>94</v>
      </c>
      <c r="BG202" t="s">
        <v>93</v>
      </c>
      <c r="BH202" t="s">
        <v>92</v>
      </c>
    </row>
    <row r="203" spans="1:60" x14ac:dyDescent="0.3">
      <c r="A203">
        <v>22</v>
      </c>
      <c r="B203" t="s">
        <v>70</v>
      </c>
      <c r="C203" t="s">
        <v>96</v>
      </c>
      <c r="D203" t="s">
        <v>72</v>
      </c>
      <c r="E203" t="s">
        <v>114</v>
      </c>
      <c r="F203" t="s">
        <v>74</v>
      </c>
      <c r="G203" t="s">
        <v>75</v>
      </c>
      <c r="H203" t="s">
        <v>98</v>
      </c>
      <c r="I203" t="s">
        <v>76</v>
      </c>
      <c r="J203" t="s">
        <v>77</v>
      </c>
      <c r="K203" t="s">
        <v>122</v>
      </c>
      <c r="L203" t="s">
        <v>82</v>
      </c>
      <c r="M203" t="s">
        <v>132</v>
      </c>
      <c r="N203" t="s">
        <v>79</v>
      </c>
      <c r="O203" t="s">
        <v>179</v>
      </c>
      <c r="P203" t="s">
        <v>79</v>
      </c>
      <c r="Q203" t="s">
        <v>83</v>
      </c>
      <c r="R203" t="s">
        <v>79</v>
      </c>
      <c r="S203" t="s">
        <v>84</v>
      </c>
      <c r="T203" t="s">
        <v>159</v>
      </c>
      <c r="U203" t="s">
        <v>82</v>
      </c>
      <c r="V203" t="s">
        <v>106</v>
      </c>
      <c r="W203" t="s">
        <v>87</v>
      </c>
      <c r="X203" t="s">
        <v>237</v>
      </c>
      <c r="Y203" t="s">
        <v>92</v>
      </c>
      <c r="Z203" t="s">
        <v>93</v>
      </c>
      <c r="AA203" t="s">
        <v>94</v>
      </c>
      <c r="AB203" t="s">
        <v>92</v>
      </c>
      <c r="AC203" t="s">
        <v>92</v>
      </c>
      <c r="AD203" t="s">
        <v>92</v>
      </c>
      <c r="AE203" t="s">
        <v>92</v>
      </c>
      <c r="AF203" t="s">
        <v>93</v>
      </c>
      <c r="AG203" t="s">
        <v>95</v>
      </c>
      <c r="AH203" t="s">
        <v>93</v>
      </c>
      <c r="AI203" t="s">
        <v>93</v>
      </c>
      <c r="AJ203" t="s">
        <v>93</v>
      </c>
      <c r="AK203" t="s">
        <v>93</v>
      </c>
      <c r="AL203" t="s">
        <v>93</v>
      </c>
      <c r="AM203" t="s">
        <v>93</v>
      </c>
      <c r="AN203" t="s">
        <v>92</v>
      </c>
      <c r="AO203" t="s">
        <v>93</v>
      </c>
      <c r="AP203" t="s">
        <v>93</v>
      </c>
      <c r="AQ203" t="s">
        <v>93</v>
      </c>
      <c r="AR203" t="s">
        <v>93</v>
      </c>
      <c r="AS203" t="s">
        <v>95</v>
      </c>
      <c r="AT203" t="s">
        <v>95</v>
      </c>
      <c r="AU203" t="s">
        <v>93</v>
      </c>
      <c r="AV203" t="s">
        <v>93</v>
      </c>
      <c r="AW203" t="s">
        <v>93</v>
      </c>
      <c r="AX203" t="s">
        <v>94</v>
      </c>
      <c r="AY203" t="s">
        <v>95</v>
      </c>
      <c r="AZ203" t="s">
        <v>95</v>
      </c>
      <c r="BA203" t="s">
        <v>93</v>
      </c>
      <c r="BB203" t="s">
        <v>93</v>
      </c>
      <c r="BC203" t="s">
        <v>93</v>
      </c>
      <c r="BD203" t="s">
        <v>93</v>
      </c>
      <c r="BE203" t="s">
        <v>93</v>
      </c>
      <c r="BF203" t="s">
        <v>94</v>
      </c>
      <c r="BG203" t="s">
        <v>94</v>
      </c>
      <c r="BH203" t="s">
        <v>94</v>
      </c>
    </row>
    <row r="204" spans="1:60" x14ac:dyDescent="0.3">
      <c r="A204">
        <v>21</v>
      </c>
      <c r="B204" t="s">
        <v>70</v>
      </c>
      <c r="C204" t="s">
        <v>157</v>
      </c>
      <c r="D204" t="s">
        <v>97</v>
      </c>
      <c r="E204" t="s">
        <v>108</v>
      </c>
      <c r="F204" t="s">
        <v>74</v>
      </c>
      <c r="G204" t="s">
        <v>75</v>
      </c>
      <c r="H204" t="s">
        <v>98</v>
      </c>
      <c r="I204" t="s">
        <v>76</v>
      </c>
      <c r="J204" t="s">
        <v>77</v>
      </c>
      <c r="K204" t="s">
        <v>131</v>
      </c>
      <c r="L204" t="s">
        <v>82</v>
      </c>
      <c r="M204" t="s">
        <v>132</v>
      </c>
      <c r="N204" t="s">
        <v>82</v>
      </c>
      <c r="O204" t="s">
        <v>117</v>
      </c>
      <c r="P204" t="s">
        <v>82</v>
      </c>
      <c r="Q204" t="s">
        <v>83</v>
      </c>
      <c r="R204" t="s">
        <v>82</v>
      </c>
      <c r="S204" t="s">
        <v>84</v>
      </c>
      <c r="T204" t="s">
        <v>124</v>
      </c>
      <c r="U204" t="s">
        <v>82</v>
      </c>
      <c r="V204" t="s">
        <v>106</v>
      </c>
      <c r="W204" t="s">
        <v>141</v>
      </c>
      <c r="X204" t="s">
        <v>112</v>
      </c>
      <c r="Y204" t="s">
        <v>93</v>
      </c>
      <c r="Z204" t="s">
        <v>93</v>
      </c>
      <c r="AA204" t="s">
        <v>93</v>
      </c>
      <c r="AB204" t="s">
        <v>93</v>
      </c>
      <c r="AC204" t="s">
        <v>95</v>
      </c>
      <c r="AD204" t="s">
        <v>95</v>
      </c>
      <c r="AE204" t="s">
        <v>95</v>
      </c>
      <c r="AF204" t="s">
        <v>93</v>
      </c>
      <c r="AG204" t="s">
        <v>93</v>
      </c>
      <c r="AH204" t="s">
        <v>95</v>
      </c>
      <c r="AI204" t="s">
        <v>93</v>
      </c>
      <c r="AJ204" t="s">
        <v>93</v>
      </c>
      <c r="AK204" t="s">
        <v>93</v>
      </c>
      <c r="AL204" t="s">
        <v>95</v>
      </c>
      <c r="AM204" t="s">
        <v>95</v>
      </c>
      <c r="AN204" t="s">
        <v>93</v>
      </c>
      <c r="AO204" t="s">
        <v>93</v>
      </c>
      <c r="AP204" t="s">
        <v>93</v>
      </c>
      <c r="AQ204" t="s">
        <v>95</v>
      </c>
      <c r="AR204" t="s">
        <v>95</v>
      </c>
      <c r="AS204" t="s">
        <v>95</v>
      </c>
      <c r="AT204" t="s">
        <v>95</v>
      </c>
      <c r="AU204" t="s">
        <v>92</v>
      </c>
      <c r="AV204" t="s">
        <v>92</v>
      </c>
      <c r="AW204" t="s">
        <v>92</v>
      </c>
      <c r="AX204" t="s">
        <v>92</v>
      </c>
      <c r="AY204" t="s">
        <v>95</v>
      </c>
      <c r="AZ204" t="s">
        <v>95</v>
      </c>
      <c r="BA204" t="s">
        <v>93</v>
      </c>
      <c r="BB204" t="s">
        <v>93</v>
      </c>
      <c r="BC204" t="s">
        <v>93</v>
      </c>
      <c r="BD204" t="s">
        <v>93</v>
      </c>
      <c r="BE204" t="s">
        <v>93</v>
      </c>
      <c r="BF204" t="s">
        <v>95</v>
      </c>
      <c r="BG204" t="s">
        <v>95</v>
      </c>
      <c r="BH204" t="s">
        <v>95</v>
      </c>
    </row>
    <row r="205" spans="1:60" x14ac:dyDescent="0.3">
      <c r="A205">
        <v>20</v>
      </c>
      <c r="B205" t="s">
        <v>70</v>
      </c>
      <c r="C205" t="s">
        <v>157</v>
      </c>
      <c r="D205" t="s">
        <v>149</v>
      </c>
      <c r="E205" t="s">
        <v>114</v>
      </c>
      <c r="F205" t="s">
        <v>74</v>
      </c>
      <c r="G205" t="s">
        <v>99</v>
      </c>
      <c r="H205" t="s">
        <v>136</v>
      </c>
      <c r="I205" t="s">
        <v>76</v>
      </c>
      <c r="J205" t="s">
        <v>77</v>
      </c>
      <c r="K205" t="s">
        <v>122</v>
      </c>
      <c r="L205" t="s">
        <v>82</v>
      </c>
      <c r="M205" t="s">
        <v>132</v>
      </c>
      <c r="N205" t="s">
        <v>79</v>
      </c>
      <c r="O205" t="s">
        <v>117</v>
      </c>
      <c r="P205" t="s">
        <v>82</v>
      </c>
      <c r="Q205" t="s">
        <v>83</v>
      </c>
      <c r="R205" t="s">
        <v>79</v>
      </c>
      <c r="S205" t="s">
        <v>84</v>
      </c>
      <c r="T205" t="s">
        <v>124</v>
      </c>
      <c r="U205" t="s">
        <v>82</v>
      </c>
      <c r="V205" t="s">
        <v>106</v>
      </c>
      <c r="W205" t="s">
        <v>141</v>
      </c>
      <c r="X205" t="s">
        <v>112</v>
      </c>
      <c r="Y205" t="s">
        <v>92</v>
      </c>
      <c r="Z205" t="s">
        <v>94</v>
      </c>
      <c r="AA205" t="s">
        <v>92</v>
      </c>
      <c r="AB205" t="s">
        <v>93</v>
      </c>
      <c r="AC205" t="s">
        <v>92</v>
      </c>
      <c r="AD205" t="s">
        <v>93</v>
      </c>
      <c r="AE205" t="s">
        <v>92</v>
      </c>
      <c r="AF205" t="s">
        <v>95</v>
      </c>
      <c r="AG205" t="s">
        <v>92</v>
      </c>
      <c r="AH205" t="s">
        <v>93</v>
      </c>
      <c r="AI205" t="s">
        <v>93</v>
      </c>
      <c r="AJ205" t="s">
        <v>93</v>
      </c>
      <c r="AK205" t="s">
        <v>92</v>
      </c>
      <c r="AL205" t="s">
        <v>92</v>
      </c>
      <c r="AM205" t="s">
        <v>93</v>
      </c>
      <c r="AN205" t="s">
        <v>93</v>
      </c>
      <c r="AO205" t="s">
        <v>93</v>
      </c>
      <c r="AP205" t="s">
        <v>93</v>
      </c>
      <c r="AQ205" t="s">
        <v>95</v>
      </c>
      <c r="AR205" t="s">
        <v>95</v>
      </c>
      <c r="AS205" t="s">
        <v>95</v>
      </c>
      <c r="AT205" t="s">
        <v>95</v>
      </c>
      <c r="AU205" t="s">
        <v>92</v>
      </c>
      <c r="AV205" t="s">
        <v>95</v>
      </c>
      <c r="AW205" t="s">
        <v>94</v>
      </c>
      <c r="AX205" t="s">
        <v>95</v>
      </c>
      <c r="AY205" t="s">
        <v>95</v>
      </c>
      <c r="AZ205" t="s">
        <v>95</v>
      </c>
      <c r="BA205" t="s">
        <v>93</v>
      </c>
      <c r="BB205" t="s">
        <v>93</v>
      </c>
      <c r="BC205" t="s">
        <v>93</v>
      </c>
      <c r="BD205" t="s">
        <v>93</v>
      </c>
      <c r="BE205" t="s">
        <v>93</v>
      </c>
      <c r="BF205" t="s">
        <v>95</v>
      </c>
      <c r="BG205" t="s">
        <v>95</v>
      </c>
      <c r="BH205" t="s">
        <v>93</v>
      </c>
    </row>
    <row r="206" spans="1:60" x14ac:dyDescent="0.3">
      <c r="A206">
        <v>24</v>
      </c>
      <c r="B206" t="s">
        <v>70</v>
      </c>
      <c r="C206" t="s">
        <v>113</v>
      </c>
      <c r="D206" t="s">
        <v>72</v>
      </c>
      <c r="E206" t="s">
        <v>108</v>
      </c>
      <c r="F206" t="s">
        <v>98</v>
      </c>
      <c r="G206" t="s">
        <v>135</v>
      </c>
      <c r="H206" t="s">
        <v>98</v>
      </c>
      <c r="I206" t="s">
        <v>76</v>
      </c>
      <c r="J206" t="s">
        <v>77</v>
      </c>
      <c r="K206" t="s">
        <v>131</v>
      </c>
      <c r="L206" t="s">
        <v>79</v>
      </c>
      <c r="M206" t="s">
        <v>80</v>
      </c>
      <c r="N206" t="s">
        <v>79</v>
      </c>
      <c r="O206" t="s">
        <v>117</v>
      </c>
      <c r="P206" t="s">
        <v>79</v>
      </c>
      <c r="Q206" t="s">
        <v>118</v>
      </c>
      <c r="R206" t="s">
        <v>79</v>
      </c>
      <c r="S206" t="s">
        <v>84</v>
      </c>
      <c r="T206" t="s">
        <v>238</v>
      </c>
      <c r="U206" t="s">
        <v>82</v>
      </c>
      <c r="V206" t="s">
        <v>86</v>
      </c>
      <c r="W206" t="s">
        <v>141</v>
      </c>
      <c r="X206" t="s">
        <v>112</v>
      </c>
      <c r="Y206" t="s">
        <v>95</v>
      </c>
      <c r="Z206" t="s">
        <v>93</v>
      </c>
      <c r="AA206" t="s">
        <v>92</v>
      </c>
      <c r="AB206" t="s">
        <v>93</v>
      </c>
      <c r="AC206" t="s">
        <v>93</v>
      </c>
      <c r="AD206" t="s">
        <v>93</v>
      </c>
      <c r="AE206" t="s">
        <v>93</v>
      </c>
      <c r="AF206" t="s">
        <v>95</v>
      </c>
      <c r="AG206" t="s">
        <v>95</v>
      </c>
      <c r="AH206" t="s">
        <v>94</v>
      </c>
      <c r="AI206" t="s">
        <v>93</v>
      </c>
      <c r="AJ206" t="s">
        <v>92</v>
      </c>
      <c r="AK206" t="s">
        <v>93</v>
      </c>
      <c r="AL206" t="s">
        <v>92</v>
      </c>
      <c r="AM206" t="s">
        <v>92</v>
      </c>
      <c r="AN206" t="s">
        <v>93</v>
      </c>
      <c r="AO206" t="s">
        <v>93</v>
      </c>
      <c r="AP206" t="s">
        <v>93</v>
      </c>
      <c r="AQ206" t="s">
        <v>94</v>
      </c>
      <c r="AR206" t="s">
        <v>95</v>
      </c>
      <c r="AS206" t="s">
        <v>95</v>
      </c>
      <c r="AT206" t="s">
        <v>95</v>
      </c>
      <c r="AU206" t="s">
        <v>94</v>
      </c>
      <c r="AV206" t="s">
        <v>94</v>
      </c>
      <c r="AW206" t="s">
        <v>92</v>
      </c>
      <c r="AX206" t="s">
        <v>92</v>
      </c>
      <c r="AY206" t="s">
        <v>92</v>
      </c>
      <c r="AZ206" t="s">
        <v>94</v>
      </c>
      <c r="BA206" t="s">
        <v>93</v>
      </c>
      <c r="BB206" t="s">
        <v>93</v>
      </c>
      <c r="BC206" t="s">
        <v>92</v>
      </c>
      <c r="BD206" t="s">
        <v>93</v>
      </c>
      <c r="BE206" t="s">
        <v>92</v>
      </c>
      <c r="BF206" t="s">
        <v>92</v>
      </c>
      <c r="BG206" t="s">
        <v>92</v>
      </c>
      <c r="BH206" t="s">
        <v>92</v>
      </c>
    </row>
    <row r="207" spans="1:60" x14ac:dyDescent="0.3">
      <c r="A207">
        <v>21</v>
      </c>
      <c r="B207" t="s">
        <v>70</v>
      </c>
      <c r="C207" t="s">
        <v>71</v>
      </c>
      <c r="D207" t="s">
        <v>72</v>
      </c>
      <c r="E207" t="s">
        <v>108</v>
      </c>
      <c r="F207" t="s">
        <v>74</v>
      </c>
      <c r="G207" t="s">
        <v>75</v>
      </c>
      <c r="H207" t="s">
        <v>74</v>
      </c>
      <c r="I207" t="s">
        <v>76</v>
      </c>
      <c r="J207" t="s">
        <v>77</v>
      </c>
      <c r="K207" t="s">
        <v>78</v>
      </c>
      <c r="L207" t="s">
        <v>79</v>
      </c>
      <c r="M207" t="s">
        <v>80</v>
      </c>
      <c r="N207" t="s">
        <v>79</v>
      </c>
      <c r="O207" t="s">
        <v>81</v>
      </c>
      <c r="P207" t="s">
        <v>82</v>
      </c>
      <c r="Q207" t="s">
        <v>103</v>
      </c>
      <c r="R207" t="s">
        <v>82</v>
      </c>
      <c r="S207" t="s">
        <v>84</v>
      </c>
      <c r="T207" t="s">
        <v>159</v>
      </c>
      <c r="U207" t="s">
        <v>82</v>
      </c>
      <c r="V207" t="s">
        <v>106</v>
      </c>
      <c r="W207" t="s">
        <v>87</v>
      </c>
      <c r="X207" t="s">
        <v>112</v>
      </c>
      <c r="Y207" t="s">
        <v>93</v>
      </c>
      <c r="Z207" t="s">
        <v>93</v>
      </c>
      <c r="AA207" t="s">
        <v>93</v>
      </c>
      <c r="AB207" t="s">
        <v>93</v>
      </c>
      <c r="AC207" t="s">
        <v>92</v>
      </c>
      <c r="AD207" t="s">
        <v>92</v>
      </c>
      <c r="AE207" t="s">
        <v>92</v>
      </c>
      <c r="AF207" t="s">
        <v>92</v>
      </c>
      <c r="AG207" t="s">
        <v>92</v>
      </c>
      <c r="AH207" t="s">
        <v>92</v>
      </c>
      <c r="AI207" t="s">
        <v>93</v>
      </c>
      <c r="AJ207" t="s">
        <v>93</v>
      </c>
      <c r="AK207" t="s">
        <v>93</v>
      </c>
      <c r="AL207" t="s">
        <v>93</v>
      </c>
      <c r="AM207" t="s">
        <v>93</v>
      </c>
      <c r="AN207" t="s">
        <v>93</v>
      </c>
      <c r="AO207" t="s">
        <v>93</v>
      </c>
      <c r="AP207" t="s">
        <v>93</v>
      </c>
      <c r="AQ207" t="s">
        <v>93</v>
      </c>
      <c r="AR207" t="s">
        <v>93</v>
      </c>
      <c r="AS207" t="s">
        <v>93</v>
      </c>
      <c r="AT207" t="s">
        <v>93</v>
      </c>
      <c r="AU207" t="s">
        <v>92</v>
      </c>
      <c r="AV207" t="s">
        <v>92</v>
      </c>
      <c r="AW207" t="s">
        <v>92</v>
      </c>
      <c r="AX207" t="s">
        <v>92</v>
      </c>
      <c r="AY207" t="s">
        <v>92</v>
      </c>
      <c r="AZ207" t="s">
        <v>92</v>
      </c>
      <c r="BA207" t="s">
        <v>92</v>
      </c>
      <c r="BB207" t="s">
        <v>92</v>
      </c>
      <c r="BC207" t="s">
        <v>92</v>
      </c>
      <c r="BD207" t="s">
        <v>92</v>
      </c>
      <c r="BE207" t="s">
        <v>92</v>
      </c>
      <c r="BF207" t="s">
        <v>92</v>
      </c>
      <c r="BG207" t="s">
        <v>92</v>
      </c>
      <c r="BH207" t="s">
        <v>92</v>
      </c>
    </row>
    <row r="208" spans="1:60" x14ac:dyDescent="0.3">
      <c r="A208">
        <v>25</v>
      </c>
      <c r="B208" t="s">
        <v>128</v>
      </c>
      <c r="C208" t="s">
        <v>71</v>
      </c>
      <c r="D208" t="s">
        <v>72</v>
      </c>
      <c r="E208" t="s">
        <v>73</v>
      </c>
      <c r="F208" t="s">
        <v>98</v>
      </c>
      <c r="G208" t="s">
        <v>75</v>
      </c>
      <c r="H208" t="s">
        <v>98</v>
      </c>
      <c r="I208" t="s">
        <v>76</v>
      </c>
      <c r="J208" t="s">
        <v>101</v>
      </c>
      <c r="K208" t="s">
        <v>78</v>
      </c>
      <c r="L208" t="s">
        <v>79</v>
      </c>
      <c r="M208" t="s">
        <v>80</v>
      </c>
      <c r="N208" t="s">
        <v>79</v>
      </c>
      <c r="O208" t="s">
        <v>117</v>
      </c>
      <c r="P208" t="s">
        <v>79</v>
      </c>
      <c r="Q208" t="s">
        <v>83</v>
      </c>
      <c r="R208" t="s">
        <v>79</v>
      </c>
      <c r="S208" t="s">
        <v>239</v>
      </c>
      <c r="T208" t="s">
        <v>238</v>
      </c>
      <c r="U208" t="s">
        <v>79</v>
      </c>
      <c r="V208" t="s">
        <v>148</v>
      </c>
      <c r="W208" t="s">
        <v>141</v>
      </c>
      <c r="X208" t="s">
        <v>127</v>
      </c>
      <c r="Y208" t="s">
        <v>94</v>
      </c>
      <c r="Z208" t="s">
        <v>94</v>
      </c>
      <c r="AA208" t="s">
        <v>94</v>
      </c>
      <c r="AB208" t="s">
        <v>94</v>
      </c>
      <c r="AC208" t="s">
        <v>94</v>
      </c>
      <c r="AD208" t="s">
        <v>95</v>
      </c>
      <c r="AE208" t="s">
        <v>94</v>
      </c>
      <c r="AF208" t="s">
        <v>94</v>
      </c>
      <c r="AG208" t="s">
        <v>95</v>
      </c>
      <c r="AH208" t="s">
        <v>95</v>
      </c>
      <c r="AI208" t="s">
        <v>94</v>
      </c>
      <c r="AJ208" t="s">
        <v>94</v>
      </c>
      <c r="AK208" t="s">
        <v>95</v>
      </c>
      <c r="AL208" t="s">
        <v>94</v>
      </c>
      <c r="AM208" t="s">
        <v>92</v>
      </c>
      <c r="AN208" t="s">
        <v>94</v>
      </c>
      <c r="AO208" t="s">
        <v>94</v>
      </c>
      <c r="AP208" t="s">
        <v>94</v>
      </c>
      <c r="AQ208" t="s">
        <v>95</v>
      </c>
      <c r="AR208" t="s">
        <v>94</v>
      </c>
      <c r="AS208" t="s">
        <v>94</v>
      </c>
      <c r="AT208" t="s">
        <v>94</v>
      </c>
      <c r="AU208" t="s">
        <v>94</v>
      </c>
      <c r="AV208" t="s">
        <v>95</v>
      </c>
      <c r="AW208" t="s">
        <v>94</v>
      </c>
      <c r="AX208" t="s">
        <v>94</v>
      </c>
      <c r="AY208" t="s">
        <v>94</v>
      </c>
      <c r="AZ208" t="s">
        <v>94</v>
      </c>
      <c r="BA208" t="s">
        <v>94</v>
      </c>
      <c r="BB208" t="s">
        <v>94</v>
      </c>
      <c r="BC208" t="s">
        <v>94</v>
      </c>
      <c r="BD208" t="s">
        <v>94</v>
      </c>
      <c r="BE208" t="s">
        <v>92</v>
      </c>
      <c r="BF208" t="s">
        <v>92</v>
      </c>
      <c r="BG208" t="s">
        <v>92</v>
      </c>
      <c r="BH208" t="s">
        <v>93</v>
      </c>
    </row>
    <row r="209" spans="1:60" x14ac:dyDescent="0.3">
      <c r="A209">
        <v>22</v>
      </c>
      <c r="B209" t="s">
        <v>128</v>
      </c>
      <c r="C209" t="s">
        <v>113</v>
      </c>
      <c r="D209" t="s">
        <v>97</v>
      </c>
      <c r="E209" t="s">
        <v>108</v>
      </c>
      <c r="F209" t="s">
        <v>136</v>
      </c>
      <c r="G209" t="s">
        <v>135</v>
      </c>
      <c r="H209" t="s">
        <v>98</v>
      </c>
      <c r="I209" t="s">
        <v>76</v>
      </c>
      <c r="J209" t="s">
        <v>77</v>
      </c>
      <c r="K209" t="s">
        <v>78</v>
      </c>
      <c r="L209" t="s">
        <v>79</v>
      </c>
      <c r="M209" t="s">
        <v>80</v>
      </c>
      <c r="N209" t="s">
        <v>79</v>
      </c>
      <c r="O209" t="s">
        <v>138</v>
      </c>
      <c r="P209" t="s">
        <v>82</v>
      </c>
      <c r="Q209" t="s">
        <v>83</v>
      </c>
      <c r="R209" t="s">
        <v>79</v>
      </c>
      <c r="S209" t="s">
        <v>240</v>
      </c>
      <c r="T209" t="s">
        <v>188</v>
      </c>
      <c r="U209" t="s">
        <v>79</v>
      </c>
      <c r="V209" t="s">
        <v>86</v>
      </c>
      <c r="W209" t="s">
        <v>141</v>
      </c>
      <c r="X209" t="s">
        <v>112</v>
      </c>
      <c r="Y209" t="s">
        <v>94</v>
      </c>
      <c r="Z209" t="s">
        <v>92</v>
      </c>
      <c r="AA209" t="s">
        <v>92</v>
      </c>
      <c r="AB209" t="s">
        <v>94</v>
      </c>
      <c r="AC209" t="s">
        <v>92</v>
      </c>
      <c r="AD209" t="s">
        <v>94</v>
      </c>
      <c r="AE209" t="s">
        <v>92</v>
      </c>
      <c r="AF209" t="s">
        <v>92</v>
      </c>
      <c r="AG209" t="s">
        <v>92</v>
      </c>
      <c r="AH209" t="s">
        <v>92</v>
      </c>
      <c r="AI209" t="s">
        <v>94</v>
      </c>
      <c r="AJ209" t="s">
        <v>92</v>
      </c>
      <c r="AK209" t="s">
        <v>92</v>
      </c>
      <c r="AL209" t="s">
        <v>92</v>
      </c>
      <c r="AM209" t="s">
        <v>92</v>
      </c>
      <c r="AN209" t="s">
        <v>94</v>
      </c>
      <c r="AO209" t="s">
        <v>92</v>
      </c>
      <c r="AP209" t="s">
        <v>92</v>
      </c>
      <c r="AQ209" t="s">
        <v>92</v>
      </c>
      <c r="AR209" t="s">
        <v>94</v>
      </c>
      <c r="AS209" t="s">
        <v>92</v>
      </c>
      <c r="AT209" t="s">
        <v>94</v>
      </c>
      <c r="AU209" t="s">
        <v>94</v>
      </c>
      <c r="AV209" t="s">
        <v>92</v>
      </c>
      <c r="AW209" t="s">
        <v>94</v>
      </c>
      <c r="AX209" t="s">
        <v>92</v>
      </c>
      <c r="AY209" t="s">
        <v>94</v>
      </c>
      <c r="AZ209" t="s">
        <v>92</v>
      </c>
      <c r="BA209" t="s">
        <v>94</v>
      </c>
      <c r="BB209" t="s">
        <v>92</v>
      </c>
      <c r="BC209" t="s">
        <v>94</v>
      </c>
      <c r="BD209" t="s">
        <v>92</v>
      </c>
      <c r="BE209" t="s">
        <v>92</v>
      </c>
      <c r="BF209" t="s">
        <v>94</v>
      </c>
      <c r="BG209" t="s">
        <v>92</v>
      </c>
      <c r="BH209" t="s">
        <v>94</v>
      </c>
    </row>
    <row r="210" spans="1:60" x14ac:dyDescent="0.3">
      <c r="A210">
        <v>23</v>
      </c>
      <c r="B210" t="s">
        <v>70</v>
      </c>
      <c r="C210" t="s">
        <v>113</v>
      </c>
      <c r="D210" t="s">
        <v>149</v>
      </c>
      <c r="E210" t="s">
        <v>108</v>
      </c>
      <c r="F210" t="s">
        <v>100</v>
      </c>
      <c r="G210" t="s">
        <v>135</v>
      </c>
      <c r="H210" t="s">
        <v>98</v>
      </c>
      <c r="I210" t="s">
        <v>76</v>
      </c>
      <c r="J210" t="s">
        <v>77</v>
      </c>
      <c r="K210" t="s">
        <v>122</v>
      </c>
      <c r="L210" t="s">
        <v>79</v>
      </c>
      <c r="M210" t="s">
        <v>132</v>
      </c>
      <c r="N210" t="s">
        <v>79</v>
      </c>
      <c r="O210" t="s">
        <v>81</v>
      </c>
      <c r="P210" t="s">
        <v>79</v>
      </c>
      <c r="Q210" t="s">
        <v>83</v>
      </c>
      <c r="R210" t="s">
        <v>79</v>
      </c>
      <c r="S210" t="s">
        <v>110</v>
      </c>
      <c r="T210" t="s">
        <v>130</v>
      </c>
      <c r="U210" t="s">
        <v>79</v>
      </c>
      <c r="V210" t="s">
        <v>86</v>
      </c>
      <c r="W210" t="s">
        <v>141</v>
      </c>
      <c r="X210" t="s">
        <v>112</v>
      </c>
      <c r="Y210" t="s">
        <v>94</v>
      </c>
      <c r="Z210" t="s">
        <v>92</v>
      </c>
      <c r="AA210" t="s">
        <v>93</v>
      </c>
      <c r="AB210" t="s">
        <v>92</v>
      </c>
      <c r="AC210" t="s">
        <v>94</v>
      </c>
      <c r="AD210" t="s">
        <v>95</v>
      </c>
      <c r="AE210" t="s">
        <v>92</v>
      </c>
      <c r="AF210" t="s">
        <v>93</v>
      </c>
      <c r="AG210" t="s">
        <v>93</v>
      </c>
      <c r="AH210" t="s">
        <v>92</v>
      </c>
      <c r="AI210" t="s">
        <v>92</v>
      </c>
      <c r="AJ210" t="s">
        <v>92</v>
      </c>
      <c r="AK210" t="s">
        <v>92</v>
      </c>
      <c r="AL210" t="s">
        <v>92</v>
      </c>
      <c r="AM210" t="s">
        <v>92</v>
      </c>
      <c r="AN210" t="s">
        <v>94</v>
      </c>
      <c r="AO210" t="s">
        <v>94</v>
      </c>
      <c r="AP210" t="s">
        <v>92</v>
      </c>
      <c r="AQ210" t="s">
        <v>92</v>
      </c>
      <c r="AR210" t="s">
        <v>94</v>
      </c>
      <c r="AS210" t="s">
        <v>94</v>
      </c>
      <c r="AT210" t="s">
        <v>95</v>
      </c>
      <c r="AU210" t="s">
        <v>94</v>
      </c>
      <c r="AV210" t="s">
        <v>92</v>
      </c>
      <c r="AW210" t="s">
        <v>94</v>
      </c>
      <c r="AX210" t="s">
        <v>92</v>
      </c>
      <c r="AY210" t="s">
        <v>94</v>
      </c>
      <c r="AZ210" t="s">
        <v>92</v>
      </c>
      <c r="BA210" t="s">
        <v>94</v>
      </c>
      <c r="BB210" t="s">
        <v>92</v>
      </c>
      <c r="BC210" t="s">
        <v>94</v>
      </c>
      <c r="BD210" t="s">
        <v>92</v>
      </c>
      <c r="BE210" t="s">
        <v>94</v>
      </c>
      <c r="BF210" t="s">
        <v>92</v>
      </c>
      <c r="BG210" t="s">
        <v>94</v>
      </c>
      <c r="BH210" t="s">
        <v>95</v>
      </c>
    </row>
    <row r="211" spans="1:60" x14ac:dyDescent="0.3">
      <c r="A211">
        <v>24</v>
      </c>
      <c r="B211" t="s">
        <v>70</v>
      </c>
      <c r="C211" t="s">
        <v>71</v>
      </c>
      <c r="D211" t="s">
        <v>72</v>
      </c>
      <c r="E211" t="s">
        <v>108</v>
      </c>
      <c r="F211" t="s">
        <v>136</v>
      </c>
      <c r="G211" t="s">
        <v>99</v>
      </c>
      <c r="H211" t="s">
        <v>98</v>
      </c>
      <c r="I211" t="s">
        <v>99</v>
      </c>
      <c r="J211" t="s">
        <v>77</v>
      </c>
      <c r="K211" t="s">
        <v>78</v>
      </c>
      <c r="L211" t="s">
        <v>79</v>
      </c>
      <c r="M211" t="s">
        <v>102</v>
      </c>
      <c r="N211" t="s">
        <v>79</v>
      </c>
      <c r="O211" t="s">
        <v>179</v>
      </c>
      <c r="P211" t="s">
        <v>79</v>
      </c>
      <c r="Q211" t="s">
        <v>83</v>
      </c>
      <c r="R211" t="s">
        <v>79</v>
      </c>
      <c r="S211" t="s">
        <v>241</v>
      </c>
      <c r="T211" t="s">
        <v>85</v>
      </c>
      <c r="U211" t="s">
        <v>79</v>
      </c>
      <c r="V211" t="s">
        <v>106</v>
      </c>
      <c r="W211" t="s">
        <v>141</v>
      </c>
      <c r="X211" t="s">
        <v>127</v>
      </c>
      <c r="Y211" t="s">
        <v>94</v>
      </c>
      <c r="Z211" t="s">
        <v>92</v>
      </c>
      <c r="AA211" t="s">
        <v>92</v>
      </c>
      <c r="AB211" t="s">
        <v>94</v>
      </c>
      <c r="AC211" t="s">
        <v>92</v>
      </c>
      <c r="AD211" t="s">
        <v>92</v>
      </c>
      <c r="AE211" t="s">
        <v>92</v>
      </c>
      <c r="AF211" t="s">
        <v>92</v>
      </c>
      <c r="AG211" t="s">
        <v>94</v>
      </c>
      <c r="AH211" t="s">
        <v>94</v>
      </c>
      <c r="AI211" t="s">
        <v>92</v>
      </c>
      <c r="AJ211" t="s">
        <v>92</v>
      </c>
      <c r="AK211" t="s">
        <v>92</v>
      </c>
      <c r="AL211" t="s">
        <v>94</v>
      </c>
      <c r="AM211" t="s">
        <v>92</v>
      </c>
      <c r="AN211" t="s">
        <v>94</v>
      </c>
      <c r="AO211" t="s">
        <v>95</v>
      </c>
      <c r="AP211" t="s">
        <v>94</v>
      </c>
      <c r="AQ211" t="s">
        <v>94</v>
      </c>
      <c r="AR211" t="s">
        <v>92</v>
      </c>
      <c r="AS211" t="s">
        <v>92</v>
      </c>
      <c r="AT211" t="s">
        <v>95</v>
      </c>
      <c r="AU211" t="s">
        <v>94</v>
      </c>
      <c r="AV211" t="s">
        <v>94</v>
      </c>
      <c r="AW211" t="s">
        <v>95</v>
      </c>
      <c r="AX211" t="s">
        <v>94</v>
      </c>
      <c r="AY211" t="s">
        <v>92</v>
      </c>
      <c r="AZ211" t="s">
        <v>92</v>
      </c>
      <c r="BA211" t="s">
        <v>94</v>
      </c>
      <c r="BB211" t="s">
        <v>92</v>
      </c>
      <c r="BC211" t="s">
        <v>92</v>
      </c>
      <c r="BD211" t="s">
        <v>92</v>
      </c>
      <c r="BE211" t="s">
        <v>94</v>
      </c>
      <c r="BF211" t="s">
        <v>92</v>
      </c>
      <c r="BG211" t="s">
        <v>92</v>
      </c>
      <c r="BH211" t="s">
        <v>94</v>
      </c>
    </row>
    <row r="212" spans="1:60" x14ac:dyDescent="0.3">
      <c r="A212">
        <v>24</v>
      </c>
      <c r="B212" t="s">
        <v>70</v>
      </c>
      <c r="C212" t="s">
        <v>113</v>
      </c>
      <c r="D212" t="s">
        <v>72</v>
      </c>
      <c r="E212" t="s">
        <v>108</v>
      </c>
      <c r="F212" t="s">
        <v>136</v>
      </c>
      <c r="G212" t="s">
        <v>75</v>
      </c>
      <c r="H212" t="s">
        <v>98</v>
      </c>
      <c r="I212" t="s">
        <v>76</v>
      </c>
      <c r="J212" t="s">
        <v>101</v>
      </c>
      <c r="K212" t="s">
        <v>78</v>
      </c>
      <c r="L212" t="s">
        <v>79</v>
      </c>
      <c r="M212" t="s">
        <v>80</v>
      </c>
      <c r="N212" t="s">
        <v>79</v>
      </c>
      <c r="O212" t="s">
        <v>109</v>
      </c>
      <c r="P212" t="s">
        <v>79</v>
      </c>
      <c r="Q212" t="s">
        <v>83</v>
      </c>
      <c r="R212" t="s">
        <v>79</v>
      </c>
      <c r="S212" t="s">
        <v>223</v>
      </c>
      <c r="T212" t="s">
        <v>124</v>
      </c>
      <c r="U212" t="s">
        <v>79</v>
      </c>
      <c r="V212" t="s">
        <v>148</v>
      </c>
      <c r="W212" t="s">
        <v>87</v>
      </c>
      <c r="X212" t="s">
        <v>160</v>
      </c>
      <c r="Y212" t="s">
        <v>94</v>
      </c>
      <c r="Z212" t="s">
        <v>92</v>
      </c>
      <c r="AA212" t="s">
        <v>92</v>
      </c>
      <c r="AB212" t="s">
        <v>94</v>
      </c>
      <c r="AC212" t="s">
        <v>92</v>
      </c>
      <c r="AD212" t="s">
        <v>92</v>
      </c>
      <c r="AE212" t="s">
        <v>92</v>
      </c>
      <c r="AF212" t="s">
        <v>94</v>
      </c>
      <c r="AG212" t="s">
        <v>92</v>
      </c>
      <c r="AH212" t="s">
        <v>94</v>
      </c>
      <c r="AI212" t="s">
        <v>92</v>
      </c>
      <c r="AJ212" t="s">
        <v>92</v>
      </c>
      <c r="AK212" t="s">
        <v>94</v>
      </c>
      <c r="AL212" t="s">
        <v>94</v>
      </c>
      <c r="AM212" t="s">
        <v>92</v>
      </c>
      <c r="AN212" t="s">
        <v>92</v>
      </c>
      <c r="AO212" t="s">
        <v>94</v>
      </c>
      <c r="AP212" t="s">
        <v>92</v>
      </c>
      <c r="AQ212" t="s">
        <v>92</v>
      </c>
      <c r="AR212" t="s">
        <v>94</v>
      </c>
      <c r="AS212" t="s">
        <v>94</v>
      </c>
      <c r="AT212" t="s">
        <v>92</v>
      </c>
      <c r="AU212" t="s">
        <v>94</v>
      </c>
      <c r="AV212" t="s">
        <v>95</v>
      </c>
      <c r="AW212" t="s">
        <v>94</v>
      </c>
      <c r="AX212" t="s">
        <v>94</v>
      </c>
      <c r="AY212" t="s">
        <v>95</v>
      </c>
      <c r="AZ212" t="s">
        <v>92</v>
      </c>
      <c r="BA212" t="s">
        <v>94</v>
      </c>
      <c r="BB212" t="s">
        <v>92</v>
      </c>
      <c r="BC212" t="s">
        <v>92</v>
      </c>
      <c r="BD212" t="s">
        <v>94</v>
      </c>
      <c r="BE212" t="s">
        <v>94</v>
      </c>
      <c r="BF212" t="s">
        <v>92</v>
      </c>
      <c r="BG212" t="s">
        <v>94</v>
      </c>
      <c r="BH212" t="s">
        <v>92</v>
      </c>
    </row>
    <row r="213" spans="1:60" x14ac:dyDescent="0.3">
      <c r="A213">
        <v>22</v>
      </c>
      <c r="B213" t="s">
        <v>128</v>
      </c>
      <c r="C213" t="s">
        <v>113</v>
      </c>
      <c r="D213" t="s">
        <v>97</v>
      </c>
      <c r="E213" t="s">
        <v>73</v>
      </c>
      <c r="F213" t="s">
        <v>98</v>
      </c>
      <c r="G213" t="s">
        <v>135</v>
      </c>
      <c r="H213" t="s">
        <v>165</v>
      </c>
      <c r="I213" t="s">
        <v>76</v>
      </c>
      <c r="J213" t="s">
        <v>77</v>
      </c>
      <c r="K213" t="s">
        <v>122</v>
      </c>
      <c r="L213" t="s">
        <v>79</v>
      </c>
      <c r="M213" t="s">
        <v>132</v>
      </c>
      <c r="N213" t="s">
        <v>79</v>
      </c>
      <c r="O213" t="s">
        <v>109</v>
      </c>
      <c r="P213" t="s">
        <v>79</v>
      </c>
      <c r="Q213" t="s">
        <v>83</v>
      </c>
      <c r="R213" t="s">
        <v>79</v>
      </c>
      <c r="S213" t="s">
        <v>223</v>
      </c>
      <c r="T213" t="s">
        <v>155</v>
      </c>
      <c r="U213" t="s">
        <v>79</v>
      </c>
      <c r="V213" t="s">
        <v>106</v>
      </c>
      <c r="W213" t="s">
        <v>120</v>
      </c>
      <c r="X213" t="s">
        <v>127</v>
      </c>
      <c r="Y213" t="s">
        <v>94</v>
      </c>
      <c r="Z213" t="s">
        <v>92</v>
      </c>
      <c r="AA213" t="s">
        <v>92</v>
      </c>
      <c r="AB213" t="s">
        <v>94</v>
      </c>
      <c r="AC213" t="s">
        <v>94</v>
      </c>
      <c r="AD213" t="s">
        <v>92</v>
      </c>
      <c r="AE213" t="s">
        <v>92</v>
      </c>
      <c r="AF213" t="s">
        <v>92</v>
      </c>
      <c r="AG213" t="s">
        <v>94</v>
      </c>
      <c r="AH213" t="s">
        <v>94</v>
      </c>
      <c r="AI213" t="s">
        <v>94</v>
      </c>
      <c r="AJ213" t="s">
        <v>92</v>
      </c>
      <c r="AK213" t="s">
        <v>92</v>
      </c>
      <c r="AL213" t="s">
        <v>92</v>
      </c>
      <c r="AM213" t="s">
        <v>94</v>
      </c>
      <c r="AN213" t="s">
        <v>94</v>
      </c>
      <c r="AO213" t="s">
        <v>95</v>
      </c>
      <c r="AP213" t="s">
        <v>92</v>
      </c>
      <c r="AQ213" t="s">
        <v>94</v>
      </c>
      <c r="AR213" t="s">
        <v>93</v>
      </c>
      <c r="AS213" t="s">
        <v>93</v>
      </c>
      <c r="AT213" t="s">
        <v>93</v>
      </c>
      <c r="AU213" t="s">
        <v>94</v>
      </c>
      <c r="AV213" t="s">
        <v>92</v>
      </c>
      <c r="AW213" t="s">
        <v>92</v>
      </c>
      <c r="AX213" t="s">
        <v>94</v>
      </c>
      <c r="AY213" t="s">
        <v>94</v>
      </c>
      <c r="AZ213" t="s">
        <v>93</v>
      </c>
      <c r="BA213" t="s">
        <v>94</v>
      </c>
      <c r="BB213" t="s">
        <v>95</v>
      </c>
      <c r="BC213" t="s">
        <v>94</v>
      </c>
      <c r="BD213" t="s">
        <v>94</v>
      </c>
      <c r="BE213" t="s">
        <v>92</v>
      </c>
      <c r="BF213" t="s">
        <v>95</v>
      </c>
      <c r="BG213" t="s">
        <v>94</v>
      </c>
      <c r="BH213" t="s">
        <v>94</v>
      </c>
    </row>
    <row r="214" spans="1:60" x14ac:dyDescent="0.3">
      <c r="A214">
        <v>23</v>
      </c>
      <c r="B214" t="s">
        <v>70</v>
      </c>
      <c r="C214" t="s">
        <v>96</v>
      </c>
      <c r="D214" t="s">
        <v>149</v>
      </c>
      <c r="E214" t="s">
        <v>73</v>
      </c>
      <c r="F214" t="s">
        <v>136</v>
      </c>
      <c r="G214" t="s">
        <v>99</v>
      </c>
      <c r="H214" t="s">
        <v>98</v>
      </c>
      <c r="I214" t="s">
        <v>75</v>
      </c>
      <c r="J214" t="s">
        <v>77</v>
      </c>
      <c r="K214" t="s">
        <v>122</v>
      </c>
      <c r="L214" t="s">
        <v>79</v>
      </c>
      <c r="M214" t="s">
        <v>80</v>
      </c>
      <c r="N214" t="s">
        <v>79</v>
      </c>
      <c r="O214" t="s">
        <v>81</v>
      </c>
      <c r="P214" t="s">
        <v>79</v>
      </c>
      <c r="Q214" t="s">
        <v>83</v>
      </c>
      <c r="R214" t="s">
        <v>82</v>
      </c>
      <c r="S214" t="s">
        <v>84</v>
      </c>
      <c r="T214" t="s">
        <v>155</v>
      </c>
      <c r="U214" t="s">
        <v>79</v>
      </c>
      <c r="V214" t="s">
        <v>106</v>
      </c>
      <c r="W214" t="s">
        <v>87</v>
      </c>
      <c r="X214" t="s">
        <v>112</v>
      </c>
      <c r="Y214" t="s">
        <v>94</v>
      </c>
      <c r="Z214" t="s">
        <v>92</v>
      </c>
      <c r="AA214" t="s">
        <v>92</v>
      </c>
      <c r="AB214" t="s">
        <v>92</v>
      </c>
      <c r="AC214" t="s">
        <v>94</v>
      </c>
      <c r="AD214" t="s">
        <v>94</v>
      </c>
      <c r="AE214" t="s">
        <v>92</v>
      </c>
      <c r="AF214" t="s">
        <v>92</v>
      </c>
      <c r="AG214" t="s">
        <v>94</v>
      </c>
      <c r="AH214" t="s">
        <v>92</v>
      </c>
      <c r="AI214" t="s">
        <v>92</v>
      </c>
      <c r="AJ214" t="s">
        <v>94</v>
      </c>
      <c r="AK214" t="s">
        <v>92</v>
      </c>
      <c r="AL214" t="s">
        <v>92</v>
      </c>
      <c r="AM214" t="s">
        <v>94</v>
      </c>
      <c r="AN214" t="s">
        <v>94</v>
      </c>
      <c r="AO214" t="s">
        <v>92</v>
      </c>
      <c r="AP214" t="s">
        <v>92</v>
      </c>
      <c r="AQ214" t="s">
        <v>92</v>
      </c>
      <c r="AR214" t="s">
        <v>94</v>
      </c>
      <c r="AS214" t="s">
        <v>92</v>
      </c>
      <c r="AT214" t="s">
        <v>92</v>
      </c>
      <c r="AU214" t="s">
        <v>95</v>
      </c>
      <c r="AV214" t="s">
        <v>94</v>
      </c>
      <c r="AW214" t="s">
        <v>94</v>
      </c>
      <c r="AX214" t="s">
        <v>92</v>
      </c>
      <c r="AY214" t="s">
        <v>92</v>
      </c>
      <c r="AZ214" t="s">
        <v>95</v>
      </c>
      <c r="BA214" t="s">
        <v>94</v>
      </c>
      <c r="BB214" t="s">
        <v>92</v>
      </c>
      <c r="BC214" t="s">
        <v>92</v>
      </c>
      <c r="BD214" t="s">
        <v>92</v>
      </c>
      <c r="BE214" t="s">
        <v>94</v>
      </c>
      <c r="BF214" t="s">
        <v>92</v>
      </c>
      <c r="BG214" t="s">
        <v>94</v>
      </c>
      <c r="BH214" t="s">
        <v>92</v>
      </c>
    </row>
    <row r="215" spans="1:60" x14ac:dyDescent="0.3">
      <c r="A215">
        <v>25</v>
      </c>
      <c r="B215" t="s">
        <v>70</v>
      </c>
      <c r="C215" t="s">
        <v>71</v>
      </c>
      <c r="D215" t="s">
        <v>97</v>
      </c>
      <c r="E215" t="s">
        <v>114</v>
      </c>
      <c r="F215" t="s">
        <v>100</v>
      </c>
      <c r="G215" t="s">
        <v>135</v>
      </c>
      <c r="H215" t="s">
        <v>100</v>
      </c>
      <c r="I215" t="s">
        <v>76</v>
      </c>
      <c r="J215" t="s">
        <v>101</v>
      </c>
      <c r="K215" t="s">
        <v>78</v>
      </c>
      <c r="L215" t="s">
        <v>79</v>
      </c>
      <c r="M215" t="s">
        <v>132</v>
      </c>
      <c r="N215" t="s">
        <v>79</v>
      </c>
      <c r="O215" t="s">
        <v>117</v>
      </c>
      <c r="P215" t="s">
        <v>79</v>
      </c>
      <c r="Q215" t="s">
        <v>83</v>
      </c>
      <c r="R215" t="s">
        <v>79</v>
      </c>
      <c r="S215" t="s">
        <v>154</v>
      </c>
      <c r="T215" t="s">
        <v>242</v>
      </c>
      <c r="U215" t="s">
        <v>79</v>
      </c>
      <c r="V215" t="s">
        <v>148</v>
      </c>
      <c r="W215" t="s">
        <v>87</v>
      </c>
      <c r="X215" t="s">
        <v>127</v>
      </c>
      <c r="Y215" t="s">
        <v>94</v>
      </c>
      <c r="Z215" t="s">
        <v>92</v>
      </c>
      <c r="AA215" t="s">
        <v>92</v>
      </c>
      <c r="AB215" t="s">
        <v>94</v>
      </c>
      <c r="AC215" t="s">
        <v>94</v>
      </c>
      <c r="AD215" t="s">
        <v>92</v>
      </c>
      <c r="AE215" t="s">
        <v>92</v>
      </c>
      <c r="AF215" t="s">
        <v>94</v>
      </c>
      <c r="AG215" t="s">
        <v>92</v>
      </c>
      <c r="AH215" t="s">
        <v>92</v>
      </c>
      <c r="AI215" t="s">
        <v>94</v>
      </c>
      <c r="AJ215" t="s">
        <v>92</v>
      </c>
      <c r="AK215" t="s">
        <v>92</v>
      </c>
      <c r="AL215" t="s">
        <v>94</v>
      </c>
      <c r="AM215" t="s">
        <v>92</v>
      </c>
      <c r="AN215" t="s">
        <v>94</v>
      </c>
      <c r="AO215" t="s">
        <v>92</v>
      </c>
      <c r="AP215" t="s">
        <v>92</v>
      </c>
      <c r="AQ215" t="s">
        <v>94</v>
      </c>
      <c r="AR215" t="s">
        <v>92</v>
      </c>
      <c r="AS215" t="s">
        <v>92</v>
      </c>
      <c r="AT215" t="s">
        <v>92</v>
      </c>
      <c r="AU215" t="s">
        <v>92</v>
      </c>
      <c r="AV215" t="s">
        <v>94</v>
      </c>
      <c r="AW215" t="s">
        <v>92</v>
      </c>
      <c r="AX215" t="s">
        <v>92</v>
      </c>
      <c r="AY215" t="s">
        <v>92</v>
      </c>
      <c r="AZ215" t="s">
        <v>94</v>
      </c>
      <c r="BA215" t="s">
        <v>92</v>
      </c>
      <c r="BB215" t="s">
        <v>92</v>
      </c>
      <c r="BC215" t="s">
        <v>94</v>
      </c>
      <c r="BD215" t="s">
        <v>92</v>
      </c>
      <c r="BE215" t="s">
        <v>94</v>
      </c>
      <c r="BF215" t="s">
        <v>92</v>
      </c>
      <c r="BG215" t="s">
        <v>94</v>
      </c>
      <c r="BH215" t="s">
        <v>92</v>
      </c>
    </row>
    <row r="216" spans="1:60" x14ac:dyDescent="0.3">
      <c r="A216">
        <v>24</v>
      </c>
      <c r="B216" t="s">
        <v>70</v>
      </c>
      <c r="C216" t="s">
        <v>113</v>
      </c>
      <c r="D216" t="s">
        <v>72</v>
      </c>
      <c r="E216" t="s">
        <v>73</v>
      </c>
      <c r="F216" t="s">
        <v>136</v>
      </c>
      <c r="G216" t="s">
        <v>135</v>
      </c>
      <c r="H216" t="s">
        <v>98</v>
      </c>
      <c r="I216" t="s">
        <v>76</v>
      </c>
      <c r="J216" t="s">
        <v>101</v>
      </c>
      <c r="K216" t="s">
        <v>122</v>
      </c>
      <c r="L216" t="s">
        <v>79</v>
      </c>
      <c r="M216" t="s">
        <v>80</v>
      </c>
      <c r="N216" t="s">
        <v>79</v>
      </c>
      <c r="O216" t="s">
        <v>109</v>
      </c>
      <c r="P216" t="s">
        <v>79</v>
      </c>
      <c r="Q216" t="s">
        <v>83</v>
      </c>
      <c r="R216" t="s">
        <v>79</v>
      </c>
      <c r="S216" t="s">
        <v>145</v>
      </c>
      <c r="T216" t="s">
        <v>243</v>
      </c>
      <c r="U216" t="s">
        <v>79</v>
      </c>
      <c r="V216" t="s">
        <v>148</v>
      </c>
      <c r="W216" t="s">
        <v>141</v>
      </c>
      <c r="X216" t="s">
        <v>112</v>
      </c>
      <c r="Y216" t="s">
        <v>94</v>
      </c>
      <c r="Z216" t="s">
        <v>92</v>
      </c>
      <c r="AA216" t="s">
        <v>92</v>
      </c>
      <c r="AB216" t="s">
        <v>93</v>
      </c>
      <c r="AC216" t="s">
        <v>92</v>
      </c>
      <c r="AD216" t="s">
        <v>93</v>
      </c>
      <c r="AE216" t="s">
        <v>94</v>
      </c>
      <c r="AF216" t="s">
        <v>92</v>
      </c>
      <c r="AG216" t="s">
        <v>93</v>
      </c>
      <c r="AH216" t="s">
        <v>94</v>
      </c>
      <c r="AI216" t="s">
        <v>95</v>
      </c>
      <c r="AJ216" t="s">
        <v>95</v>
      </c>
      <c r="AK216" t="s">
        <v>95</v>
      </c>
      <c r="AL216" t="s">
        <v>92</v>
      </c>
      <c r="AM216" t="s">
        <v>92</v>
      </c>
      <c r="AN216" t="s">
        <v>92</v>
      </c>
      <c r="AO216" t="s">
        <v>92</v>
      </c>
      <c r="AP216" t="s">
        <v>94</v>
      </c>
      <c r="AQ216" t="s">
        <v>92</v>
      </c>
      <c r="AR216" t="s">
        <v>92</v>
      </c>
      <c r="AS216" t="s">
        <v>94</v>
      </c>
      <c r="AT216" t="s">
        <v>94</v>
      </c>
      <c r="AU216" t="s">
        <v>94</v>
      </c>
      <c r="AV216" t="s">
        <v>92</v>
      </c>
      <c r="AW216" t="s">
        <v>92</v>
      </c>
      <c r="AX216" t="s">
        <v>94</v>
      </c>
      <c r="AY216" t="s">
        <v>92</v>
      </c>
      <c r="AZ216" t="s">
        <v>92</v>
      </c>
      <c r="BA216" t="s">
        <v>92</v>
      </c>
      <c r="BB216" t="s">
        <v>92</v>
      </c>
      <c r="BC216" t="s">
        <v>94</v>
      </c>
      <c r="BD216" t="s">
        <v>92</v>
      </c>
      <c r="BE216" t="s">
        <v>92</v>
      </c>
      <c r="BF216" t="s">
        <v>94</v>
      </c>
      <c r="BG216" t="s">
        <v>92</v>
      </c>
      <c r="BH216" t="s">
        <v>94</v>
      </c>
    </row>
    <row r="217" spans="1:60" x14ac:dyDescent="0.3">
      <c r="A217">
        <v>23</v>
      </c>
      <c r="B217" t="s">
        <v>70</v>
      </c>
      <c r="C217" t="s">
        <v>113</v>
      </c>
      <c r="D217" t="s">
        <v>97</v>
      </c>
      <c r="E217" t="s">
        <v>108</v>
      </c>
      <c r="F217" t="s">
        <v>98</v>
      </c>
      <c r="G217" t="s">
        <v>99</v>
      </c>
      <c r="H217" t="s">
        <v>100</v>
      </c>
      <c r="I217" t="s">
        <v>76</v>
      </c>
      <c r="J217" t="s">
        <v>77</v>
      </c>
      <c r="K217" t="s">
        <v>122</v>
      </c>
      <c r="L217" t="s">
        <v>79</v>
      </c>
      <c r="M217" t="s">
        <v>80</v>
      </c>
      <c r="N217" t="s">
        <v>79</v>
      </c>
      <c r="O217" t="s">
        <v>109</v>
      </c>
      <c r="P217" t="s">
        <v>79</v>
      </c>
      <c r="Q217" t="s">
        <v>83</v>
      </c>
      <c r="R217" t="s">
        <v>79</v>
      </c>
      <c r="S217" t="s">
        <v>244</v>
      </c>
      <c r="T217" t="s">
        <v>190</v>
      </c>
      <c r="U217" t="s">
        <v>79</v>
      </c>
      <c r="V217" t="s">
        <v>148</v>
      </c>
      <c r="W217" t="s">
        <v>141</v>
      </c>
      <c r="X217" t="s">
        <v>127</v>
      </c>
      <c r="Y217" t="s">
        <v>92</v>
      </c>
      <c r="Z217" t="s">
        <v>94</v>
      </c>
      <c r="AA217" t="s">
        <v>92</v>
      </c>
      <c r="AB217" t="s">
        <v>92</v>
      </c>
      <c r="AC217" t="s">
        <v>94</v>
      </c>
      <c r="AD217" t="s">
        <v>92</v>
      </c>
      <c r="AE217" t="s">
        <v>94</v>
      </c>
      <c r="AF217" t="s">
        <v>94</v>
      </c>
      <c r="AG217" t="s">
        <v>92</v>
      </c>
      <c r="AH217" t="s">
        <v>94</v>
      </c>
      <c r="AI217" t="s">
        <v>92</v>
      </c>
      <c r="AJ217" t="s">
        <v>94</v>
      </c>
      <c r="AK217" t="s">
        <v>92</v>
      </c>
      <c r="AL217" t="s">
        <v>94</v>
      </c>
      <c r="AM217" t="s">
        <v>94</v>
      </c>
      <c r="AN217" t="s">
        <v>94</v>
      </c>
      <c r="AO217" t="s">
        <v>92</v>
      </c>
      <c r="AP217" t="s">
        <v>92</v>
      </c>
      <c r="AQ217" t="s">
        <v>92</v>
      </c>
      <c r="AR217" t="s">
        <v>94</v>
      </c>
      <c r="AS217" t="s">
        <v>92</v>
      </c>
      <c r="AT217" t="s">
        <v>92</v>
      </c>
      <c r="AU217" t="s">
        <v>94</v>
      </c>
      <c r="AV217" t="s">
        <v>95</v>
      </c>
      <c r="AW217" t="s">
        <v>94</v>
      </c>
      <c r="AX217" t="s">
        <v>94</v>
      </c>
      <c r="AY217" t="s">
        <v>92</v>
      </c>
      <c r="AZ217" t="s">
        <v>92</v>
      </c>
      <c r="BA217" t="s">
        <v>94</v>
      </c>
      <c r="BB217" t="s">
        <v>93</v>
      </c>
      <c r="BC217" t="s">
        <v>92</v>
      </c>
      <c r="BD217" t="s">
        <v>92</v>
      </c>
      <c r="BE217" t="s">
        <v>92</v>
      </c>
      <c r="BF217" t="s">
        <v>92</v>
      </c>
      <c r="BG217" t="s">
        <v>94</v>
      </c>
      <c r="BH217" t="s">
        <v>92</v>
      </c>
    </row>
    <row r="218" spans="1:60" x14ac:dyDescent="0.3">
      <c r="A218">
        <v>22</v>
      </c>
      <c r="B218" t="s">
        <v>128</v>
      </c>
      <c r="C218" t="s">
        <v>96</v>
      </c>
      <c r="D218" t="s">
        <v>149</v>
      </c>
      <c r="E218" t="s">
        <v>73</v>
      </c>
      <c r="F218" t="s">
        <v>74</v>
      </c>
      <c r="G218" t="s">
        <v>115</v>
      </c>
      <c r="H218" t="s">
        <v>136</v>
      </c>
      <c r="I218" t="s">
        <v>75</v>
      </c>
      <c r="J218" t="s">
        <v>77</v>
      </c>
      <c r="K218" t="s">
        <v>122</v>
      </c>
      <c r="L218" t="s">
        <v>79</v>
      </c>
      <c r="M218" t="s">
        <v>80</v>
      </c>
      <c r="N218" t="s">
        <v>79</v>
      </c>
      <c r="O218" t="s">
        <v>179</v>
      </c>
      <c r="P218" t="s">
        <v>79</v>
      </c>
      <c r="Q218" t="s">
        <v>118</v>
      </c>
      <c r="R218" t="s">
        <v>79</v>
      </c>
      <c r="S218" t="s">
        <v>244</v>
      </c>
      <c r="T218" t="s">
        <v>150</v>
      </c>
      <c r="U218" t="s">
        <v>79</v>
      </c>
      <c r="V218" t="s">
        <v>106</v>
      </c>
      <c r="W218" t="s">
        <v>120</v>
      </c>
      <c r="X218" t="s">
        <v>127</v>
      </c>
      <c r="Y218" t="s">
        <v>92</v>
      </c>
      <c r="Z218" t="s">
        <v>92</v>
      </c>
      <c r="AA218" t="s">
        <v>94</v>
      </c>
      <c r="AB218" t="s">
        <v>92</v>
      </c>
      <c r="AC218" t="s">
        <v>94</v>
      </c>
      <c r="AD218" t="s">
        <v>94</v>
      </c>
      <c r="AE218" t="s">
        <v>92</v>
      </c>
      <c r="AF218" t="s">
        <v>92</v>
      </c>
      <c r="AG218" t="s">
        <v>94</v>
      </c>
      <c r="AH218" t="s">
        <v>92</v>
      </c>
      <c r="AI218" t="s">
        <v>92</v>
      </c>
      <c r="AJ218" t="s">
        <v>94</v>
      </c>
      <c r="AK218" t="s">
        <v>94</v>
      </c>
      <c r="AL218" t="s">
        <v>92</v>
      </c>
      <c r="AM218" t="s">
        <v>92</v>
      </c>
      <c r="AN218" t="s">
        <v>94</v>
      </c>
      <c r="AO218" t="s">
        <v>92</v>
      </c>
      <c r="AP218" t="s">
        <v>94</v>
      </c>
      <c r="AQ218" t="s">
        <v>94</v>
      </c>
      <c r="AR218" t="s">
        <v>92</v>
      </c>
      <c r="AS218" t="s">
        <v>92</v>
      </c>
      <c r="AT218" t="s">
        <v>92</v>
      </c>
      <c r="AU218" t="s">
        <v>94</v>
      </c>
      <c r="AV218" t="s">
        <v>95</v>
      </c>
      <c r="AW218" t="s">
        <v>93</v>
      </c>
      <c r="AX218" t="s">
        <v>93</v>
      </c>
      <c r="AY218" t="s">
        <v>94</v>
      </c>
      <c r="AZ218" t="s">
        <v>92</v>
      </c>
      <c r="BA218" t="s">
        <v>94</v>
      </c>
      <c r="BB218" t="s">
        <v>92</v>
      </c>
      <c r="BC218" t="s">
        <v>92</v>
      </c>
      <c r="BD218" t="s">
        <v>94</v>
      </c>
      <c r="BE218" t="s">
        <v>94</v>
      </c>
      <c r="BF218" t="s">
        <v>92</v>
      </c>
      <c r="BG218" t="s">
        <v>94</v>
      </c>
      <c r="BH218" t="s">
        <v>92</v>
      </c>
    </row>
    <row r="219" spans="1:60" x14ac:dyDescent="0.3">
      <c r="A219">
        <v>23</v>
      </c>
      <c r="B219" t="s">
        <v>70</v>
      </c>
      <c r="C219" t="s">
        <v>96</v>
      </c>
      <c r="D219" t="s">
        <v>72</v>
      </c>
      <c r="E219" t="s">
        <v>114</v>
      </c>
      <c r="F219" t="s">
        <v>100</v>
      </c>
      <c r="G219" t="s">
        <v>75</v>
      </c>
      <c r="H219" t="s">
        <v>100</v>
      </c>
      <c r="I219" t="s">
        <v>75</v>
      </c>
      <c r="J219" t="s">
        <v>77</v>
      </c>
      <c r="K219" t="s">
        <v>78</v>
      </c>
      <c r="L219" t="s">
        <v>79</v>
      </c>
      <c r="M219" t="s">
        <v>80</v>
      </c>
      <c r="N219" t="s">
        <v>82</v>
      </c>
      <c r="O219" t="s">
        <v>81</v>
      </c>
      <c r="P219" t="s">
        <v>79</v>
      </c>
      <c r="Q219" t="s">
        <v>83</v>
      </c>
      <c r="R219" t="s">
        <v>82</v>
      </c>
      <c r="S219" t="s">
        <v>193</v>
      </c>
      <c r="T219" t="s">
        <v>140</v>
      </c>
      <c r="U219" t="s">
        <v>79</v>
      </c>
      <c r="V219" t="s">
        <v>86</v>
      </c>
      <c r="W219" t="s">
        <v>87</v>
      </c>
      <c r="X219" t="s">
        <v>127</v>
      </c>
      <c r="Y219" t="s">
        <v>94</v>
      </c>
      <c r="Z219" t="s">
        <v>92</v>
      </c>
      <c r="AA219" t="s">
        <v>92</v>
      </c>
      <c r="AB219" t="s">
        <v>94</v>
      </c>
      <c r="AC219" t="s">
        <v>94</v>
      </c>
      <c r="AD219" t="s">
        <v>92</v>
      </c>
      <c r="AE219" t="s">
        <v>94</v>
      </c>
      <c r="AF219" t="s">
        <v>93</v>
      </c>
      <c r="AG219" t="s">
        <v>92</v>
      </c>
      <c r="AH219" t="s">
        <v>92</v>
      </c>
      <c r="AI219" t="s">
        <v>92</v>
      </c>
      <c r="AJ219" t="s">
        <v>94</v>
      </c>
      <c r="AK219" t="s">
        <v>92</v>
      </c>
      <c r="AL219" t="s">
        <v>92</v>
      </c>
      <c r="AM219" t="s">
        <v>92</v>
      </c>
      <c r="AN219" t="s">
        <v>94</v>
      </c>
      <c r="AO219" t="s">
        <v>92</v>
      </c>
      <c r="AP219" t="s">
        <v>92</v>
      </c>
      <c r="AQ219" t="s">
        <v>92</v>
      </c>
      <c r="AR219" t="s">
        <v>94</v>
      </c>
      <c r="AS219" t="s">
        <v>92</v>
      </c>
      <c r="AT219" t="s">
        <v>94</v>
      </c>
      <c r="AU219" t="s">
        <v>92</v>
      </c>
      <c r="AV219" t="s">
        <v>94</v>
      </c>
      <c r="AW219" t="s">
        <v>94</v>
      </c>
      <c r="AX219" t="s">
        <v>92</v>
      </c>
      <c r="AY219" t="s">
        <v>94</v>
      </c>
      <c r="AZ219" t="s">
        <v>92</v>
      </c>
      <c r="BA219" t="s">
        <v>94</v>
      </c>
      <c r="BB219" t="s">
        <v>92</v>
      </c>
      <c r="BC219" t="s">
        <v>92</v>
      </c>
      <c r="BD219" t="s">
        <v>94</v>
      </c>
      <c r="BE219" t="s">
        <v>94</v>
      </c>
      <c r="BF219" t="s">
        <v>92</v>
      </c>
      <c r="BG219" t="s">
        <v>92</v>
      </c>
      <c r="BH219" t="s">
        <v>94</v>
      </c>
    </row>
    <row r="220" spans="1:60" x14ac:dyDescent="0.3">
      <c r="A220">
        <v>23</v>
      </c>
      <c r="B220" t="s">
        <v>70</v>
      </c>
      <c r="C220" t="s">
        <v>96</v>
      </c>
      <c r="D220" t="s">
        <v>72</v>
      </c>
      <c r="E220" t="s">
        <v>114</v>
      </c>
      <c r="F220" t="s">
        <v>100</v>
      </c>
      <c r="G220" t="s">
        <v>115</v>
      </c>
      <c r="H220" t="s">
        <v>100</v>
      </c>
      <c r="I220" t="s">
        <v>75</v>
      </c>
      <c r="J220" t="s">
        <v>77</v>
      </c>
      <c r="K220" t="s">
        <v>122</v>
      </c>
      <c r="L220" t="s">
        <v>79</v>
      </c>
      <c r="M220" t="s">
        <v>80</v>
      </c>
      <c r="N220" t="s">
        <v>79</v>
      </c>
      <c r="O220" t="s">
        <v>81</v>
      </c>
      <c r="P220" t="s">
        <v>79</v>
      </c>
      <c r="Q220" t="s">
        <v>118</v>
      </c>
      <c r="R220" t="s">
        <v>79</v>
      </c>
      <c r="S220" t="s">
        <v>240</v>
      </c>
      <c r="T220" t="s">
        <v>233</v>
      </c>
      <c r="U220" t="s">
        <v>79</v>
      </c>
      <c r="V220" t="s">
        <v>148</v>
      </c>
      <c r="W220" t="s">
        <v>87</v>
      </c>
      <c r="X220" t="s">
        <v>127</v>
      </c>
      <c r="Y220" t="s">
        <v>92</v>
      </c>
      <c r="Z220" t="s">
        <v>94</v>
      </c>
      <c r="AA220" t="s">
        <v>94</v>
      </c>
      <c r="AB220" t="s">
        <v>92</v>
      </c>
      <c r="AC220" t="s">
        <v>94</v>
      </c>
      <c r="AD220" t="s">
        <v>92</v>
      </c>
      <c r="AE220" t="s">
        <v>92</v>
      </c>
      <c r="AF220" t="s">
        <v>92</v>
      </c>
      <c r="AG220" t="s">
        <v>94</v>
      </c>
      <c r="AH220" t="s">
        <v>92</v>
      </c>
      <c r="AI220" t="s">
        <v>92</v>
      </c>
      <c r="AJ220" t="s">
        <v>94</v>
      </c>
      <c r="AK220" t="s">
        <v>94</v>
      </c>
      <c r="AL220" t="s">
        <v>92</v>
      </c>
      <c r="AM220" t="s">
        <v>92</v>
      </c>
      <c r="AN220" t="s">
        <v>94</v>
      </c>
      <c r="AO220" t="s">
        <v>92</v>
      </c>
      <c r="AP220" t="s">
        <v>92</v>
      </c>
      <c r="AQ220" t="s">
        <v>94</v>
      </c>
      <c r="AR220" t="s">
        <v>92</v>
      </c>
      <c r="AS220" t="s">
        <v>92</v>
      </c>
      <c r="AT220" t="s">
        <v>94</v>
      </c>
      <c r="AU220" t="s">
        <v>92</v>
      </c>
      <c r="AV220" t="s">
        <v>92</v>
      </c>
      <c r="AW220" t="s">
        <v>92</v>
      </c>
      <c r="AX220" t="s">
        <v>92</v>
      </c>
      <c r="AY220" t="s">
        <v>92</v>
      </c>
      <c r="AZ220" t="s">
        <v>92</v>
      </c>
      <c r="BA220" t="s">
        <v>92</v>
      </c>
      <c r="BB220" t="s">
        <v>92</v>
      </c>
      <c r="BC220" t="s">
        <v>94</v>
      </c>
      <c r="BD220" t="s">
        <v>94</v>
      </c>
      <c r="BE220" t="s">
        <v>92</v>
      </c>
      <c r="BF220" t="s">
        <v>92</v>
      </c>
      <c r="BG220" t="s">
        <v>92</v>
      </c>
      <c r="BH220" t="s">
        <v>92</v>
      </c>
    </row>
    <row r="221" spans="1:60" x14ac:dyDescent="0.3">
      <c r="A221">
        <v>23</v>
      </c>
      <c r="B221" t="s">
        <v>70</v>
      </c>
      <c r="C221" t="s">
        <v>96</v>
      </c>
      <c r="D221" t="s">
        <v>149</v>
      </c>
      <c r="E221" t="s">
        <v>108</v>
      </c>
      <c r="F221" t="s">
        <v>98</v>
      </c>
      <c r="G221" t="s">
        <v>115</v>
      </c>
      <c r="H221" t="s">
        <v>100</v>
      </c>
      <c r="I221" t="s">
        <v>115</v>
      </c>
      <c r="J221" t="s">
        <v>77</v>
      </c>
      <c r="K221" t="s">
        <v>122</v>
      </c>
      <c r="L221" t="s">
        <v>79</v>
      </c>
      <c r="M221" t="s">
        <v>80</v>
      </c>
      <c r="N221" t="s">
        <v>79</v>
      </c>
      <c r="O221" t="s">
        <v>109</v>
      </c>
      <c r="P221" t="s">
        <v>79</v>
      </c>
      <c r="Q221" t="s">
        <v>83</v>
      </c>
      <c r="R221" t="s">
        <v>79</v>
      </c>
      <c r="S221" t="s">
        <v>145</v>
      </c>
      <c r="T221" t="s">
        <v>242</v>
      </c>
      <c r="U221" t="s">
        <v>79</v>
      </c>
      <c r="V221" t="s">
        <v>148</v>
      </c>
      <c r="W221" t="s">
        <v>120</v>
      </c>
      <c r="X221" t="s">
        <v>127</v>
      </c>
      <c r="Y221" t="s">
        <v>94</v>
      </c>
      <c r="Z221" t="s">
        <v>92</v>
      </c>
      <c r="AA221" t="s">
        <v>92</v>
      </c>
      <c r="AB221" t="s">
        <v>92</v>
      </c>
      <c r="AC221" t="s">
        <v>94</v>
      </c>
      <c r="AD221" t="s">
        <v>92</v>
      </c>
      <c r="AE221" t="s">
        <v>92</v>
      </c>
      <c r="AF221" t="s">
        <v>94</v>
      </c>
      <c r="AG221" t="s">
        <v>94</v>
      </c>
      <c r="AH221" t="s">
        <v>92</v>
      </c>
      <c r="AI221" t="s">
        <v>92</v>
      </c>
      <c r="AJ221" t="s">
        <v>94</v>
      </c>
      <c r="AK221" t="s">
        <v>92</v>
      </c>
      <c r="AL221" t="s">
        <v>92</v>
      </c>
      <c r="AM221" t="s">
        <v>94</v>
      </c>
      <c r="AN221" t="s">
        <v>94</v>
      </c>
      <c r="AO221" t="s">
        <v>92</v>
      </c>
      <c r="AP221" t="s">
        <v>92</v>
      </c>
      <c r="AQ221" t="s">
        <v>92</v>
      </c>
      <c r="AR221" t="s">
        <v>94</v>
      </c>
      <c r="AS221" t="s">
        <v>94</v>
      </c>
      <c r="AT221" t="s">
        <v>92</v>
      </c>
      <c r="AU221" t="s">
        <v>94</v>
      </c>
      <c r="AV221" t="s">
        <v>95</v>
      </c>
      <c r="AW221" t="s">
        <v>94</v>
      </c>
      <c r="AX221" t="s">
        <v>94</v>
      </c>
      <c r="AY221" t="s">
        <v>94</v>
      </c>
      <c r="AZ221" t="s">
        <v>94</v>
      </c>
      <c r="BA221" t="s">
        <v>94</v>
      </c>
      <c r="BB221" t="s">
        <v>92</v>
      </c>
      <c r="BC221" t="s">
        <v>92</v>
      </c>
      <c r="BD221" t="s">
        <v>92</v>
      </c>
      <c r="BE221" t="s">
        <v>92</v>
      </c>
      <c r="BF221" t="s">
        <v>94</v>
      </c>
      <c r="BG221" t="s">
        <v>92</v>
      </c>
      <c r="BH221" t="s">
        <v>92</v>
      </c>
    </row>
    <row r="222" spans="1:60" x14ac:dyDescent="0.3">
      <c r="A222">
        <v>22</v>
      </c>
      <c r="B222" t="s">
        <v>70</v>
      </c>
      <c r="C222" t="s">
        <v>96</v>
      </c>
      <c r="D222" t="s">
        <v>149</v>
      </c>
      <c r="E222" t="s">
        <v>108</v>
      </c>
      <c r="F222" t="s">
        <v>98</v>
      </c>
      <c r="G222" t="s">
        <v>135</v>
      </c>
      <c r="H222" t="s">
        <v>165</v>
      </c>
      <c r="I222" t="s">
        <v>75</v>
      </c>
      <c r="J222" t="s">
        <v>77</v>
      </c>
      <c r="K222" t="s">
        <v>122</v>
      </c>
      <c r="L222" t="s">
        <v>79</v>
      </c>
      <c r="M222" t="s">
        <v>80</v>
      </c>
      <c r="N222" t="s">
        <v>82</v>
      </c>
      <c r="O222" t="s">
        <v>81</v>
      </c>
      <c r="P222" t="s">
        <v>79</v>
      </c>
      <c r="Q222" t="s">
        <v>83</v>
      </c>
      <c r="R222" t="s">
        <v>79</v>
      </c>
      <c r="S222" t="s">
        <v>142</v>
      </c>
      <c r="T222" t="s">
        <v>155</v>
      </c>
      <c r="U222" t="s">
        <v>79</v>
      </c>
      <c r="V222" t="s">
        <v>148</v>
      </c>
      <c r="W222" t="s">
        <v>141</v>
      </c>
      <c r="X222" t="s">
        <v>127</v>
      </c>
      <c r="Y222" t="s">
        <v>94</v>
      </c>
      <c r="Z222" t="s">
        <v>92</v>
      </c>
      <c r="AA222" t="s">
        <v>94</v>
      </c>
      <c r="AB222" t="s">
        <v>92</v>
      </c>
      <c r="AC222" t="s">
        <v>92</v>
      </c>
      <c r="AD222" t="s">
        <v>92</v>
      </c>
      <c r="AE222" t="s">
        <v>92</v>
      </c>
      <c r="AF222" t="s">
        <v>94</v>
      </c>
      <c r="AG222" t="s">
        <v>92</v>
      </c>
      <c r="AH222" t="s">
        <v>92</v>
      </c>
      <c r="AI222" t="s">
        <v>94</v>
      </c>
      <c r="AJ222" t="s">
        <v>92</v>
      </c>
      <c r="AK222" t="s">
        <v>92</v>
      </c>
      <c r="AL222" t="s">
        <v>92</v>
      </c>
      <c r="AM222" t="s">
        <v>92</v>
      </c>
      <c r="AN222" t="s">
        <v>94</v>
      </c>
      <c r="AO222" t="s">
        <v>92</v>
      </c>
      <c r="AP222" t="s">
        <v>94</v>
      </c>
      <c r="AQ222" t="s">
        <v>95</v>
      </c>
      <c r="AR222" t="s">
        <v>95</v>
      </c>
      <c r="AS222" t="s">
        <v>94</v>
      </c>
      <c r="AT222" t="s">
        <v>94</v>
      </c>
      <c r="AU222" t="s">
        <v>92</v>
      </c>
      <c r="AV222" t="s">
        <v>94</v>
      </c>
      <c r="AW222" t="s">
        <v>92</v>
      </c>
      <c r="AX222" t="s">
        <v>94</v>
      </c>
      <c r="AY222" t="s">
        <v>92</v>
      </c>
      <c r="AZ222" t="s">
        <v>94</v>
      </c>
      <c r="BA222" t="s">
        <v>94</v>
      </c>
      <c r="BB222" t="s">
        <v>92</v>
      </c>
      <c r="BC222" t="s">
        <v>92</v>
      </c>
      <c r="BD222" t="s">
        <v>92</v>
      </c>
      <c r="BE222" t="s">
        <v>92</v>
      </c>
      <c r="BF222" t="s">
        <v>94</v>
      </c>
      <c r="BG222" t="s">
        <v>94</v>
      </c>
      <c r="BH222" t="s">
        <v>95</v>
      </c>
    </row>
    <row r="223" spans="1:60" x14ac:dyDescent="0.3">
      <c r="A223">
        <v>23</v>
      </c>
      <c r="B223" t="s">
        <v>70</v>
      </c>
      <c r="C223" t="s">
        <v>113</v>
      </c>
      <c r="D223" t="s">
        <v>149</v>
      </c>
      <c r="E223" t="s">
        <v>114</v>
      </c>
      <c r="F223" t="s">
        <v>136</v>
      </c>
      <c r="G223" t="s">
        <v>135</v>
      </c>
      <c r="H223" t="s">
        <v>98</v>
      </c>
      <c r="I223" t="s">
        <v>76</v>
      </c>
      <c r="J223" t="s">
        <v>77</v>
      </c>
      <c r="K223" t="s">
        <v>122</v>
      </c>
      <c r="L223" t="s">
        <v>79</v>
      </c>
      <c r="M223" t="s">
        <v>80</v>
      </c>
      <c r="N223" t="s">
        <v>79</v>
      </c>
      <c r="O223" t="s">
        <v>81</v>
      </c>
      <c r="P223" t="s">
        <v>79</v>
      </c>
      <c r="Q223" t="s">
        <v>83</v>
      </c>
      <c r="R223" t="s">
        <v>79</v>
      </c>
      <c r="S223" t="s">
        <v>145</v>
      </c>
      <c r="T223" t="s">
        <v>186</v>
      </c>
      <c r="U223" t="s">
        <v>79</v>
      </c>
      <c r="V223" t="s">
        <v>148</v>
      </c>
      <c r="W223" t="s">
        <v>120</v>
      </c>
      <c r="X223" t="s">
        <v>112</v>
      </c>
      <c r="Y223" t="s">
        <v>94</v>
      </c>
      <c r="Z223" t="s">
        <v>92</v>
      </c>
      <c r="AA223" t="s">
        <v>94</v>
      </c>
      <c r="AB223" t="s">
        <v>95</v>
      </c>
      <c r="AC223" t="s">
        <v>92</v>
      </c>
      <c r="AD223" t="s">
        <v>94</v>
      </c>
      <c r="AE223" t="s">
        <v>94</v>
      </c>
      <c r="AF223" t="s">
        <v>92</v>
      </c>
      <c r="AG223" t="s">
        <v>94</v>
      </c>
      <c r="AH223" t="s">
        <v>92</v>
      </c>
      <c r="AI223" t="s">
        <v>94</v>
      </c>
      <c r="AJ223" t="s">
        <v>92</v>
      </c>
      <c r="AK223" t="s">
        <v>94</v>
      </c>
      <c r="AL223" t="s">
        <v>92</v>
      </c>
      <c r="AM223" t="s">
        <v>92</v>
      </c>
      <c r="AN223" t="s">
        <v>92</v>
      </c>
      <c r="AO223" t="s">
        <v>92</v>
      </c>
      <c r="AP223" t="s">
        <v>94</v>
      </c>
      <c r="AQ223" t="s">
        <v>94</v>
      </c>
      <c r="AR223" t="s">
        <v>94</v>
      </c>
      <c r="AS223" t="s">
        <v>92</v>
      </c>
      <c r="AT223" t="s">
        <v>92</v>
      </c>
      <c r="AU223" t="s">
        <v>94</v>
      </c>
      <c r="AV223" t="s">
        <v>92</v>
      </c>
      <c r="AW223" t="s">
        <v>92</v>
      </c>
      <c r="AX223" t="s">
        <v>92</v>
      </c>
      <c r="AY223" t="s">
        <v>94</v>
      </c>
      <c r="AZ223" t="s">
        <v>95</v>
      </c>
      <c r="BA223" t="s">
        <v>94</v>
      </c>
      <c r="BB223" t="s">
        <v>92</v>
      </c>
      <c r="BC223" t="s">
        <v>92</v>
      </c>
      <c r="BD223" t="s">
        <v>92</v>
      </c>
      <c r="BE223" t="s">
        <v>94</v>
      </c>
      <c r="BF223" t="s">
        <v>94</v>
      </c>
      <c r="BG223" t="s">
        <v>94</v>
      </c>
      <c r="BH223" t="s">
        <v>94</v>
      </c>
    </row>
    <row r="224" spans="1:60" x14ac:dyDescent="0.3">
      <c r="A224">
        <v>22</v>
      </c>
      <c r="B224" t="s">
        <v>128</v>
      </c>
      <c r="C224" t="s">
        <v>96</v>
      </c>
      <c r="D224" t="s">
        <v>72</v>
      </c>
      <c r="E224" t="s">
        <v>114</v>
      </c>
      <c r="F224" t="s">
        <v>100</v>
      </c>
      <c r="G224" t="s">
        <v>75</v>
      </c>
      <c r="H224" t="s">
        <v>100</v>
      </c>
      <c r="I224" t="s">
        <v>76</v>
      </c>
      <c r="J224" t="s">
        <v>77</v>
      </c>
      <c r="K224" t="s">
        <v>125</v>
      </c>
      <c r="L224" t="s">
        <v>79</v>
      </c>
      <c r="M224" t="s">
        <v>132</v>
      </c>
      <c r="N224" t="s">
        <v>79</v>
      </c>
      <c r="O224" t="s">
        <v>133</v>
      </c>
      <c r="P224" t="s">
        <v>79</v>
      </c>
      <c r="Q224" t="s">
        <v>118</v>
      </c>
      <c r="R224" t="s">
        <v>79</v>
      </c>
      <c r="S224" t="s">
        <v>240</v>
      </c>
      <c r="T224" t="s">
        <v>233</v>
      </c>
      <c r="U224" t="s">
        <v>79</v>
      </c>
      <c r="V224" t="s">
        <v>106</v>
      </c>
      <c r="W224" t="s">
        <v>87</v>
      </c>
      <c r="X224" t="s">
        <v>88</v>
      </c>
      <c r="Y224" t="s">
        <v>94</v>
      </c>
      <c r="Z224" t="s">
        <v>92</v>
      </c>
      <c r="AA224" t="s">
        <v>92</v>
      </c>
      <c r="AB224" t="s">
        <v>92</v>
      </c>
      <c r="AC224" t="s">
        <v>92</v>
      </c>
      <c r="AD224" t="s">
        <v>94</v>
      </c>
      <c r="AE224" t="s">
        <v>94</v>
      </c>
      <c r="AF224" t="s">
        <v>92</v>
      </c>
      <c r="AG224" t="s">
        <v>94</v>
      </c>
      <c r="AH224" t="s">
        <v>94</v>
      </c>
      <c r="AI224" t="s">
        <v>92</v>
      </c>
      <c r="AJ224" t="s">
        <v>92</v>
      </c>
      <c r="AK224" t="s">
        <v>93</v>
      </c>
      <c r="AL224" t="s">
        <v>92</v>
      </c>
      <c r="AM224" t="s">
        <v>92</v>
      </c>
      <c r="AN224" t="s">
        <v>94</v>
      </c>
      <c r="AO224" t="s">
        <v>92</v>
      </c>
      <c r="AP224" t="s">
        <v>92</v>
      </c>
      <c r="AQ224" t="s">
        <v>95</v>
      </c>
      <c r="AR224" t="s">
        <v>94</v>
      </c>
      <c r="AS224" t="s">
        <v>92</v>
      </c>
      <c r="AT224" t="s">
        <v>92</v>
      </c>
      <c r="AU224" t="s">
        <v>92</v>
      </c>
      <c r="AV224" t="s">
        <v>94</v>
      </c>
      <c r="AW224" t="s">
        <v>92</v>
      </c>
      <c r="AX224" t="s">
        <v>94</v>
      </c>
      <c r="AY224" t="s">
        <v>92</v>
      </c>
      <c r="AZ224" t="s">
        <v>94</v>
      </c>
      <c r="BA224" t="s">
        <v>92</v>
      </c>
      <c r="BB224" t="s">
        <v>94</v>
      </c>
      <c r="BC224" t="s">
        <v>94</v>
      </c>
      <c r="BD224" t="s">
        <v>94</v>
      </c>
      <c r="BE224" t="s">
        <v>92</v>
      </c>
      <c r="BF224" t="s">
        <v>92</v>
      </c>
      <c r="BG224" t="s">
        <v>94</v>
      </c>
      <c r="BH224" t="s">
        <v>94</v>
      </c>
    </row>
    <row r="225" spans="1:60" x14ac:dyDescent="0.3">
      <c r="A225">
        <v>23</v>
      </c>
      <c r="B225" t="s">
        <v>70</v>
      </c>
      <c r="C225" t="s">
        <v>113</v>
      </c>
      <c r="D225" t="s">
        <v>97</v>
      </c>
      <c r="E225" t="s">
        <v>114</v>
      </c>
      <c r="F225" t="s">
        <v>100</v>
      </c>
      <c r="G225" t="s">
        <v>135</v>
      </c>
      <c r="H225" t="s">
        <v>98</v>
      </c>
      <c r="I225" t="s">
        <v>76</v>
      </c>
      <c r="J225" t="s">
        <v>77</v>
      </c>
      <c r="K225" t="s">
        <v>122</v>
      </c>
      <c r="L225" t="s">
        <v>79</v>
      </c>
      <c r="M225" t="s">
        <v>80</v>
      </c>
      <c r="N225" t="s">
        <v>79</v>
      </c>
      <c r="O225" t="s">
        <v>138</v>
      </c>
      <c r="P225" t="s">
        <v>79</v>
      </c>
      <c r="Q225" t="s">
        <v>83</v>
      </c>
      <c r="R225" t="s">
        <v>79</v>
      </c>
      <c r="S225" t="s">
        <v>145</v>
      </c>
      <c r="T225" t="s">
        <v>233</v>
      </c>
      <c r="U225" t="s">
        <v>79</v>
      </c>
      <c r="V225" t="s">
        <v>86</v>
      </c>
      <c r="W225" t="s">
        <v>87</v>
      </c>
      <c r="X225" t="s">
        <v>127</v>
      </c>
      <c r="Y225" t="s">
        <v>94</v>
      </c>
      <c r="Z225" t="s">
        <v>92</v>
      </c>
      <c r="AA225" t="s">
        <v>92</v>
      </c>
      <c r="AB225" t="s">
        <v>94</v>
      </c>
      <c r="AC225" t="s">
        <v>94</v>
      </c>
      <c r="AD225" t="s">
        <v>92</v>
      </c>
      <c r="AE225" t="s">
        <v>92</v>
      </c>
      <c r="AF225" t="s">
        <v>94</v>
      </c>
      <c r="AG225" t="s">
        <v>92</v>
      </c>
      <c r="AH225" t="s">
        <v>92</v>
      </c>
      <c r="AI225" t="s">
        <v>94</v>
      </c>
      <c r="AJ225" t="s">
        <v>94</v>
      </c>
      <c r="AK225" t="s">
        <v>93</v>
      </c>
      <c r="AL225" t="s">
        <v>93</v>
      </c>
      <c r="AM225" t="s">
        <v>93</v>
      </c>
      <c r="AN225" t="s">
        <v>94</v>
      </c>
      <c r="AO225" t="s">
        <v>92</v>
      </c>
      <c r="AP225" t="s">
        <v>92</v>
      </c>
      <c r="AQ225" t="s">
        <v>94</v>
      </c>
      <c r="AR225" t="s">
        <v>94</v>
      </c>
      <c r="AS225" t="s">
        <v>92</v>
      </c>
      <c r="AT225" t="s">
        <v>94</v>
      </c>
      <c r="AU225" t="s">
        <v>92</v>
      </c>
      <c r="AV225" t="s">
        <v>94</v>
      </c>
      <c r="AW225" t="s">
        <v>92</v>
      </c>
      <c r="AX225" t="s">
        <v>92</v>
      </c>
      <c r="AY225" t="s">
        <v>92</v>
      </c>
      <c r="AZ225" t="s">
        <v>92</v>
      </c>
      <c r="BA225" t="s">
        <v>92</v>
      </c>
      <c r="BB225" t="s">
        <v>94</v>
      </c>
      <c r="BC225" t="s">
        <v>94</v>
      </c>
      <c r="BD225" t="s">
        <v>92</v>
      </c>
      <c r="BE225" t="s">
        <v>92</v>
      </c>
      <c r="BF225" t="s">
        <v>94</v>
      </c>
      <c r="BG225" t="s">
        <v>94</v>
      </c>
      <c r="BH225" t="s">
        <v>92</v>
      </c>
    </row>
    <row r="226" spans="1:60" x14ac:dyDescent="0.3">
      <c r="A226">
        <v>23</v>
      </c>
      <c r="B226" t="s">
        <v>128</v>
      </c>
      <c r="C226" t="s">
        <v>113</v>
      </c>
      <c r="D226" t="s">
        <v>97</v>
      </c>
      <c r="E226" t="s">
        <v>114</v>
      </c>
      <c r="F226" t="s">
        <v>98</v>
      </c>
      <c r="G226" t="s">
        <v>115</v>
      </c>
      <c r="H226" t="s">
        <v>100</v>
      </c>
      <c r="I226" t="s">
        <v>76</v>
      </c>
      <c r="J226" t="s">
        <v>77</v>
      </c>
      <c r="K226" t="s">
        <v>122</v>
      </c>
      <c r="L226" t="s">
        <v>79</v>
      </c>
      <c r="M226" t="s">
        <v>80</v>
      </c>
      <c r="N226" t="s">
        <v>79</v>
      </c>
      <c r="O226" t="s">
        <v>109</v>
      </c>
      <c r="P226" t="s">
        <v>79</v>
      </c>
      <c r="Q226" t="s">
        <v>83</v>
      </c>
      <c r="R226" t="s">
        <v>79</v>
      </c>
      <c r="S226" t="s">
        <v>145</v>
      </c>
      <c r="T226" t="s">
        <v>233</v>
      </c>
      <c r="U226" t="s">
        <v>79</v>
      </c>
      <c r="V226" t="s">
        <v>86</v>
      </c>
      <c r="W226" t="s">
        <v>87</v>
      </c>
      <c r="X226" t="s">
        <v>127</v>
      </c>
      <c r="Y226" t="s">
        <v>92</v>
      </c>
      <c r="Z226" t="s">
        <v>92</v>
      </c>
      <c r="AA226" t="s">
        <v>92</v>
      </c>
      <c r="AB226" t="s">
        <v>92</v>
      </c>
      <c r="AC226" t="s">
        <v>92</v>
      </c>
      <c r="AD226" t="s">
        <v>93</v>
      </c>
      <c r="AE226" t="s">
        <v>94</v>
      </c>
      <c r="AF226" t="s">
        <v>92</v>
      </c>
      <c r="AG226" t="s">
        <v>92</v>
      </c>
      <c r="AH226" t="s">
        <v>93</v>
      </c>
      <c r="AI226" t="s">
        <v>92</v>
      </c>
      <c r="AJ226" t="s">
        <v>92</v>
      </c>
      <c r="AK226" t="s">
        <v>92</v>
      </c>
      <c r="AL226" t="s">
        <v>92</v>
      </c>
      <c r="AM226" t="s">
        <v>93</v>
      </c>
      <c r="AN226" t="s">
        <v>92</v>
      </c>
      <c r="AO226" t="s">
        <v>94</v>
      </c>
      <c r="AP226" t="s">
        <v>92</v>
      </c>
      <c r="AQ226" t="s">
        <v>92</v>
      </c>
      <c r="AR226" t="s">
        <v>92</v>
      </c>
      <c r="AS226" t="s">
        <v>94</v>
      </c>
      <c r="AT226" t="s">
        <v>92</v>
      </c>
      <c r="AU226" t="s">
        <v>92</v>
      </c>
      <c r="AV226" t="s">
        <v>92</v>
      </c>
      <c r="AW226" t="s">
        <v>92</v>
      </c>
      <c r="AX226" t="s">
        <v>94</v>
      </c>
      <c r="AY226" t="s">
        <v>93</v>
      </c>
      <c r="AZ226" t="s">
        <v>93</v>
      </c>
      <c r="BA226" t="s">
        <v>94</v>
      </c>
      <c r="BB226" t="s">
        <v>92</v>
      </c>
      <c r="BC226" t="s">
        <v>94</v>
      </c>
      <c r="BD226" t="s">
        <v>94</v>
      </c>
      <c r="BE226" t="s">
        <v>94</v>
      </c>
      <c r="BF226" t="s">
        <v>92</v>
      </c>
      <c r="BG226" t="s">
        <v>92</v>
      </c>
      <c r="BH226" t="s">
        <v>92</v>
      </c>
    </row>
    <row r="227" spans="1:60" x14ac:dyDescent="0.3">
      <c r="A227">
        <v>23</v>
      </c>
      <c r="B227" t="s">
        <v>128</v>
      </c>
      <c r="C227" t="s">
        <v>96</v>
      </c>
      <c r="D227" t="s">
        <v>72</v>
      </c>
      <c r="E227" t="s">
        <v>108</v>
      </c>
      <c r="F227" t="s">
        <v>100</v>
      </c>
      <c r="G227" t="s">
        <v>166</v>
      </c>
      <c r="H227" t="s">
        <v>98</v>
      </c>
      <c r="I227" t="s">
        <v>75</v>
      </c>
      <c r="J227" t="s">
        <v>77</v>
      </c>
      <c r="K227" t="s">
        <v>122</v>
      </c>
      <c r="L227" t="s">
        <v>79</v>
      </c>
      <c r="M227" t="s">
        <v>80</v>
      </c>
      <c r="N227" t="s">
        <v>79</v>
      </c>
      <c r="O227" t="s">
        <v>138</v>
      </c>
      <c r="P227" t="s">
        <v>79</v>
      </c>
      <c r="Q227" t="s">
        <v>118</v>
      </c>
      <c r="R227" t="s">
        <v>79</v>
      </c>
      <c r="S227" t="s">
        <v>245</v>
      </c>
      <c r="T227" t="s">
        <v>151</v>
      </c>
      <c r="U227" t="s">
        <v>82</v>
      </c>
      <c r="V227" t="s">
        <v>106</v>
      </c>
      <c r="W227" t="s">
        <v>87</v>
      </c>
      <c r="X227" t="s">
        <v>127</v>
      </c>
      <c r="Y227" t="s">
        <v>94</v>
      </c>
      <c r="Z227" t="s">
        <v>95</v>
      </c>
      <c r="AA227" t="s">
        <v>94</v>
      </c>
      <c r="AB227" t="s">
        <v>92</v>
      </c>
      <c r="AC227" t="s">
        <v>94</v>
      </c>
      <c r="AD227" t="s">
        <v>94</v>
      </c>
      <c r="AE227" t="s">
        <v>92</v>
      </c>
      <c r="AF227" t="s">
        <v>92</v>
      </c>
      <c r="AG227" t="s">
        <v>94</v>
      </c>
      <c r="AH227" t="s">
        <v>94</v>
      </c>
      <c r="AI227" t="s">
        <v>92</v>
      </c>
      <c r="AJ227" t="s">
        <v>92</v>
      </c>
      <c r="AK227" t="s">
        <v>92</v>
      </c>
      <c r="AL227" t="s">
        <v>94</v>
      </c>
      <c r="AM227" t="s">
        <v>94</v>
      </c>
      <c r="AN227" t="s">
        <v>94</v>
      </c>
      <c r="AO227" t="s">
        <v>92</v>
      </c>
      <c r="AP227" t="s">
        <v>92</v>
      </c>
      <c r="AQ227" t="s">
        <v>94</v>
      </c>
      <c r="AR227" t="s">
        <v>92</v>
      </c>
      <c r="AS227" t="s">
        <v>92</v>
      </c>
      <c r="AT227" t="s">
        <v>94</v>
      </c>
      <c r="AU227" t="s">
        <v>92</v>
      </c>
      <c r="AV227" t="s">
        <v>92</v>
      </c>
      <c r="AW227" t="s">
        <v>94</v>
      </c>
      <c r="AX227" t="s">
        <v>94</v>
      </c>
      <c r="AY227" t="s">
        <v>92</v>
      </c>
      <c r="AZ227" t="s">
        <v>94</v>
      </c>
      <c r="BA227" t="s">
        <v>94</v>
      </c>
      <c r="BB227" t="s">
        <v>92</v>
      </c>
      <c r="BC227" t="s">
        <v>92</v>
      </c>
      <c r="BD227" t="s">
        <v>94</v>
      </c>
      <c r="BE227" t="s">
        <v>92</v>
      </c>
      <c r="BF227" t="s">
        <v>92</v>
      </c>
      <c r="BG227" t="s">
        <v>92</v>
      </c>
      <c r="BH227" t="s">
        <v>92</v>
      </c>
    </row>
    <row r="228" spans="1:60" x14ac:dyDescent="0.3">
      <c r="A228">
        <v>23</v>
      </c>
      <c r="B228" t="s">
        <v>70</v>
      </c>
      <c r="C228" t="s">
        <v>96</v>
      </c>
      <c r="D228" t="s">
        <v>72</v>
      </c>
      <c r="E228" t="s">
        <v>108</v>
      </c>
      <c r="F228" t="s">
        <v>98</v>
      </c>
      <c r="G228" t="s">
        <v>135</v>
      </c>
      <c r="H228" t="s">
        <v>136</v>
      </c>
      <c r="I228" t="s">
        <v>76</v>
      </c>
      <c r="J228" t="s">
        <v>77</v>
      </c>
      <c r="K228" t="s">
        <v>122</v>
      </c>
      <c r="L228" t="s">
        <v>79</v>
      </c>
      <c r="M228" t="s">
        <v>80</v>
      </c>
      <c r="N228" t="s">
        <v>79</v>
      </c>
      <c r="O228" t="s">
        <v>138</v>
      </c>
      <c r="P228" t="s">
        <v>79</v>
      </c>
      <c r="Q228" t="s">
        <v>83</v>
      </c>
      <c r="R228" t="s">
        <v>79</v>
      </c>
      <c r="S228" t="s">
        <v>123</v>
      </c>
      <c r="T228" t="s">
        <v>181</v>
      </c>
      <c r="U228" t="s">
        <v>79</v>
      </c>
      <c r="V228" t="s">
        <v>86</v>
      </c>
      <c r="W228" t="s">
        <v>87</v>
      </c>
      <c r="X228" t="s">
        <v>112</v>
      </c>
      <c r="Y228" t="s">
        <v>94</v>
      </c>
      <c r="Z228" t="s">
        <v>92</v>
      </c>
      <c r="AA228" t="s">
        <v>94</v>
      </c>
      <c r="AB228" t="s">
        <v>92</v>
      </c>
      <c r="AC228" t="s">
        <v>94</v>
      </c>
      <c r="AD228" t="s">
        <v>92</v>
      </c>
      <c r="AE228" t="s">
        <v>94</v>
      </c>
      <c r="AF228" t="s">
        <v>92</v>
      </c>
      <c r="AG228" t="s">
        <v>92</v>
      </c>
      <c r="AH228" t="s">
        <v>94</v>
      </c>
      <c r="AI228" t="s">
        <v>92</v>
      </c>
      <c r="AJ228" t="s">
        <v>92</v>
      </c>
      <c r="AK228" t="s">
        <v>94</v>
      </c>
      <c r="AL228" t="s">
        <v>92</v>
      </c>
      <c r="AM228" t="s">
        <v>93</v>
      </c>
      <c r="AN228" t="s">
        <v>94</v>
      </c>
      <c r="AO228" t="s">
        <v>92</v>
      </c>
      <c r="AP228" t="s">
        <v>94</v>
      </c>
      <c r="AQ228" t="s">
        <v>92</v>
      </c>
      <c r="AR228" t="s">
        <v>93</v>
      </c>
      <c r="AS228" t="s">
        <v>92</v>
      </c>
      <c r="AT228" t="s">
        <v>94</v>
      </c>
      <c r="AU228" t="s">
        <v>95</v>
      </c>
      <c r="AV228" t="s">
        <v>94</v>
      </c>
      <c r="AW228" t="s">
        <v>92</v>
      </c>
      <c r="AX228" t="s">
        <v>94</v>
      </c>
      <c r="AY228" t="s">
        <v>95</v>
      </c>
      <c r="AZ228" t="s">
        <v>94</v>
      </c>
      <c r="BA228" t="s">
        <v>94</v>
      </c>
      <c r="BB228" t="s">
        <v>92</v>
      </c>
      <c r="BC228" t="s">
        <v>92</v>
      </c>
      <c r="BD228" t="s">
        <v>94</v>
      </c>
      <c r="BE228" t="s">
        <v>94</v>
      </c>
      <c r="BF228" t="s">
        <v>94</v>
      </c>
      <c r="BG228" t="s">
        <v>92</v>
      </c>
      <c r="BH228" t="s">
        <v>95</v>
      </c>
    </row>
    <row r="229" spans="1:60" x14ac:dyDescent="0.3">
      <c r="A229">
        <v>23</v>
      </c>
      <c r="B229" t="s">
        <v>70</v>
      </c>
      <c r="C229" t="s">
        <v>113</v>
      </c>
      <c r="D229" t="s">
        <v>72</v>
      </c>
      <c r="E229" t="s">
        <v>108</v>
      </c>
      <c r="F229" t="s">
        <v>136</v>
      </c>
      <c r="G229" t="s">
        <v>135</v>
      </c>
      <c r="H229" t="s">
        <v>98</v>
      </c>
      <c r="I229" t="s">
        <v>76</v>
      </c>
      <c r="J229" t="s">
        <v>77</v>
      </c>
      <c r="K229" t="s">
        <v>122</v>
      </c>
      <c r="L229" t="s">
        <v>79</v>
      </c>
      <c r="M229" t="s">
        <v>80</v>
      </c>
      <c r="N229" t="s">
        <v>79</v>
      </c>
      <c r="O229" t="s">
        <v>138</v>
      </c>
      <c r="P229" t="s">
        <v>79</v>
      </c>
      <c r="Q229" t="s">
        <v>83</v>
      </c>
      <c r="R229" t="s">
        <v>79</v>
      </c>
      <c r="S229" t="s">
        <v>137</v>
      </c>
      <c r="T229" t="s">
        <v>242</v>
      </c>
      <c r="U229" t="s">
        <v>79</v>
      </c>
      <c r="V229" t="s">
        <v>148</v>
      </c>
      <c r="W229" t="s">
        <v>87</v>
      </c>
      <c r="X229" t="s">
        <v>127</v>
      </c>
      <c r="Y229" t="s">
        <v>94</v>
      </c>
      <c r="Z229" t="s">
        <v>92</v>
      </c>
      <c r="AA229" t="s">
        <v>92</v>
      </c>
      <c r="AB229" t="s">
        <v>94</v>
      </c>
      <c r="AC229" t="s">
        <v>94</v>
      </c>
      <c r="AD229" t="s">
        <v>95</v>
      </c>
      <c r="AE229" t="s">
        <v>95</v>
      </c>
      <c r="AF229" t="s">
        <v>94</v>
      </c>
      <c r="AG229" t="s">
        <v>92</v>
      </c>
      <c r="AH229" t="s">
        <v>92</v>
      </c>
      <c r="AI229" t="s">
        <v>94</v>
      </c>
      <c r="AJ229" t="s">
        <v>92</v>
      </c>
      <c r="AK229" t="s">
        <v>94</v>
      </c>
      <c r="AL229" t="s">
        <v>94</v>
      </c>
      <c r="AM229" t="s">
        <v>92</v>
      </c>
      <c r="AN229" t="s">
        <v>95</v>
      </c>
      <c r="AO229" t="s">
        <v>94</v>
      </c>
      <c r="AP229" t="s">
        <v>94</v>
      </c>
      <c r="AQ229" t="s">
        <v>92</v>
      </c>
      <c r="AR229" t="s">
        <v>95</v>
      </c>
      <c r="AS229" t="s">
        <v>92</v>
      </c>
      <c r="AT229" t="s">
        <v>92</v>
      </c>
      <c r="AU229" t="s">
        <v>94</v>
      </c>
      <c r="AV229" t="s">
        <v>94</v>
      </c>
      <c r="AW229" t="s">
        <v>92</v>
      </c>
      <c r="AX229" t="s">
        <v>93</v>
      </c>
      <c r="AY229" t="s">
        <v>94</v>
      </c>
      <c r="AZ229" t="s">
        <v>94</v>
      </c>
      <c r="BA229" t="s">
        <v>94</v>
      </c>
      <c r="BB229" t="s">
        <v>94</v>
      </c>
      <c r="BC229" t="s">
        <v>94</v>
      </c>
      <c r="BD229" t="s">
        <v>94</v>
      </c>
      <c r="BE229" t="s">
        <v>92</v>
      </c>
      <c r="BF229" t="s">
        <v>94</v>
      </c>
      <c r="BG229" t="s">
        <v>95</v>
      </c>
      <c r="BH229" t="s">
        <v>94</v>
      </c>
    </row>
    <row r="230" spans="1:60" x14ac:dyDescent="0.3">
      <c r="A230">
        <v>23</v>
      </c>
      <c r="B230" t="s">
        <v>128</v>
      </c>
      <c r="C230" t="s">
        <v>113</v>
      </c>
      <c r="D230" t="s">
        <v>149</v>
      </c>
      <c r="E230" t="s">
        <v>73</v>
      </c>
      <c r="F230" t="s">
        <v>98</v>
      </c>
      <c r="G230" t="s">
        <v>75</v>
      </c>
      <c r="H230" t="s">
        <v>100</v>
      </c>
      <c r="I230" t="s">
        <v>75</v>
      </c>
      <c r="J230" t="s">
        <v>77</v>
      </c>
      <c r="K230" t="s">
        <v>125</v>
      </c>
      <c r="L230" t="s">
        <v>79</v>
      </c>
      <c r="M230" t="s">
        <v>80</v>
      </c>
      <c r="N230" t="s">
        <v>79</v>
      </c>
      <c r="O230" t="s">
        <v>117</v>
      </c>
      <c r="P230" t="s">
        <v>79</v>
      </c>
      <c r="Q230" t="s">
        <v>83</v>
      </c>
      <c r="R230" t="s">
        <v>79</v>
      </c>
      <c r="S230" t="s">
        <v>84</v>
      </c>
      <c r="T230" t="s">
        <v>233</v>
      </c>
      <c r="U230" t="s">
        <v>79</v>
      </c>
      <c r="V230" t="s">
        <v>86</v>
      </c>
      <c r="W230" t="s">
        <v>87</v>
      </c>
      <c r="X230" t="s">
        <v>127</v>
      </c>
      <c r="Y230" t="s">
        <v>94</v>
      </c>
      <c r="Z230" t="s">
        <v>92</v>
      </c>
      <c r="AA230" t="s">
        <v>92</v>
      </c>
      <c r="AB230" t="s">
        <v>94</v>
      </c>
      <c r="AC230" t="s">
        <v>92</v>
      </c>
      <c r="AD230" t="s">
        <v>92</v>
      </c>
      <c r="AE230" t="s">
        <v>94</v>
      </c>
      <c r="AF230" t="s">
        <v>94</v>
      </c>
      <c r="AG230" t="s">
        <v>94</v>
      </c>
      <c r="AH230" t="s">
        <v>92</v>
      </c>
      <c r="AI230" t="s">
        <v>92</v>
      </c>
      <c r="AJ230" t="s">
        <v>92</v>
      </c>
      <c r="AK230" t="s">
        <v>93</v>
      </c>
      <c r="AL230" t="s">
        <v>94</v>
      </c>
      <c r="AM230" t="s">
        <v>92</v>
      </c>
      <c r="AN230" t="s">
        <v>94</v>
      </c>
      <c r="AO230" t="s">
        <v>94</v>
      </c>
      <c r="AP230" t="s">
        <v>94</v>
      </c>
      <c r="AQ230" t="s">
        <v>94</v>
      </c>
      <c r="AR230" t="s">
        <v>94</v>
      </c>
      <c r="AS230" t="s">
        <v>94</v>
      </c>
      <c r="AT230" t="s">
        <v>94</v>
      </c>
      <c r="AU230" t="s">
        <v>94</v>
      </c>
      <c r="AV230" t="s">
        <v>92</v>
      </c>
      <c r="AW230" t="s">
        <v>92</v>
      </c>
      <c r="AX230" t="s">
        <v>94</v>
      </c>
      <c r="AY230" t="s">
        <v>94</v>
      </c>
      <c r="AZ230" t="s">
        <v>94</v>
      </c>
      <c r="BA230" t="s">
        <v>92</v>
      </c>
      <c r="BB230" t="s">
        <v>92</v>
      </c>
      <c r="BC230" t="s">
        <v>94</v>
      </c>
      <c r="BD230" t="s">
        <v>94</v>
      </c>
      <c r="BE230" t="s">
        <v>94</v>
      </c>
      <c r="BF230" t="s">
        <v>94</v>
      </c>
      <c r="BG230" t="s">
        <v>92</v>
      </c>
      <c r="BH230" t="s">
        <v>92</v>
      </c>
    </row>
    <row r="231" spans="1:60" x14ac:dyDescent="0.3">
      <c r="A231">
        <v>24</v>
      </c>
      <c r="B231" t="s">
        <v>70</v>
      </c>
      <c r="C231" t="s">
        <v>96</v>
      </c>
      <c r="D231" t="s">
        <v>149</v>
      </c>
      <c r="E231" t="s">
        <v>73</v>
      </c>
      <c r="F231" t="s">
        <v>98</v>
      </c>
      <c r="G231" t="s">
        <v>115</v>
      </c>
      <c r="H231" t="s">
        <v>100</v>
      </c>
      <c r="I231" t="s">
        <v>115</v>
      </c>
      <c r="J231" t="s">
        <v>77</v>
      </c>
      <c r="K231" t="s">
        <v>122</v>
      </c>
      <c r="L231" t="s">
        <v>79</v>
      </c>
      <c r="M231" t="s">
        <v>132</v>
      </c>
      <c r="N231" t="s">
        <v>79</v>
      </c>
      <c r="O231" t="s">
        <v>109</v>
      </c>
      <c r="P231" t="s">
        <v>79</v>
      </c>
      <c r="Q231" t="s">
        <v>103</v>
      </c>
      <c r="R231" t="s">
        <v>79</v>
      </c>
      <c r="S231" t="s">
        <v>145</v>
      </c>
      <c r="T231" t="s">
        <v>159</v>
      </c>
      <c r="U231" t="s">
        <v>79</v>
      </c>
      <c r="V231" t="s">
        <v>86</v>
      </c>
      <c r="W231" t="s">
        <v>120</v>
      </c>
      <c r="X231" t="s">
        <v>112</v>
      </c>
      <c r="Y231" t="s">
        <v>94</v>
      </c>
      <c r="Z231" t="s">
        <v>92</v>
      </c>
      <c r="AA231" t="s">
        <v>92</v>
      </c>
      <c r="AB231" t="s">
        <v>92</v>
      </c>
      <c r="AC231" t="s">
        <v>94</v>
      </c>
      <c r="AD231" t="s">
        <v>94</v>
      </c>
      <c r="AE231" t="s">
        <v>92</v>
      </c>
      <c r="AF231" t="s">
        <v>92</v>
      </c>
      <c r="AG231" t="s">
        <v>92</v>
      </c>
      <c r="AH231" t="s">
        <v>94</v>
      </c>
      <c r="AI231" t="s">
        <v>94</v>
      </c>
      <c r="AJ231" t="s">
        <v>92</v>
      </c>
      <c r="AK231" t="s">
        <v>92</v>
      </c>
      <c r="AL231" t="s">
        <v>92</v>
      </c>
      <c r="AM231" t="s">
        <v>94</v>
      </c>
      <c r="AN231" t="s">
        <v>94</v>
      </c>
      <c r="AO231" t="s">
        <v>92</v>
      </c>
      <c r="AP231" t="s">
        <v>92</v>
      </c>
      <c r="AQ231" t="s">
        <v>92</v>
      </c>
      <c r="AR231" t="s">
        <v>94</v>
      </c>
      <c r="AS231" t="s">
        <v>94</v>
      </c>
      <c r="AT231" t="s">
        <v>92</v>
      </c>
      <c r="AU231" t="s">
        <v>94</v>
      </c>
      <c r="AV231" t="s">
        <v>92</v>
      </c>
      <c r="AW231" t="s">
        <v>92</v>
      </c>
      <c r="AX231" t="s">
        <v>92</v>
      </c>
      <c r="AY231" t="s">
        <v>94</v>
      </c>
      <c r="AZ231" t="s">
        <v>94</v>
      </c>
      <c r="BA231" t="s">
        <v>94</v>
      </c>
      <c r="BB231" t="s">
        <v>92</v>
      </c>
      <c r="BC231" t="s">
        <v>92</v>
      </c>
      <c r="BD231" t="s">
        <v>92</v>
      </c>
      <c r="BE231" t="s">
        <v>92</v>
      </c>
      <c r="BF231" t="s">
        <v>94</v>
      </c>
      <c r="BG231" t="s">
        <v>94</v>
      </c>
      <c r="BH231" t="s">
        <v>92</v>
      </c>
    </row>
    <row r="232" spans="1:60" x14ac:dyDescent="0.3">
      <c r="A232">
        <v>24</v>
      </c>
      <c r="B232" t="s">
        <v>128</v>
      </c>
      <c r="C232" t="s">
        <v>113</v>
      </c>
      <c r="D232" t="s">
        <v>149</v>
      </c>
      <c r="E232" t="s">
        <v>73</v>
      </c>
      <c r="F232" t="s">
        <v>98</v>
      </c>
      <c r="G232" t="s">
        <v>115</v>
      </c>
      <c r="H232" t="s">
        <v>100</v>
      </c>
      <c r="I232" t="s">
        <v>75</v>
      </c>
      <c r="J232" t="s">
        <v>77</v>
      </c>
      <c r="K232" t="s">
        <v>122</v>
      </c>
      <c r="L232" t="s">
        <v>79</v>
      </c>
      <c r="M232" t="s">
        <v>80</v>
      </c>
      <c r="N232" t="s">
        <v>79</v>
      </c>
      <c r="O232" t="s">
        <v>138</v>
      </c>
      <c r="P232" t="s">
        <v>79</v>
      </c>
      <c r="Q232" t="s">
        <v>118</v>
      </c>
      <c r="R232" t="s">
        <v>79</v>
      </c>
      <c r="S232" t="s">
        <v>145</v>
      </c>
      <c r="T232" t="s">
        <v>233</v>
      </c>
      <c r="U232" t="s">
        <v>79</v>
      </c>
      <c r="V232" t="s">
        <v>86</v>
      </c>
      <c r="W232" t="s">
        <v>141</v>
      </c>
      <c r="X232" t="s">
        <v>160</v>
      </c>
      <c r="Y232" t="s">
        <v>92</v>
      </c>
      <c r="Z232" t="s">
        <v>94</v>
      </c>
      <c r="AA232" t="s">
        <v>94</v>
      </c>
      <c r="AB232" t="s">
        <v>92</v>
      </c>
      <c r="AC232" t="s">
        <v>94</v>
      </c>
      <c r="AD232" t="s">
        <v>94</v>
      </c>
      <c r="AE232" t="s">
        <v>94</v>
      </c>
      <c r="AF232" t="s">
        <v>92</v>
      </c>
      <c r="AG232" t="s">
        <v>92</v>
      </c>
      <c r="AH232" t="s">
        <v>94</v>
      </c>
      <c r="AI232" t="s">
        <v>92</v>
      </c>
      <c r="AJ232" t="s">
        <v>92</v>
      </c>
      <c r="AK232" t="s">
        <v>94</v>
      </c>
      <c r="AL232" t="s">
        <v>94</v>
      </c>
      <c r="AM232" t="s">
        <v>94</v>
      </c>
      <c r="AN232" t="s">
        <v>94</v>
      </c>
      <c r="AO232" t="s">
        <v>92</v>
      </c>
      <c r="AP232" t="s">
        <v>94</v>
      </c>
      <c r="AQ232" t="s">
        <v>94</v>
      </c>
      <c r="AR232" t="s">
        <v>94</v>
      </c>
      <c r="AS232" t="s">
        <v>94</v>
      </c>
      <c r="AT232" t="s">
        <v>94</v>
      </c>
      <c r="AU232" t="s">
        <v>92</v>
      </c>
      <c r="AV232" t="s">
        <v>94</v>
      </c>
      <c r="AW232" t="s">
        <v>94</v>
      </c>
      <c r="AX232" t="s">
        <v>94</v>
      </c>
      <c r="AY232" t="s">
        <v>94</v>
      </c>
      <c r="AZ232" t="s">
        <v>92</v>
      </c>
      <c r="BA232" t="s">
        <v>94</v>
      </c>
      <c r="BB232" t="s">
        <v>92</v>
      </c>
      <c r="BC232" t="s">
        <v>92</v>
      </c>
      <c r="BD232" t="s">
        <v>94</v>
      </c>
      <c r="BE232" t="s">
        <v>94</v>
      </c>
      <c r="BF232" t="s">
        <v>94</v>
      </c>
      <c r="BG232" t="s">
        <v>94</v>
      </c>
      <c r="BH232" t="s">
        <v>92</v>
      </c>
    </row>
    <row r="233" spans="1:60" x14ac:dyDescent="0.3">
      <c r="A233">
        <v>23</v>
      </c>
      <c r="B233" t="s">
        <v>70</v>
      </c>
      <c r="C233" t="s">
        <v>113</v>
      </c>
      <c r="D233" t="s">
        <v>97</v>
      </c>
      <c r="E233" t="s">
        <v>108</v>
      </c>
      <c r="F233" t="s">
        <v>98</v>
      </c>
      <c r="G233" t="s">
        <v>135</v>
      </c>
      <c r="H233" t="s">
        <v>100</v>
      </c>
      <c r="I233" t="s">
        <v>76</v>
      </c>
      <c r="J233" t="s">
        <v>77</v>
      </c>
      <c r="K233" t="s">
        <v>122</v>
      </c>
      <c r="L233" t="s">
        <v>79</v>
      </c>
      <c r="M233" t="s">
        <v>80</v>
      </c>
      <c r="N233" t="s">
        <v>79</v>
      </c>
      <c r="O233" t="s">
        <v>109</v>
      </c>
      <c r="P233" t="s">
        <v>79</v>
      </c>
      <c r="Q233" t="s">
        <v>83</v>
      </c>
      <c r="R233" t="s">
        <v>79</v>
      </c>
      <c r="S233" t="s">
        <v>145</v>
      </c>
      <c r="T233" t="s">
        <v>242</v>
      </c>
      <c r="U233" t="s">
        <v>79</v>
      </c>
      <c r="V233" t="s">
        <v>86</v>
      </c>
      <c r="W233" t="s">
        <v>120</v>
      </c>
      <c r="X233" t="s">
        <v>127</v>
      </c>
      <c r="Y233" t="s">
        <v>92</v>
      </c>
      <c r="Z233" t="s">
        <v>94</v>
      </c>
      <c r="AA233" t="s">
        <v>94</v>
      </c>
      <c r="AB233" t="s">
        <v>94</v>
      </c>
      <c r="AC233" t="s">
        <v>92</v>
      </c>
      <c r="AD233" t="s">
        <v>92</v>
      </c>
      <c r="AE233" t="s">
        <v>94</v>
      </c>
      <c r="AF233" t="s">
        <v>94</v>
      </c>
      <c r="AG233" t="s">
        <v>94</v>
      </c>
      <c r="AH233" t="s">
        <v>92</v>
      </c>
      <c r="AI233" t="s">
        <v>92</v>
      </c>
      <c r="AJ233" t="s">
        <v>92</v>
      </c>
      <c r="AK233" t="s">
        <v>92</v>
      </c>
      <c r="AL233" t="s">
        <v>92</v>
      </c>
      <c r="AM233" t="s">
        <v>94</v>
      </c>
      <c r="AN233" t="s">
        <v>94</v>
      </c>
      <c r="AO233" t="s">
        <v>92</v>
      </c>
      <c r="AP233" t="s">
        <v>92</v>
      </c>
      <c r="AQ233" t="s">
        <v>94</v>
      </c>
      <c r="AR233" t="s">
        <v>92</v>
      </c>
      <c r="AS233" t="s">
        <v>92</v>
      </c>
      <c r="AT233" t="s">
        <v>94</v>
      </c>
      <c r="AU233" t="s">
        <v>92</v>
      </c>
      <c r="AV233" t="s">
        <v>92</v>
      </c>
      <c r="AW233" t="s">
        <v>92</v>
      </c>
      <c r="AX233" t="s">
        <v>94</v>
      </c>
      <c r="AY233" t="s">
        <v>92</v>
      </c>
      <c r="AZ233" t="s">
        <v>94</v>
      </c>
      <c r="BA233" t="s">
        <v>94</v>
      </c>
      <c r="BB233" t="s">
        <v>92</v>
      </c>
      <c r="BC233" t="s">
        <v>92</v>
      </c>
      <c r="BD233" t="s">
        <v>92</v>
      </c>
      <c r="BE233" t="s">
        <v>94</v>
      </c>
      <c r="BF233" t="s">
        <v>94</v>
      </c>
      <c r="BG233" t="s">
        <v>92</v>
      </c>
      <c r="BH233" t="s">
        <v>92</v>
      </c>
    </row>
    <row r="234" spans="1:60" x14ac:dyDescent="0.3">
      <c r="A234">
        <v>24</v>
      </c>
      <c r="B234" t="s">
        <v>70</v>
      </c>
      <c r="C234" t="s">
        <v>113</v>
      </c>
      <c r="D234" t="s">
        <v>72</v>
      </c>
      <c r="E234" t="s">
        <v>114</v>
      </c>
      <c r="F234" t="s">
        <v>98</v>
      </c>
      <c r="G234" t="s">
        <v>75</v>
      </c>
      <c r="H234" t="s">
        <v>100</v>
      </c>
      <c r="I234" t="s">
        <v>166</v>
      </c>
      <c r="J234" t="s">
        <v>77</v>
      </c>
      <c r="K234" t="s">
        <v>125</v>
      </c>
      <c r="L234" t="s">
        <v>79</v>
      </c>
      <c r="M234" t="s">
        <v>132</v>
      </c>
      <c r="N234" t="s">
        <v>79</v>
      </c>
      <c r="O234" t="s">
        <v>109</v>
      </c>
      <c r="P234" t="s">
        <v>79</v>
      </c>
      <c r="Q234" t="s">
        <v>118</v>
      </c>
      <c r="R234" t="s">
        <v>79</v>
      </c>
      <c r="S234" t="s">
        <v>145</v>
      </c>
      <c r="T234" t="s">
        <v>167</v>
      </c>
      <c r="U234" t="s">
        <v>79</v>
      </c>
      <c r="V234" t="s">
        <v>106</v>
      </c>
      <c r="W234" t="s">
        <v>141</v>
      </c>
      <c r="X234" t="s">
        <v>127</v>
      </c>
      <c r="Y234" t="s">
        <v>94</v>
      </c>
      <c r="Z234" t="s">
        <v>94</v>
      </c>
      <c r="AA234" t="s">
        <v>92</v>
      </c>
      <c r="AB234" t="s">
        <v>92</v>
      </c>
      <c r="AC234" t="s">
        <v>94</v>
      </c>
      <c r="AD234" t="s">
        <v>94</v>
      </c>
      <c r="AE234" t="s">
        <v>94</v>
      </c>
      <c r="AF234" t="s">
        <v>93</v>
      </c>
      <c r="AG234" t="s">
        <v>93</v>
      </c>
      <c r="AH234" t="s">
        <v>94</v>
      </c>
      <c r="AI234" t="s">
        <v>94</v>
      </c>
      <c r="AJ234" t="s">
        <v>94</v>
      </c>
      <c r="AK234" t="s">
        <v>94</v>
      </c>
      <c r="AL234" t="s">
        <v>92</v>
      </c>
      <c r="AM234" t="s">
        <v>92</v>
      </c>
      <c r="AN234" t="s">
        <v>94</v>
      </c>
      <c r="AO234" t="s">
        <v>94</v>
      </c>
      <c r="AP234" t="s">
        <v>92</v>
      </c>
      <c r="AQ234" t="s">
        <v>92</v>
      </c>
      <c r="AR234" t="s">
        <v>92</v>
      </c>
      <c r="AS234" t="s">
        <v>92</v>
      </c>
      <c r="AT234" t="s">
        <v>94</v>
      </c>
      <c r="AU234" t="s">
        <v>94</v>
      </c>
      <c r="AV234" t="s">
        <v>94</v>
      </c>
      <c r="AW234" t="s">
        <v>94</v>
      </c>
      <c r="AX234" t="s">
        <v>94</v>
      </c>
      <c r="AY234" t="s">
        <v>92</v>
      </c>
      <c r="AZ234" t="s">
        <v>92</v>
      </c>
      <c r="BA234" t="s">
        <v>95</v>
      </c>
      <c r="BB234" t="s">
        <v>94</v>
      </c>
      <c r="BC234" t="s">
        <v>92</v>
      </c>
      <c r="BD234" t="s">
        <v>94</v>
      </c>
      <c r="BE234" t="s">
        <v>94</v>
      </c>
      <c r="BF234" t="s">
        <v>94</v>
      </c>
      <c r="BG234" t="s">
        <v>94</v>
      </c>
      <c r="BH234" t="s">
        <v>94</v>
      </c>
    </row>
    <row r="235" spans="1:60" x14ac:dyDescent="0.3">
      <c r="A235">
        <v>22</v>
      </c>
      <c r="B235" t="s">
        <v>70</v>
      </c>
      <c r="C235" t="s">
        <v>96</v>
      </c>
      <c r="D235" t="s">
        <v>72</v>
      </c>
      <c r="E235" t="s">
        <v>73</v>
      </c>
      <c r="F235" t="s">
        <v>100</v>
      </c>
      <c r="G235" t="s">
        <v>75</v>
      </c>
      <c r="H235" t="s">
        <v>100</v>
      </c>
      <c r="I235" t="s">
        <v>75</v>
      </c>
      <c r="J235" t="s">
        <v>77</v>
      </c>
      <c r="K235" t="s">
        <v>122</v>
      </c>
      <c r="L235" t="s">
        <v>79</v>
      </c>
      <c r="M235" t="s">
        <v>80</v>
      </c>
      <c r="N235" t="s">
        <v>79</v>
      </c>
      <c r="O235" t="s">
        <v>138</v>
      </c>
      <c r="P235" t="s">
        <v>79</v>
      </c>
      <c r="Q235" t="s">
        <v>83</v>
      </c>
      <c r="R235" t="s">
        <v>79</v>
      </c>
      <c r="S235" t="s">
        <v>246</v>
      </c>
      <c r="T235" t="s">
        <v>242</v>
      </c>
      <c r="U235" t="s">
        <v>79</v>
      </c>
      <c r="V235" t="s">
        <v>106</v>
      </c>
      <c r="W235" t="s">
        <v>87</v>
      </c>
      <c r="X235" t="s">
        <v>112</v>
      </c>
      <c r="Y235" t="s">
        <v>94</v>
      </c>
      <c r="Z235" t="s">
        <v>92</v>
      </c>
      <c r="AA235" t="s">
        <v>92</v>
      </c>
      <c r="AB235" t="s">
        <v>94</v>
      </c>
      <c r="AC235" t="s">
        <v>94</v>
      </c>
      <c r="AD235" t="s">
        <v>94</v>
      </c>
      <c r="AE235" t="s">
        <v>94</v>
      </c>
      <c r="AF235" t="s">
        <v>92</v>
      </c>
      <c r="AG235" t="s">
        <v>92</v>
      </c>
      <c r="AH235" t="s">
        <v>94</v>
      </c>
      <c r="AI235" t="s">
        <v>94</v>
      </c>
      <c r="AJ235" t="s">
        <v>94</v>
      </c>
      <c r="AK235" t="s">
        <v>94</v>
      </c>
      <c r="AL235" t="s">
        <v>95</v>
      </c>
      <c r="AM235" t="s">
        <v>94</v>
      </c>
      <c r="AN235" t="s">
        <v>94</v>
      </c>
      <c r="AO235" t="s">
        <v>92</v>
      </c>
      <c r="AP235" t="s">
        <v>94</v>
      </c>
      <c r="AQ235" t="s">
        <v>95</v>
      </c>
      <c r="AR235" t="s">
        <v>95</v>
      </c>
      <c r="AS235" t="s">
        <v>95</v>
      </c>
      <c r="AT235" t="s">
        <v>95</v>
      </c>
      <c r="AU235" t="s">
        <v>94</v>
      </c>
      <c r="AV235" t="s">
        <v>94</v>
      </c>
      <c r="AW235" t="s">
        <v>94</v>
      </c>
      <c r="AX235" t="s">
        <v>94</v>
      </c>
      <c r="AY235" t="s">
        <v>94</v>
      </c>
      <c r="AZ235" t="s">
        <v>92</v>
      </c>
      <c r="BA235" t="s">
        <v>94</v>
      </c>
      <c r="BB235" t="s">
        <v>92</v>
      </c>
      <c r="BC235" t="s">
        <v>92</v>
      </c>
      <c r="BD235" t="s">
        <v>92</v>
      </c>
      <c r="BE235" t="s">
        <v>92</v>
      </c>
      <c r="BF235" t="s">
        <v>94</v>
      </c>
      <c r="BG235" t="s">
        <v>95</v>
      </c>
      <c r="BH235" t="s">
        <v>95</v>
      </c>
    </row>
    <row r="236" spans="1:60" x14ac:dyDescent="0.3">
      <c r="A236">
        <v>23</v>
      </c>
      <c r="B236" t="s">
        <v>70</v>
      </c>
      <c r="C236" t="s">
        <v>113</v>
      </c>
      <c r="D236" t="s">
        <v>72</v>
      </c>
      <c r="E236" t="s">
        <v>108</v>
      </c>
      <c r="F236" t="s">
        <v>136</v>
      </c>
      <c r="G236" t="s">
        <v>75</v>
      </c>
      <c r="H236" t="s">
        <v>98</v>
      </c>
      <c r="I236" t="s">
        <v>76</v>
      </c>
      <c r="J236" t="s">
        <v>77</v>
      </c>
      <c r="K236" t="s">
        <v>122</v>
      </c>
      <c r="L236" t="s">
        <v>79</v>
      </c>
      <c r="M236" t="s">
        <v>80</v>
      </c>
      <c r="N236" t="s">
        <v>79</v>
      </c>
      <c r="O236" t="s">
        <v>138</v>
      </c>
      <c r="P236" t="s">
        <v>79</v>
      </c>
      <c r="Q236" t="s">
        <v>118</v>
      </c>
      <c r="R236" t="s">
        <v>79</v>
      </c>
      <c r="S236" t="s">
        <v>145</v>
      </c>
      <c r="T236" t="s">
        <v>190</v>
      </c>
      <c r="U236" t="s">
        <v>79</v>
      </c>
      <c r="V236" t="s">
        <v>106</v>
      </c>
      <c r="W236" t="s">
        <v>87</v>
      </c>
      <c r="X236" t="s">
        <v>112</v>
      </c>
      <c r="Y236" t="s">
        <v>94</v>
      </c>
      <c r="Z236" t="s">
        <v>92</v>
      </c>
      <c r="AA236" t="s">
        <v>92</v>
      </c>
      <c r="AB236" t="s">
        <v>92</v>
      </c>
      <c r="AC236" t="s">
        <v>94</v>
      </c>
      <c r="AD236" t="s">
        <v>94</v>
      </c>
      <c r="AE236" t="s">
        <v>92</v>
      </c>
      <c r="AF236" t="s">
        <v>92</v>
      </c>
      <c r="AG236" t="s">
        <v>92</v>
      </c>
      <c r="AH236" t="s">
        <v>92</v>
      </c>
      <c r="AI236" t="s">
        <v>94</v>
      </c>
      <c r="AJ236" t="s">
        <v>94</v>
      </c>
      <c r="AK236" t="s">
        <v>94</v>
      </c>
      <c r="AL236" t="s">
        <v>92</v>
      </c>
      <c r="AM236" t="s">
        <v>92</v>
      </c>
      <c r="AN236" t="s">
        <v>92</v>
      </c>
      <c r="AO236" t="s">
        <v>92</v>
      </c>
      <c r="AP236" t="s">
        <v>94</v>
      </c>
      <c r="AQ236" t="s">
        <v>94</v>
      </c>
      <c r="AR236" t="s">
        <v>92</v>
      </c>
      <c r="AS236" t="s">
        <v>92</v>
      </c>
      <c r="AT236" t="s">
        <v>92</v>
      </c>
      <c r="AU236" t="s">
        <v>94</v>
      </c>
      <c r="AV236" t="s">
        <v>94</v>
      </c>
      <c r="AW236" t="s">
        <v>94</v>
      </c>
      <c r="AX236" t="s">
        <v>92</v>
      </c>
      <c r="AY236" t="s">
        <v>94</v>
      </c>
      <c r="AZ236" t="s">
        <v>92</v>
      </c>
      <c r="BA236" t="s">
        <v>94</v>
      </c>
      <c r="BB236" t="s">
        <v>92</v>
      </c>
      <c r="BC236" t="s">
        <v>92</v>
      </c>
      <c r="BD236" t="s">
        <v>94</v>
      </c>
      <c r="BE236" t="s">
        <v>94</v>
      </c>
      <c r="BF236" t="s">
        <v>94</v>
      </c>
      <c r="BG236" t="s">
        <v>94</v>
      </c>
      <c r="BH236" t="s">
        <v>92</v>
      </c>
    </row>
    <row r="237" spans="1:60" x14ac:dyDescent="0.3">
      <c r="A237">
        <v>23</v>
      </c>
      <c r="B237" t="s">
        <v>70</v>
      </c>
      <c r="C237" t="s">
        <v>96</v>
      </c>
      <c r="D237" t="s">
        <v>72</v>
      </c>
      <c r="E237" t="s">
        <v>108</v>
      </c>
      <c r="F237" t="s">
        <v>100</v>
      </c>
      <c r="G237" t="s">
        <v>135</v>
      </c>
      <c r="H237" t="s">
        <v>100</v>
      </c>
      <c r="I237" t="s">
        <v>76</v>
      </c>
      <c r="J237" t="s">
        <v>77</v>
      </c>
      <c r="K237" t="s">
        <v>122</v>
      </c>
      <c r="L237" t="s">
        <v>79</v>
      </c>
      <c r="M237" t="s">
        <v>80</v>
      </c>
      <c r="N237" t="s">
        <v>79</v>
      </c>
      <c r="O237" t="s">
        <v>138</v>
      </c>
      <c r="P237" t="s">
        <v>79</v>
      </c>
      <c r="Q237" t="s">
        <v>83</v>
      </c>
      <c r="R237" t="s">
        <v>79</v>
      </c>
      <c r="S237" t="s">
        <v>246</v>
      </c>
      <c r="T237" t="s">
        <v>152</v>
      </c>
      <c r="U237" t="s">
        <v>79</v>
      </c>
      <c r="V237" t="s">
        <v>86</v>
      </c>
      <c r="W237" t="s">
        <v>120</v>
      </c>
      <c r="X237" t="s">
        <v>127</v>
      </c>
      <c r="Y237" t="s">
        <v>92</v>
      </c>
      <c r="Z237" t="s">
        <v>92</v>
      </c>
      <c r="AA237" t="s">
        <v>92</v>
      </c>
      <c r="AB237" t="s">
        <v>92</v>
      </c>
      <c r="AC237" t="s">
        <v>93</v>
      </c>
      <c r="AD237" t="s">
        <v>93</v>
      </c>
      <c r="AE237" t="s">
        <v>93</v>
      </c>
      <c r="AF237" t="s">
        <v>93</v>
      </c>
      <c r="AG237" t="s">
        <v>92</v>
      </c>
      <c r="AH237" t="s">
        <v>92</v>
      </c>
      <c r="AI237" t="s">
        <v>92</v>
      </c>
      <c r="AJ237" t="s">
        <v>92</v>
      </c>
      <c r="AK237" t="s">
        <v>92</v>
      </c>
      <c r="AL237" t="s">
        <v>92</v>
      </c>
      <c r="AM237" t="s">
        <v>93</v>
      </c>
      <c r="AN237" t="s">
        <v>92</v>
      </c>
      <c r="AO237" t="s">
        <v>95</v>
      </c>
      <c r="AP237" t="s">
        <v>95</v>
      </c>
      <c r="AQ237" t="s">
        <v>92</v>
      </c>
      <c r="AR237" t="s">
        <v>92</v>
      </c>
      <c r="AS237" t="s">
        <v>94</v>
      </c>
      <c r="AT237" t="s">
        <v>94</v>
      </c>
      <c r="AU237" t="s">
        <v>94</v>
      </c>
      <c r="AV237" t="s">
        <v>92</v>
      </c>
      <c r="AW237" t="s">
        <v>92</v>
      </c>
      <c r="AX237" t="s">
        <v>92</v>
      </c>
      <c r="AY237" t="s">
        <v>94</v>
      </c>
      <c r="AZ237" t="s">
        <v>94</v>
      </c>
      <c r="BA237" t="s">
        <v>94</v>
      </c>
      <c r="BB237" t="s">
        <v>92</v>
      </c>
      <c r="BC237" t="s">
        <v>92</v>
      </c>
      <c r="BD237" t="s">
        <v>94</v>
      </c>
      <c r="BE237" t="s">
        <v>94</v>
      </c>
      <c r="BF237" t="s">
        <v>94</v>
      </c>
      <c r="BG237" t="s">
        <v>94</v>
      </c>
      <c r="BH237" t="s">
        <v>92</v>
      </c>
    </row>
    <row r="238" spans="1:60" x14ac:dyDescent="0.3">
      <c r="A238">
        <v>24</v>
      </c>
      <c r="B238" t="s">
        <v>128</v>
      </c>
      <c r="C238" t="s">
        <v>113</v>
      </c>
      <c r="D238" t="s">
        <v>149</v>
      </c>
      <c r="E238" t="s">
        <v>73</v>
      </c>
      <c r="F238" t="s">
        <v>98</v>
      </c>
      <c r="G238" t="s">
        <v>75</v>
      </c>
      <c r="H238" t="s">
        <v>98</v>
      </c>
      <c r="I238" t="s">
        <v>166</v>
      </c>
      <c r="J238" t="s">
        <v>77</v>
      </c>
      <c r="K238" t="s">
        <v>122</v>
      </c>
      <c r="L238" t="s">
        <v>79</v>
      </c>
      <c r="M238" t="s">
        <v>80</v>
      </c>
      <c r="N238" t="s">
        <v>79</v>
      </c>
      <c r="O238" t="s">
        <v>138</v>
      </c>
      <c r="P238" t="s">
        <v>79</v>
      </c>
      <c r="Q238" t="s">
        <v>118</v>
      </c>
      <c r="R238" t="s">
        <v>79</v>
      </c>
      <c r="S238" t="s">
        <v>240</v>
      </c>
      <c r="T238" t="s">
        <v>247</v>
      </c>
      <c r="U238" t="s">
        <v>79</v>
      </c>
      <c r="V238" t="s">
        <v>86</v>
      </c>
      <c r="W238" t="s">
        <v>141</v>
      </c>
      <c r="X238" t="s">
        <v>127</v>
      </c>
      <c r="Y238" t="s">
        <v>94</v>
      </c>
      <c r="Z238" t="s">
        <v>92</v>
      </c>
      <c r="AA238" t="s">
        <v>92</v>
      </c>
      <c r="AB238" t="s">
        <v>94</v>
      </c>
      <c r="AC238" t="s">
        <v>92</v>
      </c>
      <c r="AD238" t="s">
        <v>92</v>
      </c>
      <c r="AE238" t="s">
        <v>92</v>
      </c>
      <c r="AF238" t="s">
        <v>92</v>
      </c>
      <c r="AG238" t="s">
        <v>94</v>
      </c>
      <c r="AH238" t="s">
        <v>94</v>
      </c>
      <c r="AI238" t="s">
        <v>94</v>
      </c>
      <c r="AJ238" t="s">
        <v>92</v>
      </c>
      <c r="AK238" t="s">
        <v>92</v>
      </c>
      <c r="AL238" t="s">
        <v>92</v>
      </c>
      <c r="AM238" t="s">
        <v>94</v>
      </c>
      <c r="AN238" t="s">
        <v>94</v>
      </c>
      <c r="AO238" t="s">
        <v>92</v>
      </c>
      <c r="AP238" t="s">
        <v>92</v>
      </c>
      <c r="AQ238" t="s">
        <v>94</v>
      </c>
      <c r="AR238" t="s">
        <v>94</v>
      </c>
      <c r="AS238" t="s">
        <v>94</v>
      </c>
      <c r="AT238" t="s">
        <v>94</v>
      </c>
      <c r="AU238" t="s">
        <v>94</v>
      </c>
      <c r="AV238" t="s">
        <v>92</v>
      </c>
      <c r="AW238" t="s">
        <v>94</v>
      </c>
      <c r="AX238" t="s">
        <v>94</v>
      </c>
      <c r="AY238" t="s">
        <v>94</v>
      </c>
      <c r="AZ238" t="s">
        <v>94</v>
      </c>
      <c r="BA238" t="s">
        <v>94</v>
      </c>
      <c r="BB238" t="s">
        <v>92</v>
      </c>
      <c r="BC238" t="s">
        <v>92</v>
      </c>
      <c r="BD238" t="s">
        <v>92</v>
      </c>
      <c r="BE238" t="s">
        <v>92</v>
      </c>
      <c r="BF238" t="s">
        <v>94</v>
      </c>
      <c r="BG238" t="s">
        <v>94</v>
      </c>
      <c r="BH238" t="s">
        <v>94</v>
      </c>
    </row>
    <row r="239" spans="1:60" x14ac:dyDescent="0.3">
      <c r="A239">
        <v>23</v>
      </c>
      <c r="B239" t="s">
        <v>70</v>
      </c>
      <c r="C239" t="s">
        <v>113</v>
      </c>
      <c r="D239" t="s">
        <v>72</v>
      </c>
      <c r="E239" t="s">
        <v>73</v>
      </c>
      <c r="F239" t="s">
        <v>100</v>
      </c>
      <c r="G239" t="s">
        <v>75</v>
      </c>
      <c r="H239" t="s">
        <v>100</v>
      </c>
      <c r="I239" t="s">
        <v>76</v>
      </c>
      <c r="J239" t="s">
        <v>101</v>
      </c>
      <c r="K239" t="s">
        <v>122</v>
      </c>
      <c r="L239" t="s">
        <v>79</v>
      </c>
      <c r="M239" t="s">
        <v>80</v>
      </c>
      <c r="N239" t="s">
        <v>79</v>
      </c>
      <c r="O239" t="s">
        <v>138</v>
      </c>
      <c r="P239" t="s">
        <v>79</v>
      </c>
      <c r="Q239" t="s">
        <v>83</v>
      </c>
      <c r="R239" t="s">
        <v>79</v>
      </c>
      <c r="S239" t="s">
        <v>244</v>
      </c>
      <c r="T239" t="s">
        <v>140</v>
      </c>
      <c r="U239" t="s">
        <v>79</v>
      </c>
      <c r="V239" t="s">
        <v>86</v>
      </c>
      <c r="W239" t="s">
        <v>120</v>
      </c>
      <c r="X239" t="s">
        <v>112</v>
      </c>
      <c r="Y239" t="s">
        <v>94</v>
      </c>
      <c r="Z239" t="s">
        <v>92</v>
      </c>
      <c r="AA239" t="s">
        <v>92</v>
      </c>
      <c r="AB239" t="s">
        <v>92</v>
      </c>
      <c r="AC239" t="s">
        <v>94</v>
      </c>
      <c r="AD239" t="s">
        <v>94</v>
      </c>
      <c r="AE239" t="s">
        <v>94</v>
      </c>
      <c r="AF239" t="s">
        <v>94</v>
      </c>
      <c r="AG239" t="s">
        <v>94</v>
      </c>
      <c r="AH239" t="s">
        <v>94</v>
      </c>
      <c r="AI239" t="s">
        <v>94</v>
      </c>
      <c r="AJ239" t="s">
        <v>94</v>
      </c>
      <c r="AK239" t="s">
        <v>92</v>
      </c>
      <c r="AL239" t="s">
        <v>92</v>
      </c>
      <c r="AM239" t="s">
        <v>92</v>
      </c>
      <c r="AN239" t="s">
        <v>94</v>
      </c>
      <c r="AO239" t="s">
        <v>94</v>
      </c>
      <c r="AP239" t="s">
        <v>94</v>
      </c>
      <c r="AQ239" t="s">
        <v>92</v>
      </c>
      <c r="AR239" t="s">
        <v>94</v>
      </c>
      <c r="AS239" t="s">
        <v>92</v>
      </c>
      <c r="AT239" t="s">
        <v>94</v>
      </c>
      <c r="AU239" t="s">
        <v>94</v>
      </c>
      <c r="AV239" t="s">
        <v>92</v>
      </c>
      <c r="AW239" t="s">
        <v>92</v>
      </c>
      <c r="AX239" t="s">
        <v>92</v>
      </c>
      <c r="AY239" t="s">
        <v>92</v>
      </c>
      <c r="AZ239" t="s">
        <v>94</v>
      </c>
      <c r="BA239" t="s">
        <v>94</v>
      </c>
      <c r="BB239" t="s">
        <v>92</v>
      </c>
      <c r="BC239" t="s">
        <v>92</v>
      </c>
      <c r="BD239" t="s">
        <v>94</v>
      </c>
      <c r="BE239" t="s">
        <v>94</v>
      </c>
      <c r="BF239" t="s">
        <v>94</v>
      </c>
      <c r="BG239" t="s">
        <v>92</v>
      </c>
      <c r="BH239" t="s">
        <v>94</v>
      </c>
    </row>
    <row r="240" spans="1:60" x14ac:dyDescent="0.3">
      <c r="A240">
        <v>23</v>
      </c>
      <c r="B240" t="s">
        <v>162</v>
      </c>
      <c r="C240" t="s">
        <v>113</v>
      </c>
      <c r="D240" t="s">
        <v>149</v>
      </c>
      <c r="E240" t="s">
        <v>108</v>
      </c>
      <c r="F240" t="s">
        <v>98</v>
      </c>
      <c r="G240" t="s">
        <v>75</v>
      </c>
      <c r="H240" t="s">
        <v>98</v>
      </c>
      <c r="I240" t="s">
        <v>76</v>
      </c>
      <c r="J240" t="s">
        <v>77</v>
      </c>
      <c r="K240" t="s">
        <v>122</v>
      </c>
      <c r="L240" t="s">
        <v>79</v>
      </c>
      <c r="M240" t="s">
        <v>80</v>
      </c>
      <c r="N240" t="s">
        <v>79</v>
      </c>
      <c r="O240" t="s">
        <v>138</v>
      </c>
      <c r="P240" t="s">
        <v>79</v>
      </c>
      <c r="Q240" t="s">
        <v>83</v>
      </c>
      <c r="R240" t="s">
        <v>79</v>
      </c>
      <c r="S240" t="s">
        <v>137</v>
      </c>
      <c r="T240" t="s">
        <v>215</v>
      </c>
      <c r="U240" t="s">
        <v>79</v>
      </c>
      <c r="V240" t="s">
        <v>86</v>
      </c>
      <c r="W240" t="s">
        <v>87</v>
      </c>
      <c r="X240" t="s">
        <v>127</v>
      </c>
      <c r="Y240" t="s">
        <v>92</v>
      </c>
      <c r="Z240" t="s">
        <v>94</v>
      </c>
      <c r="AA240" t="s">
        <v>92</v>
      </c>
      <c r="AB240" t="s">
        <v>94</v>
      </c>
      <c r="AC240" t="s">
        <v>94</v>
      </c>
      <c r="AD240" t="s">
        <v>94</v>
      </c>
      <c r="AE240" t="s">
        <v>94</v>
      </c>
      <c r="AF240" t="s">
        <v>92</v>
      </c>
      <c r="AG240" t="s">
        <v>92</v>
      </c>
      <c r="AH240" t="s">
        <v>92</v>
      </c>
      <c r="AI240" t="s">
        <v>94</v>
      </c>
      <c r="AJ240" t="s">
        <v>94</v>
      </c>
      <c r="AK240" t="s">
        <v>92</v>
      </c>
      <c r="AL240" t="s">
        <v>92</v>
      </c>
      <c r="AM240" t="s">
        <v>94</v>
      </c>
      <c r="AN240" t="s">
        <v>94</v>
      </c>
      <c r="AO240" t="s">
        <v>92</v>
      </c>
      <c r="AP240" t="s">
        <v>92</v>
      </c>
      <c r="AQ240" t="s">
        <v>94</v>
      </c>
      <c r="AR240" t="s">
        <v>92</v>
      </c>
      <c r="AS240" t="s">
        <v>92</v>
      </c>
      <c r="AT240" t="s">
        <v>94</v>
      </c>
      <c r="AU240" t="s">
        <v>92</v>
      </c>
      <c r="AV240" t="s">
        <v>92</v>
      </c>
      <c r="AW240" t="s">
        <v>94</v>
      </c>
      <c r="AX240" t="s">
        <v>94</v>
      </c>
      <c r="AY240" t="s">
        <v>94</v>
      </c>
      <c r="AZ240" t="s">
        <v>94</v>
      </c>
      <c r="BA240" t="s">
        <v>94</v>
      </c>
      <c r="BB240" t="s">
        <v>94</v>
      </c>
      <c r="BC240" t="s">
        <v>94</v>
      </c>
      <c r="BD240" t="s">
        <v>94</v>
      </c>
      <c r="BF240" t="s">
        <v>92</v>
      </c>
      <c r="BG240" t="s">
        <v>92</v>
      </c>
      <c r="BH240" t="s">
        <v>92</v>
      </c>
    </row>
    <row r="241" spans="1:60" x14ac:dyDescent="0.3">
      <c r="A241">
        <v>23</v>
      </c>
      <c r="B241" t="s">
        <v>128</v>
      </c>
      <c r="C241" t="s">
        <v>113</v>
      </c>
      <c r="D241" t="s">
        <v>72</v>
      </c>
      <c r="E241" t="s">
        <v>108</v>
      </c>
      <c r="F241" t="s">
        <v>98</v>
      </c>
      <c r="G241" t="s">
        <v>135</v>
      </c>
      <c r="H241" t="s">
        <v>100</v>
      </c>
      <c r="I241" t="s">
        <v>76</v>
      </c>
      <c r="J241" t="s">
        <v>77</v>
      </c>
      <c r="K241" t="s">
        <v>122</v>
      </c>
      <c r="L241" t="s">
        <v>79</v>
      </c>
      <c r="M241" t="s">
        <v>80</v>
      </c>
      <c r="N241" t="s">
        <v>79</v>
      </c>
      <c r="O241" t="s">
        <v>117</v>
      </c>
      <c r="P241" t="s">
        <v>79</v>
      </c>
      <c r="Q241" t="s">
        <v>83</v>
      </c>
      <c r="R241" t="s">
        <v>79</v>
      </c>
      <c r="S241" t="s">
        <v>226</v>
      </c>
      <c r="T241" t="s">
        <v>167</v>
      </c>
      <c r="U241" t="s">
        <v>79</v>
      </c>
      <c r="V241" t="s">
        <v>86</v>
      </c>
      <c r="W241" t="s">
        <v>87</v>
      </c>
      <c r="X241" t="s">
        <v>112</v>
      </c>
      <c r="Y241" t="s">
        <v>94</v>
      </c>
      <c r="Z241" t="s">
        <v>92</v>
      </c>
      <c r="AA241" t="s">
        <v>92</v>
      </c>
      <c r="AB241" t="s">
        <v>92</v>
      </c>
      <c r="AC241" t="s">
        <v>92</v>
      </c>
      <c r="AD241" t="s">
        <v>94</v>
      </c>
      <c r="AE241" t="s">
        <v>92</v>
      </c>
      <c r="AF241" t="s">
        <v>92</v>
      </c>
      <c r="AG241" t="s">
        <v>92</v>
      </c>
      <c r="AH241" t="s">
        <v>92</v>
      </c>
      <c r="AI241" t="s">
        <v>92</v>
      </c>
      <c r="AJ241" t="s">
        <v>94</v>
      </c>
      <c r="AK241" t="s">
        <v>94</v>
      </c>
      <c r="AL241" t="s">
        <v>92</v>
      </c>
      <c r="AM241" t="s">
        <v>92</v>
      </c>
      <c r="AN241" t="s">
        <v>92</v>
      </c>
      <c r="AO241" t="s">
        <v>92</v>
      </c>
      <c r="AP241" t="s">
        <v>92</v>
      </c>
      <c r="AQ241" t="s">
        <v>92</v>
      </c>
      <c r="AR241" t="s">
        <v>92</v>
      </c>
      <c r="AS241" t="s">
        <v>92</v>
      </c>
      <c r="AT241" t="s">
        <v>92</v>
      </c>
      <c r="AU241" t="s">
        <v>94</v>
      </c>
      <c r="AV241" t="s">
        <v>92</v>
      </c>
      <c r="AW241" t="s">
        <v>92</v>
      </c>
      <c r="AX241" t="s">
        <v>94</v>
      </c>
      <c r="AY241" t="s">
        <v>92</v>
      </c>
      <c r="AZ241" t="s">
        <v>92</v>
      </c>
      <c r="BA241" t="s">
        <v>94</v>
      </c>
      <c r="BB241" t="s">
        <v>94</v>
      </c>
      <c r="BC241" t="s">
        <v>92</v>
      </c>
      <c r="BD241" t="s">
        <v>92</v>
      </c>
      <c r="BE241" t="s">
        <v>94</v>
      </c>
      <c r="BF241" t="s">
        <v>94</v>
      </c>
      <c r="BG241" t="s">
        <v>94</v>
      </c>
      <c r="BH241" t="s">
        <v>94</v>
      </c>
    </row>
    <row r="242" spans="1:60" x14ac:dyDescent="0.3">
      <c r="A242">
        <v>23</v>
      </c>
      <c r="B242" t="s">
        <v>70</v>
      </c>
      <c r="C242" t="s">
        <v>113</v>
      </c>
      <c r="D242" t="s">
        <v>97</v>
      </c>
      <c r="E242" t="s">
        <v>73</v>
      </c>
      <c r="F242" t="s">
        <v>98</v>
      </c>
      <c r="G242" t="s">
        <v>166</v>
      </c>
      <c r="H242" t="s">
        <v>98</v>
      </c>
      <c r="I242" t="s">
        <v>75</v>
      </c>
      <c r="J242" t="s">
        <v>77</v>
      </c>
      <c r="K242" t="s">
        <v>122</v>
      </c>
      <c r="L242" t="s">
        <v>79</v>
      </c>
      <c r="M242" t="s">
        <v>80</v>
      </c>
      <c r="N242" t="s">
        <v>79</v>
      </c>
      <c r="O242" t="s">
        <v>109</v>
      </c>
      <c r="P242" t="s">
        <v>79</v>
      </c>
      <c r="Q242" t="s">
        <v>83</v>
      </c>
      <c r="R242" t="s">
        <v>79</v>
      </c>
      <c r="S242" t="s">
        <v>84</v>
      </c>
      <c r="T242" t="s">
        <v>124</v>
      </c>
      <c r="U242" t="s">
        <v>79</v>
      </c>
      <c r="V242" t="s">
        <v>86</v>
      </c>
      <c r="W242" t="s">
        <v>87</v>
      </c>
      <c r="X242" t="s">
        <v>112</v>
      </c>
      <c r="Y242" t="s">
        <v>92</v>
      </c>
      <c r="Z242" t="s">
        <v>94</v>
      </c>
      <c r="AA242" t="s">
        <v>94</v>
      </c>
      <c r="AB242" t="s">
        <v>94</v>
      </c>
      <c r="AC242" t="s">
        <v>92</v>
      </c>
      <c r="AD242" t="s">
        <v>92</v>
      </c>
      <c r="AE242" t="s">
        <v>93</v>
      </c>
      <c r="AF242" t="s">
        <v>93</v>
      </c>
      <c r="AG242" t="s">
        <v>93</v>
      </c>
      <c r="AH242" t="s">
        <v>94</v>
      </c>
      <c r="AI242" t="s">
        <v>94</v>
      </c>
      <c r="AJ242" t="s">
        <v>94</v>
      </c>
      <c r="AK242" t="s">
        <v>92</v>
      </c>
      <c r="AL242" t="s">
        <v>92</v>
      </c>
      <c r="AM242" t="s">
        <v>92</v>
      </c>
      <c r="AN242" t="s">
        <v>94</v>
      </c>
      <c r="AO242" t="s">
        <v>92</v>
      </c>
      <c r="AP242" t="s">
        <v>92</v>
      </c>
      <c r="AQ242" t="s">
        <v>92</v>
      </c>
      <c r="AR242" t="s">
        <v>94</v>
      </c>
      <c r="AS242" t="s">
        <v>94</v>
      </c>
      <c r="AT242" t="s">
        <v>92</v>
      </c>
      <c r="AU242" t="s">
        <v>94</v>
      </c>
      <c r="AV242" t="s">
        <v>95</v>
      </c>
      <c r="AW242" t="s">
        <v>95</v>
      </c>
      <c r="AX242" t="s">
        <v>95</v>
      </c>
      <c r="AY242" t="s">
        <v>94</v>
      </c>
      <c r="AZ242" t="s">
        <v>94</v>
      </c>
      <c r="BA242" t="s">
        <v>94</v>
      </c>
      <c r="BB242" t="s">
        <v>94</v>
      </c>
      <c r="BC242" t="s">
        <v>92</v>
      </c>
      <c r="BD242" t="s">
        <v>92</v>
      </c>
      <c r="BE242" t="s">
        <v>92</v>
      </c>
      <c r="BF242" t="s">
        <v>94</v>
      </c>
      <c r="BG242" t="s">
        <v>94</v>
      </c>
      <c r="BH242" t="s">
        <v>94</v>
      </c>
    </row>
    <row r="243" spans="1:60" x14ac:dyDescent="0.3">
      <c r="A243">
        <v>24</v>
      </c>
      <c r="B243" t="s">
        <v>128</v>
      </c>
      <c r="C243" t="s">
        <v>113</v>
      </c>
      <c r="D243" t="s">
        <v>72</v>
      </c>
      <c r="E243" t="s">
        <v>108</v>
      </c>
      <c r="F243" t="s">
        <v>98</v>
      </c>
      <c r="G243" t="s">
        <v>135</v>
      </c>
      <c r="H243" t="s">
        <v>100</v>
      </c>
      <c r="I243" t="s">
        <v>76</v>
      </c>
      <c r="J243" t="s">
        <v>77</v>
      </c>
      <c r="K243" t="s">
        <v>122</v>
      </c>
      <c r="L243" t="s">
        <v>79</v>
      </c>
      <c r="M243" t="s">
        <v>80</v>
      </c>
      <c r="N243" t="s">
        <v>79</v>
      </c>
      <c r="O243" t="s">
        <v>117</v>
      </c>
      <c r="P243" t="s">
        <v>79</v>
      </c>
      <c r="Q243" t="s">
        <v>118</v>
      </c>
      <c r="R243" t="s">
        <v>79</v>
      </c>
      <c r="S243" t="s">
        <v>84</v>
      </c>
      <c r="T243" t="s">
        <v>85</v>
      </c>
      <c r="U243" t="s">
        <v>79</v>
      </c>
      <c r="V243" t="s">
        <v>86</v>
      </c>
      <c r="W243" t="s">
        <v>87</v>
      </c>
      <c r="X243" t="s">
        <v>127</v>
      </c>
      <c r="Y243" t="s">
        <v>94</v>
      </c>
      <c r="Z243" t="s">
        <v>92</v>
      </c>
      <c r="AA243" t="s">
        <v>92</v>
      </c>
      <c r="AB243" t="s">
        <v>92</v>
      </c>
      <c r="AC243" t="s">
        <v>94</v>
      </c>
      <c r="AD243" t="s">
        <v>94</v>
      </c>
      <c r="AE243" t="s">
        <v>94</v>
      </c>
      <c r="AF243" t="s">
        <v>94</v>
      </c>
      <c r="AG243" t="s">
        <v>94</v>
      </c>
      <c r="AH243" t="s">
        <v>92</v>
      </c>
      <c r="AI243" t="s">
        <v>94</v>
      </c>
      <c r="AJ243" t="s">
        <v>94</v>
      </c>
      <c r="AK243" t="s">
        <v>94</v>
      </c>
      <c r="AL243" t="s">
        <v>94</v>
      </c>
      <c r="AM243" t="s">
        <v>92</v>
      </c>
      <c r="AN243" t="s">
        <v>94</v>
      </c>
      <c r="AO243" t="s">
        <v>92</v>
      </c>
      <c r="AP243" t="s">
        <v>92</v>
      </c>
      <c r="AQ243" t="s">
        <v>94</v>
      </c>
      <c r="AR243" t="s">
        <v>94</v>
      </c>
      <c r="AS243" t="s">
        <v>92</v>
      </c>
      <c r="AT243" t="s">
        <v>94</v>
      </c>
      <c r="AU243" t="s">
        <v>92</v>
      </c>
      <c r="AV243" t="s">
        <v>94</v>
      </c>
      <c r="AW243" t="s">
        <v>92</v>
      </c>
      <c r="AX243" t="s">
        <v>94</v>
      </c>
      <c r="AY243" t="s">
        <v>94</v>
      </c>
      <c r="AZ243" t="s">
        <v>92</v>
      </c>
      <c r="BA243" t="s">
        <v>94</v>
      </c>
      <c r="BB243" t="s">
        <v>92</v>
      </c>
      <c r="BC243" t="s">
        <v>92</v>
      </c>
      <c r="BD243" t="s">
        <v>94</v>
      </c>
      <c r="BE243" t="s">
        <v>94</v>
      </c>
      <c r="BF243" t="s">
        <v>92</v>
      </c>
      <c r="BG243" t="s">
        <v>94</v>
      </c>
      <c r="BH243" t="s">
        <v>94</v>
      </c>
    </row>
    <row r="244" spans="1:60" x14ac:dyDescent="0.3">
      <c r="A244">
        <v>22</v>
      </c>
      <c r="B244" t="s">
        <v>70</v>
      </c>
      <c r="C244" t="s">
        <v>96</v>
      </c>
      <c r="D244" t="s">
        <v>72</v>
      </c>
      <c r="E244" t="s">
        <v>114</v>
      </c>
      <c r="F244" t="s">
        <v>100</v>
      </c>
      <c r="G244" t="s">
        <v>135</v>
      </c>
      <c r="H244" t="s">
        <v>100</v>
      </c>
      <c r="I244" t="s">
        <v>76</v>
      </c>
      <c r="J244" t="s">
        <v>77</v>
      </c>
      <c r="K244" t="s">
        <v>122</v>
      </c>
      <c r="L244" t="s">
        <v>79</v>
      </c>
      <c r="M244" t="s">
        <v>80</v>
      </c>
      <c r="N244" t="s">
        <v>79</v>
      </c>
      <c r="O244" t="s">
        <v>138</v>
      </c>
      <c r="P244" t="s">
        <v>79</v>
      </c>
      <c r="Q244" t="s">
        <v>83</v>
      </c>
      <c r="R244" t="s">
        <v>79</v>
      </c>
      <c r="S244" t="s">
        <v>137</v>
      </c>
      <c r="T244" t="s">
        <v>85</v>
      </c>
      <c r="U244" t="s">
        <v>79</v>
      </c>
      <c r="V244" t="s">
        <v>148</v>
      </c>
      <c r="W244" t="s">
        <v>120</v>
      </c>
      <c r="X244" t="s">
        <v>127</v>
      </c>
      <c r="Y244" t="s">
        <v>94</v>
      </c>
      <c r="Z244" t="s">
        <v>92</v>
      </c>
      <c r="AA244" t="s">
        <v>92</v>
      </c>
      <c r="AB244" t="s">
        <v>94</v>
      </c>
      <c r="AC244" t="s">
        <v>94</v>
      </c>
      <c r="AD244" t="s">
        <v>94</v>
      </c>
      <c r="AE244" t="s">
        <v>94</v>
      </c>
      <c r="AF244" t="s">
        <v>92</v>
      </c>
      <c r="AG244" t="s">
        <v>94</v>
      </c>
      <c r="AH244" t="s">
        <v>94</v>
      </c>
      <c r="AI244" t="s">
        <v>94</v>
      </c>
      <c r="AJ244" t="s">
        <v>92</v>
      </c>
      <c r="AK244" t="s">
        <v>92</v>
      </c>
      <c r="AL244" t="s">
        <v>92</v>
      </c>
      <c r="AM244" t="s">
        <v>92</v>
      </c>
      <c r="AN244" t="s">
        <v>94</v>
      </c>
      <c r="AO244" t="s">
        <v>92</v>
      </c>
      <c r="AP244" t="s">
        <v>92</v>
      </c>
      <c r="AQ244" t="s">
        <v>94</v>
      </c>
      <c r="AR244" t="s">
        <v>94</v>
      </c>
      <c r="AS244" t="s">
        <v>94</v>
      </c>
      <c r="AT244" t="s">
        <v>92</v>
      </c>
      <c r="AU244" t="s">
        <v>92</v>
      </c>
      <c r="AV244" t="s">
        <v>92</v>
      </c>
      <c r="AW244" t="s">
        <v>94</v>
      </c>
      <c r="AX244" t="s">
        <v>94</v>
      </c>
      <c r="AY244" t="s">
        <v>92</v>
      </c>
      <c r="AZ244" t="s">
        <v>92</v>
      </c>
      <c r="BA244" t="s">
        <v>94</v>
      </c>
      <c r="BB244" t="s">
        <v>94</v>
      </c>
      <c r="BC244" t="s">
        <v>92</v>
      </c>
      <c r="BD244" t="s">
        <v>92</v>
      </c>
      <c r="BE244" t="s">
        <v>92</v>
      </c>
      <c r="BF244" t="s">
        <v>92</v>
      </c>
      <c r="BG244" t="s">
        <v>94</v>
      </c>
      <c r="BH244" t="s">
        <v>94</v>
      </c>
    </row>
    <row r="245" spans="1:60" x14ac:dyDescent="0.3">
      <c r="A245">
        <v>23</v>
      </c>
      <c r="B245" t="s">
        <v>70</v>
      </c>
      <c r="C245" t="s">
        <v>96</v>
      </c>
      <c r="D245" t="s">
        <v>72</v>
      </c>
      <c r="E245" t="s">
        <v>114</v>
      </c>
      <c r="F245" t="s">
        <v>74</v>
      </c>
      <c r="G245" t="s">
        <v>115</v>
      </c>
      <c r="H245" t="s">
        <v>98</v>
      </c>
      <c r="I245" t="s">
        <v>76</v>
      </c>
      <c r="J245" t="s">
        <v>77</v>
      </c>
      <c r="K245" t="s">
        <v>122</v>
      </c>
      <c r="L245" t="s">
        <v>79</v>
      </c>
      <c r="M245" t="s">
        <v>80</v>
      </c>
      <c r="N245" t="s">
        <v>79</v>
      </c>
      <c r="O245" t="s">
        <v>138</v>
      </c>
      <c r="P245" t="s">
        <v>79</v>
      </c>
      <c r="Q245" t="s">
        <v>83</v>
      </c>
      <c r="R245" t="s">
        <v>79</v>
      </c>
      <c r="S245" t="s">
        <v>226</v>
      </c>
      <c r="T245" t="s">
        <v>124</v>
      </c>
      <c r="U245" t="s">
        <v>79</v>
      </c>
      <c r="V245" t="s">
        <v>86</v>
      </c>
      <c r="W245" t="s">
        <v>141</v>
      </c>
      <c r="X245" t="s">
        <v>112</v>
      </c>
      <c r="Y245" t="s">
        <v>94</v>
      </c>
      <c r="Z245" t="s">
        <v>92</v>
      </c>
      <c r="AA245" t="s">
        <v>92</v>
      </c>
      <c r="AB245" t="s">
        <v>94</v>
      </c>
      <c r="AC245" t="s">
        <v>94</v>
      </c>
      <c r="AD245" t="s">
        <v>92</v>
      </c>
      <c r="AE245" t="s">
        <v>94</v>
      </c>
      <c r="AF245" t="s">
        <v>94</v>
      </c>
      <c r="AG245" t="s">
        <v>92</v>
      </c>
      <c r="AH245" t="s">
        <v>92</v>
      </c>
      <c r="AI245" t="s">
        <v>94</v>
      </c>
      <c r="AJ245" t="s">
        <v>94</v>
      </c>
      <c r="AK245" t="s">
        <v>92</v>
      </c>
      <c r="AL245" t="s">
        <v>94</v>
      </c>
      <c r="AM245" t="s">
        <v>94</v>
      </c>
      <c r="AN245" t="s">
        <v>94</v>
      </c>
      <c r="AO245" t="s">
        <v>94</v>
      </c>
      <c r="AP245" t="s">
        <v>94</v>
      </c>
      <c r="AQ245" t="s">
        <v>94</v>
      </c>
      <c r="AR245" t="s">
        <v>92</v>
      </c>
      <c r="AS245" t="s">
        <v>92</v>
      </c>
      <c r="AT245" t="s">
        <v>92</v>
      </c>
      <c r="AU245" t="s">
        <v>94</v>
      </c>
      <c r="AV245" t="s">
        <v>92</v>
      </c>
      <c r="AW245" t="s">
        <v>92</v>
      </c>
      <c r="AX245" t="s">
        <v>92</v>
      </c>
      <c r="AY245" t="s">
        <v>92</v>
      </c>
      <c r="AZ245" t="s">
        <v>94</v>
      </c>
      <c r="BA245" t="s">
        <v>94</v>
      </c>
      <c r="BB245" t="s">
        <v>94</v>
      </c>
      <c r="BC245" t="s">
        <v>94</v>
      </c>
      <c r="BD245" t="s">
        <v>93</v>
      </c>
      <c r="BE245" t="s">
        <v>92</v>
      </c>
      <c r="BF245" t="s">
        <v>93</v>
      </c>
      <c r="BG245" t="s">
        <v>92</v>
      </c>
      <c r="BH245" t="s">
        <v>92</v>
      </c>
    </row>
    <row r="246" spans="1:60" x14ac:dyDescent="0.3">
      <c r="A246">
        <v>23</v>
      </c>
      <c r="B246" t="s">
        <v>70</v>
      </c>
      <c r="C246" t="s">
        <v>96</v>
      </c>
      <c r="D246" t="s">
        <v>72</v>
      </c>
      <c r="E246" t="s">
        <v>73</v>
      </c>
      <c r="F246" t="s">
        <v>98</v>
      </c>
      <c r="G246" t="s">
        <v>135</v>
      </c>
      <c r="H246" t="s">
        <v>98</v>
      </c>
      <c r="I246" t="s">
        <v>76</v>
      </c>
      <c r="J246" t="s">
        <v>77</v>
      </c>
      <c r="K246" t="s">
        <v>122</v>
      </c>
      <c r="L246" t="s">
        <v>79</v>
      </c>
      <c r="M246" t="s">
        <v>80</v>
      </c>
      <c r="N246" t="s">
        <v>79</v>
      </c>
      <c r="O246" t="s">
        <v>138</v>
      </c>
      <c r="P246" t="s">
        <v>79</v>
      </c>
      <c r="Q246" t="s">
        <v>83</v>
      </c>
      <c r="R246" t="s">
        <v>79</v>
      </c>
      <c r="S246" t="s">
        <v>246</v>
      </c>
      <c r="T246" t="s">
        <v>130</v>
      </c>
      <c r="U246" t="s">
        <v>79</v>
      </c>
      <c r="V246" t="s">
        <v>86</v>
      </c>
      <c r="W246" t="s">
        <v>87</v>
      </c>
      <c r="X246" t="s">
        <v>127</v>
      </c>
      <c r="Y246" t="s">
        <v>94</v>
      </c>
      <c r="Z246" t="s">
        <v>92</v>
      </c>
      <c r="AA246" t="s">
        <v>92</v>
      </c>
      <c r="AB246" t="s">
        <v>92</v>
      </c>
      <c r="AC246" t="s">
        <v>92</v>
      </c>
      <c r="AD246" t="s">
        <v>92</v>
      </c>
      <c r="AE246" t="s">
        <v>94</v>
      </c>
      <c r="AF246" t="s">
        <v>94</v>
      </c>
      <c r="AG246" t="s">
        <v>94</v>
      </c>
      <c r="AH246" t="s">
        <v>93</v>
      </c>
      <c r="AI246" t="s">
        <v>92</v>
      </c>
      <c r="AJ246" t="s">
        <v>92</v>
      </c>
      <c r="AK246" t="s">
        <v>92</v>
      </c>
      <c r="AL246" t="s">
        <v>92</v>
      </c>
      <c r="AM246" t="s">
        <v>92</v>
      </c>
      <c r="AN246" t="s">
        <v>94</v>
      </c>
      <c r="AO246" t="s">
        <v>92</v>
      </c>
      <c r="AP246" t="s">
        <v>92</v>
      </c>
      <c r="AQ246" t="s">
        <v>92</v>
      </c>
      <c r="AR246" t="s">
        <v>94</v>
      </c>
      <c r="AS246" t="s">
        <v>94</v>
      </c>
      <c r="AT246" t="s">
        <v>94</v>
      </c>
      <c r="AU246" t="s">
        <v>94</v>
      </c>
      <c r="AV246" t="s">
        <v>94</v>
      </c>
      <c r="AW246" t="s">
        <v>94</v>
      </c>
      <c r="AX246" t="s">
        <v>92</v>
      </c>
      <c r="AY246" t="s">
        <v>94</v>
      </c>
      <c r="AZ246" t="s">
        <v>94</v>
      </c>
      <c r="BA246" t="s">
        <v>94</v>
      </c>
      <c r="BB246" t="s">
        <v>92</v>
      </c>
      <c r="BC246" t="s">
        <v>92</v>
      </c>
      <c r="BD246" t="s">
        <v>92</v>
      </c>
      <c r="BE246" t="s">
        <v>92</v>
      </c>
      <c r="BF246" t="s">
        <v>94</v>
      </c>
      <c r="BG246" t="s">
        <v>94</v>
      </c>
      <c r="BH246" t="s">
        <v>94</v>
      </c>
    </row>
    <row r="247" spans="1:60" x14ac:dyDescent="0.3">
      <c r="A247">
        <v>23</v>
      </c>
      <c r="B247" t="s">
        <v>70</v>
      </c>
      <c r="C247" t="s">
        <v>96</v>
      </c>
      <c r="D247" t="s">
        <v>72</v>
      </c>
      <c r="E247" t="s">
        <v>108</v>
      </c>
      <c r="F247" t="s">
        <v>98</v>
      </c>
      <c r="G247" t="s">
        <v>75</v>
      </c>
      <c r="H247" t="s">
        <v>136</v>
      </c>
      <c r="I247" t="s">
        <v>76</v>
      </c>
      <c r="J247" t="s">
        <v>77</v>
      </c>
      <c r="K247" t="s">
        <v>122</v>
      </c>
      <c r="L247" t="s">
        <v>79</v>
      </c>
      <c r="M247" t="s">
        <v>132</v>
      </c>
      <c r="N247" t="s">
        <v>79</v>
      </c>
      <c r="O247" t="s">
        <v>117</v>
      </c>
      <c r="P247" t="s">
        <v>79</v>
      </c>
      <c r="Q247" t="s">
        <v>83</v>
      </c>
      <c r="R247" t="s">
        <v>79</v>
      </c>
      <c r="S247" t="s">
        <v>192</v>
      </c>
      <c r="T247" t="s">
        <v>150</v>
      </c>
      <c r="U247" t="s">
        <v>79</v>
      </c>
      <c r="V247" t="s">
        <v>148</v>
      </c>
      <c r="W247" t="s">
        <v>141</v>
      </c>
      <c r="X247" t="s">
        <v>127</v>
      </c>
      <c r="Y247" t="s">
        <v>94</v>
      </c>
      <c r="Z247" t="s">
        <v>94</v>
      </c>
      <c r="AA247" t="s">
        <v>94</v>
      </c>
      <c r="AB247" t="s">
        <v>92</v>
      </c>
      <c r="AC247" t="s">
        <v>92</v>
      </c>
      <c r="AD247" t="s">
        <v>92</v>
      </c>
      <c r="AE247" t="s">
        <v>92</v>
      </c>
      <c r="AF247" t="s">
        <v>92</v>
      </c>
      <c r="AG247" t="s">
        <v>92</v>
      </c>
      <c r="AH247" t="s">
        <v>92</v>
      </c>
      <c r="AI247" t="s">
        <v>92</v>
      </c>
      <c r="AJ247" t="s">
        <v>93</v>
      </c>
      <c r="AK247" t="s">
        <v>94</v>
      </c>
      <c r="AL247" t="s">
        <v>94</v>
      </c>
      <c r="AM247" t="s">
        <v>92</v>
      </c>
      <c r="AN247" t="s">
        <v>92</v>
      </c>
      <c r="AO247" t="s">
        <v>92</v>
      </c>
      <c r="AP247" t="s">
        <v>94</v>
      </c>
      <c r="AQ247" t="s">
        <v>94</v>
      </c>
      <c r="AR247" t="s">
        <v>92</v>
      </c>
      <c r="AS247" t="s">
        <v>92</v>
      </c>
      <c r="AT247" t="s">
        <v>94</v>
      </c>
      <c r="AU247" t="s">
        <v>92</v>
      </c>
      <c r="AV247" t="s">
        <v>92</v>
      </c>
      <c r="AW247" t="s">
        <v>92</v>
      </c>
      <c r="AX247" t="s">
        <v>94</v>
      </c>
      <c r="AY247" t="s">
        <v>94</v>
      </c>
      <c r="AZ247" t="s">
        <v>94</v>
      </c>
      <c r="BA247" t="s">
        <v>94</v>
      </c>
      <c r="BB247" t="s">
        <v>94</v>
      </c>
      <c r="BC247" t="s">
        <v>92</v>
      </c>
      <c r="BD247" t="s">
        <v>92</v>
      </c>
      <c r="BE247" t="s">
        <v>94</v>
      </c>
      <c r="BF247" t="s">
        <v>94</v>
      </c>
      <c r="BG247" t="s">
        <v>94</v>
      </c>
      <c r="BH247" t="s">
        <v>94</v>
      </c>
    </row>
    <row r="248" spans="1:60" x14ac:dyDescent="0.3">
      <c r="A248">
        <v>24</v>
      </c>
      <c r="B248" t="s">
        <v>128</v>
      </c>
      <c r="C248" t="s">
        <v>113</v>
      </c>
      <c r="D248" t="s">
        <v>72</v>
      </c>
      <c r="E248" t="s">
        <v>73</v>
      </c>
      <c r="F248" t="s">
        <v>136</v>
      </c>
      <c r="G248" t="s">
        <v>135</v>
      </c>
      <c r="H248" t="s">
        <v>100</v>
      </c>
      <c r="I248" t="s">
        <v>76</v>
      </c>
      <c r="J248" t="s">
        <v>77</v>
      </c>
      <c r="K248" t="s">
        <v>122</v>
      </c>
      <c r="L248" t="s">
        <v>79</v>
      </c>
      <c r="M248" t="s">
        <v>80</v>
      </c>
      <c r="N248" t="s">
        <v>79</v>
      </c>
      <c r="O248" t="s">
        <v>138</v>
      </c>
      <c r="P248" t="s">
        <v>79</v>
      </c>
      <c r="Q248" t="s">
        <v>83</v>
      </c>
      <c r="R248" t="s">
        <v>79</v>
      </c>
      <c r="S248" t="s">
        <v>145</v>
      </c>
      <c r="T248" t="s">
        <v>130</v>
      </c>
      <c r="U248" t="s">
        <v>79</v>
      </c>
      <c r="V248" t="s">
        <v>86</v>
      </c>
      <c r="W248" t="s">
        <v>120</v>
      </c>
      <c r="X248" t="s">
        <v>127</v>
      </c>
      <c r="Y248" t="s">
        <v>94</v>
      </c>
      <c r="Z248" t="s">
        <v>92</v>
      </c>
      <c r="AA248" t="s">
        <v>92</v>
      </c>
      <c r="AB248" t="s">
        <v>94</v>
      </c>
      <c r="AC248" t="s">
        <v>92</v>
      </c>
      <c r="AD248" t="s">
        <v>92</v>
      </c>
      <c r="AE248" t="s">
        <v>92</v>
      </c>
      <c r="AF248" t="s">
        <v>92</v>
      </c>
      <c r="AG248" t="s">
        <v>92</v>
      </c>
      <c r="AH248" t="s">
        <v>92</v>
      </c>
      <c r="AI248" t="s">
        <v>92</v>
      </c>
      <c r="AJ248" t="s">
        <v>94</v>
      </c>
      <c r="AK248" t="s">
        <v>92</v>
      </c>
      <c r="AL248" t="s">
        <v>94</v>
      </c>
      <c r="AM248" t="s">
        <v>92</v>
      </c>
      <c r="AN248" t="s">
        <v>94</v>
      </c>
      <c r="AO248" t="s">
        <v>92</v>
      </c>
      <c r="AP248" t="s">
        <v>92</v>
      </c>
      <c r="AQ248" t="s">
        <v>92</v>
      </c>
      <c r="AR248" t="s">
        <v>94</v>
      </c>
      <c r="AS248" t="s">
        <v>94</v>
      </c>
      <c r="AT248" t="s">
        <v>94</v>
      </c>
      <c r="AU248" t="s">
        <v>94</v>
      </c>
      <c r="AV248" t="s">
        <v>95</v>
      </c>
      <c r="AW248" t="s">
        <v>94</v>
      </c>
      <c r="AX248" t="s">
        <v>94</v>
      </c>
      <c r="AY248" t="s">
        <v>94</v>
      </c>
      <c r="AZ248" t="s">
        <v>93</v>
      </c>
      <c r="BA248" t="s">
        <v>92</v>
      </c>
      <c r="BB248" t="s">
        <v>94</v>
      </c>
      <c r="BC248" t="s">
        <v>94</v>
      </c>
      <c r="BD248" t="s">
        <v>94</v>
      </c>
      <c r="BE248" t="s">
        <v>94</v>
      </c>
      <c r="BF248" t="s">
        <v>94</v>
      </c>
      <c r="BG248" t="s">
        <v>92</v>
      </c>
      <c r="BH248" t="s">
        <v>94</v>
      </c>
    </row>
    <row r="249" spans="1:60" x14ac:dyDescent="0.3">
      <c r="A249">
        <v>24</v>
      </c>
      <c r="B249" t="s">
        <v>70</v>
      </c>
      <c r="C249" t="s">
        <v>157</v>
      </c>
      <c r="D249" t="s">
        <v>149</v>
      </c>
      <c r="E249" t="s">
        <v>108</v>
      </c>
      <c r="F249" t="s">
        <v>98</v>
      </c>
      <c r="G249" t="s">
        <v>135</v>
      </c>
      <c r="H249" t="s">
        <v>136</v>
      </c>
      <c r="I249" t="s">
        <v>76</v>
      </c>
      <c r="J249" t="s">
        <v>77</v>
      </c>
      <c r="K249" t="s">
        <v>122</v>
      </c>
      <c r="L249" t="s">
        <v>79</v>
      </c>
      <c r="M249" t="s">
        <v>132</v>
      </c>
      <c r="N249" t="s">
        <v>79</v>
      </c>
      <c r="O249" t="s">
        <v>117</v>
      </c>
      <c r="P249" t="s">
        <v>79</v>
      </c>
      <c r="Q249" t="s">
        <v>83</v>
      </c>
      <c r="R249" t="s">
        <v>79</v>
      </c>
      <c r="S249" t="s">
        <v>226</v>
      </c>
      <c r="T249" t="s">
        <v>155</v>
      </c>
      <c r="U249" t="s">
        <v>79</v>
      </c>
      <c r="V249" t="s">
        <v>86</v>
      </c>
      <c r="W249" t="s">
        <v>87</v>
      </c>
      <c r="X249" t="s">
        <v>112</v>
      </c>
      <c r="Y249" t="s">
        <v>94</v>
      </c>
      <c r="Z249" t="s">
        <v>92</v>
      </c>
      <c r="AA249" t="s">
        <v>92</v>
      </c>
      <c r="AB249" t="s">
        <v>92</v>
      </c>
      <c r="AC249" t="s">
        <v>92</v>
      </c>
      <c r="AD249" t="s">
        <v>94</v>
      </c>
      <c r="AE249" t="s">
        <v>94</v>
      </c>
      <c r="AF249" t="s">
        <v>94</v>
      </c>
      <c r="AG249" t="s">
        <v>92</v>
      </c>
      <c r="AH249" t="s">
        <v>92</v>
      </c>
      <c r="AI249" t="s">
        <v>92</v>
      </c>
      <c r="AJ249" t="s">
        <v>92</v>
      </c>
      <c r="AK249" t="s">
        <v>92</v>
      </c>
      <c r="AL249" t="s">
        <v>94</v>
      </c>
      <c r="AM249" t="s">
        <v>94</v>
      </c>
      <c r="AN249" t="s">
        <v>94</v>
      </c>
      <c r="AO249" t="s">
        <v>92</v>
      </c>
      <c r="AP249" t="s">
        <v>92</v>
      </c>
      <c r="AQ249" t="s">
        <v>92</v>
      </c>
      <c r="AR249" t="s">
        <v>94</v>
      </c>
      <c r="AS249" t="s">
        <v>94</v>
      </c>
      <c r="AT249" t="s">
        <v>94</v>
      </c>
      <c r="AU249" t="s">
        <v>94</v>
      </c>
      <c r="AV249" t="s">
        <v>92</v>
      </c>
      <c r="AW249" t="s">
        <v>92</v>
      </c>
      <c r="AX249" t="s">
        <v>94</v>
      </c>
      <c r="AY249" t="s">
        <v>94</v>
      </c>
      <c r="AZ249" t="s">
        <v>94</v>
      </c>
      <c r="BA249" t="s">
        <v>94</v>
      </c>
      <c r="BB249" t="s">
        <v>92</v>
      </c>
      <c r="BC249" t="s">
        <v>92</v>
      </c>
      <c r="BD249" t="s">
        <v>94</v>
      </c>
      <c r="BE249" t="s">
        <v>94</v>
      </c>
      <c r="BF249" t="s">
        <v>94</v>
      </c>
      <c r="BG249" t="s">
        <v>94</v>
      </c>
      <c r="BH249" t="s">
        <v>92</v>
      </c>
    </row>
    <row r="250" spans="1:60" x14ac:dyDescent="0.3">
      <c r="A250">
        <v>24</v>
      </c>
      <c r="B250" t="s">
        <v>70</v>
      </c>
      <c r="C250" t="s">
        <v>113</v>
      </c>
      <c r="D250" t="s">
        <v>149</v>
      </c>
      <c r="E250" t="s">
        <v>108</v>
      </c>
      <c r="F250" t="s">
        <v>98</v>
      </c>
      <c r="G250" t="s">
        <v>135</v>
      </c>
      <c r="H250" t="s">
        <v>100</v>
      </c>
      <c r="I250" t="s">
        <v>75</v>
      </c>
      <c r="J250" t="s">
        <v>77</v>
      </c>
      <c r="K250" t="s">
        <v>122</v>
      </c>
      <c r="L250" t="s">
        <v>79</v>
      </c>
      <c r="M250" t="s">
        <v>80</v>
      </c>
      <c r="N250" t="s">
        <v>79</v>
      </c>
      <c r="O250" t="s">
        <v>117</v>
      </c>
      <c r="P250" t="s">
        <v>79</v>
      </c>
      <c r="Q250" t="s">
        <v>83</v>
      </c>
      <c r="R250" t="s">
        <v>79</v>
      </c>
      <c r="S250" t="s">
        <v>84</v>
      </c>
      <c r="T250" t="s">
        <v>85</v>
      </c>
      <c r="U250" t="s">
        <v>79</v>
      </c>
      <c r="V250" t="s">
        <v>86</v>
      </c>
      <c r="W250" t="s">
        <v>120</v>
      </c>
      <c r="X250" t="s">
        <v>127</v>
      </c>
      <c r="Y250" t="s">
        <v>94</v>
      </c>
      <c r="Z250" t="s">
        <v>92</v>
      </c>
      <c r="AA250" t="s">
        <v>92</v>
      </c>
      <c r="AB250" t="s">
        <v>94</v>
      </c>
      <c r="AC250" t="s">
        <v>92</v>
      </c>
      <c r="AD250" t="s">
        <v>92</v>
      </c>
      <c r="AE250" t="s">
        <v>92</v>
      </c>
      <c r="AF250" t="s">
        <v>94</v>
      </c>
      <c r="AG250" t="s">
        <v>94</v>
      </c>
      <c r="AH250" t="s">
        <v>94</v>
      </c>
      <c r="AI250" t="s">
        <v>92</v>
      </c>
      <c r="AJ250" t="s">
        <v>92</v>
      </c>
      <c r="AK250" t="s">
        <v>92</v>
      </c>
      <c r="AL250" t="s">
        <v>92</v>
      </c>
      <c r="AM250" t="s">
        <v>94</v>
      </c>
      <c r="AN250" t="s">
        <v>94</v>
      </c>
      <c r="AO250" t="s">
        <v>92</v>
      </c>
      <c r="AP250" t="s">
        <v>92</v>
      </c>
      <c r="AQ250" t="s">
        <v>94</v>
      </c>
      <c r="AR250" t="s">
        <v>94</v>
      </c>
      <c r="AS250" t="s">
        <v>94</v>
      </c>
      <c r="AT250" t="s">
        <v>92</v>
      </c>
      <c r="AU250" t="s">
        <v>94</v>
      </c>
      <c r="AV250" t="s">
        <v>92</v>
      </c>
      <c r="AW250" t="s">
        <v>92</v>
      </c>
      <c r="AX250" t="s">
        <v>92</v>
      </c>
      <c r="AY250" t="s">
        <v>92</v>
      </c>
      <c r="AZ250" t="s">
        <v>94</v>
      </c>
      <c r="BA250" t="s">
        <v>94</v>
      </c>
      <c r="BB250" t="s">
        <v>92</v>
      </c>
      <c r="BC250" t="s">
        <v>92</v>
      </c>
      <c r="BD250" t="s">
        <v>94</v>
      </c>
      <c r="BE250" t="s">
        <v>94</v>
      </c>
      <c r="BF250" t="s">
        <v>94</v>
      </c>
      <c r="BG250" t="s">
        <v>92</v>
      </c>
      <c r="BH250" t="s">
        <v>92</v>
      </c>
    </row>
    <row r="251" spans="1:60" x14ac:dyDescent="0.3">
      <c r="A251">
        <v>23</v>
      </c>
      <c r="B251" t="s">
        <v>70</v>
      </c>
      <c r="C251" t="s">
        <v>113</v>
      </c>
      <c r="D251" t="s">
        <v>72</v>
      </c>
      <c r="E251" t="s">
        <v>108</v>
      </c>
      <c r="F251" t="s">
        <v>98</v>
      </c>
      <c r="G251" t="s">
        <v>135</v>
      </c>
      <c r="H251" t="s">
        <v>100</v>
      </c>
      <c r="I251" t="s">
        <v>76</v>
      </c>
      <c r="J251" t="s">
        <v>77</v>
      </c>
      <c r="K251" t="s">
        <v>122</v>
      </c>
      <c r="L251" t="s">
        <v>79</v>
      </c>
      <c r="M251" t="s">
        <v>80</v>
      </c>
      <c r="N251" t="s">
        <v>79</v>
      </c>
      <c r="O251" t="s">
        <v>138</v>
      </c>
      <c r="P251" t="s">
        <v>79</v>
      </c>
      <c r="Q251" t="s">
        <v>118</v>
      </c>
      <c r="R251" t="s">
        <v>79</v>
      </c>
      <c r="S251" t="s">
        <v>137</v>
      </c>
      <c r="T251" t="s">
        <v>150</v>
      </c>
      <c r="U251" t="s">
        <v>79</v>
      </c>
      <c r="V251" t="s">
        <v>86</v>
      </c>
      <c r="W251" t="s">
        <v>141</v>
      </c>
      <c r="X251" t="s">
        <v>127</v>
      </c>
      <c r="Y251" t="s">
        <v>94</v>
      </c>
      <c r="Z251" t="s">
        <v>92</v>
      </c>
      <c r="AA251" t="s">
        <v>92</v>
      </c>
      <c r="AB251" t="s">
        <v>92</v>
      </c>
      <c r="AC251" t="s">
        <v>94</v>
      </c>
      <c r="AD251" t="s">
        <v>92</v>
      </c>
      <c r="AE251" t="s">
        <v>92</v>
      </c>
      <c r="AF251" t="s">
        <v>92</v>
      </c>
      <c r="AG251" t="s">
        <v>92</v>
      </c>
      <c r="AH251" t="s">
        <v>92</v>
      </c>
      <c r="AI251" t="s">
        <v>94</v>
      </c>
      <c r="AJ251" t="s">
        <v>94</v>
      </c>
      <c r="AK251" t="s">
        <v>94</v>
      </c>
      <c r="AL251" t="s">
        <v>92</v>
      </c>
      <c r="AM251" t="s">
        <v>92</v>
      </c>
      <c r="AN251" t="s">
        <v>94</v>
      </c>
      <c r="AO251" t="s">
        <v>92</v>
      </c>
      <c r="AP251" t="s">
        <v>92</v>
      </c>
      <c r="AQ251" t="s">
        <v>92</v>
      </c>
      <c r="AR251" t="s">
        <v>94</v>
      </c>
      <c r="AS251" t="s">
        <v>94</v>
      </c>
      <c r="AT251" t="s">
        <v>94</v>
      </c>
      <c r="AU251" t="s">
        <v>94</v>
      </c>
      <c r="AV251" t="s">
        <v>92</v>
      </c>
      <c r="AW251" t="s">
        <v>92</v>
      </c>
      <c r="AX251" t="s">
        <v>92</v>
      </c>
      <c r="AY251" t="s">
        <v>92</v>
      </c>
      <c r="AZ251" t="s">
        <v>94</v>
      </c>
      <c r="BA251" t="s">
        <v>94</v>
      </c>
      <c r="BB251" t="s">
        <v>92</v>
      </c>
      <c r="BC251" t="s">
        <v>92</v>
      </c>
      <c r="BD251" t="s">
        <v>92</v>
      </c>
      <c r="BE251" t="s">
        <v>92</v>
      </c>
      <c r="BF251" t="s">
        <v>92</v>
      </c>
      <c r="BG251" t="s">
        <v>92</v>
      </c>
      <c r="BH251" t="s">
        <v>92</v>
      </c>
    </row>
    <row r="252" spans="1:60" x14ac:dyDescent="0.3">
      <c r="A252">
        <v>22</v>
      </c>
      <c r="B252" t="s">
        <v>70</v>
      </c>
      <c r="C252" t="s">
        <v>113</v>
      </c>
      <c r="D252" t="s">
        <v>72</v>
      </c>
      <c r="E252" t="s">
        <v>108</v>
      </c>
      <c r="F252" t="s">
        <v>98</v>
      </c>
      <c r="G252" t="s">
        <v>135</v>
      </c>
      <c r="H252" t="s">
        <v>98</v>
      </c>
      <c r="I252" t="s">
        <v>76</v>
      </c>
      <c r="J252" t="s">
        <v>77</v>
      </c>
      <c r="K252" t="s">
        <v>122</v>
      </c>
      <c r="L252" t="s">
        <v>79</v>
      </c>
      <c r="M252" t="s">
        <v>80</v>
      </c>
      <c r="N252" t="s">
        <v>79</v>
      </c>
      <c r="O252" t="s">
        <v>179</v>
      </c>
      <c r="P252" t="s">
        <v>79</v>
      </c>
      <c r="Q252" t="s">
        <v>118</v>
      </c>
      <c r="R252" t="s">
        <v>79</v>
      </c>
      <c r="S252" t="s">
        <v>248</v>
      </c>
      <c r="T252" t="s">
        <v>167</v>
      </c>
      <c r="U252" t="s">
        <v>79</v>
      </c>
      <c r="V252" t="s">
        <v>86</v>
      </c>
      <c r="W252" t="s">
        <v>120</v>
      </c>
      <c r="X252" t="s">
        <v>127</v>
      </c>
      <c r="Y252" t="s">
        <v>94</v>
      </c>
      <c r="Z252" t="s">
        <v>92</v>
      </c>
      <c r="AA252" t="s">
        <v>92</v>
      </c>
      <c r="AB252" t="s">
        <v>94</v>
      </c>
      <c r="AC252" t="s">
        <v>94</v>
      </c>
      <c r="AD252" t="s">
        <v>92</v>
      </c>
      <c r="AE252" t="s">
        <v>94</v>
      </c>
      <c r="AF252" t="s">
        <v>92</v>
      </c>
      <c r="AG252" t="s">
        <v>92</v>
      </c>
      <c r="AH252" t="s">
        <v>92</v>
      </c>
      <c r="AI252" t="s">
        <v>92</v>
      </c>
      <c r="AJ252" t="s">
        <v>94</v>
      </c>
      <c r="AK252" t="s">
        <v>94</v>
      </c>
      <c r="AL252" t="s">
        <v>92</v>
      </c>
      <c r="AM252" t="s">
        <v>92</v>
      </c>
      <c r="AN252" t="s">
        <v>94</v>
      </c>
      <c r="AO252" t="s">
        <v>94</v>
      </c>
      <c r="AP252" t="s">
        <v>94</v>
      </c>
      <c r="AQ252" t="s">
        <v>94</v>
      </c>
      <c r="AR252" t="s">
        <v>92</v>
      </c>
      <c r="AS252" t="s">
        <v>92</v>
      </c>
      <c r="AT252" t="s">
        <v>92</v>
      </c>
      <c r="AU252" t="s">
        <v>92</v>
      </c>
      <c r="AV252" t="s">
        <v>92</v>
      </c>
      <c r="AW252" t="s">
        <v>94</v>
      </c>
      <c r="AX252" t="s">
        <v>94</v>
      </c>
      <c r="AY252" t="s">
        <v>94</v>
      </c>
      <c r="AZ252" t="s">
        <v>94</v>
      </c>
      <c r="BA252" t="s">
        <v>94</v>
      </c>
      <c r="BB252" t="s">
        <v>92</v>
      </c>
      <c r="BC252" t="s">
        <v>92</v>
      </c>
      <c r="BD252" t="s">
        <v>92</v>
      </c>
      <c r="BE252" t="s">
        <v>94</v>
      </c>
      <c r="BF252" t="s">
        <v>94</v>
      </c>
      <c r="BG252" t="s">
        <v>94</v>
      </c>
      <c r="BH252" t="s">
        <v>92</v>
      </c>
    </row>
    <row r="253" spans="1:60" x14ac:dyDescent="0.3">
      <c r="A253">
        <v>22</v>
      </c>
      <c r="B253" t="s">
        <v>128</v>
      </c>
      <c r="C253" t="s">
        <v>96</v>
      </c>
      <c r="D253" t="s">
        <v>72</v>
      </c>
      <c r="E253" t="s">
        <v>114</v>
      </c>
      <c r="F253" t="s">
        <v>136</v>
      </c>
      <c r="G253" t="s">
        <v>135</v>
      </c>
      <c r="H253" t="s">
        <v>100</v>
      </c>
      <c r="I253" t="s">
        <v>166</v>
      </c>
      <c r="J253" t="s">
        <v>77</v>
      </c>
      <c r="K253" t="s">
        <v>122</v>
      </c>
      <c r="L253" t="s">
        <v>79</v>
      </c>
      <c r="M253" t="s">
        <v>80</v>
      </c>
      <c r="N253" t="s">
        <v>79</v>
      </c>
      <c r="O253" t="s">
        <v>138</v>
      </c>
      <c r="P253" t="s">
        <v>79</v>
      </c>
      <c r="Q253" t="s">
        <v>83</v>
      </c>
      <c r="R253" t="s">
        <v>79</v>
      </c>
      <c r="S253" t="s">
        <v>223</v>
      </c>
      <c r="T253" t="s">
        <v>85</v>
      </c>
      <c r="U253" t="s">
        <v>79</v>
      </c>
      <c r="V253" t="s">
        <v>148</v>
      </c>
      <c r="W253" t="s">
        <v>120</v>
      </c>
      <c r="X253" t="s">
        <v>112</v>
      </c>
      <c r="Y253" t="s">
        <v>94</v>
      </c>
      <c r="Z253" t="s">
        <v>92</v>
      </c>
      <c r="AA253" t="s">
        <v>92</v>
      </c>
      <c r="AB253" t="s">
        <v>94</v>
      </c>
      <c r="AC253" t="s">
        <v>92</v>
      </c>
      <c r="AD253" t="s">
        <v>92</v>
      </c>
      <c r="AE253" t="s">
        <v>94</v>
      </c>
      <c r="AF253" t="s">
        <v>92</v>
      </c>
      <c r="AG253" t="s">
        <v>94</v>
      </c>
      <c r="AH253" t="s">
        <v>92</v>
      </c>
      <c r="AI253" t="s">
        <v>92</v>
      </c>
      <c r="AJ253" t="s">
        <v>92</v>
      </c>
      <c r="AK253" t="s">
        <v>92</v>
      </c>
      <c r="AL253" t="s">
        <v>94</v>
      </c>
      <c r="AM253" t="s">
        <v>92</v>
      </c>
      <c r="AN253" t="s">
        <v>94</v>
      </c>
      <c r="AO253" t="s">
        <v>92</v>
      </c>
      <c r="AP253" t="s">
        <v>92</v>
      </c>
      <c r="AQ253" t="s">
        <v>94</v>
      </c>
      <c r="AR253" t="s">
        <v>94</v>
      </c>
      <c r="AS253" t="s">
        <v>92</v>
      </c>
      <c r="AT253" t="s">
        <v>92</v>
      </c>
      <c r="AU253" t="s">
        <v>94</v>
      </c>
      <c r="AV253" t="s">
        <v>92</v>
      </c>
      <c r="AW253" t="s">
        <v>92</v>
      </c>
      <c r="AX253" t="s">
        <v>94</v>
      </c>
      <c r="AY253" t="s">
        <v>94</v>
      </c>
      <c r="AZ253" t="s">
        <v>92</v>
      </c>
      <c r="BA253" t="s">
        <v>94</v>
      </c>
      <c r="BB253" t="s">
        <v>92</v>
      </c>
      <c r="BC253" t="s">
        <v>92</v>
      </c>
      <c r="BD253" t="s">
        <v>94</v>
      </c>
      <c r="BE253" t="s">
        <v>94</v>
      </c>
      <c r="BF253" t="s">
        <v>94</v>
      </c>
      <c r="BG253" t="s">
        <v>92</v>
      </c>
      <c r="BH253" t="s">
        <v>94</v>
      </c>
    </row>
    <row r="254" spans="1:60" x14ac:dyDescent="0.3">
      <c r="A254">
        <v>23</v>
      </c>
      <c r="B254" t="s">
        <v>70</v>
      </c>
      <c r="C254" t="s">
        <v>96</v>
      </c>
      <c r="D254" t="s">
        <v>72</v>
      </c>
      <c r="E254" t="s">
        <v>108</v>
      </c>
      <c r="F254" t="s">
        <v>136</v>
      </c>
      <c r="G254" t="s">
        <v>115</v>
      </c>
      <c r="H254" t="s">
        <v>100</v>
      </c>
      <c r="I254" t="s">
        <v>76</v>
      </c>
      <c r="J254" t="s">
        <v>77</v>
      </c>
      <c r="K254" t="s">
        <v>122</v>
      </c>
      <c r="L254" t="s">
        <v>79</v>
      </c>
      <c r="M254" t="s">
        <v>80</v>
      </c>
      <c r="N254" t="s">
        <v>79</v>
      </c>
      <c r="O254" t="s">
        <v>179</v>
      </c>
      <c r="P254" t="s">
        <v>79</v>
      </c>
      <c r="Q254" t="s">
        <v>83</v>
      </c>
      <c r="R254" t="s">
        <v>82</v>
      </c>
      <c r="S254" t="s">
        <v>142</v>
      </c>
      <c r="T254" t="s">
        <v>124</v>
      </c>
      <c r="U254" t="s">
        <v>79</v>
      </c>
      <c r="V254" t="s">
        <v>86</v>
      </c>
      <c r="W254" t="s">
        <v>87</v>
      </c>
      <c r="X254" t="s">
        <v>127</v>
      </c>
      <c r="Y254" t="s">
        <v>94</v>
      </c>
      <c r="Z254" t="s">
        <v>92</v>
      </c>
      <c r="AA254" t="s">
        <v>92</v>
      </c>
      <c r="AB254" t="s">
        <v>94</v>
      </c>
      <c r="AC254" t="s">
        <v>92</v>
      </c>
      <c r="AD254" t="s">
        <v>92</v>
      </c>
      <c r="AE254" t="s">
        <v>94</v>
      </c>
      <c r="AF254" t="s">
        <v>92</v>
      </c>
      <c r="AG254" t="s">
        <v>92</v>
      </c>
      <c r="AH254" t="s">
        <v>94</v>
      </c>
      <c r="AI254" t="s">
        <v>92</v>
      </c>
      <c r="AJ254" t="s">
        <v>92</v>
      </c>
      <c r="AK254" t="s">
        <v>92</v>
      </c>
      <c r="AL254" t="s">
        <v>94</v>
      </c>
      <c r="AM254" t="s">
        <v>92</v>
      </c>
      <c r="AN254" t="s">
        <v>94</v>
      </c>
      <c r="AO254" t="s">
        <v>92</v>
      </c>
      <c r="AP254" t="s">
        <v>92</v>
      </c>
      <c r="AQ254" t="s">
        <v>94</v>
      </c>
      <c r="AR254" t="s">
        <v>92</v>
      </c>
      <c r="AS254" t="s">
        <v>92</v>
      </c>
      <c r="AT254" t="s">
        <v>94</v>
      </c>
      <c r="AU254" t="s">
        <v>94</v>
      </c>
      <c r="AV254" t="s">
        <v>94</v>
      </c>
      <c r="AW254" t="s">
        <v>92</v>
      </c>
      <c r="AX254" t="s">
        <v>94</v>
      </c>
      <c r="AY254" t="s">
        <v>94</v>
      </c>
      <c r="AZ254" t="s">
        <v>94</v>
      </c>
      <c r="BA254" t="s">
        <v>94</v>
      </c>
      <c r="BB254" t="s">
        <v>92</v>
      </c>
      <c r="BC254" t="s">
        <v>92</v>
      </c>
      <c r="BD254" t="s">
        <v>92</v>
      </c>
      <c r="BE254" t="s">
        <v>94</v>
      </c>
      <c r="BF254" t="s">
        <v>92</v>
      </c>
      <c r="BG254" t="s">
        <v>92</v>
      </c>
      <c r="BH254" t="s">
        <v>94</v>
      </c>
    </row>
    <row r="255" spans="1:60" x14ac:dyDescent="0.3">
      <c r="A255">
        <v>23</v>
      </c>
      <c r="B255" t="s">
        <v>70</v>
      </c>
      <c r="C255" t="s">
        <v>113</v>
      </c>
      <c r="D255" t="s">
        <v>72</v>
      </c>
      <c r="E255" t="s">
        <v>114</v>
      </c>
      <c r="F255" t="s">
        <v>74</v>
      </c>
      <c r="G255" t="s">
        <v>115</v>
      </c>
      <c r="H255" t="s">
        <v>98</v>
      </c>
      <c r="I255" t="s">
        <v>76</v>
      </c>
      <c r="J255" t="s">
        <v>77</v>
      </c>
      <c r="K255" t="s">
        <v>78</v>
      </c>
      <c r="L255" t="s">
        <v>79</v>
      </c>
      <c r="M255" t="s">
        <v>80</v>
      </c>
      <c r="N255" t="s">
        <v>79</v>
      </c>
      <c r="O255" t="s">
        <v>179</v>
      </c>
      <c r="P255" t="s">
        <v>79</v>
      </c>
      <c r="Q255" t="s">
        <v>83</v>
      </c>
      <c r="R255" t="s">
        <v>79</v>
      </c>
      <c r="S255" t="s">
        <v>84</v>
      </c>
      <c r="T255" t="s">
        <v>181</v>
      </c>
      <c r="U255" t="s">
        <v>79</v>
      </c>
      <c r="V255" t="s">
        <v>86</v>
      </c>
      <c r="W255" t="s">
        <v>141</v>
      </c>
      <c r="X255" t="s">
        <v>127</v>
      </c>
      <c r="Y255" t="s">
        <v>94</v>
      </c>
      <c r="Z255" t="s">
        <v>92</v>
      </c>
      <c r="AA255" t="s">
        <v>92</v>
      </c>
      <c r="AB255" t="s">
        <v>94</v>
      </c>
      <c r="AC255" t="s">
        <v>94</v>
      </c>
      <c r="AD255" t="s">
        <v>94</v>
      </c>
      <c r="AE255" t="s">
        <v>92</v>
      </c>
      <c r="AF255" t="s">
        <v>92</v>
      </c>
      <c r="AG255" t="s">
        <v>92</v>
      </c>
      <c r="AH255" t="s">
        <v>94</v>
      </c>
      <c r="AI255" t="s">
        <v>94</v>
      </c>
      <c r="AJ255" t="s">
        <v>94</v>
      </c>
      <c r="AK255" t="s">
        <v>94</v>
      </c>
      <c r="AL255" t="s">
        <v>92</v>
      </c>
      <c r="AM255" t="s">
        <v>92</v>
      </c>
      <c r="AN255" t="s">
        <v>94</v>
      </c>
      <c r="AO255" t="s">
        <v>92</v>
      </c>
      <c r="AP255" t="s">
        <v>92</v>
      </c>
      <c r="AQ255" t="s">
        <v>92</v>
      </c>
      <c r="AR255" t="s">
        <v>94</v>
      </c>
      <c r="AS255" t="s">
        <v>94</v>
      </c>
      <c r="AT255" t="s">
        <v>94</v>
      </c>
      <c r="AU255" t="s">
        <v>94</v>
      </c>
      <c r="AV255" t="s">
        <v>94</v>
      </c>
      <c r="AW255" t="s">
        <v>94</v>
      </c>
      <c r="AX255" t="s">
        <v>92</v>
      </c>
      <c r="AY255" t="s">
        <v>92</v>
      </c>
      <c r="AZ255" t="s">
        <v>92</v>
      </c>
      <c r="BA255" t="s">
        <v>94</v>
      </c>
      <c r="BB255" t="s">
        <v>92</v>
      </c>
      <c r="BC255" t="s">
        <v>92</v>
      </c>
      <c r="BD255" t="s">
        <v>94</v>
      </c>
      <c r="BE255" t="s">
        <v>94</v>
      </c>
      <c r="BF255" t="s">
        <v>94</v>
      </c>
      <c r="BG255" t="s">
        <v>94</v>
      </c>
      <c r="BH255" t="s">
        <v>92</v>
      </c>
    </row>
    <row r="256" spans="1:60" x14ac:dyDescent="0.3">
      <c r="A256">
        <v>23</v>
      </c>
      <c r="B256" t="s">
        <v>70</v>
      </c>
      <c r="C256" t="s">
        <v>113</v>
      </c>
      <c r="D256" t="s">
        <v>72</v>
      </c>
      <c r="E256" t="s">
        <v>108</v>
      </c>
      <c r="F256" t="s">
        <v>98</v>
      </c>
      <c r="G256" t="s">
        <v>135</v>
      </c>
      <c r="H256" t="s">
        <v>100</v>
      </c>
      <c r="I256" t="s">
        <v>76</v>
      </c>
      <c r="J256" t="s">
        <v>77</v>
      </c>
      <c r="K256" t="s">
        <v>122</v>
      </c>
      <c r="L256" t="s">
        <v>79</v>
      </c>
      <c r="M256" t="s">
        <v>80</v>
      </c>
      <c r="N256" t="s">
        <v>79</v>
      </c>
      <c r="O256" t="s">
        <v>138</v>
      </c>
      <c r="P256" t="s">
        <v>79</v>
      </c>
      <c r="Q256" t="s">
        <v>83</v>
      </c>
      <c r="R256" t="s">
        <v>79</v>
      </c>
      <c r="S256" t="s">
        <v>84</v>
      </c>
      <c r="T256" t="s">
        <v>130</v>
      </c>
      <c r="U256" t="s">
        <v>79</v>
      </c>
      <c r="V256" t="s">
        <v>86</v>
      </c>
      <c r="W256" t="s">
        <v>141</v>
      </c>
      <c r="X256" t="s">
        <v>127</v>
      </c>
      <c r="Y256" t="s">
        <v>94</v>
      </c>
      <c r="Z256" t="s">
        <v>92</v>
      </c>
      <c r="AA256" t="s">
        <v>94</v>
      </c>
      <c r="AB256" t="s">
        <v>94</v>
      </c>
      <c r="AC256" t="s">
        <v>92</v>
      </c>
      <c r="AD256" t="s">
        <v>94</v>
      </c>
      <c r="AE256" t="s">
        <v>94</v>
      </c>
      <c r="AF256" t="s">
        <v>95</v>
      </c>
      <c r="AG256" t="s">
        <v>94</v>
      </c>
      <c r="AH256" t="s">
        <v>94</v>
      </c>
      <c r="AI256" t="s">
        <v>95</v>
      </c>
      <c r="AJ256" t="s">
        <v>95</v>
      </c>
      <c r="AK256" t="s">
        <v>95</v>
      </c>
      <c r="AL256" t="s">
        <v>94</v>
      </c>
      <c r="AM256" t="s">
        <v>94</v>
      </c>
      <c r="AN256" t="s">
        <v>94</v>
      </c>
      <c r="AO256" t="s">
        <v>92</v>
      </c>
      <c r="AP256" t="s">
        <v>92</v>
      </c>
      <c r="AQ256" t="s">
        <v>92</v>
      </c>
      <c r="AR256" t="s">
        <v>94</v>
      </c>
      <c r="AS256" t="s">
        <v>94</v>
      </c>
      <c r="AT256" t="s">
        <v>94</v>
      </c>
      <c r="AU256" t="s">
        <v>92</v>
      </c>
      <c r="AV256" t="s">
        <v>92</v>
      </c>
      <c r="AW256" t="s">
        <v>92</v>
      </c>
      <c r="AX256" t="s">
        <v>94</v>
      </c>
      <c r="AY256" t="s">
        <v>94</v>
      </c>
      <c r="AZ256" t="s">
        <v>95</v>
      </c>
      <c r="BA256" t="s">
        <v>94</v>
      </c>
      <c r="BB256" t="s">
        <v>92</v>
      </c>
      <c r="BC256" t="s">
        <v>92</v>
      </c>
      <c r="BD256" t="s">
        <v>92</v>
      </c>
      <c r="BE256" t="s">
        <v>94</v>
      </c>
      <c r="BF256" t="s">
        <v>94</v>
      </c>
      <c r="BG256" t="s">
        <v>94</v>
      </c>
      <c r="BH256" t="s">
        <v>94</v>
      </c>
    </row>
    <row r="257" spans="1:60" x14ac:dyDescent="0.3">
      <c r="A257">
        <v>23</v>
      </c>
      <c r="B257" t="s">
        <v>70</v>
      </c>
      <c r="C257" t="s">
        <v>113</v>
      </c>
      <c r="D257" t="s">
        <v>72</v>
      </c>
      <c r="E257" t="s">
        <v>108</v>
      </c>
      <c r="F257" t="s">
        <v>98</v>
      </c>
      <c r="G257" t="s">
        <v>135</v>
      </c>
      <c r="H257" t="s">
        <v>98</v>
      </c>
      <c r="I257" t="s">
        <v>76</v>
      </c>
      <c r="J257" t="s">
        <v>77</v>
      </c>
      <c r="K257" t="s">
        <v>122</v>
      </c>
      <c r="L257" t="s">
        <v>79</v>
      </c>
      <c r="M257" t="s">
        <v>80</v>
      </c>
      <c r="N257" t="s">
        <v>79</v>
      </c>
      <c r="O257" t="s">
        <v>138</v>
      </c>
      <c r="P257" t="s">
        <v>82</v>
      </c>
      <c r="Q257" t="s">
        <v>83</v>
      </c>
      <c r="R257" t="s">
        <v>79</v>
      </c>
      <c r="S257" t="s">
        <v>123</v>
      </c>
      <c r="T257" t="s">
        <v>124</v>
      </c>
      <c r="U257" t="s">
        <v>79</v>
      </c>
      <c r="V257" t="s">
        <v>86</v>
      </c>
      <c r="W257" t="s">
        <v>141</v>
      </c>
      <c r="X257" t="s">
        <v>112</v>
      </c>
      <c r="Y257" t="s">
        <v>94</v>
      </c>
      <c r="Z257" t="s">
        <v>92</v>
      </c>
      <c r="AA257" t="s">
        <v>92</v>
      </c>
      <c r="AB257" t="s">
        <v>92</v>
      </c>
      <c r="AC257" t="s">
        <v>94</v>
      </c>
      <c r="AD257" t="s">
        <v>92</v>
      </c>
      <c r="AE257" t="s">
        <v>92</v>
      </c>
      <c r="AF257" t="s">
        <v>94</v>
      </c>
      <c r="AG257" t="s">
        <v>94</v>
      </c>
      <c r="AH257" t="s">
        <v>94</v>
      </c>
      <c r="AI257" t="s">
        <v>94</v>
      </c>
      <c r="AJ257" t="s">
        <v>92</v>
      </c>
      <c r="AK257" t="s">
        <v>94</v>
      </c>
      <c r="AL257" t="s">
        <v>94</v>
      </c>
      <c r="AM257" t="s">
        <v>94</v>
      </c>
      <c r="AN257" t="s">
        <v>94</v>
      </c>
      <c r="AO257" t="s">
        <v>94</v>
      </c>
      <c r="AP257" t="s">
        <v>94</v>
      </c>
      <c r="AQ257" t="s">
        <v>94</v>
      </c>
      <c r="AR257" t="s">
        <v>94</v>
      </c>
      <c r="AS257" t="s">
        <v>94</v>
      </c>
      <c r="AT257" t="s">
        <v>92</v>
      </c>
      <c r="AU257" t="s">
        <v>94</v>
      </c>
      <c r="AV257" t="s">
        <v>92</v>
      </c>
      <c r="AW257" t="s">
        <v>92</v>
      </c>
      <c r="AX257" t="s">
        <v>92</v>
      </c>
      <c r="AY257" t="s">
        <v>94</v>
      </c>
      <c r="AZ257" t="s">
        <v>94</v>
      </c>
      <c r="BA257" t="s">
        <v>94</v>
      </c>
      <c r="BB257" t="s">
        <v>94</v>
      </c>
      <c r="BC257" t="s">
        <v>92</v>
      </c>
      <c r="BD257" t="s">
        <v>95</v>
      </c>
      <c r="BE257" t="s">
        <v>94</v>
      </c>
      <c r="BF257" t="s">
        <v>94</v>
      </c>
      <c r="BG257" t="s">
        <v>92</v>
      </c>
      <c r="BH257" t="s">
        <v>94</v>
      </c>
    </row>
    <row r="258" spans="1:60" x14ac:dyDescent="0.3">
      <c r="A258">
        <v>22</v>
      </c>
      <c r="B258" t="s">
        <v>70</v>
      </c>
      <c r="C258" t="s">
        <v>96</v>
      </c>
      <c r="D258" t="s">
        <v>72</v>
      </c>
      <c r="E258" t="s">
        <v>108</v>
      </c>
      <c r="F258" t="s">
        <v>136</v>
      </c>
      <c r="G258" t="s">
        <v>135</v>
      </c>
      <c r="H258" t="s">
        <v>98</v>
      </c>
      <c r="I258" t="s">
        <v>76</v>
      </c>
      <c r="J258" t="s">
        <v>77</v>
      </c>
      <c r="K258" t="s">
        <v>122</v>
      </c>
      <c r="L258" t="s">
        <v>79</v>
      </c>
      <c r="M258" t="s">
        <v>80</v>
      </c>
      <c r="N258" t="s">
        <v>79</v>
      </c>
      <c r="O258" t="s">
        <v>138</v>
      </c>
      <c r="P258" t="s">
        <v>79</v>
      </c>
      <c r="Q258" t="s">
        <v>83</v>
      </c>
      <c r="R258" t="s">
        <v>79</v>
      </c>
      <c r="S258" t="s">
        <v>110</v>
      </c>
      <c r="T258" t="s">
        <v>85</v>
      </c>
      <c r="U258" t="s">
        <v>79</v>
      </c>
      <c r="V258" t="s">
        <v>86</v>
      </c>
      <c r="W258" t="s">
        <v>120</v>
      </c>
      <c r="X258" t="s">
        <v>127</v>
      </c>
      <c r="Y258" t="s">
        <v>94</v>
      </c>
      <c r="Z258" t="s">
        <v>92</v>
      </c>
      <c r="AA258" t="s">
        <v>92</v>
      </c>
      <c r="AB258" t="s">
        <v>94</v>
      </c>
      <c r="AC258" t="s">
        <v>94</v>
      </c>
      <c r="AD258" t="s">
        <v>94</v>
      </c>
      <c r="AE258" t="s">
        <v>94</v>
      </c>
      <c r="AF258" t="s">
        <v>92</v>
      </c>
      <c r="AG258" t="s">
        <v>93</v>
      </c>
      <c r="AH258" t="s">
        <v>92</v>
      </c>
      <c r="AI258" t="s">
        <v>92</v>
      </c>
      <c r="AJ258" t="s">
        <v>94</v>
      </c>
      <c r="AK258" t="s">
        <v>92</v>
      </c>
      <c r="AL258" t="s">
        <v>92</v>
      </c>
      <c r="AM258" t="s">
        <v>92</v>
      </c>
      <c r="AN258" t="s">
        <v>94</v>
      </c>
      <c r="AO258" t="s">
        <v>92</v>
      </c>
      <c r="AP258" t="s">
        <v>92</v>
      </c>
      <c r="AQ258" t="s">
        <v>92</v>
      </c>
      <c r="AR258" t="s">
        <v>94</v>
      </c>
      <c r="AS258" t="s">
        <v>94</v>
      </c>
      <c r="AT258" t="s">
        <v>92</v>
      </c>
      <c r="AU258" t="s">
        <v>92</v>
      </c>
      <c r="AV258" t="s">
        <v>92</v>
      </c>
      <c r="AW258" t="s">
        <v>92</v>
      </c>
      <c r="AX258" t="s">
        <v>94</v>
      </c>
      <c r="AY258" t="s">
        <v>94</v>
      </c>
      <c r="AZ258" t="s">
        <v>94</v>
      </c>
      <c r="BA258" t="s">
        <v>92</v>
      </c>
      <c r="BB258" t="s">
        <v>92</v>
      </c>
      <c r="BC258" t="s">
        <v>94</v>
      </c>
      <c r="BD258" t="s">
        <v>94</v>
      </c>
      <c r="BE258" t="s">
        <v>94</v>
      </c>
      <c r="BF258" t="s">
        <v>94</v>
      </c>
      <c r="BG258" t="s">
        <v>94</v>
      </c>
      <c r="BH258" t="s">
        <v>94</v>
      </c>
    </row>
    <row r="259" spans="1:60" x14ac:dyDescent="0.3">
      <c r="A259">
        <v>23</v>
      </c>
      <c r="B259" t="s">
        <v>128</v>
      </c>
      <c r="C259" t="s">
        <v>113</v>
      </c>
      <c r="D259" t="s">
        <v>72</v>
      </c>
      <c r="E259" t="s">
        <v>108</v>
      </c>
      <c r="F259" t="s">
        <v>98</v>
      </c>
      <c r="G259" t="s">
        <v>135</v>
      </c>
      <c r="H259" t="s">
        <v>98</v>
      </c>
      <c r="I259" t="s">
        <v>76</v>
      </c>
      <c r="J259" t="s">
        <v>77</v>
      </c>
      <c r="K259" t="s">
        <v>122</v>
      </c>
      <c r="L259" t="s">
        <v>79</v>
      </c>
      <c r="M259" t="s">
        <v>80</v>
      </c>
      <c r="N259" t="s">
        <v>79</v>
      </c>
      <c r="O259" t="s">
        <v>138</v>
      </c>
      <c r="P259" t="s">
        <v>79</v>
      </c>
      <c r="Q259" t="s">
        <v>83</v>
      </c>
      <c r="R259" t="s">
        <v>79</v>
      </c>
      <c r="S259" t="s">
        <v>84</v>
      </c>
      <c r="T259" t="s">
        <v>85</v>
      </c>
      <c r="U259" t="s">
        <v>79</v>
      </c>
      <c r="V259" t="s">
        <v>86</v>
      </c>
      <c r="W259" t="s">
        <v>120</v>
      </c>
      <c r="X259" t="s">
        <v>127</v>
      </c>
      <c r="Y259" t="s">
        <v>94</v>
      </c>
      <c r="Z259" t="s">
        <v>95</v>
      </c>
      <c r="AA259" t="s">
        <v>95</v>
      </c>
      <c r="AB259" t="s">
        <v>95</v>
      </c>
      <c r="AC259" t="s">
        <v>92</v>
      </c>
      <c r="AD259" t="s">
        <v>92</v>
      </c>
      <c r="AE259" t="s">
        <v>92</v>
      </c>
      <c r="AF259" t="s">
        <v>94</v>
      </c>
      <c r="AG259" t="s">
        <v>92</v>
      </c>
      <c r="AH259" t="s">
        <v>93</v>
      </c>
      <c r="AI259" t="s">
        <v>93</v>
      </c>
      <c r="AJ259" t="s">
        <v>93</v>
      </c>
      <c r="AK259" t="s">
        <v>92</v>
      </c>
      <c r="AL259" t="s">
        <v>92</v>
      </c>
      <c r="AM259" t="s">
        <v>92</v>
      </c>
      <c r="AN259" t="s">
        <v>92</v>
      </c>
      <c r="AO259" t="s">
        <v>94</v>
      </c>
      <c r="AP259" t="s">
        <v>94</v>
      </c>
      <c r="AQ259" t="s">
        <v>92</v>
      </c>
      <c r="AR259" t="s">
        <v>92</v>
      </c>
      <c r="AS259" t="s">
        <v>94</v>
      </c>
      <c r="AT259" t="s">
        <v>92</v>
      </c>
      <c r="AU259" t="s">
        <v>94</v>
      </c>
      <c r="AV259" t="s">
        <v>94</v>
      </c>
      <c r="AW259" t="s">
        <v>92</v>
      </c>
      <c r="AX259" t="s">
        <v>92</v>
      </c>
      <c r="AY259" t="s">
        <v>94</v>
      </c>
      <c r="AZ259" t="s">
        <v>94</v>
      </c>
      <c r="BA259" t="s">
        <v>94</v>
      </c>
      <c r="BB259" t="s">
        <v>92</v>
      </c>
      <c r="BC259" t="s">
        <v>94</v>
      </c>
      <c r="BD259" t="s">
        <v>95</v>
      </c>
      <c r="BE259" t="s">
        <v>95</v>
      </c>
      <c r="BF259" t="s">
        <v>92</v>
      </c>
      <c r="BG259" t="s">
        <v>94</v>
      </c>
      <c r="BH259" t="s">
        <v>94</v>
      </c>
    </row>
    <row r="260" spans="1:60" x14ac:dyDescent="0.3">
      <c r="A260">
        <v>24</v>
      </c>
      <c r="B260" t="s">
        <v>70</v>
      </c>
      <c r="C260" t="s">
        <v>113</v>
      </c>
      <c r="D260" t="s">
        <v>72</v>
      </c>
      <c r="E260" t="s">
        <v>73</v>
      </c>
      <c r="F260" t="s">
        <v>98</v>
      </c>
      <c r="G260" t="s">
        <v>135</v>
      </c>
      <c r="H260" t="s">
        <v>100</v>
      </c>
      <c r="I260" t="s">
        <v>76</v>
      </c>
      <c r="J260" t="s">
        <v>77</v>
      </c>
      <c r="K260" t="s">
        <v>122</v>
      </c>
      <c r="L260" t="s">
        <v>79</v>
      </c>
      <c r="M260" t="s">
        <v>80</v>
      </c>
      <c r="N260" t="s">
        <v>79</v>
      </c>
      <c r="O260" t="s">
        <v>138</v>
      </c>
      <c r="P260" t="s">
        <v>79</v>
      </c>
      <c r="Q260" t="s">
        <v>118</v>
      </c>
      <c r="R260" t="s">
        <v>79</v>
      </c>
      <c r="S260" t="s">
        <v>84</v>
      </c>
      <c r="T260" t="s">
        <v>85</v>
      </c>
      <c r="U260" t="s">
        <v>79</v>
      </c>
      <c r="V260" t="s">
        <v>86</v>
      </c>
      <c r="W260" t="s">
        <v>87</v>
      </c>
      <c r="X260" t="s">
        <v>112</v>
      </c>
      <c r="Y260" t="s">
        <v>94</v>
      </c>
      <c r="Z260" t="s">
        <v>92</v>
      </c>
      <c r="AA260" t="s">
        <v>92</v>
      </c>
      <c r="AB260" t="s">
        <v>92</v>
      </c>
      <c r="AC260" t="s">
        <v>92</v>
      </c>
      <c r="AD260" t="s">
        <v>94</v>
      </c>
      <c r="AE260" t="s">
        <v>95</v>
      </c>
      <c r="AF260" t="s">
        <v>95</v>
      </c>
      <c r="AG260" t="s">
        <v>95</v>
      </c>
      <c r="AH260" t="s">
        <v>95</v>
      </c>
      <c r="AI260" t="s">
        <v>92</v>
      </c>
      <c r="AJ260" t="s">
        <v>93</v>
      </c>
      <c r="AK260" t="s">
        <v>93</v>
      </c>
      <c r="AL260" t="s">
        <v>93</v>
      </c>
      <c r="AM260" t="s">
        <v>95</v>
      </c>
      <c r="AN260" t="s">
        <v>94</v>
      </c>
      <c r="AO260" t="s">
        <v>92</v>
      </c>
      <c r="AP260" t="s">
        <v>94</v>
      </c>
      <c r="AQ260" t="s">
        <v>95</v>
      </c>
      <c r="AR260" t="s">
        <v>94</v>
      </c>
      <c r="AS260" t="s">
        <v>92</v>
      </c>
      <c r="AT260" t="s">
        <v>92</v>
      </c>
      <c r="AU260" t="s">
        <v>94</v>
      </c>
      <c r="AV260" t="s">
        <v>94</v>
      </c>
      <c r="AW260" t="s">
        <v>92</v>
      </c>
      <c r="AX260" t="s">
        <v>92</v>
      </c>
      <c r="AY260" t="s">
        <v>94</v>
      </c>
      <c r="AZ260" t="s">
        <v>94</v>
      </c>
      <c r="BA260" t="s">
        <v>94</v>
      </c>
      <c r="BB260" t="s">
        <v>92</v>
      </c>
      <c r="BC260" t="s">
        <v>92</v>
      </c>
      <c r="BD260" t="s">
        <v>94</v>
      </c>
      <c r="BE260" t="s">
        <v>95</v>
      </c>
      <c r="BF260" t="s">
        <v>94</v>
      </c>
      <c r="BG260" t="s">
        <v>94</v>
      </c>
      <c r="BH260" t="s">
        <v>94</v>
      </c>
    </row>
    <row r="261" spans="1:60" x14ac:dyDescent="0.3">
      <c r="A261">
        <v>22</v>
      </c>
      <c r="B261" t="s">
        <v>70</v>
      </c>
      <c r="C261" t="s">
        <v>113</v>
      </c>
      <c r="D261" t="s">
        <v>72</v>
      </c>
      <c r="E261" t="s">
        <v>108</v>
      </c>
      <c r="F261" t="s">
        <v>98</v>
      </c>
      <c r="G261" t="s">
        <v>135</v>
      </c>
      <c r="H261" t="s">
        <v>98</v>
      </c>
      <c r="I261" t="s">
        <v>76</v>
      </c>
      <c r="J261" t="s">
        <v>77</v>
      </c>
      <c r="K261" t="s">
        <v>122</v>
      </c>
      <c r="L261" t="s">
        <v>79</v>
      </c>
      <c r="M261" t="s">
        <v>80</v>
      </c>
      <c r="N261" t="s">
        <v>79</v>
      </c>
      <c r="O261" t="s">
        <v>138</v>
      </c>
      <c r="P261" t="s">
        <v>79</v>
      </c>
      <c r="Q261" t="s">
        <v>83</v>
      </c>
      <c r="R261" t="s">
        <v>79</v>
      </c>
      <c r="S261" t="s">
        <v>142</v>
      </c>
      <c r="T261" t="s">
        <v>124</v>
      </c>
      <c r="U261" t="s">
        <v>82</v>
      </c>
      <c r="V261" t="s">
        <v>86</v>
      </c>
      <c r="W261" t="s">
        <v>87</v>
      </c>
      <c r="X261" t="s">
        <v>127</v>
      </c>
      <c r="Y261" t="s">
        <v>94</v>
      </c>
      <c r="Z261" t="s">
        <v>92</v>
      </c>
      <c r="AA261" t="s">
        <v>92</v>
      </c>
      <c r="AB261" t="s">
        <v>92</v>
      </c>
      <c r="AC261" t="s">
        <v>92</v>
      </c>
      <c r="AD261" t="s">
        <v>92</v>
      </c>
      <c r="AE261" t="s">
        <v>94</v>
      </c>
      <c r="AF261" t="s">
        <v>94</v>
      </c>
      <c r="AG261" t="s">
        <v>92</v>
      </c>
      <c r="AH261" t="s">
        <v>92</v>
      </c>
      <c r="AI261" t="s">
        <v>94</v>
      </c>
      <c r="AJ261" t="s">
        <v>94</v>
      </c>
      <c r="AK261" t="s">
        <v>92</v>
      </c>
      <c r="AL261" t="s">
        <v>92</v>
      </c>
      <c r="AM261" t="s">
        <v>92</v>
      </c>
      <c r="AN261" t="s">
        <v>94</v>
      </c>
      <c r="AO261" t="s">
        <v>92</v>
      </c>
      <c r="AP261" t="s">
        <v>92</v>
      </c>
      <c r="AQ261" t="s">
        <v>92</v>
      </c>
      <c r="AR261" t="s">
        <v>94</v>
      </c>
      <c r="AS261" t="s">
        <v>94</v>
      </c>
      <c r="AT261" t="s">
        <v>94</v>
      </c>
      <c r="AU261" t="s">
        <v>94</v>
      </c>
      <c r="AV261" t="s">
        <v>94</v>
      </c>
      <c r="AW261" t="s">
        <v>95</v>
      </c>
      <c r="AX261" t="s">
        <v>94</v>
      </c>
      <c r="AY261" t="s">
        <v>92</v>
      </c>
      <c r="AZ261" t="s">
        <v>92</v>
      </c>
      <c r="BA261" t="s">
        <v>94</v>
      </c>
      <c r="BB261" t="s">
        <v>92</v>
      </c>
      <c r="BC261" t="s">
        <v>94</v>
      </c>
      <c r="BD261" t="s">
        <v>94</v>
      </c>
      <c r="BE261" t="s">
        <v>92</v>
      </c>
      <c r="BF261" t="s">
        <v>95</v>
      </c>
      <c r="BG261" t="s">
        <v>94</v>
      </c>
      <c r="BH261" t="s">
        <v>94</v>
      </c>
    </row>
    <row r="262" spans="1:60" x14ac:dyDescent="0.3">
      <c r="A262">
        <v>22</v>
      </c>
      <c r="B262" t="s">
        <v>128</v>
      </c>
      <c r="C262" t="s">
        <v>113</v>
      </c>
      <c r="D262" t="s">
        <v>72</v>
      </c>
      <c r="E262" t="s">
        <v>73</v>
      </c>
      <c r="F262" t="s">
        <v>74</v>
      </c>
      <c r="G262" t="s">
        <v>99</v>
      </c>
      <c r="H262" t="s">
        <v>136</v>
      </c>
      <c r="I262" t="s">
        <v>115</v>
      </c>
      <c r="J262" t="s">
        <v>101</v>
      </c>
      <c r="K262" t="s">
        <v>78</v>
      </c>
      <c r="L262" t="s">
        <v>79</v>
      </c>
      <c r="M262" t="s">
        <v>80</v>
      </c>
      <c r="N262" t="s">
        <v>79</v>
      </c>
      <c r="O262" t="s">
        <v>138</v>
      </c>
      <c r="P262" t="s">
        <v>82</v>
      </c>
      <c r="Q262" t="s">
        <v>103</v>
      </c>
      <c r="R262" t="s">
        <v>82</v>
      </c>
      <c r="S262" t="s">
        <v>142</v>
      </c>
      <c r="T262" t="s">
        <v>151</v>
      </c>
      <c r="U262" t="s">
        <v>82</v>
      </c>
      <c r="V262" t="s">
        <v>86</v>
      </c>
      <c r="W262" t="s">
        <v>120</v>
      </c>
      <c r="X262" t="s">
        <v>88</v>
      </c>
      <c r="Y262" t="s">
        <v>94</v>
      </c>
      <c r="Z262" t="s">
        <v>92</v>
      </c>
      <c r="AA262" t="s">
        <v>92</v>
      </c>
      <c r="AB262" t="s">
        <v>94</v>
      </c>
      <c r="AC262" t="s">
        <v>95</v>
      </c>
      <c r="AD262" t="s">
        <v>94</v>
      </c>
      <c r="AE262" t="s">
        <v>92</v>
      </c>
      <c r="AF262" t="s">
        <v>92</v>
      </c>
      <c r="AG262" t="s">
        <v>95</v>
      </c>
      <c r="AH262" t="s">
        <v>94</v>
      </c>
      <c r="AI262" t="s">
        <v>94</v>
      </c>
      <c r="AJ262" t="s">
        <v>92</v>
      </c>
      <c r="AK262" t="s">
        <v>94</v>
      </c>
      <c r="AL262" t="s">
        <v>95</v>
      </c>
      <c r="AM262" t="s">
        <v>94</v>
      </c>
      <c r="AN262" t="s">
        <v>94</v>
      </c>
      <c r="AO262" t="s">
        <v>92</v>
      </c>
      <c r="AP262" t="s">
        <v>95</v>
      </c>
      <c r="AQ262" t="s">
        <v>94</v>
      </c>
      <c r="AR262" t="s">
        <v>94</v>
      </c>
      <c r="AS262" t="s">
        <v>95</v>
      </c>
      <c r="AT262" t="s">
        <v>94</v>
      </c>
      <c r="AU262" t="s">
        <v>92</v>
      </c>
      <c r="AV262" t="s">
        <v>92</v>
      </c>
      <c r="AW262" t="s">
        <v>95</v>
      </c>
      <c r="AX262" t="s">
        <v>94</v>
      </c>
      <c r="AY262" t="s">
        <v>92</v>
      </c>
      <c r="AZ262" t="s">
        <v>94</v>
      </c>
      <c r="BA262" t="s">
        <v>94</v>
      </c>
      <c r="BB262" t="s">
        <v>92</v>
      </c>
      <c r="BC262" t="s">
        <v>95</v>
      </c>
      <c r="BD262" t="s">
        <v>92</v>
      </c>
      <c r="BE262" t="s">
        <v>92</v>
      </c>
      <c r="BF262" t="s">
        <v>92</v>
      </c>
      <c r="BG262" t="s">
        <v>94</v>
      </c>
      <c r="BH262" t="s">
        <v>94</v>
      </c>
    </row>
    <row r="263" spans="1:60" x14ac:dyDescent="0.3">
      <c r="A263">
        <v>24</v>
      </c>
      <c r="B263" t="s">
        <v>70</v>
      </c>
      <c r="C263" t="s">
        <v>71</v>
      </c>
      <c r="D263" t="s">
        <v>72</v>
      </c>
      <c r="E263" t="s">
        <v>108</v>
      </c>
      <c r="F263" t="s">
        <v>98</v>
      </c>
      <c r="G263" t="s">
        <v>166</v>
      </c>
      <c r="H263" t="s">
        <v>98</v>
      </c>
      <c r="I263" t="s">
        <v>76</v>
      </c>
      <c r="J263" t="s">
        <v>77</v>
      </c>
      <c r="K263" t="s">
        <v>122</v>
      </c>
      <c r="L263" t="s">
        <v>79</v>
      </c>
      <c r="M263" t="s">
        <v>80</v>
      </c>
      <c r="N263" t="s">
        <v>79</v>
      </c>
      <c r="O263" t="s">
        <v>138</v>
      </c>
      <c r="P263" t="s">
        <v>79</v>
      </c>
      <c r="Q263" t="s">
        <v>118</v>
      </c>
      <c r="R263" t="s">
        <v>79</v>
      </c>
      <c r="S263" t="s">
        <v>84</v>
      </c>
      <c r="T263" t="s">
        <v>85</v>
      </c>
      <c r="U263" t="s">
        <v>82</v>
      </c>
      <c r="V263" t="s">
        <v>86</v>
      </c>
      <c r="W263" t="s">
        <v>120</v>
      </c>
      <c r="X263" t="s">
        <v>127</v>
      </c>
      <c r="Y263" t="s">
        <v>92</v>
      </c>
      <c r="Z263" t="s">
        <v>94</v>
      </c>
      <c r="AA263" t="s">
        <v>94</v>
      </c>
      <c r="AB263" t="s">
        <v>94</v>
      </c>
      <c r="AC263" t="s">
        <v>92</v>
      </c>
      <c r="AD263" t="s">
        <v>92</v>
      </c>
      <c r="AE263" t="s">
        <v>94</v>
      </c>
      <c r="AF263" t="s">
        <v>94</v>
      </c>
      <c r="AG263" t="s">
        <v>94</v>
      </c>
      <c r="AH263" t="s">
        <v>92</v>
      </c>
      <c r="AI263" t="s">
        <v>92</v>
      </c>
      <c r="AJ263" t="s">
        <v>92</v>
      </c>
      <c r="AK263" t="s">
        <v>94</v>
      </c>
      <c r="AL263" t="s">
        <v>94</v>
      </c>
      <c r="AM263" t="s">
        <v>92</v>
      </c>
      <c r="AN263" t="s">
        <v>94</v>
      </c>
      <c r="AO263" t="s">
        <v>94</v>
      </c>
      <c r="AP263" t="s">
        <v>95</v>
      </c>
      <c r="AQ263" t="s">
        <v>95</v>
      </c>
      <c r="AR263" t="s">
        <v>94</v>
      </c>
      <c r="AS263" t="s">
        <v>94</v>
      </c>
      <c r="AT263" t="s">
        <v>94</v>
      </c>
      <c r="AU263" t="s">
        <v>94</v>
      </c>
      <c r="AV263" t="s">
        <v>92</v>
      </c>
      <c r="AW263" t="s">
        <v>94</v>
      </c>
      <c r="AX263" t="s">
        <v>94</v>
      </c>
      <c r="AY263" t="s">
        <v>95</v>
      </c>
      <c r="AZ263" t="s">
        <v>95</v>
      </c>
      <c r="BA263" t="s">
        <v>94</v>
      </c>
      <c r="BB263" t="s">
        <v>92</v>
      </c>
      <c r="BC263" t="s">
        <v>92</v>
      </c>
      <c r="BD263" t="s">
        <v>94</v>
      </c>
      <c r="BE263" t="s">
        <v>94</v>
      </c>
      <c r="BF263" t="s">
        <v>94</v>
      </c>
      <c r="BG263" t="s">
        <v>95</v>
      </c>
      <c r="BH263" t="s">
        <v>94</v>
      </c>
    </row>
    <row r="264" spans="1:60" x14ac:dyDescent="0.3">
      <c r="A264">
        <v>23</v>
      </c>
      <c r="B264" t="s">
        <v>70</v>
      </c>
      <c r="C264" t="s">
        <v>113</v>
      </c>
      <c r="D264" t="s">
        <v>72</v>
      </c>
      <c r="E264" t="s">
        <v>73</v>
      </c>
      <c r="F264" t="s">
        <v>98</v>
      </c>
      <c r="G264" t="s">
        <v>135</v>
      </c>
      <c r="H264" t="s">
        <v>98</v>
      </c>
      <c r="I264" t="s">
        <v>76</v>
      </c>
      <c r="J264" t="s">
        <v>77</v>
      </c>
      <c r="K264" t="s">
        <v>125</v>
      </c>
      <c r="L264" t="s">
        <v>79</v>
      </c>
      <c r="M264" t="s">
        <v>80</v>
      </c>
      <c r="N264" t="s">
        <v>79</v>
      </c>
      <c r="O264" t="s">
        <v>81</v>
      </c>
      <c r="P264" t="s">
        <v>79</v>
      </c>
      <c r="Q264" t="s">
        <v>83</v>
      </c>
      <c r="R264" t="s">
        <v>79</v>
      </c>
      <c r="S264" t="s">
        <v>84</v>
      </c>
      <c r="T264" t="s">
        <v>85</v>
      </c>
      <c r="U264" t="s">
        <v>79</v>
      </c>
      <c r="V264" t="s">
        <v>86</v>
      </c>
      <c r="W264" t="s">
        <v>120</v>
      </c>
      <c r="X264" t="s">
        <v>127</v>
      </c>
      <c r="Y264" t="s">
        <v>94</v>
      </c>
      <c r="Z264" t="s">
        <v>92</v>
      </c>
      <c r="AA264" t="s">
        <v>92</v>
      </c>
      <c r="AB264" t="s">
        <v>92</v>
      </c>
      <c r="AC264" t="s">
        <v>94</v>
      </c>
      <c r="AD264" t="s">
        <v>94</v>
      </c>
      <c r="AE264" t="s">
        <v>94</v>
      </c>
      <c r="AF264" t="s">
        <v>92</v>
      </c>
      <c r="AG264" t="s">
        <v>92</v>
      </c>
      <c r="AH264" t="s">
        <v>93</v>
      </c>
      <c r="AI264" t="s">
        <v>93</v>
      </c>
      <c r="AJ264" t="s">
        <v>94</v>
      </c>
      <c r="AK264" t="s">
        <v>92</v>
      </c>
      <c r="AL264" t="s">
        <v>93</v>
      </c>
      <c r="AM264" t="s">
        <v>92</v>
      </c>
      <c r="AN264" t="s">
        <v>94</v>
      </c>
      <c r="AO264" t="s">
        <v>95</v>
      </c>
      <c r="AP264" t="s">
        <v>92</v>
      </c>
      <c r="AQ264" t="s">
        <v>94</v>
      </c>
      <c r="AR264" t="s">
        <v>92</v>
      </c>
      <c r="AS264" t="s">
        <v>94</v>
      </c>
      <c r="AT264" t="s">
        <v>94</v>
      </c>
      <c r="AU264" t="s">
        <v>92</v>
      </c>
      <c r="AV264" t="s">
        <v>92</v>
      </c>
      <c r="AW264" t="s">
        <v>94</v>
      </c>
      <c r="AX264" t="s">
        <v>94</v>
      </c>
      <c r="AY264" t="s">
        <v>92</v>
      </c>
      <c r="AZ264" t="s">
        <v>92</v>
      </c>
      <c r="BA264" t="s">
        <v>94</v>
      </c>
      <c r="BB264" t="s">
        <v>94</v>
      </c>
      <c r="BC264" t="s">
        <v>92</v>
      </c>
      <c r="BD264" t="s">
        <v>95</v>
      </c>
      <c r="BE264" t="s">
        <v>94</v>
      </c>
      <c r="BF264" t="s">
        <v>94</v>
      </c>
      <c r="BG264" t="s">
        <v>92</v>
      </c>
      <c r="BH264" t="s">
        <v>92</v>
      </c>
    </row>
    <row r="265" spans="1:60" x14ac:dyDescent="0.3">
      <c r="A265">
        <v>23</v>
      </c>
      <c r="B265" t="s">
        <v>70</v>
      </c>
      <c r="C265" t="s">
        <v>113</v>
      </c>
      <c r="D265" t="s">
        <v>72</v>
      </c>
      <c r="E265" t="s">
        <v>108</v>
      </c>
      <c r="F265" t="s">
        <v>98</v>
      </c>
      <c r="G265" t="s">
        <v>135</v>
      </c>
      <c r="H265" t="s">
        <v>98</v>
      </c>
      <c r="I265" t="s">
        <v>115</v>
      </c>
      <c r="J265" t="s">
        <v>101</v>
      </c>
      <c r="K265" t="s">
        <v>78</v>
      </c>
      <c r="L265" t="s">
        <v>79</v>
      </c>
      <c r="M265" t="s">
        <v>80</v>
      </c>
      <c r="N265" t="s">
        <v>82</v>
      </c>
      <c r="O265" t="s">
        <v>179</v>
      </c>
      <c r="P265" t="s">
        <v>79</v>
      </c>
      <c r="Q265" t="s">
        <v>83</v>
      </c>
      <c r="R265" t="s">
        <v>79</v>
      </c>
      <c r="S265" t="s">
        <v>84</v>
      </c>
      <c r="T265" t="s">
        <v>85</v>
      </c>
      <c r="U265" t="s">
        <v>79</v>
      </c>
      <c r="V265" t="s">
        <v>86</v>
      </c>
      <c r="W265" t="s">
        <v>141</v>
      </c>
      <c r="X265" t="s">
        <v>127</v>
      </c>
      <c r="Y265" t="s">
        <v>94</v>
      </c>
      <c r="Z265" t="s">
        <v>94</v>
      </c>
      <c r="AA265" t="s">
        <v>94</v>
      </c>
      <c r="AB265" t="s">
        <v>92</v>
      </c>
      <c r="AC265" t="s">
        <v>92</v>
      </c>
      <c r="AD265" t="s">
        <v>94</v>
      </c>
      <c r="AE265" t="s">
        <v>95</v>
      </c>
      <c r="AF265" t="s">
        <v>95</v>
      </c>
      <c r="AG265" t="s">
        <v>92</v>
      </c>
      <c r="AH265" t="s">
        <v>92</v>
      </c>
      <c r="AI265" t="s">
        <v>94</v>
      </c>
      <c r="AJ265" t="s">
        <v>95</v>
      </c>
      <c r="AK265" t="s">
        <v>95</v>
      </c>
      <c r="AL265" t="s">
        <v>95</v>
      </c>
      <c r="AM265" t="s">
        <v>92</v>
      </c>
      <c r="AN265" t="s">
        <v>94</v>
      </c>
      <c r="AO265" t="s">
        <v>95</v>
      </c>
      <c r="AP265" t="s">
        <v>95</v>
      </c>
      <c r="AQ265" t="s">
        <v>92</v>
      </c>
      <c r="AR265" t="s">
        <v>92</v>
      </c>
      <c r="AS265" t="s">
        <v>94</v>
      </c>
      <c r="AT265" t="s">
        <v>94</v>
      </c>
      <c r="AU265" t="s">
        <v>92</v>
      </c>
      <c r="AV265" t="s">
        <v>92</v>
      </c>
      <c r="AW265" t="s">
        <v>94</v>
      </c>
      <c r="AX265" t="s">
        <v>94</v>
      </c>
      <c r="AY265" t="s">
        <v>95</v>
      </c>
      <c r="AZ265" t="s">
        <v>95</v>
      </c>
      <c r="BA265" t="s">
        <v>94</v>
      </c>
      <c r="BB265" t="s">
        <v>92</v>
      </c>
      <c r="BC265" t="s">
        <v>92</v>
      </c>
      <c r="BD265" t="s">
        <v>92</v>
      </c>
      <c r="BE265" t="s">
        <v>94</v>
      </c>
      <c r="BF265" t="s">
        <v>94</v>
      </c>
      <c r="BG265" t="s">
        <v>92</v>
      </c>
      <c r="BH265" t="s">
        <v>92</v>
      </c>
    </row>
    <row r="266" spans="1:60" x14ac:dyDescent="0.3">
      <c r="A266">
        <v>23</v>
      </c>
      <c r="B266" t="s">
        <v>70</v>
      </c>
      <c r="C266" t="s">
        <v>113</v>
      </c>
      <c r="D266" t="s">
        <v>72</v>
      </c>
      <c r="E266" t="s">
        <v>108</v>
      </c>
      <c r="F266" t="s">
        <v>136</v>
      </c>
      <c r="G266" t="s">
        <v>135</v>
      </c>
      <c r="H266" t="s">
        <v>98</v>
      </c>
      <c r="I266" t="s">
        <v>76</v>
      </c>
      <c r="J266" t="s">
        <v>77</v>
      </c>
      <c r="K266" t="s">
        <v>122</v>
      </c>
      <c r="L266" t="s">
        <v>79</v>
      </c>
      <c r="M266" t="s">
        <v>132</v>
      </c>
      <c r="N266" t="s">
        <v>79</v>
      </c>
      <c r="O266" t="s">
        <v>133</v>
      </c>
      <c r="P266" t="s">
        <v>79</v>
      </c>
      <c r="Q266" t="s">
        <v>83</v>
      </c>
      <c r="R266" t="s">
        <v>82</v>
      </c>
      <c r="S266" t="s">
        <v>142</v>
      </c>
      <c r="T266" t="s">
        <v>85</v>
      </c>
      <c r="U266" t="s">
        <v>79</v>
      </c>
      <c r="V266" t="s">
        <v>86</v>
      </c>
      <c r="W266" t="s">
        <v>120</v>
      </c>
      <c r="X266" t="s">
        <v>127</v>
      </c>
      <c r="Y266" t="s">
        <v>92</v>
      </c>
      <c r="Z266" t="s">
        <v>94</v>
      </c>
      <c r="AA266" t="s">
        <v>94</v>
      </c>
      <c r="AB266" t="s">
        <v>92</v>
      </c>
      <c r="AC266" t="s">
        <v>92</v>
      </c>
      <c r="AD266" t="s">
        <v>94</v>
      </c>
      <c r="AE266" t="s">
        <v>94</v>
      </c>
      <c r="AF266" t="s">
        <v>94</v>
      </c>
      <c r="AG266" t="s">
        <v>94</v>
      </c>
      <c r="AH266" t="s">
        <v>92</v>
      </c>
      <c r="AI266" t="s">
        <v>92</v>
      </c>
      <c r="AJ266" t="s">
        <v>92</v>
      </c>
      <c r="AK266" t="s">
        <v>93</v>
      </c>
      <c r="AL266" t="s">
        <v>93</v>
      </c>
      <c r="AM266" t="s">
        <v>92</v>
      </c>
      <c r="AN266" t="s">
        <v>94</v>
      </c>
      <c r="AO266" t="s">
        <v>95</v>
      </c>
      <c r="AP266" t="s">
        <v>94</v>
      </c>
      <c r="AQ266" t="s">
        <v>94</v>
      </c>
      <c r="AR266" t="s">
        <v>92</v>
      </c>
      <c r="AS266" t="s">
        <v>92</v>
      </c>
      <c r="AT266" t="s">
        <v>92</v>
      </c>
      <c r="AU266" t="s">
        <v>94</v>
      </c>
      <c r="AV266" t="s">
        <v>94</v>
      </c>
      <c r="AW266" t="s">
        <v>94</v>
      </c>
      <c r="AX266" t="s">
        <v>94</v>
      </c>
      <c r="AY266" t="s">
        <v>94</v>
      </c>
      <c r="AZ266" t="s">
        <v>92</v>
      </c>
      <c r="BA266" t="s">
        <v>92</v>
      </c>
      <c r="BB266" t="s">
        <v>92</v>
      </c>
      <c r="BC266" t="s">
        <v>92</v>
      </c>
      <c r="BD266" t="s">
        <v>92</v>
      </c>
      <c r="BE266" t="s">
        <v>92</v>
      </c>
      <c r="BF266" t="s">
        <v>92</v>
      </c>
      <c r="BG266" t="s">
        <v>95</v>
      </c>
      <c r="BH266" t="s">
        <v>95</v>
      </c>
    </row>
    <row r="267" spans="1:60" x14ac:dyDescent="0.3">
      <c r="A267">
        <v>24</v>
      </c>
      <c r="B267" t="s">
        <v>128</v>
      </c>
      <c r="C267" t="s">
        <v>113</v>
      </c>
      <c r="D267" t="s">
        <v>72</v>
      </c>
      <c r="E267" t="s">
        <v>73</v>
      </c>
      <c r="F267" t="s">
        <v>136</v>
      </c>
      <c r="G267" t="s">
        <v>135</v>
      </c>
      <c r="H267" t="s">
        <v>98</v>
      </c>
      <c r="I267" t="s">
        <v>115</v>
      </c>
      <c r="J267" t="s">
        <v>77</v>
      </c>
      <c r="K267" t="s">
        <v>122</v>
      </c>
      <c r="L267" t="s">
        <v>79</v>
      </c>
      <c r="M267" t="s">
        <v>80</v>
      </c>
      <c r="N267" t="s">
        <v>79</v>
      </c>
      <c r="O267" t="s">
        <v>138</v>
      </c>
      <c r="P267" t="s">
        <v>79</v>
      </c>
      <c r="Q267" t="s">
        <v>118</v>
      </c>
      <c r="R267" t="s">
        <v>79</v>
      </c>
      <c r="S267" t="s">
        <v>84</v>
      </c>
      <c r="T267" t="s">
        <v>85</v>
      </c>
      <c r="U267" t="s">
        <v>79</v>
      </c>
      <c r="V267" t="s">
        <v>86</v>
      </c>
      <c r="W267" t="s">
        <v>141</v>
      </c>
      <c r="X267" t="s">
        <v>127</v>
      </c>
      <c r="Y267" t="s">
        <v>92</v>
      </c>
      <c r="Z267" t="s">
        <v>94</v>
      </c>
      <c r="AA267" t="s">
        <v>94</v>
      </c>
      <c r="AB267" t="s">
        <v>92</v>
      </c>
      <c r="AC267" t="s">
        <v>92</v>
      </c>
      <c r="AD267" t="s">
        <v>94</v>
      </c>
      <c r="AE267" t="s">
        <v>94</v>
      </c>
      <c r="AF267" t="s">
        <v>94</v>
      </c>
      <c r="AG267" t="s">
        <v>94</v>
      </c>
      <c r="AH267" t="s">
        <v>92</v>
      </c>
      <c r="AI267" t="s">
        <v>92</v>
      </c>
      <c r="AJ267" t="s">
        <v>92</v>
      </c>
      <c r="AK267" t="s">
        <v>92</v>
      </c>
      <c r="AL267" t="s">
        <v>94</v>
      </c>
      <c r="AM267" t="s">
        <v>94</v>
      </c>
      <c r="AN267" t="s">
        <v>94</v>
      </c>
      <c r="AO267" t="s">
        <v>92</v>
      </c>
      <c r="AP267" t="s">
        <v>92</v>
      </c>
      <c r="AQ267" t="s">
        <v>94</v>
      </c>
      <c r="AR267" t="s">
        <v>95</v>
      </c>
      <c r="AS267" t="s">
        <v>94</v>
      </c>
      <c r="AT267" t="s">
        <v>94</v>
      </c>
      <c r="AU267" t="s">
        <v>92</v>
      </c>
      <c r="AV267" t="s">
        <v>92</v>
      </c>
      <c r="AW267" t="s">
        <v>92</v>
      </c>
      <c r="AX267" t="s">
        <v>94</v>
      </c>
      <c r="AY267" t="s">
        <v>94</v>
      </c>
      <c r="AZ267" t="s">
        <v>94</v>
      </c>
      <c r="BA267" t="s">
        <v>94</v>
      </c>
      <c r="BB267" t="s">
        <v>92</v>
      </c>
      <c r="BC267" t="s">
        <v>92</v>
      </c>
      <c r="BD267" t="s">
        <v>94</v>
      </c>
      <c r="BE267" t="s">
        <v>94</v>
      </c>
      <c r="BF267" t="s">
        <v>94</v>
      </c>
      <c r="BG267" t="s">
        <v>92</v>
      </c>
      <c r="BH267" t="s">
        <v>92</v>
      </c>
    </row>
    <row r="268" spans="1:60" x14ac:dyDescent="0.3">
      <c r="A268">
        <v>23</v>
      </c>
      <c r="B268" t="s">
        <v>70</v>
      </c>
      <c r="C268" t="s">
        <v>96</v>
      </c>
      <c r="D268" t="s">
        <v>72</v>
      </c>
      <c r="E268" t="s">
        <v>73</v>
      </c>
      <c r="F268" t="s">
        <v>136</v>
      </c>
      <c r="G268" t="s">
        <v>135</v>
      </c>
      <c r="H268" t="s">
        <v>98</v>
      </c>
      <c r="I268" t="s">
        <v>76</v>
      </c>
      <c r="J268" t="s">
        <v>77</v>
      </c>
      <c r="K268" t="s">
        <v>122</v>
      </c>
      <c r="L268" t="s">
        <v>79</v>
      </c>
      <c r="M268" t="s">
        <v>80</v>
      </c>
      <c r="N268" t="s">
        <v>79</v>
      </c>
      <c r="O268" t="s">
        <v>81</v>
      </c>
      <c r="P268" t="s">
        <v>79</v>
      </c>
      <c r="Q268" t="s">
        <v>83</v>
      </c>
      <c r="R268" t="s">
        <v>79</v>
      </c>
      <c r="S268" t="s">
        <v>249</v>
      </c>
      <c r="T268" t="s">
        <v>124</v>
      </c>
      <c r="U268" t="s">
        <v>79</v>
      </c>
      <c r="V268" t="s">
        <v>86</v>
      </c>
      <c r="W268" t="s">
        <v>141</v>
      </c>
      <c r="X268" t="s">
        <v>127</v>
      </c>
      <c r="Y268" t="s">
        <v>92</v>
      </c>
      <c r="Z268" t="s">
        <v>94</v>
      </c>
      <c r="AA268" t="s">
        <v>92</v>
      </c>
      <c r="AB268" t="s">
        <v>92</v>
      </c>
      <c r="AC268" t="s">
        <v>94</v>
      </c>
      <c r="AD268" t="s">
        <v>94</v>
      </c>
      <c r="AE268" t="s">
        <v>92</v>
      </c>
      <c r="AF268" t="s">
        <v>92</v>
      </c>
      <c r="AG268" t="s">
        <v>92</v>
      </c>
      <c r="AH268" t="s">
        <v>94</v>
      </c>
      <c r="AI268" t="s">
        <v>94</v>
      </c>
      <c r="AJ268" t="s">
        <v>92</v>
      </c>
      <c r="AK268" t="s">
        <v>92</v>
      </c>
      <c r="AL268" t="s">
        <v>92</v>
      </c>
      <c r="AM268" t="s">
        <v>92</v>
      </c>
      <c r="AN268" t="s">
        <v>94</v>
      </c>
      <c r="AO268" t="s">
        <v>92</v>
      </c>
      <c r="AP268" t="s">
        <v>94</v>
      </c>
      <c r="AQ268" t="s">
        <v>92</v>
      </c>
      <c r="AR268" t="s">
        <v>94</v>
      </c>
      <c r="AS268" t="s">
        <v>94</v>
      </c>
      <c r="AT268" t="s">
        <v>92</v>
      </c>
      <c r="AU268" t="s">
        <v>94</v>
      </c>
      <c r="AV268" t="s">
        <v>92</v>
      </c>
      <c r="AW268" t="s">
        <v>92</v>
      </c>
      <c r="AX268" t="s">
        <v>94</v>
      </c>
      <c r="AY268" t="s">
        <v>92</v>
      </c>
      <c r="AZ268" t="s">
        <v>94</v>
      </c>
      <c r="BA268" t="s">
        <v>94</v>
      </c>
      <c r="BB268" t="s">
        <v>94</v>
      </c>
      <c r="BC268" t="s">
        <v>94</v>
      </c>
      <c r="BD268" t="s">
        <v>92</v>
      </c>
      <c r="BE268" t="s">
        <v>92</v>
      </c>
      <c r="BF268" t="s">
        <v>93</v>
      </c>
      <c r="BG268" t="s">
        <v>93</v>
      </c>
      <c r="BH268" t="s">
        <v>92</v>
      </c>
    </row>
    <row r="269" spans="1:60" x14ac:dyDescent="0.3">
      <c r="A269">
        <v>23</v>
      </c>
      <c r="B269" t="s">
        <v>70</v>
      </c>
      <c r="C269" t="s">
        <v>113</v>
      </c>
      <c r="D269" t="s">
        <v>149</v>
      </c>
      <c r="E269" t="s">
        <v>73</v>
      </c>
      <c r="F269" t="s">
        <v>98</v>
      </c>
      <c r="G269" t="s">
        <v>135</v>
      </c>
      <c r="H269" t="s">
        <v>98</v>
      </c>
      <c r="I269" t="s">
        <v>115</v>
      </c>
      <c r="J269" t="s">
        <v>77</v>
      </c>
      <c r="K269" t="s">
        <v>122</v>
      </c>
      <c r="L269" t="s">
        <v>79</v>
      </c>
      <c r="M269" t="s">
        <v>80</v>
      </c>
      <c r="N269" t="s">
        <v>79</v>
      </c>
      <c r="O269" t="s">
        <v>138</v>
      </c>
      <c r="P269" t="s">
        <v>79</v>
      </c>
      <c r="Q269" t="s">
        <v>83</v>
      </c>
      <c r="R269" t="s">
        <v>79</v>
      </c>
      <c r="S269" t="s">
        <v>84</v>
      </c>
      <c r="T269" t="s">
        <v>167</v>
      </c>
      <c r="U269" t="s">
        <v>79</v>
      </c>
      <c r="V269" t="s">
        <v>148</v>
      </c>
      <c r="W269" t="s">
        <v>141</v>
      </c>
      <c r="X269" t="s">
        <v>127</v>
      </c>
      <c r="Y269" t="s">
        <v>94</v>
      </c>
      <c r="Z269" t="s">
        <v>92</v>
      </c>
      <c r="AA269" t="s">
        <v>92</v>
      </c>
      <c r="AB269" t="s">
        <v>92</v>
      </c>
      <c r="AC269" t="s">
        <v>92</v>
      </c>
      <c r="AD269" t="s">
        <v>94</v>
      </c>
      <c r="AE269" t="s">
        <v>94</v>
      </c>
      <c r="AF269" t="s">
        <v>92</v>
      </c>
      <c r="AG269" t="s">
        <v>92</v>
      </c>
      <c r="AH269" t="s">
        <v>92</v>
      </c>
      <c r="AI269" t="s">
        <v>92</v>
      </c>
      <c r="AJ269" t="s">
        <v>92</v>
      </c>
      <c r="AK269" t="s">
        <v>94</v>
      </c>
      <c r="AL269" t="s">
        <v>92</v>
      </c>
      <c r="AM269" t="s">
        <v>94</v>
      </c>
      <c r="AN269" t="s">
        <v>94</v>
      </c>
      <c r="AO269" t="s">
        <v>92</v>
      </c>
      <c r="AP269" t="s">
        <v>92</v>
      </c>
      <c r="AQ269" t="s">
        <v>94</v>
      </c>
      <c r="AR269" t="s">
        <v>92</v>
      </c>
      <c r="AS269" t="s">
        <v>92</v>
      </c>
      <c r="AT269" t="s">
        <v>94</v>
      </c>
      <c r="AU269" t="s">
        <v>94</v>
      </c>
      <c r="AV269" t="s">
        <v>92</v>
      </c>
      <c r="AW269" t="s">
        <v>92</v>
      </c>
      <c r="AX269" t="s">
        <v>94</v>
      </c>
      <c r="AY269" t="s">
        <v>92</v>
      </c>
      <c r="AZ269" t="s">
        <v>94</v>
      </c>
      <c r="BA269" t="s">
        <v>92</v>
      </c>
      <c r="BB269" t="s">
        <v>92</v>
      </c>
      <c r="BC269" t="s">
        <v>94</v>
      </c>
      <c r="BD269" t="s">
        <v>94</v>
      </c>
      <c r="BE269" t="s">
        <v>94</v>
      </c>
      <c r="BF269" t="s">
        <v>92</v>
      </c>
      <c r="BG269" t="s">
        <v>94</v>
      </c>
      <c r="BH269" t="s">
        <v>94</v>
      </c>
    </row>
    <row r="270" spans="1:60" x14ac:dyDescent="0.3">
      <c r="A270">
        <v>22</v>
      </c>
      <c r="B270" t="s">
        <v>70</v>
      </c>
      <c r="C270" t="s">
        <v>113</v>
      </c>
      <c r="D270" t="s">
        <v>72</v>
      </c>
      <c r="E270" t="s">
        <v>73</v>
      </c>
      <c r="F270" t="s">
        <v>98</v>
      </c>
      <c r="G270" t="s">
        <v>135</v>
      </c>
      <c r="H270" t="s">
        <v>98</v>
      </c>
      <c r="I270" t="s">
        <v>76</v>
      </c>
      <c r="J270" t="s">
        <v>77</v>
      </c>
      <c r="K270" t="s">
        <v>122</v>
      </c>
      <c r="L270" t="s">
        <v>79</v>
      </c>
      <c r="M270" t="s">
        <v>80</v>
      </c>
      <c r="N270" t="s">
        <v>79</v>
      </c>
      <c r="O270" t="s">
        <v>138</v>
      </c>
      <c r="P270" t="s">
        <v>79</v>
      </c>
      <c r="Q270" t="s">
        <v>83</v>
      </c>
      <c r="R270" t="s">
        <v>79</v>
      </c>
      <c r="S270" t="s">
        <v>142</v>
      </c>
      <c r="T270" t="s">
        <v>159</v>
      </c>
      <c r="U270" t="s">
        <v>79</v>
      </c>
      <c r="V270" t="s">
        <v>148</v>
      </c>
      <c r="W270" t="s">
        <v>141</v>
      </c>
      <c r="X270" t="s">
        <v>160</v>
      </c>
      <c r="Y270" t="s">
        <v>94</v>
      </c>
      <c r="Z270" t="s">
        <v>92</v>
      </c>
      <c r="AA270" t="s">
        <v>92</v>
      </c>
      <c r="AB270" t="s">
        <v>94</v>
      </c>
      <c r="AC270" t="s">
        <v>92</v>
      </c>
      <c r="AD270" t="s">
        <v>94</v>
      </c>
      <c r="AE270" t="s">
        <v>94</v>
      </c>
      <c r="AF270" t="s">
        <v>94</v>
      </c>
      <c r="AG270" t="s">
        <v>94</v>
      </c>
      <c r="AH270" t="s">
        <v>92</v>
      </c>
      <c r="AI270" t="s">
        <v>93</v>
      </c>
      <c r="AJ270" t="s">
        <v>92</v>
      </c>
      <c r="AK270" t="s">
        <v>94</v>
      </c>
      <c r="AL270" t="s">
        <v>92</v>
      </c>
      <c r="AM270" t="s">
        <v>94</v>
      </c>
      <c r="AN270" t="s">
        <v>94</v>
      </c>
      <c r="AO270" t="s">
        <v>92</v>
      </c>
      <c r="AP270" t="s">
        <v>95</v>
      </c>
      <c r="AQ270" t="s">
        <v>94</v>
      </c>
      <c r="AR270" t="s">
        <v>94</v>
      </c>
      <c r="AS270" t="s">
        <v>94</v>
      </c>
      <c r="AT270" t="s">
        <v>92</v>
      </c>
      <c r="AU270" t="s">
        <v>94</v>
      </c>
      <c r="AV270" t="s">
        <v>92</v>
      </c>
      <c r="AW270" t="s">
        <v>92</v>
      </c>
      <c r="AX270" t="s">
        <v>94</v>
      </c>
      <c r="AY270" t="s">
        <v>92</v>
      </c>
      <c r="AZ270" t="s">
        <v>92</v>
      </c>
      <c r="BA270" t="s">
        <v>94</v>
      </c>
      <c r="BB270" t="s">
        <v>92</v>
      </c>
      <c r="BC270" t="s">
        <v>92</v>
      </c>
      <c r="BD270" t="s">
        <v>92</v>
      </c>
      <c r="BE270" t="s">
        <v>94</v>
      </c>
      <c r="BF270" t="s">
        <v>94</v>
      </c>
      <c r="BG270" t="s">
        <v>92</v>
      </c>
    </row>
    <row r="271" spans="1:60" x14ac:dyDescent="0.3">
      <c r="A271">
        <v>22</v>
      </c>
      <c r="B271" t="s">
        <v>128</v>
      </c>
      <c r="C271" t="s">
        <v>96</v>
      </c>
      <c r="D271" t="s">
        <v>72</v>
      </c>
      <c r="E271" t="s">
        <v>108</v>
      </c>
      <c r="F271" t="s">
        <v>98</v>
      </c>
      <c r="G271" t="s">
        <v>135</v>
      </c>
      <c r="H271" t="s">
        <v>100</v>
      </c>
      <c r="I271" t="s">
        <v>166</v>
      </c>
      <c r="J271" t="s">
        <v>77</v>
      </c>
      <c r="K271" t="s">
        <v>125</v>
      </c>
      <c r="L271" t="s">
        <v>79</v>
      </c>
      <c r="M271" t="s">
        <v>132</v>
      </c>
      <c r="N271" t="s">
        <v>79</v>
      </c>
      <c r="O271" t="s">
        <v>179</v>
      </c>
      <c r="P271" t="s">
        <v>79</v>
      </c>
      <c r="Q271" t="s">
        <v>83</v>
      </c>
      <c r="R271" t="s">
        <v>79</v>
      </c>
      <c r="S271" t="s">
        <v>84</v>
      </c>
      <c r="T271" t="s">
        <v>124</v>
      </c>
      <c r="U271" t="s">
        <v>79</v>
      </c>
      <c r="V271" t="s">
        <v>86</v>
      </c>
      <c r="W271" t="s">
        <v>120</v>
      </c>
      <c r="X271" t="s">
        <v>127</v>
      </c>
      <c r="Y271" t="s">
        <v>94</v>
      </c>
      <c r="Z271" t="s">
        <v>92</v>
      </c>
      <c r="AA271" t="s">
        <v>92</v>
      </c>
      <c r="AB271" t="s">
        <v>94</v>
      </c>
      <c r="AC271" t="s">
        <v>94</v>
      </c>
      <c r="AD271" t="s">
        <v>92</v>
      </c>
      <c r="AE271" t="s">
        <v>94</v>
      </c>
      <c r="AF271" t="s">
        <v>92</v>
      </c>
      <c r="AG271" t="s">
        <v>94</v>
      </c>
      <c r="AH271" t="s">
        <v>95</v>
      </c>
      <c r="AI271" t="s">
        <v>94</v>
      </c>
      <c r="AJ271" t="s">
        <v>95</v>
      </c>
      <c r="AK271" t="s">
        <v>94</v>
      </c>
      <c r="AL271" t="s">
        <v>94</v>
      </c>
      <c r="AM271" t="s">
        <v>95</v>
      </c>
      <c r="AN271" t="s">
        <v>94</v>
      </c>
      <c r="AO271" t="s">
        <v>92</v>
      </c>
      <c r="AP271" t="s">
        <v>94</v>
      </c>
      <c r="AQ271" t="s">
        <v>94</v>
      </c>
      <c r="AR271" t="s">
        <v>94</v>
      </c>
      <c r="AS271" t="s">
        <v>92</v>
      </c>
      <c r="AT271" t="s">
        <v>92</v>
      </c>
      <c r="AU271" t="s">
        <v>94</v>
      </c>
      <c r="AV271" t="s">
        <v>92</v>
      </c>
      <c r="AW271" t="s">
        <v>92</v>
      </c>
      <c r="AX271" t="s">
        <v>92</v>
      </c>
      <c r="AY271" t="s">
        <v>94</v>
      </c>
      <c r="AZ271" t="s">
        <v>94</v>
      </c>
      <c r="BA271" t="s">
        <v>94</v>
      </c>
      <c r="BB271" t="s">
        <v>95</v>
      </c>
      <c r="BC271" t="s">
        <v>94</v>
      </c>
      <c r="BD271" t="s">
        <v>94</v>
      </c>
      <c r="BE271" t="s">
        <v>94</v>
      </c>
      <c r="BF271" t="s">
        <v>95</v>
      </c>
      <c r="BG271" t="s">
        <v>95</v>
      </c>
      <c r="BH271" t="s">
        <v>94</v>
      </c>
    </row>
    <row r="272" spans="1:60" x14ac:dyDescent="0.3">
      <c r="A272">
        <v>23</v>
      </c>
      <c r="B272" t="s">
        <v>70</v>
      </c>
      <c r="C272" t="s">
        <v>113</v>
      </c>
      <c r="D272" t="s">
        <v>72</v>
      </c>
      <c r="E272" t="s">
        <v>108</v>
      </c>
      <c r="F272" t="s">
        <v>98</v>
      </c>
      <c r="G272" t="s">
        <v>166</v>
      </c>
      <c r="H272" t="s">
        <v>136</v>
      </c>
      <c r="I272" t="s">
        <v>166</v>
      </c>
      <c r="J272" t="s">
        <v>77</v>
      </c>
      <c r="K272" t="s">
        <v>125</v>
      </c>
      <c r="L272" t="s">
        <v>79</v>
      </c>
      <c r="M272" t="s">
        <v>80</v>
      </c>
      <c r="N272" t="s">
        <v>79</v>
      </c>
      <c r="O272" t="s">
        <v>138</v>
      </c>
      <c r="P272" t="s">
        <v>79</v>
      </c>
      <c r="Q272" t="s">
        <v>83</v>
      </c>
      <c r="R272" t="s">
        <v>79</v>
      </c>
      <c r="S272" t="s">
        <v>84</v>
      </c>
      <c r="T272" t="s">
        <v>124</v>
      </c>
      <c r="U272" t="s">
        <v>79</v>
      </c>
      <c r="V272" t="s">
        <v>86</v>
      </c>
      <c r="W272" t="s">
        <v>87</v>
      </c>
      <c r="X272" t="s">
        <v>127</v>
      </c>
      <c r="Y272" t="s">
        <v>94</v>
      </c>
      <c r="Z272" t="s">
        <v>92</v>
      </c>
      <c r="AA272" t="s">
        <v>94</v>
      </c>
      <c r="AB272" t="s">
        <v>94</v>
      </c>
      <c r="AC272" t="s">
        <v>92</v>
      </c>
      <c r="AD272" t="s">
        <v>92</v>
      </c>
      <c r="AE272" t="s">
        <v>94</v>
      </c>
      <c r="AF272" t="s">
        <v>94</v>
      </c>
      <c r="AG272" t="s">
        <v>92</v>
      </c>
      <c r="AH272" t="s">
        <v>92</v>
      </c>
      <c r="AI272" t="s">
        <v>94</v>
      </c>
      <c r="AJ272" t="s">
        <v>94</v>
      </c>
      <c r="AK272" t="s">
        <v>93</v>
      </c>
      <c r="AL272" t="s">
        <v>92</v>
      </c>
      <c r="AM272" t="s">
        <v>92</v>
      </c>
      <c r="AN272" t="s">
        <v>92</v>
      </c>
      <c r="AO272" t="s">
        <v>94</v>
      </c>
      <c r="AP272" t="s">
        <v>94</v>
      </c>
      <c r="AQ272" t="s">
        <v>94</v>
      </c>
      <c r="AR272" t="s">
        <v>94</v>
      </c>
      <c r="AS272" t="s">
        <v>92</v>
      </c>
      <c r="AT272" t="s">
        <v>92</v>
      </c>
      <c r="AU272" t="s">
        <v>92</v>
      </c>
      <c r="AV272" t="s">
        <v>94</v>
      </c>
      <c r="AW272" t="s">
        <v>94</v>
      </c>
      <c r="AX272" t="s">
        <v>92</v>
      </c>
      <c r="AY272" t="s">
        <v>92</v>
      </c>
      <c r="AZ272" t="s">
        <v>94</v>
      </c>
      <c r="BA272" t="s">
        <v>94</v>
      </c>
      <c r="BB272" t="s">
        <v>92</v>
      </c>
      <c r="BC272" t="s">
        <v>92</v>
      </c>
      <c r="BD272" t="s">
        <v>94</v>
      </c>
      <c r="BE272" t="s">
        <v>94</v>
      </c>
      <c r="BF272" t="s">
        <v>95</v>
      </c>
      <c r="BG272" t="s">
        <v>94</v>
      </c>
      <c r="BH272" t="s">
        <v>94</v>
      </c>
    </row>
    <row r="273" spans="1:60" x14ac:dyDescent="0.3">
      <c r="A273">
        <v>24</v>
      </c>
      <c r="B273" t="s">
        <v>70</v>
      </c>
      <c r="C273" t="s">
        <v>113</v>
      </c>
      <c r="D273" t="s">
        <v>72</v>
      </c>
      <c r="E273" t="s">
        <v>108</v>
      </c>
      <c r="F273" t="s">
        <v>136</v>
      </c>
      <c r="G273" t="s">
        <v>166</v>
      </c>
      <c r="H273" t="s">
        <v>98</v>
      </c>
      <c r="I273" t="s">
        <v>76</v>
      </c>
      <c r="J273" t="s">
        <v>77</v>
      </c>
      <c r="K273" t="s">
        <v>122</v>
      </c>
      <c r="L273" t="s">
        <v>79</v>
      </c>
      <c r="M273" t="s">
        <v>132</v>
      </c>
      <c r="N273" t="s">
        <v>79</v>
      </c>
      <c r="O273" t="s">
        <v>109</v>
      </c>
      <c r="P273" t="s">
        <v>79</v>
      </c>
      <c r="Q273" t="s">
        <v>118</v>
      </c>
      <c r="R273" t="s">
        <v>79</v>
      </c>
      <c r="S273" t="s">
        <v>142</v>
      </c>
      <c r="T273" t="s">
        <v>151</v>
      </c>
      <c r="U273" t="s">
        <v>79</v>
      </c>
      <c r="V273" t="s">
        <v>106</v>
      </c>
      <c r="W273" t="s">
        <v>141</v>
      </c>
      <c r="X273" t="s">
        <v>127</v>
      </c>
      <c r="Y273" t="s">
        <v>94</v>
      </c>
      <c r="Z273" t="s">
        <v>92</v>
      </c>
      <c r="AA273" t="s">
        <v>94</v>
      </c>
      <c r="AB273" t="s">
        <v>94</v>
      </c>
      <c r="AC273" t="s">
        <v>94</v>
      </c>
      <c r="AD273" t="s">
        <v>92</v>
      </c>
      <c r="AE273" t="s">
        <v>92</v>
      </c>
      <c r="AF273" t="s">
        <v>94</v>
      </c>
      <c r="AG273" t="s">
        <v>94</v>
      </c>
      <c r="AH273" t="s">
        <v>92</v>
      </c>
      <c r="AI273" t="s">
        <v>94</v>
      </c>
      <c r="AJ273" t="s">
        <v>94</v>
      </c>
      <c r="AK273" t="s">
        <v>92</v>
      </c>
      <c r="AL273" t="s">
        <v>92</v>
      </c>
      <c r="AM273" t="s">
        <v>94</v>
      </c>
      <c r="AN273" t="s">
        <v>94</v>
      </c>
      <c r="AO273" t="s">
        <v>94</v>
      </c>
      <c r="AP273" t="s">
        <v>94</v>
      </c>
      <c r="AQ273" t="s">
        <v>92</v>
      </c>
      <c r="AR273" t="s">
        <v>92</v>
      </c>
      <c r="AS273" t="s">
        <v>92</v>
      </c>
      <c r="AT273" t="s">
        <v>94</v>
      </c>
      <c r="AU273" t="s">
        <v>94</v>
      </c>
      <c r="AV273" t="s">
        <v>92</v>
      </c>
      <c r="AW273" t="s">
        <v>92</v>
      </c>
      <c r="AX273" t="s">
        <v>92</v>
      </c>
      <c r="AY273" t="s">
        <v>92</v>
      </c>
      <c r="AZ273" t="s">
        <v>94</v>
      </c>
      <c r="BA273" t="s">
        <v>94</v>
      </c>
      <c r="BB273" t="s">
        <v>92</v>
      </c>
      <c r="BC273" t="s">
        <v>92</v>
      </c>
      <c r="BD273" t="s">
        <v>94</v>
      </c>
      <c r="BE273" t="s">
        <v>94</v>
      </c>
      <c r="BF273" t="s">
        <v>92</v>
      </c>
      <c r="BG273" t="s">
        <v>92</v>
      </c>
      <c r="BH273" t="s">
        <v>92</v>
      </c>
    </row>
    <row r="274" spans="1:60" x14ac:dyDescent="0.3">
      <c r="A274">
        <v>23</v>
      </c>
      <c r="B274" t="s">
        <v>128</v>
      </c>
      <c r="C274" t="s">
        <v>113</v>
      </c>
      <c r="D274" t="s">
        <v>149</v>
      </c>
      <c r="E274" t="s">
        <v>114</v>
      </c>
      <c r="F274" t="s">
        <v>98</v>
      </c>
      <c r="G274" t="s">
        <v>135</v>
      </c>
      <c r="H274" t="s">
        <v>98</v>
      </c>
      <c r="I274" t="s">
        <v>166</v>
      </c>
      <c r="J274" t="s">
        <v>101</v>
      </c>
      <c r="K274" t="s">
        <v>122</v>
      </c>
      <c r="L274" t="s">
        <v>79</v>
      </c>
      <c r="M274" t="s">
        <v>102</v>
      </c>
      <c r="N274" t="s">
        <v>79</v>
      </c>
      <c r="O274" t="s">
        <v>138</v>
      </c>
      <c r="P274" t="s">
        <v>79</v>
      </c>
      <c r="Q274" t="s">
        <v>83</v>
      </c>
      <c r="R274" t="s">
        <v>79</v>
      </c>
      <c r="S274" t="s">
        <v>84</v>
      </c>
      <c r="T274" t="s">
        <v>85</v>
      </c>
      <c r="U274" t="s">
        <v>79</v>
      </c>
      <c r="V274" t="s">
        <v>86</v>
      </c>
      <c r="W274" t="s">
        <v>87</v>
      </c>
      <c r="X274" t="s">
        <v>127</v>
      </c>
      <c r="Y274" t="s">
        <v>94</v>
      </c>
      <c r="Z274" t="s">
        <v>92</v>
      </c>
      <c r="AA274" t="s">
        <v>92</v>
      </c>
      <c r="AB274" t="s">
        <v>92</v>
      </c>
      <c r="AC274" t="s">
        <v>94</v>
      </c>
      <c r="AD274" t="s">
        <v>94</v>
      </c>
      <c r="AE274" t="s">
        <v>92</v>
      </c>
      <c r="AF274" t="s">
        <v>92</v>
      </c>
      <c r="AG274" t="s">
        <v>92</v>
      </c>
      <c r="AH274" t="s">
        <v>94</v>
      </c>
      <c r="AI274" t="s">
        <v>94</v>
      </c>
      <c r="AJ274" t="s">
        <v>94</v>
      </c>
      <c r="AK274" t="s">
        <v>92</v>
      </c>
      <c r="AL274" t="s">
        <v>92</v>
      </c>
      <c r="AM274" t="s">
        <v>92</v>
      </c>
      <c r="AN274" t="s">
        <v>92</v>
      </c>
      <c r="AO274" t="s">
        <v>92</v>
      </c>
      <c r="AP274" t="s">
        <v>94</v>
      </c>
      <c r="AQ274" t="s">
        <v>94</v>
      </c>
      <c r="AR274" t="s">
        <v>94</v>
      </c>
      <c r="AS274" t="s">
        <v>92</v>
      </c>
      <c r="AT274" t="s">
        <v>92</v>
      </c>
      <c r="AU274" t="s">
        <v>92</v>
      </c>
      <c r="AV274" t="s">
        <v>94</v>
      </c>
      <c r="AW274" t="s">
        <v>94</v>
      </c>
      <c r="AX274" t="s">
        <v>94</v>
      </c>
      <c r="AY274" t="s">
        <v>94</v>
      </c>
      <c r="AZ274" t="s">
        <v>92</v>
      </c>
      <c r="BA274" t="s">
        <v>92</v>
      </c>
      <c r="BB274" t="s">
        <v>92</v>
      </c>
      <c r="BC274" t="s">
        <v>92</v>
      </c>
      <c r="BD274" t="s">
        <v>94</v>
      </c>
      <c r="BE274" t="s">
        <v>94</v>
      </c>
      <c r="BF274" t="s">
        <v>94</v>
      </c>
      <c r="BG274" t="s">
        <v>94</v>
      </c>
      <c r="BH274" t="s">
        <v>92</v>
      </c>
    </row>
    <row r="275" spans="1:60" x14ac:dyDescent="0.3">
      <c r="A275">
        <v>23</v>
      </c>
      <c r="B275" t="s">
        <v>70</v>
      </c>
      <c r="C275" t="s">
        <v>113</v>
      </c>
      <c r="D275" t="s">
        <v>72</v>
      </c>
      <c r="E275" t="s">
        <v>73</v>
      </c>
      <c r="F275" t="s">
        <v>74</v>
      </c>
      <c r="G275" t="s">
        <v>115</v>
      </c>
      <c r="H275" t="s">
        <v>98</v>
      </c>
      <c r="I275" t="s">
        <v>115</v>
      </c>
      <c r="J275" t="s">
        <v>77</v>
      </c>
      <c r="K275" t="s">
        <v>78</v>
      </c>
      <c r="L275" t="s">
        <v>79</v>
      </c>
      <c r="M275" t="s">
        <v>80</v>
      </c>
      <c r="N275" t="s">
        <v>79</v>
      </c>
      <c r="O275" t="s">
        <v>109</v>
      </c>
      <c r="P275" t="s">
        <v>79</v>
      </c>
      <c r="Q275" t="s">
        <v>83</v>
      </c>
      <c r="R275" t="s">
        <v>79</v>
      </c>
      <c r="S275" t="s">
        <v>142</v>
      </c>
      <c r="T275" t="s">
        <v>247</v>
      </c>
      <c r="U275" t="s">
        <v>79</v>
      </c>
      <c r="V275" t="s">
        <v>148</v>
      </c>
      <c r="W275" t="s">
        <v>141</v>
      </c>
      <c r="X275" t="s">
        <v>127</v>
      </c>
      <c r="Y275" t="s">
        <v>94</v>
      </c>
      <c r="Z275" t="s">
        <v>92</v>
      </c>
      <c r="AA275" t="s">
        <v>92</v>
      </c>
      <c r="AB275" t="s">
        <v>94</v>
      </c>
      <c r="AC275" t="s">
        <v>94</v>
      </c>
      <c r="AD275" t="s">
        <v>92</v>
      </c>
      <c r="AE275" t="s">
        <v>92</v>
      </c>
      <c r="AF275" t="s">
        <v>94</v>
      </c>
      <c r="AG275" t="s">
        <v>94</v>
      </c>
      <c r="AH275" t="s">
        <v>92</v>
      </c>
      <c r="AI275" t="s">
        <v>92</v>
      </c>
      <c r="AJ275" t="s">
        <v>94</v>
      </c>
      <c r="AK275" t="s">
        <v>94</v>
      </c>
      <c r="AL275" t="s">
        <v>92</v>
      </c>
      <c r="AM275" t="s">
        <v>92</v>
      </c>
      <c r="AN275" t="s">
        <v>94</v>
      </c>
      <c r="AO275" t="s">
        <v>92</v>
      </c>
      <c r="AP275" t="s">
        <v>94</v>
      </c>
      <c r="AQ275" t="s">
        <v>94</v>
      </c>
      <c r="AR275" t="s">
        <v>94</v>
      </c>
      <c r="AS275" t="s">
        <v>94</v>
      </c>
      <c r="AT275" t="s">
        <v>94</v>
      </c>
      <c r="AU275" t="s">
        <v>94</v>
      </c>
      <c r="AV275" t="s">
        <v>94</v>
      </c>
      <c r="AW275" t="s">
        <v>94</v>
      </c>
      <c r="AX275" t="s">
        <v>94</v>
      </c>
      <c r="AY275" t="s">
        <v>94</v>
      </c>
      <c r="AZ275" t="s">
        <v>94</v>
      </c>
      <c r="BA275" t="s">
        <v>92</v>
      </c>
      <c r="BB275" t="s">
        <v>92</v>
      </c>
      <c r="BC275" t="s">
        <v>92</v>
      </c>
      <c r="BD275" t="s">
        <v>92</v>
      </c>
      <c r="BE275" t="s">
        <v>94</v>
      </c>
      <c r="BF275" t="s">
        <v>92</v>
      </c>
      <c r="BG275" t="s">
        <v>92</v>
      </c>
      <c r="BH275" t="s">
        <v>92</v>
      </c>
    </row>
    <row r="276" spans="1:60" x14ac:dyDescent="0.3">
      <c r="A276">
        <v>23</v>
      </c>
      <c r="B276" t="s">
        <v>70</v>
      </c>
      <c r="C276" t="s">
        <v>113</v>
      </c>
      <c r="D276" t="s">
        <v>72</v>
      </c>
      <c r="E276" t="s">
        <v>73</v>
      </c>
      <c r="F276" t="s">
        <v>98</v>
      </c>
      <c r="G276" t="s">
        <v>135</v>
      </c>
      <c r="H276" t="s">
        <v>100</v>
      </c>
      <c r="I276" t="s">
        <v>166</v>
      </c>
      <c r="J276" t="s">
        <v>77</v>
      </c>
      <c r="K276" t="s">
        <v>122</v>
      </c>
      <c r="L276" t="s">
        <v>79</v>
      </c>
      <c r="M276" t="s">
        <v>80</v>
      </c>
      <c r="N276" t="s">
        <v>79</v>
      </c>
      <c r="O276" t="s">
        <v>109</v>
      </c>
      <c r="P276" t="s">
        <v>79</v>
      </c>
      <c r="Q276" t="s">
        <v>118</v>
      </c>
      <c r="R276" t="s">
        <v>79</v>
      </c>
      <c r="S276" t="s">
        <v>84</v>
      </c>
      <c r="T276" t="s">
        <v>159</v>
      </c>
      <c r="U276" t="s">
        <v>82</v>
      </c>
      <c r="V276" t="s">
        <v>106</v>
      </c>
      <c r="W276" t="s">
        <v>120</v>
      </c>
      <c r="X276" t="s">
        <v>112</v>
      </c>
      <c r="Y276" t="s">
        <v>94</v>
      </c>
      <c r="Z276" t="s">
        <v>92</v>
      </c>
      <c r="AA276" t="s">
        <v>92</v>
      </c>
      <c r="AB276" t="s">
        <v>94</v>
      </c>
      <c r="AC276" t="s">
        <v>92</v>
      </c>
      <c r="AD276" t="s">
        <v>92</v>
      </c>
      <c r="AE276" t="s">
        <v>94</v>
      </c>
      <c r="AF276" t="s">
        <v>94</v>
      </c>
      <c r="AG276" t="s">
        <v>94</v>
      </c>
      <c r="AH276" t="s">
        <v>92</v>
      </c>
      <c r="AI276" t="s">
        <v>92</v>
      </c>
      <c r="AJ276" t="s">
        <v>92</v>
      </c>
      <c r="AK276" t="s">
        <v>94</v>
      </c>
      <c r="AL276" t="s">
        <v>94</v>
      </c>
      <c r="AM276" t="s">
        <v>94</v>
      </c>
      <c r="AN276" t="s">
        <v>92</v>
      </c>
      <c r="AO276" t="s">
        <v>92</v>
      </c>
      <c r="AP276" t="s">
        <v>92</v>
      </c>
      <c r="AQ276" t="s">
        <v>94</v>
      </c>
      <c r="AR276" t="s">
        <v>94</v>
      </c>
      <c r="AS276" t="s">
        <v>92</v>
      </c>
      <c r="AT276" t="s">
        <v>92</v>
      </c>
      <c r="AU276" t="s">
        <v>94</v>
      </c>
      <c r="AV276" t="s">
        <v>94</v>
      </c>
      <c r="AW276" t="s">
        <v>94</v>
      </c>
      <c r="AX276" t="s">
        <v>92</v>
      </c>
      <c r="AY276" t="s">
        <v>92</v>
      </c>
      <c r="AZ276" t="s">
        <v>92</v>
      </c>
      <c r="BA276" t="s">
        <v>94</v>
      </c>
      <c r="BB276" t="s">
        <v>94</v>
      </c>
      <c r="BC276" t="s">
        <v>92</v>
      </c>
      <c r="BD276" t="s">
        <v>92</v>
      </c>
      <c r="BE276" t="s">
        <v>94</v>
      </c>
      <c r="BF276" t="s">
        <v>92</v>
      </c>
      <c r="BG276" t="s">
        <v>92</v>
      </c>
      <c r="BH276" t="s">
        <v>94</v>
      </c>
    </row>
    <row r="277" spans="1:60" x14ac:dyDescent="0.3">
      <c r="A277">
        <v>23</v>
      </c>
      <c r="B277" t="s">
        <v>128</v>
      </c>
      <c r="C277" t="s">
        <v>113</v>
      </c>
      <c r="D277" t="s">
        <v>72</v>
      </c>
      <c r="E277" t="s">
        <v>73</v>
      </c>
      <c r="F277" t="s">
        <v>98</v>
      </c>
      <c r="G277" t="s">
        <v>135</v>
      </c>
      <c r="H277" t="s">
        <v>100</v>
      </c>
      <c r="I277" t="s">
        <v>76</v>
      </c>
      <c r="J277" t="s">
        <v>77</v>
      </c>
      <c r="K277" t="s">
        <v>122</v>
      </c>
      <c r="L277" t="s">
        <v>79</v>
      </c>
      <c r="M277" t="s">
        <v>132</v>
      </c>
      <c r="N277" t="s">
        <v>79</v>
      </c>
      <c r="O277" t="s">
        <v>138</v>
      </c>
      <c r="P277" t="s">
        <v>79</v>
      </c>
      <c r="Q277" t="s">
        <v>83</v>
      </c>
      <c r="R277" t="s">
        <v>79</v>
      </c>
      <c r="S277" t="s">
        <v>84</v>
      </c>
      <c r="T277" t="s">
        <v>159</v>
      </c>
      <c r="U277" t="s">
        <v>79</v>
      </c>
      <c r="V277" t="s">
        <v>86</v>
      </c>
      <c r="W277" t="s">
        <v>141</v>
      </c>
      <c r="X277" t="s">
        <v>127</v>
      </c>
      <c r="Y277" t="s">
        <v>94</v>
      </c>
      <c r="Z277" t="s">
        <v>92</v>
      </c>
      <c r="AA277" t="s">
        <v>92</v>
      </c>
      <c r="AB277" t="s">
        <v>92</v>
      </c>
      <c r="AC277" t="s">
        <v>92</v>
      </c>
      <c r="AD277" t="s">
        <v>94</v>
      </c>
      <c r="AE277" t="s">
        <v>92</v>
      </c>
      <c r="AF277" t="s">
        <v>92</v>
      </c>
      <c r="AG277" t="s">
        <v>92</v>
      </c>
      <c r="AH277" t="s">
        <v>92</v>
      </c>
      <c r="AI277" t="s">
        <v>92</v>
      </c>
      <c r="AJ277" t="s">
        <v>92</v>
      </c>
      <c r="AK277" t="s">
        <v>94</v>
      </c>
      <c r="AL277" t="s">
        <v>94</v>
      </c>
      <c r="AM277" t="s">
        <v>94</v>
      </c>
      <c r="AN277" t="s">
        <v>94</v>
      </c>
      <c r="AO277" t="s">
        <v>92</v>
      </c>
      <c r="AP277" t="s">
        <v>92</v>
      </c>
      <c r="AQ277" t="s">
        <v>92</v>
      </c>
      <c r="AR277" t="s">
        <v>92</v>
      </c>
      <c r="AS277" t="s">
        <v>92</v>
      </c>
      <c r="AT277" t="s">
        <v>92</v>
      </c>
      <c r="AU277" t="s">
        <v>94</v>
      </c>
      <c r="AV277" t="s">
        <v>94</v>
      </c>
      <c r="AW277" t="s">
        <v>92</v>
      </c>
      <c r="AX277" t="s">
        <v>92</v>
      </c>
      <c r="AY277" t="s">
        <v>94</v>
      </c>
      <c r="AZ277" t="s">
        <v>94</v>
      </c>
      <c r="BA277" t="s">
        <v>94</v>
      </c>
      <c r="BB277" t="s">
        <v>94</v>
      </c>
      <c r="BC277" t="s">
        <v>94</v>
      </c>
      <c r="BD277" t="s">
        <v>94</v>
      </c>
      <c r="BE277" t="s">
        <v>94</v>
      </c>
      <c r="BF277" t="s">
        <v>92</v>
      </c>
      <c r="BG277" t="s">
        <v>92</v>
      </c>
      <c r="BH277" t="s">
        <v>92</v>
      </c>
    </row>
    <row r="278" spans="1:60" x14ac:dyDescent="0.3">
      <c r="A278">
        <v>24</v>
      </c>
      <c r="B278" t="s">
        <v>70</v>
      </c>
      <c r="C278" t="s">
        <v>113</v>
      </c>
      <c r="D278" t="s">
        <v>72</v>
      </c>
      <c r="E278" t="s">
        <v>108</v>
      </c>
      <c r="F278" t="s">
        <v>98</v>
      </c>
      <c r="G278" t="s">
        <v>75</v>
      </c>
      <c r="H278" t="s">
        <v>136</v>
      </c>
      <c r="I278" t="s">
        <v>76</v>
      </c>
      <c r="J278" t="s">
        <v>77</v>
      </c>
      <c r="K278" t="s">
        <v>122</v>
      </c>
      <c r="L278" t="s">
        <v>79</v>
      </c>
      <c r="M278" t="s">
        <v>132</v>
      </c>
      <c r="N278" t="s">
        <v>79</v>
      </c>
      <c r="O278" t="s">
        <v>138</v>
      </c>
      <c r="P278" t="s">
        <v>79</v>
      </c>
      <c r="Q278" t="s">
        <v>118</v>
      </c>
      <c r="R278" t="s">
        <v>79</v>
      </c>
      <c r="S278" t="s">
        <v>142</v>
      </c>
      <c r="T278" t="s">
        <v>159</v>
      </c>
      <c r="U278" t="s">
        <v>79</v>
      </c>
      <c r="V278" t="s">
        <v>86</v>
      </c>
      <c r="W278" t="s">
        <v>120</v>
      </c>
      <c r="X278" t="s">
        <v>112</v>
      </c>
      <c r="Y278" t="s">
        <v>94</v>
      </c>
      <c r="Z278" t="s">
        <v>92</v>
      </c>
      <c r="AA278" t="s">
        <v>92</v>
      </c>
      <c r="AB278" t="s">
        <v>92</v>
      </c>
      <c r="AC278" t="s">
        <v>92</v>
      </c>
      <c r="AD278" t="s">
        <v>92</v>
      </c>
      <c r="AE278" t="s">
        <v>92</v>
      </c>
      <c r="AF278" t="s">
        <v>92</v>
      </c>
      <c r="AG278" t="s">
        <v>94</v>
      </c>
      <c r="AH278" t="s">
        <v>94</v>
      </c>
      <c r="AI278" t="s">
        <v>94</v>
      </c>
      <c r="AJ278" t="s">
        <v>94</v>
      </c>
      <c r="AK278" t="s">
        <v>94</v>
      </c>
      <c r="AL278" t="s">
        <v>94</v>
      </c>
      <c r="AM278" t="s">
        <v>94</v>
      </c>
      <c r="AN278" t="s">
        <v>92</v>
      </c>
      <c r="AO278" t="s">
        <v>92</v>
      </c>
      <c r="AP278" t="s">
        <v>92</v>
      </c>
      <c r="AQ278" t="s">
        <v>94</v>
      </c>
      <c r="AR278" t="s">
        <v>94</v>
      </c>
      <c r="AS278" t="s">
        <v>94</v>
      </c>
      <c r="AT278" t="s">
        <v>94</v>
      </c>
      <c r="AU278" t="s">
        <v>92</v>
      </c>
      <c r="AV278" t="s">
        <v>92</v>
      </c>
      <c r="AW278" t="s">
        <v>92</v>
      </c>
      <c r="AX278" t="s">
        <v>92</v>
      </c>
      <c r="AY278" t="s">
        <v>94</v>
      </c>
      <c r="AZ278" t="s">
        <v>94</v>
      </c>
      <c r="BA278" t="s">
        <v>92</v>
      </c>
      <c r="BB278" t="s">
        <v>94</v>
      </c>
      <c r="BC278" t="s">
        <v>94</v>
      </c>
      <c r="BD278" t="s">
        <v>94</v>
      </c>
      <c r="BE278" t="s">
        <v>94</v>
      </c>
      <c r="BF278" t="s">
        <v>92</v>
      </c>
      <c r="BG278" t="s">
        <v>94</v>
      </c>
      <c r="BH278" t="s">
        <v>94</v>
      </c>
    </row>
    <row r="279" spans="1:60" x14ac:dyDescent="0.3">
      <c r="A279">
        <v>23</v>
      </c>
      <c r="B279" t="s">
        <v>128</v>
      </c>
      <c r="C279" t="s">
        <v>113</v>
      </c>
      <c r="D279" t="s">
        <v>72</v>
      </c>
      <c r="E279" t="s">
        <v>114</v>
      </c>
      <c r="F279" t="s">
        <v>136</v>
      </c>
      <c r="G279" t="s">
        <v>115</v>
      </c>
      <c r="H279" t="s">
        <v>165</v>
      </c>
      <c r="I279" t="s">
        <v>115</v>
      </c>
      <c r="J279" t="s">
        <v>77</v>
      </c>
      <c r="K279" t="s">
        <v>122</v>
      </c>
      <c r="L279" t="s">
        <v>79</v>
      </c>
      <c r="M279" t="s">
        <v>80</v>
      </c>
      <c r="N279" t="s">
        <v>79</v>
      </c>
      <c r="O279" t="s">
        <v>179</v>
      </c>
      <c r="P279" t="s">
        <v>79</v>
      </c>
      <c r="Q279" t="s">
        <v>103</v>
      </c>
      <c r="R279" t="s">
        <v>82</v>
      </c>
      <c r="S279" t="s">
        <v>142</v>
      </c>
      <c r="T279" t="s">
        <v>124</v>
      </c>
      <c r="U279" t="s">
        <v>79</v>
      </c>
      <c r="V279" t="s">
        <v>148</v>
      </c>
      <c r="W279" t="s">
        <v>120</v>
      </c>
      <c r="X279" t="s">
        <v>127</v>
      </c>
      <c r="Y279" t="s">
        <v>92</v>
      </c>
      <c r="Z279" t="s">
        <v>92</v>
      </c>
      <c r="AA279" t="s">
        <v>92</v>
      </c>
      <c r="AB279" t="s">
        <v>92</v>
      </c>
      <c r="AC279" t="s">
        <v>94</v>
      </c>
      <c r="AD279" t="s">
        <v>94</v>
      </c>
      <c r="AE279" t="s">
        <v>92</v>
      </c>
      <c r="AF279" t="s">
        <v>92</v>
      </c>
      <c r="AG279" t="s">
        <v>92</v>
      </c>
      <c r="AH279" t="s">
        <v>94</v>
      </c>
      <c r="AI279" t="s">
        <v>94</v>
      </c>
      <c r="AJ279" t="s">
        <v>92</v>
      </c>
      <c r="AK279" t="s">
        <v>92</v>
      </c>
      <c r="AL279" t="s">
        <v>94</v>
      </c>
      <c r="AM279" t="s">
        <v>94</v>
      </c>
      <c r="AN279" t="s">
        <v>94</v>
      </c>
      <c r="AO279" t="s">
        <v>94</v>
      </c>
      <c r="AP279" t="s">
        <v>94</v>
      </c>
      <c r="AQ279" t="s">
        <v>94</v>
      </c>
      <c r="AR279" t="s">
        <v>92</v>
      </c>
      <c r="AS279" t="s">
        <v>92</v>
      </c>
      <c r="AT279" t="s">
        <v>92</v>
      </c>
      <c r="AU279" t="s">
        <v>92</v>
      </c>
      <c r="AV279" t="s">
        <v>92</v>
      </c>
      <c r="AW279" t="s">
        <v>94</v>
      </c>
      <c r="AX279" t="s">
        <v>94</v>
      </c>
      <c r="AY279" t="s">
        <v>94</v>
      </c>
      <c r="AZ279" t="s">
        <v>92</v>
      </c>
      <c r="BA279" t="s">
        <v>94</v>
      </c>
      <c r="BB279" t="s">
        <v>94</v>
      </c>
      <c r="BC279" t="s">
        <v>94</v>
      </c>
      <c r="BD279" t="s">
        <v>95</v>
      </c>
      <c r="BE279" t="s">
        <v>95</v>
      </c>
      <c r="BF279" t="s">
        <v>92</v>
      </c>
      <c r="BG279" t="s">
        <v>94</v>
      </c>
      <c r="BH279" t="s">
        <v>93</v>
      </c>
    </row>
    <row r="280" spans="1:60" x14ac:dyDescent="0.3">
      <c r="A280">
        <v>23</v>
      </c>
      <c r="B280" t="s">
        <v>70</v>
      </c>
      <c r="C280" t="s">
        <v>71</v>
      </c>
      <c r="D280" t="s">
        <v>72</v>
      </c>
      <c r="E280" t="s">
        <v>73</v>
      </c>
      <c r="F280" t="s">
        <v>136</v>
      </c>
      <c r="G280" t="s">
        <v>75</v>
      </c>
      <c r="H280" t="s">
        <v>98</v>
      </c>
      <c r="I280" t="s">
        <v>76</v>
      </c>
      <c r="J280" t="s">
        <v>101</v>
      </c>
      <c r="K280" t="s">
        <v>122</v>
      </c>
      <c r="L280" t="s">
        <v>79</v>
      </c>
      <c r="M280" t="s">
        <v>80</v>
      </c>
      <c r="N280" t="s">
        <v>79</v>
      </c>
      <c r="O280" t="s">
        <v>109</v>
      </c>
      <c r="P280" t="s">
        <v>79</v>
      </c>
      <c r="Q280" t="s">
        <v>83</v>
      </c>
      <c r="R280" t="s">
        <v>79</v>
      </c>
      <c r="S280" t="s">
        <v>110</v>
      </c>
      <c r="T280" t="s">
        <v>164</v>
      </c>
      <c r="U280" t="s">
        <v>82</v>
      </c>
      <c r="V280" t="s">
        <v>148</v>
      </c>
      <c r="W280" t="s">
        <v>120</v>
      </c>
      <c r="X280" t="s">
        <v>112</v>
      </c>
      <c r="Y280" t="s">
        <v>94</v>
      </c>
      <c r="Z280" t="s">
        <v>94</v>
      </c>
      <c r="AA280" t="s">
        <v>94</v>
      </c>
      <c r="AB280" t="s">
        <v>94</v>
      </c>
      <c r="AC280" t="s">
        <v>94</v>
      </c>
      <c r="AD280" t="s">
        <v>94</v>
      </c>
      <c r="AE280" t="s">
        <v>94</v>
      </c>
      <c r="AF280" t="s">
        <v>94</v>
      </c>
      <c r="AG280" t="s">
        <v>94</v>
      </c>
      <c r="AH280" t="s">
        <v>94</v>
      </c>
      <c r="AI280" t="s">
        <v>94</v>
      </c>
      <c r="AJ280" t="s">
        <v>94</v>
      </c>
      <c r="AK280" t="s">
        <v>94</v>
      </c>
      <c r="AL280" t="s">
        <v>94</v>
      </c>
      <c r="AM280" t="s">
        <v>94</v>
      </c>
      <c r="AN280" t="s">
        <v>94</v>
      </c>
      <c r="AO280" t="s">
        <v>94</v>
      </c>
      <c r="AP280" t="s">
        <v>94</v>
      </c>
      <c r="AQ280" t="s">
        <v>94</v>
      </c>
      <c r="AR280" t="s">
        <v>94</v>
      </c>
      <c r="AS280" t="s">
        <v>94</v>
      </c>
      <c r="AT280" t="s">
        <v>94</v>
      </c>
      <c r="AU280" t="s">
        <v>94</v>
      </c>
      <c r="AV280" t="s">
        <v>94</v>
      </c>
      <c r="AW280" t="s">
        <v>94</v>
      </c>
      <c r="AX280" t="s">
        <v>94</v>
      </c>
      <c r="AY280" t="s">
        <v>94</v>
      </c>
      <c r="AZ280" t="s">
        <v>94</v>
      </c>
      <c r="BA280" t="s">
        <v>94</v>
      </c>
      <c r="BB280" t="s">
        <v>94</v>
      </c>
      <c r="BC280" t="s">
        <v>94</v>
      </c>
      <c r="BD280" t="s">
        <v>94</v>
      </c>
      <c r="BE280" t="s">
        <v>94</v>
      </c>
      <c r="BF280" t="s">
        <v>94</v>
      </c>
      <c r="BG280" t="s">
        <v>94</v>
      </c>
      <c r="BH280" t="s">
        <v>94</v>
      </c>
    </row>
    <row r="281" spans="1:60" x14ac:dyDescent="0.3">
      <c r="A281">
        <v>24</v>
      </c>
      <c r="B281" t="s">
        <v>128</v>
      </c>
      <c r="C281" t="s">
        <v>113</v>
      </c>
      <c r="D281" t="s">
        <v>97</v>
      </c>
      <c r="E281" t="s">
        <v>114</v>
      </c>
      <c r="F281" t="s">
        <v>74</v>
      </c>
      <c r="G281" t="s">
        <v>75</v>
      </c>
      <c r="H281" t="s">
        <v>74</v>
      </c>
      <c r="I281" t="s">
        <v>76</v>
      </c>
      <c r="J281" t="s">
        <v>77</v>
      </c>
      <c r="K281" t="s">
        <v>122</v>
      </c>
      <c r="L281" t="s">
        <v>79</v>
      </c>
      <c r="M281" t="s">
        <v>80</v>
      </c>
      <c r="N281" t="s">
        <v>79</v>
      </c>
      <c r="O281" t="s">
        <v>81</v>
      </c>
      <c r="P281" t="s">
        <v>79</v>
      </c>
      <c r="Q281" t="s">
        <v>83</v>
      </c>
      <c r="R281" t="s">
        <v>79</v>
      </c>
      <c r="S281" t="s">
        <v>84</v>
      </c>
      <c r="T281" t="s">
        <v>124</v>
      </c>
      <c r="U281" t="s">
        <v>82</v>
      </c>
      <c r="V281" t="s">
        <v>86</v>
      </c>
      <c r="W281" t="s">
        <v>141</v>
      </c>
      <c r="X281" t="s">
        <v>88</v>
      </c>
      <c r="Y281" t="s">
        <v>93</v>
      </c>
      <c r="Z281" t="s">
        <v>93</v>
      </c>
      <c r="AA281" t="s">
        <v>93</v>
      </c>
      <c r="AB281" t="s">
        <v>93</v>
      </c>
      <c r="AC281" t="s">
        <v>94</v>
      </c>
      <c r="AD281" t="s">
        <v>92</v>
      </c>
      <c r="AE281" t="s">
        <v>94</v>
      </c>
      <c r="AF281" t="s">
        <v>95</v>
      </c>
      <c r="AG281" t="s">
        <v>95</v>
      </c>
      <c r="AH281" t="s">
        <v>93</v>
      </c>
      <c r="AI281" t="s">
        <v>93</v>
      </c>
      <c r="AJ281" t="s">
        <v>93</v>
      </c>
      <c r="AK281" t="s">
        <v>93</v>
      </c>
      <c r="AL281" t="s">
        <v>95</v>
      </c>
      <c r="AM281" t="s">
        <v>94</v>
      </c>
      <c r="AN281" t="s">
        <v>93</v>
      </c>
      <c r="AO281" t="s">
        <v>93</v>
      </c>
      <c r="AP281" t="s">
        <v>93</v>
      </c>
      <c r="AQ281" t="s">
        <v>95</v>
      </c>
      <c r="AR281" t="s">
        <v>95</v>
      </c>
      <c r="AS281" t="s">
        <v>95</v>
      </c>
      <c r="AT281" t="s">
        <v>95</v>
      </c>
      <c r="AU281" t="s">
        <v>93</v>
      </c>
      <c r="AV281" t="s">
        <v>93</v>
      </c>
      <c r="AW281" t="s">
        <v>94</v>
      </c>
      <c r="AX281" t="s">
        <v>94</v>
      </c>
      <c r="AY281" t="s">
        <v>94</v>
      </c>
      <c r="AZ281" t="s">
        <v>95</v>
      </c>
      <c r="BA281" t="s">
        <v>93</v>
      </c>
      <c r="BB281" t="s">
        <v>93</v>
      </c>
      <c r="BC281" t="s">
        <v>93</v>
      </c>
      <c r="BD281" t="s">
        <v>93</v>
      </c>
      <c r="BE281" t="s">
        <v>93</v>
      </c>
      <c r="BF281" t="s">
        <v>93</v>
      </c>
      <c r="BG281" t="s">
        <v>93</v>
      </c>
      <c r="BH281" t="s">
        <v>93</v>
      </c>
    </row>
    <row r="282" spans="1:60" x14ac:dyDescent="0.3">
      <c r="A282">
        <v>23</v>
      </c>
      <c r="B282" t="s">
        <v>128</v>
      </c>
      <c r="C282" t="s">
        <v>113</v>
      </c>
      <c r="D282" t="s">
        <v>97</v>
      </c>
      <c r="E282" t="s">
        <v>114</v>
      </c>
      <c r="F282" t="s">
        <v>165</v>
      </c>
      <c r="G282" t="s">
        <v>135</v>
      </c>
      <c r="H282" t="s">
        <v>136</v>
      </c>
      <c r="I282" t="s">
        <v>76</v>
      </c>
      <c r="J282" t="s">
        <v>77</v>
      </c>
      <c r="K282" t="s">
        <v>125</v>
      </c>
      <c r="L282" t="s">
        <v>79</v>
      </c>
      <c r="M282" t="s">
        <v>80</v>
      </c>
      <c r="N282" t="s">
        <v>82</v>
      </c>
      <c r="O282" t="s">
        <v>117</v>
      </c>
      <c r="P282" t="s">
        <v>82</v>
      </c>
      <c r="Q282" t="s">
        <v>83</v>
      </c>
      <c r="R282" t="s">
        <v>79</v>
      </c>
      <c r="S282" t="s">
        <v>84</v>
      </c>
      <c r="T282" t="s">
        <v>215</v>
      </c>
      <c r="U282" t="s">
        <v>82</v>
      </c>
      <c r="V282" t="s">
        <v>86</v>
      </c>
      <c r="W282" t="s">
        <v>141</v>
      </c>
      <c r="Y282" t="s">
        <v>94</v>
      </c>
      <c r="Z282" t="s">
        <v>94</v>
      </c>
      <c r="AA282" t="s">
        <v>95</v>
      </c>
      <c r="AB282" t="s">
        <v>94</v>
      </c>
      <c r="AC282" t="s">
        <v>95</v>
      </c>
      <c r="AD282" t="s">
        <v>94</v>
      </c>
      <c r="AE282" t="s">
        <v>94</v>
      </c>
      <c r="AF282" t="s">
        <v>95</v>
      </c>
      <c r="AG282" t="s">
        <v>94</v>
      </c>
      <c r="AH282" t="s">
        <v>94</v>
      </c>
      <c r="AI282" t="s">
        <v>94</v>
      </c>
      <c r="AJ282" t="s">
        <v>94</v>
      </c>
      <c r="AK282" t="s">
        <v>95</v>
      </c>
      <c r="AL282" t="s">
        <v>94</v>
      </c>
      <c r="AM282" t="s">
        <v>95</v>
      </c>
      <c r="AN282" t="s">
        <v>94</v>
      </c>
      <c r="AO282" t="s">
        <v>95</v>
      </c>
      <c r="AP282" t="s">
        <v>94</v>
      </c>
      <c r="AQ282" t="s">
        <v>92</v>
      </c>
      <c r="AR282" t="s">
        <v>95</v>
      </c>
      <c r="AS282" t="s">
        <v>94</v>
      </c>
      <c r="AT282" t="s">
        <v>94</v>
      </c>
      <c r="AU282" t="s">
        <v>94</v>
      </c>
      <c r="AV282" t="s">
        <v>95</v>
      </c>
      <c r="AW282" t="s">
        <v>94</v>
      </c>
      <c r="AX282" t="s">
        <v>95</v>
      </c>
      <c r="AY282" t="s">
        <v>94</v>
      </c>
      <c r="AZ282" t="s">
        <v>95</v>
      </c>
      <c r="BA282" t="s">
        <v>94</v>
      </c>
      <c r="BB282" t="s">
        <v>95</v>
      </c>
      <c r="BC282" t="s">
        <v>94</v>
      </c>
      <c r="BD282" t="s">
        <v>94</v>
      </c>
      <c r="BE282" t="s">
        <v>94</v>
      </c>
      <c r="BF282" t="s">
        <v>94</v>
      </c>
      <c r="BG282" t="s">
        <v>94</v>
      </c>
      <c r="BH282" t="s">
        <v>94</v>
      </c>
    </row>
    <row r="283" spans="1:60" x14ac:dyDescent="0.3">
      <c r="A283" t="s">
        <v>250</v>
      </c>
      <c r="B283" t="s">
        <v>128</v>
      </c>
      <c r="C283" t="s">
        <v>113</v>
      </c>
      <c r="D283" t="s">
        <v>97</v>
      </c>
      <c r="E283" t="s">
        <v>108</v>
      </c>
      <c r="F283" t="s">
        <v>98</v>
      </c>
      <c r="G283" t="s">
        <v>135</v>
      </c>
      <c r="H283" t="s">
        <v>98</v>
      </c>
      <c r="I283" t="s">
        <v>76</v>
      </c>
      <c r="J283" t="s">
        <v>77</v>
      </c>
      <c r="K283" t="s">
        <v>122</v>
      </c>
      <c r="L283" t="s">
        <v>79</v>
      </c>
      <c r="M283" t="s">
        <v>80</v>
      </c>
      <c r="N283" t="s">
        <v>79</v>
      </c>
      <c r="O283" t="s">
        <v>133</v>
      </c>
      <c r="P283" t="s">
        <v>79</v>
      </c>
      <c r="Q283" t="s">
        <v>83</v>
      </c>
      <c r="R283" t="s">
        <v>79</v>
      </c>
      <c r="S283" t="s">
        <v>84</v>
      </c>
      <c r="T283" t="s">
        <v>159</v>
      </c>
      <c r="U283" t="s">
        <v>82</v>
      </c>
      <c r="V283" t="s">
        <v>106</v>
      </c>
      <c r="W283" t="s">
        <v>87</v>
      </c>
      <c r="X283" t="s">
        <v>127</v>
      </c>
      <c r="Y283" t="s">
        <v>92</v>
      </c>
      <c r="Z283" t="s">
        <v>93</v>
      </c>
      <c r="AA283" t="s">
        <v>93</v>
      </c>
      <c r="AB283" t="s">
        <v>93</v>
      </c>
      <c r="AC283" t="s">
        <v>94</v>
      </c>
      <c r="AD283" t="s">
        <v>94</v>
      </c>
      <c r="AE283" t="s">
        <v>94</v>
      </c>
      <c r="AF283" t="s">
        <v>92</v>
      </c>
      <c r="AG283" t="s">
        <v>92</v>
      </c>
      <c r="AH283" t="s">
        <v>93</v>
      </c>
      <c r="AI283" t="s">
        <v>93</v>
      </c>
      <c r="AJ283" t="s">
        <v>92</v>
      </c>
      <c r="AK283" t="s">
        <v>92</v>
      </c>
      <c r="AL283" t="s">
        <v>94</v>
      </c>
      <c r="AM283" t="s">
        <v>93</v>
      </c>
      <c r="AN283" t="s">
        <v>92</v>
      </c>
      <c r="AO283" t="s">
        <v>92</v>
      </c>
      <c r="AP283" t="s">
        <v>93</v>
      </c>
      <c r="AQ283" t="s">
        <v>95</v>
      </c>
      <c r="AR283" t="s">
        <v>95</v>
      </c>
      <c r="AS283" t="s">
        <v>95</v>
      </c>
      <c r="AT283" t="s">
        <v>95</v>
      </c>
      <c r="AU283" t="s">
        <v>94</v>
      </c>
      <c r="AV283" t="s">
        <v>94</v>
      </c>
      <c r="AW283" t="s">
        <v>95</v>
      </c>
      <c r="AX283" t="s">
        <v>94</v>
      </c>
      <c r="AY283" t="s">
        <v>94</v>
      </c>
      <c r="AZ283" t="s">
        <v>94</v>
      </c>
      <c r="BA283" t="s">
        <v>93</v>
      </c>
      <c r="BB283" t="s">
        <v>92</v>
      </c>
      <c r="BC283" t="s">
        <v>93</v>
      </c>
      <c r="BD283" t="s">
        <v>93</v>
      </c>
      <c r="BE283" t="s">
        <v>93</v>
      </c>
      <c r="BF283" t="s">
        <v>94</v>
      </c>
      <c r="BG283" t="s">
        <v>95</v>
      </c>
      <c r="BH283" t="s">
        <v>94</v>
      </c>
    </row>
    <row r="284" spans="1:60" x14ac:dyDescent="0.3">
      <c r="A284">
        <v>25</v>
      </c>
      <c r="B284" t="s">
        <v>70</v>
      </c>
      <c r="C284" t="s">
        <v>71</v>
      </c>
      <c r="D284" t="s">
        <v>72</v>
      </c>
      <c r="E284" t="s">
        <v>108</v>
      </c>
      <c r="F284" t="s">
        <v>74</v>
      </c>
      <c r="G284" t="s">
        <v>135</v>
      </c>
      <c r="H284" t="s">
        <v>74</v>
      </c>
      <c r="I284" t="s">
        <v>76</v>
      </c>
      <c r="J284" t="s">
        <v>77</v>
      </c>
      <c r="K284" t="s">
        <v>78</v>
      </c>
      <c r="L284" t="s">
        <v>79</v>
      </c>
      <c r="M284" t="s">
        <v>80</v>
      </c>
      <c r="N284" t="s">
        <v>82</v>
      </c>
      <c r="O284" t="s">
        <v>117</v>
      </c>
      <c r="P284" t="s">
        <v>82</v>
      </c>
      <c r="Q284" t="s">
        <v>83</v>
      </c>
      <c r="R284" t="s">
        <v>82</v>
      </c>
      <c r="S284" t="s">
        <v>84</v>
      </c>
      <c r="T284" t="s">
        <v>85</v>
      </c>
      <c r="U284" t="s">
        <v>82</v>
      </c>
      <c r="V284" t="s">
        <v>106</v>
      </c>
      <c r="W284" t="s">
        <v>141</v>
      </c>
      <c r="X284" t="s">
        <v>112</v>
      </c>
      <c r="Y284" t="s">
        <v>92</v>
      </c>
      <c r="Z284" t="s">
        <v>92</v>
      </c>
      <c r="AA284" t="s">
        <v>92</v>
      </c>
      <c r="AB284" t="s">
        <v>92</v>
      </c>
      <c r="AC284" t="s">
        <v>94</v>
      </c>
      <c r="AD284" t="s">
        <v>94</v>
      </c>
      <c r="AE284" t="s">
        <v>94</v>
      </c>
      <c r="AF284" t="s">
        <v>92</v>
      </c>
      <c r="AG284" t="s">
        <v>92</v>
      </c>
      <c r="AH284" t="s">
        <v>92</v>
      </c>
      <c r="AI284" t="s">
        <v>93</v>
      </c>
      <c r="AJ284" t="s">
        <v>93</v>
      </c>
      <c r="AK284" t="s">
        <v>92</v>
      </c>
      <c r="AL284" t="s">
        <v>94</v>
      </c>
      <c r="AM284" t="s">
        <v>95</v>
      </c>
      <c r="AN284" t="s">
        <v>93</v>
      </c>
      <c r="AO284" t="s">
        <v>93</v>
      </c>
      <c r="AP284" t="s">
        <v>93</v>
      </c>
      <c r="AQ284" t="s">
        <v>95</v>
      </c>
      <c r="AR284" t="s">
        <v>95</v>
      </c>
      <c r="AS284" t="s">
        <v>95</v>
      </c>
      <c r="AT284" t="s">
        <v>95</v>
      </c>
      <c r="AU284" t="s">
        <v>95</v>
      </c>
      <c r="AV284" t="s">
        <v>95</v>
      </c>
      <c r="AW284" t="s">
        <v>95</v>
      </c>
      <c r="AX284" t="s">
        <v>93</v>
      </c>
      <c r="AY284" t="s">
        <v>95</v>
      </c>
      <c r="AZ284" t="s">
        <v>95</v>
      </c>
      <c r="BA284" t="s">
        <v>93</v>
      </c>
      <c r="BB284" t="s">
        <v>93</v>
      </c>
      <c r="BC284" t="s">
        <v>93</v>
      </c>
      <c r="BD284" t="s">
        <v>93</v>
      </c>
      <c r="BE284" t="s">
        <v>93</v>
      </c>
      <c r="BF284" t="s">
        <v>95</v>
      </c>
      <c r="BG284" t="s">
        <v>94</v>
      </c>
      <c r="BH284" t="s">
        <v>94</v>
      </c>
    </row>
    <row r="285" spans="1:60" x14ac:dyDescent="0.3">
      <c r="A285">
        <v>24</v>
      </c>
      <c r="B285" t="s">
        <v>70</v>
      </c>
      <c r="C285" t="s">
        <v>113</v>
      </c>
      <c r="D285" t="s">
        <v>97</v>
      </c>
      <c r="E285" t="s">
        <v>108</v>
      </c>
      <c r="F285" t="s">
        <v>100</v>
      </c>
      <c r="G285" t="s">
        <v>135</v>
      </c>
      <c r="H285" t="s">
        <v>98</v>
      </c>
      <c r="I285" t="s">
        <v>76</v>
      </c>
      <c r="J285" t="s">
        <v>77</v>
      </c>
      <c r="K285" t="s">
        <v>125</v>
      </c>
      <c r="L285" t="s">
        <v>79</v>
      </c>
      <c r="M285" t="s">
        <v>80</v>
      </c>
      <c r="N285" t="s">
        <v>79</v>
      </c>
      <c r="O285" t="s">
        <v>109</v>
      </c>
      <c r="P285" t="s">
        <v>82</v>
      </c>
      <c r="Q285" t="s">
        <v>83</v>
      </c>
      <c r="R285" t="s">
        <v>82</v>
      </c>
      <c r="S285" t="s">
        <v>193</v>
      </c>
      <c r="T285" t="s">
        <v>152</v>
      </c>
      <c r="U285" t="s">
        <v>82</v>
      </c>
      <c r="V285" t="s">
        <v>106</v>
      </c>
      <c r="W285" t="s">
        <v>87</v>
      </c>
      <c r="X285" t="s">
        <v>112</v>
      </c>
      <c r="Y285" t="s">
        <v>92</v>
      </c>
      <c r="Z285" t="s">
        <v>94</v>
      </c>
      <c r="AA285" t="s">
        <v>93</v>
      </c>
      <c r="AB285" t="s">
        <v>92</v>
      </c>
      <c r="AC285" t="s">
        <v>94</v>
      </c>
      <c r="AD285" t="s">
        <v>94</v>
      </c>
      <c r="AE285" t="s">
        <v>94</v>
      </c>
      <c r="AF285" t="s">
        <v>92</v>
      </c>
      <c r="AG285" t="s">
        <v>94</v>
      </c>
      <c r="AH285" t="s">
        <v>92</v>
      </c>
      <c r="AI285" t="s">
        <v>92</v>
      </c>
      <c r="AJ285" t="s">
        <v>92</v>
      </c>
      <c r="AK285" t="s">
        <v>92</v>
      </c>
      <c r="AL285" t="s">
        <v>92</v>
      </c>
      <c r="AM285" t="s">
        <v>94</v>
      </c>
      <c r="AN285" t="s">
        <v>93</v>
      </c>
      <c r="AO285" t="s">
        <v>93</v>
      </c>
      <c r="AP285" t="s">
        <v>93</v>
      </c>
      <c r="AQ285" t="s">
        <v>94</v>
      </c>
      <c r="AR285" t="s">
        <v>94</v>
      </c>
      <c r="AS285" t="s">
        <v>95</v>
      </c>
      <c r="AT285" t="s">
        <v>95</v>
      </c>
      <c r="AU285" t="s">
        <v>94</v>
      </c>
      <c r="AV285" t="s">
        <v>95</v>
      </c>
      <c r="AW285" t="s">
        <v>95</v>
      </c>
      <c r="AX285" t="s">
        <v>92</v>
      </c>
      <c r="AY285" t="s">
        <v>92</v>
      </c>
      <c r="AZ285" t="s">
        <v>94</v>
      </c>
      <c r="BA285" t="s">
        <v>93</v>
      </c>
      <c r="BB285" t="s">
        <v>93</v>
      </c>
      <c r="BC285" t="s">
        <v>92</v>
      </c>
      <c r="BD285" t="s">
        <v>92</v>
      </c>
      <c r="BE285" t="s">
        <v>94</v>
      </c>
      <c r="BF285" t="s">
        <v>94</v>
      </c>
      <c r="BG285" t="s">
        <v>94</v>
      </c>
      <c r="BH285" t="s">
        <v>94</v>
      </c>
    </row>
    <row r="286" spans="1:60" x14ac:dyDescent="0.3">
      <c r="A286">
        <v>23</v>
      </c>
      <c r="B286" t="s">
        <v>70</v>
      </c>
      <c r="C286" t="s">
        <v>71</v>
      </c>
      <c r="D286" t="s">
        <v>97</v>
      </c>
      <c r="E286" t="s">
        <v>108</v>
      </c>
      <c r="F286" t="s">
        <v>74</v>
      </c>
      <c r="G286" t="s">
        <v>75</v>
      </c>
      <c r="H286" t="s">
        <v>136</v>
      </c>
      <c r="I286" t="s">
        <v>76</v>
      </c>
      <c r="J286" t="s">
        <v>77</v>
      </c>
      <c r="K286" t="s">
        <v>125</v>
      </c>
      <c r="L286" t="s">
        <v>82</v>
      </c>
      <c r="M286" t="s">
        <v>80</v>
      </c>
      <c r="N286" t="s">
        <v>79</v>
      </c>
      <c r="O286" t="s">
        <v>81</v>
      </c>
      <c r="P286" t="s">
        <v>82</v>
      </c>
      <c r="Q286" t="s">
        <v>83</v>
      </c>
      <c r="R286" t="s">
        <v>82</v>
      </c>
      <c r="S286" t="s">
        <v>145</v>
      </c>
      <c r="T286" t="s">
        <v>124</v>
      </c>
      <c r="U286" t="s">
        <v>82</v>
      </c>
      <c r="V286" t="s">
        <v>106</v>
      </c>
      <c r="W286" t="s">
        <v>120</v>
      </c>
      <c r="Y286" t="s">
        <v>93</v>
      </c>
      <c r="Z286" t="s">
        <v>93</v>
      </c>
      <c r="AA286" t="s">
        <v>93</v>
      </c>
      <c r="AB286" t="s">
        <v>92</v>
      </c>
      <c r="AC286" t="s">
        <v>92</v>
      </c>
      <c r="AD286" t="s">
        <v>92</v>
      </c>
      <c r="AE286" t="s">
        <v>92</v>
      </c>
      <c r="AF286" t="s">
        <v>92</v>
      </c>
      <c r="AG286" t="s">
        <v>93</v>
      </c>
      <c r="AH286" t="s">
        <v>93</v>
      </c>
      <c r="AI286" t="s">
        <v>92</v>
      </c>
      <c r="AJ286" t="s">
        <v>94</v>
      </c>
      <c r="AK286" t="s">
        <v>93</v>
      </c>
      <c r="AL286" t="s">
        <v>93</v>
      </c>
      <c r="AM286" t="s">
        <v>93</v>
      </c>
      <c r="AN286" t="s">
        <v>94</v>
      </c>
      <c r="AO286" t="s">
        <v>93</v>
      </c>
      <c r="AP286" t="s">
        <v>93</v>
      </c>
      <c r="AQ286" t="s">
        <v>94</v>
      </c>
      <c r="AR286" t="s">
        <v>93</v>
      </c>
      <c r="AS286" t="s">
        <v>92</v>
      </c>
      <c r="AT286" t="s">
        <v>93</v>
      </c>
      <c r="AU286" t="s">
        <v>94</v>
      </c>
      <c r="AV286" t="s">
        <v>94</v>
      </c>
      <c r="AW286" t="s">
        <v>92</v>
      </c>
      <c r="AX286" t="s">
        <v>93</v>
      </c>
      <c r="AY286" t="s">
        <v>94</v>
      </c>
      <c r="AZ286" t="s">
        <v>92</v>
      </c>
      <c r="BA286" t="s">
        <v>94</v>
      </c>
      <c r="BB286" t="s">
        <v>92</v>
      </c>
      <c r="BC286" t="s">
        <v>92</v>
      </c>
      <c r="BD286" t="s">
        <v>94</v>
      </c>
      <c r="BE286" t="s">
        <v>92</v>
      </c>
      <c r="BF286" t="s">
        <v>94</v>
      </c>
      <c r="BG286" t="s">
        <v>94</v>
      </c>
      <c r="BH286" t="s">
        <v>92</v>
      </c>
    </row>
    <row r="287" spans="1:60" x14ac:dyDescent="0.3">
      <c r="A287">
        <v>21</v>
      </c>
      <c r="B287" t="s">
        <v>70</v>
      </c>
      <c r="C287" t="s">
        <v>96</v>
      </c>
      <c r="D287" t="s">
        <v>72</v>
      </c>
      <c r="E287" t="s">
        <v>114</v>
      </c>
      <c r="F287" t="s">
        <v>136</v>
      </c>
      <c r="G287" t="s">
        <v>135</v>
      </c>
      <c r="H287" t="s">
        <v>136</v>
      </c>
      <c r="I287" t="s">
        <v>76</v>
      </c>
      <c r="J287" t="s">
        <v>77</v>
      </c>
      <c r="K287" t="s">
        <v>125</v>
      </c>
      <c r="L287" t="s">
        <v>79</v>
      </c>
      <c r="M287" t="s">
        <v>80</v>
      </c>
      <c r="N287" t="s">
        <v>79</v>
      </c>
      <c r="O287" t="s">
        <v>109</v>
      </c>
      <c r="P287" t="s">
        <v>79</v>
      </c>
      <c r="Q287" t="s">
        <v>83</v>
      </c>
      <c r="R287" t="s">
        <v>82</v>
      </c>
      <c r="S287" t="s">
        <v>145</v>
      </c>
      <c r="T287" t="s">
        <v>130</v>
      </c>
      <c r="U287" t="s">
        <v>79</v>
      </c>
      <c r="V287" t="s">
        <v>106</v>
      </c>
      <c r="W287" t="s">
        <v>120</v>
      </c>
      <c r="X287" t="s">
        <v>112</v>
      </c>
      <c r="Y287" t="s">
        <v>92</v>
      </c>
      <c r="Z287" t="s">
        <v>92</v>
      </c>
      <c r="AA287" t="s">
        <v>93</v>
      </c>
      <c r="AB287" t="s">
        <v>94</v>
      </c>
      <c r="AC287" t="s">
        <v>92</v>
      </c>
      <c r="AD287" t="s">
        <v>93</v>
      </c>
      <c r="AE287" t="s">
        <v>92</v>
      </c>
      <c r="AF287" t="s">
        <v>92</v>
      </c>
      <c r="AG287" t="s">
        <v>93</v>
      </c>
      <c r="AH287" t="s">
        <v>94</v>
      </c>
      <c r="AI287" t="s">
        <v>92</v>
      </c>
      <c r="AJ287" t="s">
        <v>94</v>
      </c>
      <c r="AK287" t="s">
        <v>92</v>
      </c>
      <c r="AL287" t="s">
        <v>92</v>
      </c>
      <c r="AM287" t="s">
        <v>93</v>
      </c>
      <c r="AN287" t="s">
        <v>94</v>
      </c>
      <c r="AO287" t="s">
        <v>94</v>
      </c>
      <c r="AP287" t="s">
        <v>92</v>
      </c>
      <c r="AQ287" t="s">
        <v>95</v>
      </c>
      <c r="AR287" t="s">
        <v>94</v>
      </c>
      <c r="AS287" t="s">
        <v>92</v>
      </c>
      <c r="AT287" t="s">
        <v>95</v>
      </c>
      <c r="AU287" t="s">
        <v>94</v>
      </c>
      <c r="AV287" t="s">
        <v>95</v>
      </c>
      <c r="AW287" t="s">
        <v>95</v>
      </c>
      <c r="AX287" t="s">
        <v>95</v>
      </c>
      <c r="AY287" t="s">
        <v>95</v>
      </c>
      <c r="AZ287" t="s">
        <v>95</v>
      </c>
      <c r="BA287" t="s">
        <v>95</v>
      </c>
      <c r="BB287" t="s">
        <v>95</v>
      </c>
      <c r="BC287" t="s">
        <v>95</v>
      </c>
      <c r="BD287" t="s">
        <v>95</v>
      </c>
      <c r="BE287" t="s">
        <v>95</v>
      </c>
      <c r="BF287" t="s">
        <v>95</v>
      </c>
      <c r="BG287" t="s">
        <v>92</v>
      </c>
      <c r="BH287" t="s">
        <v>94</v>
      </c>
    </row>
    <row r="288" spans="1:60" x14ac:dyDescent="0.3">
      <c r="A288">
        <v>21</v>
      </c>
      <c r="B288" t="s">
        <v>70</v>
      </c>
      <c r="C288" t="s">
        <v>96</v>
      </c>
      <c r="D288" t="s">
        <v>72</v>
      </c>
      <c r="E288" t="s">
        <v>73</v>
      </c>
      <c r="F288" t="s">
        <v>74</v>
      </c>
      <c r="G288" t="s">
        <v>75</v>
      </c>
      <c r="H288" t="s">
        <v>74</v>
      </c>
      <c r="I288" t="s">
        <v>76</v>
      </c>
      <c r="J288" t="s">
        <v>77</v>
      </c>
      <c r="K288" t="s">
        <v>125</v>
      </c>
      <c r="L288" t="s">
        <v>79</v>
      </c>
      <c r="M288" t="s">
        <v>80</v>
      </c>
      <c r="N288" t="s">
        <v>79</v>
      </c>
      <c r="O288" t="s">
        <v>109</v>
      </c>
      <c r="P288" t="s">
        <v>82</v>
      </c>
      <c r="Q288" t="s">
        <v>83</v>
      </c>
      <c r="R288" t="s">
        <v>82</v>
      </c>
      <c r="S288" t="s">
        <v>223</v>
      </c>
      <c r="T288" t="s">
        <v>85</v>
      </c>
      <c r="U288" t="s">
        <v>82</v>
      </c>
      <c r="V288" t="s">
        <v>106</v>
      </c>
      <c r="W288" t="s">
        <v>141</v>
      </c>
      <c r="X288" t="s">
        <v>112</v>
      </c>
      <c r="Y288" t="s">
        <v>94</v>
      </c>
      <c r="Z288" t="s">
        <v>94</v>
      </c>
      <c r="AA288" t="s">
        <v>94</v>
      </c>
      <c r="AB288" t="s">
        <v>94</v>
      </c>
      <c r="AC288" t="s">
        <v>94</v>
      </c>
      <c r="AD288" t="s">
        <v>92</v>
      </c>
      <c r="AE288" t="s">
        <v>92</v>
      </c>
      <c r="AF288" t="s">
        <v>93</v>
      </c>
      <c r="AG288" t="s">
        <v>93</v>
      </c>
      <c r="AH288" t="s">
        <v>93</v>
      </c>
      <c r="AI288" t="s">
        <v>93</v>
      </c>
      <c r="AJ288" t="s">
        <v>93</v>
      </c>
      <c r="AK288" t="s">
        <v>92</v>
      </c>
      <c r="AL288" t="s">
        <v>93</v>
      </c>
      <c r="AM288" t="s">
        <v>93</v>
      </c>
      <c r="AN288" t="s">
        <v>93</v>
      </c>
      <c r="AO288" t="s">
        <v>93</v>
      </c>
      <c r="AP288" t="s">
        <v>93</v>
      </c>
      <c r="AQ288" t="s">
        <v>92</v>
      </c>
      <c r="AR288" t="s">
        <v>92</v>
      </c>
      <c r="AS288" t="s">
        <v>94</v>
      </c>
      <c r="AT288" t="s">
        <v>92</v>
      </c>
      <c r="AU288" t="s">
        <v>94</v>
      </c>
      <c r="AV288" t="s">
        <v>94</v>
      </c>
      <c r="AW288" t="s">
        <v>94</v>
      </c>
      <c r="AX288" t="s">
        <v>94</v>
      </c>
      <c r="AY288" t="s">
        <v>94</v>
      </c>
      <c r="AZ288" t="s">
        <v>94</v>
      </c>
      <c r="BA288" t="s">
        <v>92</v>
      </c>
      <c r="BB288" t="s">
        <v>92</v>
      </c>
      <c r="BC288" t="s">
        <v>93</v>
      </c>
      <c r="BD288" t="s">
        <v>92</v>
      </c>
      <c r="BE288" t="s">
        <v>92</v>
      </c>
      <c r="BF288" t="s">
        <v>93</v>
      </c>
      <c r="BG288" t="s">
        <v>92</v>
      </c>
      <c r="BH288" t="s">
        <v>92</v>
      </c>
    </row>
    <row r="289" spans="1:60" x14ac:dyDescent="0.3">
      <c r="A289">
        <v>22</v>
      </c>
      <c r="B289" t="s">
        <v>70</v>
      </c>
      <c r="C289" t="s">
        <v>157</v>
      </c>
      <c r="D289" t="s">
        <v>97</v>
      </c>
      <c r="E289" t="s">
        <v>108</v>
      </c>
      <c r="F289" t="s">
        <v>74</v>
      </c>
      <c r="G289" t="s">
        <v>75</v>
      </c>
      <c r="H289" t="s">
        <v>74</v>
      </c>
      <c r="I289" t="s">
        <v>75</v>
      </c>
      <c r="J289" t="s">
        <v>77</v>
      </c>
      <c r="K289" t="s">
        <v>131</v>
      </c>
      <c r="L289" t="s">
        <v>79</v>
      </c>
      <c r="M289" t="s">
        <v>80</v>
      </c>
      <c r="N289" t="s">
        <v>79</v>
      </c>
      <c r="O289" t="s">
        <v>81</v>
      </c>
      <c r="P289" t="s">
        <v>79</v>
      </c>
      <c r="Q289" t="s">
        <v>83</v>
      </c>
      <c r="R289" t="s">
        <v>79</v>
      </c>
      <c r="S289" t="s">
        <v>84</v>
      </c>
      <c r="T289" t="s">
        <v>251</v>
      </c>
      <c r="U289" t="s">
        <v>82</v>
      </c>
      <c r="V289" t="s">
        <v>106</v>
      </c>
      <c r="W289" t="s">
        <v>141</v>
      </c>
      <c r="X289" t="s">
        <v>88</v>
      </c>
      <c r="Y289" t="s">
        <v>94</v>
      </c>
      <c r="Z289" t="s">
        <v>94</v>
      </c>
      <c r="AA289" t="s">
        <v>94</v>
      </c>
      <c r="AB289" t="s">
        <v>94</v>
      </c>
      <c r="AC289" t="s">
        <v>94</v>
      </c>
      <c r="AD289" t="s">
        <v>94</v>
      </c>
      <c r="AE289" t="s">
        <v>94</v>
      </c>
      <c r="AF289" t="s">
        <v>94</v>
      </c>
      <c r="AG289" t="s">
        <v>94</v>
      </c>
      <c r="AH289" t="s">
        <v>94</v>
      </c>
      <c r="AI289" t="s">
        <v>94</v>
      </c>
      <c r="AJ289" t="s">
        <v>94</v>
      </c>
      <c r="AK289" t="s">
        <v>94</v>
      </c>
      <c r="AL289" t="s">
        <v>94</v>
      </c>
      <c r="AM289" t="s">
        <v>94</v>
      </c>
      <c r="AN289" t="s">
        <v>94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94</v>
      </c>
      <c r="AU289" t="s">
        <v>94</v>
      </c>
      <c r="AV289" t="s">
        <v>94</v>
      </c>
      <c r="AW289" t="s">
        <v>94</v>
      </c>
      <c r="AX289" t="s">
        <v>94</v>
      </c>
      <c r="AY289" t="s">
        <v>94</v>
      </c>
      <c r="AZ289" t="s">
        <v>94</v>
      </c>
      <c r="BA289" t="s">
        <v>94</v>
      </c>
      <c r="BB289" t="s">
        <v>94</v>
      </c>
      <c r="BC289" t="s">
        <v>94</v>
      </c>
      <c r="BD289" t="s">
        <v>94</v>
      </c>
      <c r="BE289" t="s">
        <v>94</v>
      </c>
      <c r="BF289" t="s">
        <v>94</v>
      </c>
      <c r="BG289" t="s">
        <v>94</v>
      </c>
      <c r="BH289" t="s">
        <v>92</v>
      </c>
    </row>
    <row r="290" spans="1:60" x14ac:dyDescent="0.3">
      <c r="A290">
        <v>20</v>
      </c>
      <c r="B290" t="s">
        <v>162</v>
      </c>
      <c r="C290" t="s">
        <v>157</v>
      </c>
      <c r="D290" t="s">
        <v>72</v>
      </c>
      <c r="E290" t="s">
        <v>73</v>
      </c>
      <c r="F290" t="s">
        <v>74</v>
      </c>
      <c r="G290" t="s">
        <v>99</v>
      </c>
      <c r="H290" t="s">
        <v>136</v>
      </c>
      <c r="I290" t="s">
        <v>76</v>
      </c>
      <c r="J290" t="s">
        <v>77</v>
      </c>
      <c r="K290" t="s">
        <v>122</v>
      </c>
      <c r="L290" t="s">
        <v>79</v>
      </c>
      <c r="M290" t="s">
        <v>80</v>
      </c>
      <c r="N290" t="s">
        <v>79</v>
      </c>
      <c r="O290" t="s">
        <v>81</v>
      </c>
      <c r="P290" t="s">
        <v>82</v>
      </c>
      <c r="Q290" t="s">
        <v>83</v>
      </c>
      <c r="R290" t="s">
        <v>82</v>
      </c>
      <c r="S290" t="s">
        <v>214</v>
      </c>
      <c r="T290" t="s">
        <v>200</v>
      </c>
      <c r="U290" t="s">
        <v>82</v>
      </c>
      <c r="V290" t="s">
        <v>106</v>
      </c>
      <c r="W290" t="s">
        <v>141</v>
      </c>
      <c r="X290" t="s">
        <v>112</v>
      </c>
      <c r="Y290" t="s">
        <v>93</v>
      </c>
      <c r="Z290" t="s">
        <v>93</v>
      </c>
      <c r="AA290" t="s">
        <v>93</v>
      </c>
      <c r="AB290" t="s">
        <v>93</v>
      </c>
      <c r="AC290" t="s">
        <v>94</v>
      </c>
      <c r="AD290" t="s">
        <v>94</v>
      </c>
      <c r="AE290" t="s">
        <v>94</v>
      </c>
      <c r="AF290" t="s">
        <v>93</v>
      </c>
      <c r="AG290" t="s">
        <v>93</v>
      </c>
      <c r="AH290" t="s">
        <v>94</v>
      </c>
      <c r="AI290" t="s">
        <v>93</v>
      </c>
      <c r="AJ290" t="s">
        <v>93</v>
      </c>
      <c r="AK290" t="s">
        <v>93</v>
      </c>
      <c r="AL290" t="s">
        <v>94</v>
      </c>
      <c r="AM290" t="s">
        <v>94</v>
      </c>
      <c r="AN290" t="s">
        <v>93</v>
      </c>
      <c r="AO290" t="s">
        <v>93</v>
      </c>
      <c r="AP290" t="s">
        <v>93</v>
      </c>
      <c r="AQ290" t="s">
        <v>93</v>
      </c>
      <c r="AR290" t="s">
        <v>93</v>
      </c>
      <c r="AS290" t="s">
        <v>93</v>
      </c>
      <c r="AT290" t="s">
        <v>93</v>
      </c>
      <c r="AU290" t="s">
        <v>93</v>
      </c>
      <c r="AV290" t="s">
        <v>93</v>
      </c>
      <c r="AW290" t="s">
        <v>93</v>
      </c>
      <c r="AX290" t="s">
        <v>93</v>
      </c>
      <c r="AY290" t="s">
        <v>93</v>
      </c>
      <c r="AZ290" t="s">
        <v>93</v>
      </c>
      <c r="BA290" t="s">
        <v>93</v>
      </c>
      <c r="BB290" t="s">
        <v>93</v>
      </c>
      <c r="BC290" t="s">
        <v>93</v>
      </c>
      <c r="BD290" t="s">
        <v>93</v>
      </c>
      <c r="BE290" t="s">
        <v>93</v>
      </c>
      <c r="BF290" t="s">
        <v>93</v>
      </c>
      <c r="BG290" t="s">
        <v>93</v>
      </c>
      <c r="BH290" t="s">
        <v>93</v>
      </c>
    </row>
    <row r="291" spans="1:60" x14ac:dyDescent="0.3">
      <c r="A291">
        <v>21</v>
      </c>
      <c r="B291" t="s">
        <v>128</v>
      </c>
      <c r="C291" t="s">
        <v>157</v>
      </c>
      <c r="D291" t="s">
        <v>72</v>
      </c>
      <c r="E291" t="s">
        <v>114</v>
      </c>
      <c r="F291" t="s">
        <v>136</v>
      </c>
      <c r="G291" t="s">
        <v>135</v>
      </c>
      <c r="H291" t="s">
        <v>98</v>
      </c>
      <c r="I291" t="s">
        <v>76</v>
      </c>
      <c r="J291" t="s">
        <v>77</v>
      </c>
      <c r="K291" t="s">
        <v>125</v>
      </c>
      <c r="L291" t="s">
        <v>79</v>
      </c>
      <c r="M291" t="s">
        <v>80</v>
      </c>
      <c r="N291" t="s">
        <v>79</v>
      </c>
      <c r="O291" t="s">
        <v>109</v>
      </c>
      <c r="P291" t="s">
        <v>82</v>
      </c>
      <c r="Q291" t="s">
        <v>83</v>
      </c>
      <c r="R291" t="s">
        <v>79</v>
      </c>
      <c r="S291" t="s">
        <v>84</v>
      </c>
      <c r="T291" t="s">
        <v>167</v>
      </c>
      <c r="U291" t="s">
        <v>79</v>
      </c>
      <c r="V291" t="s">
        <v>106</v>
      </c>
      <c r="W291" t="s">
        <v>120</v>
      </c>
      <c r="X291" t="s">
        <v>112</v>
      </c>
      <c r="Y291" t="s">
        <v>94</v>
      </c>
      <c r="Z291" t="s">
        <v>92</v>
      </c>
      <c r="AA291" t="s">
        <v>94</v>
      </c>
      <c r="AB291" t="s">
        <v>94</v>
      </c>
      <c r="AC291" t="s">
        <v>92</v>
      </c>
      <c r="AD291" t="s">
        <v>94</v>
      </c>
      <c r="AE291" t="s">
        <v>92</v>
      </c>
      <c r="AF291" t="s">
        <v>92</v>
      </c>
      <c r="AG291" t="s">
        <v>92</v>
      </c>
      <c r="AH291" t="s">
        <v>94</v>
      </c>
      <c r="AI291" t="s">
        <v>92</v>
      </c>
      <c r="AJ291" t="s">
        <v>92</v>
      </c>
      <c r="AK291" t="s">
        <v>92</v>
      </c>
      <c r="AL291" t="s">
        <v>94</v>
      </c>
      <c r="AM291" t="s">
        <v>92</v>
      </c>
      <c r="AN291" t="s">
        <v>94</v>
      </c>
      <c r="AO291" t="s">
        <v>93</v>
      </c>
      <c r="AP291" t="s">
        <v>92</v>
      </c>
      <c r="AQ291" t="s">
        <v>92</v>
      </c>
      <c r="AR291" t="s">
        <v>93</v>
      </c>
      <c r="AS291" t="s">
        <v>92</v>
      </c>
      <c r="AT291" t="s">
        <v>92</v>
      </c>
      <c r="AU291" t="s">
        <v>94</v>
      </c>
      <c r="AV291" t="s">
        <v>94</v>
      </c>
      <c r="AW291" t="s">
        <v>92</v>
      </c>
      <c r="AX291" t="s">
        <v>94</v>
      </c>
      <c r="AY291" t="s">
        <v>94</v>
      </c>
      <c r="AZ291" t="s">
        <v>94</v>
      </c>
      <c r="BA291" t="s">
        <v>93</v>
      </c>
      <c r="BB291" t="s">
        <v>93</v>
      </c>
      <c r="BC291" t="s">
        <v>93</v>
      </c>
      <c r="BD291" t="s">
        <v>93</v>
      </c>
      <c r="BE291" t="s">
        <v>93</v>
      </c>
      <c r="BF291" t="s">
        <v>93</v>
      </c>
      <c r="BG291" t="s">
        <v>93</v>
      </c>
      <c r="BH291" t="s">
        <v>92</v>
      </c>
    </row>
    <row r="292" spans="1:60" x14ac:dyDescent="0.3">
      <c r="A292">
        <v>19</v>
      </c>
      <c r="B292" t="s">
        <v>70</v>
      </c>
      <c r="C292" t="s">
        <v>157</v>
      </c>
      <c r="D292" t="s">
        <v>72</v>
      </c>
      <c r="E292" t="s">
        <v>114</v>
      </c>
      <c r="F292" t="s">
        <v>98</v>
      </c>
      <c r="G292" t="s">
        <v>75</v>
      </c>
      <c r="H292" t="s">
        <v>98</v>
      </c>
      <c r="I292" t="s">
        <v>76</v>
      </c>
      <c r="J292" t="s">
        <v>77</v>
      </c>
      <c r="K292" t="s">
        <v>122</v>
      </c>
      <c r="L292" t="s">
        <v>79</v>
      </c>
      <c r="M292" t="s">
        <v>80</v>
      </c>
      <c r="N292" t="s">
        <v>82</v>
      </c>
      <c r="O292" t="s">
        <v>117</v>
      </c>
      <c r="P292" t="s">
        <v>79</v>
      </c>
      <c r="Q292" t="s">
        <v>83</v>
      </c>
      <c r="R292" t="s">
        <v>79</v>
      </c>
      <c r="S292" t="s">
        <v>84</v>
      </c>
      <c r="T292" t="s">
        <v>130</v>
      </c>
      <c r="U292" t="s">
        <v>82</v>
      </c>
      <c r="V292" t="s">
        <v>86</v>
      </c>
      <c r="W292" t="s">
        <v>120</v>
      </c>
      <c r="X292" t="s">
        <v>160</v>
      </c>
      <c r="Y292" t="s">
        <v>92</v>
      </c>
      <c r="Z292" t="s">
        <v>92</v>
      </c>
      <c r="AA292" t="s">
        <v>92</v>
      </c>
      <c r="AB292" t="s">
        <v>92</v>
      </c>
      <c r="AC292" t="s">
        <v>92</v>
      </c>
      <c r="AD292" t="s">
        <v>92</v>
      </c>
      <c r="AE292" t="s">
        <v>92</v>
      </c>
      <c r="AF292" t="s">
        <v>92</v>
      </c>
      <c r="AG292" t="s">
        <v>92</v>
      </c>
      <c r="AH292" t="s">
        <v>92</v>
      </c>
      <c r="AI292" t="s">
        <v>92</v>
      </c>
      <c r="AJ292" t="s">
        <v>92</v>
      </c>
      <c r="AK292" t="s">
        <v>92</v>
      </c>
      <c r="AL292" t="s">
        <v>92</v>
      </c>
      <c r="AM292" t="s">
        <v>92</v>
      </c>
      <c r="AN292" t="s">
        <v>93</v>
      </c>
      <c r="AO292" t="s">
        <v>93</v>
      </c>
      <c r="AP292" t="s">
        <v>93</v>
      </c>
      <c r="AQ292" t="s">
        <v>93</v>
      </c>
      <c r="AR292" t="s">
        <v>93</v>
      </c>
      <c r="AS292" t="s">
        <v>93</v>
      </c>
      <c r="AT292" t="s">
        <v>93</v>
      </c>
      <c r="AU292" t="s">
        <v>94</v>
      </c>
      <c r="AV292" t="s">
        <v>94</v>
      </c>
      <c r="AW292" t="s">
        <v>94</v>
      </c>
      <c r="AX292" t="s">
        <v>94</v>
      </c>
      <c r="AY292" t="s">
        <v>94</v>
      </c>
      <c r="AZ292" t="s">
        <v>94</v>
      </c>
      <c r="BA292" t="s">
        <v>93</v>
      </c>
      <c r="BB292" t="s">
        <v>93</v>
      </c>
      <c r="BC292" t="s">
        <v>93</v>
      </c>
      <c r="BD292" t="s">
        <v>93</v>
      </c>
      <c r="BE292" t="s">
        <v>93</v>
      </c>
      <c r="BF292" t="s">
        <v>93</v>
      </c>
      <c r="BG292" t="s">
        <v>93</v>
      </c>
      <c r="BH292" t="s">
        <v>93</v>
      </c>
    </row>
    <row r="293" spans="1:60" x14ac:dyDescent="0.3">
      <c r="A293">
        <v>19</v>
      </c>
      <c r="B293" t="s">
        <v>70</v>
      </c>
      <c r="C293" t="s">
        <v>157</v>
      </c>
      <c r="D293" t="s">
        <v>72</v>
      </c>
      <c r="E293" t="s">
        <v>114</v>
      </c>
      <c r="F293" t="s">
        <v>74</v>
      </c>
      <c r="G293" t="s">
        <v>135</v>
      </c>
      <c r="H293" t="s">
        <v>136</v>
      </c>
      <c r="I293" t="s">
        <v>76</v>
      </c>
      <c r="J293" t="s">
        <v>77</v>
      </c>
      <c r="K293" t="s">
        <v>78</v>
      </c>
      <c r="L293" t="s">
        <v>79</v>
      </c>
      <c r="M293" t="s">
        <v>80</v>
      </c>
      <c r="N293" t="s">
        <v>79</v>
      </c>
      <c r="O293" t="s">
        <v>138</v>
      </c>
      <c r="P293" t="s">
        <v>79</v>
      </c>
      <c r="Q293" t="s">
        <v>83</v>
      </c>
      <c r="R293" t="s">
        <v>79</v>
      </c>
      <c r="S293" t="s">
        <v>84</v>
      </c>
      <c r="T293" t="s">
        <v>124</v>
      </c>
      <c r="U293" t="s">
        <v>79</v>
      </c>
      <c r="V293" t="s">
        <v>106</v>
      </c>
      <c r="W293" t="s">
        <v>87</v>
      </c>
      <c r="X293" t="s">
        <v>112</v>
      </c>
      <c r="Y293" t="s">
        <v>93</v>
      </c>
      <c r="Z293" t="s">
        <v>93</v>
      </c>
      <c r="AA293" t="s">
        <v>93</v>
      </c>
      <c r="AB293" t="s">
        <v>93</v>
      </c>
      <c r="AC293" t="s">
        <v>95</v>
      </c>
      <c r="AD293" t="s">
        <v>95</v>
      </c>
      <c r="AE293" t="s">
        <v>95</v>
      </c>
      <c r="AF293" t="s">
        <v>94</v>
      </c>
      <c r="AG293" t="s">
        <v>94</v>
      </c>
      <c r="AH293" t="s">
        <v>94</v>
      </c>
      <c r="AI293" t="s">
        <v>93</v>
      </c>
      <c r="AJ293" t="s">
        <v>93</v>
      </c>
      <c r="AK293" t="s">
        <v>93</v>
      </c>
      <c r="AL293" t="s">
        <v>95</v>
      </c>
      <c r="AM293" t="s">
        <v>95</v>
      </c>
      <c r="AN293" t="s">
        <v>93</v>
      </c>
      <c r="AO293" t="s">
        <v>93</v>
      </c>
      <c r="AP293" t="s">
        <v>93</v>
      </c>
      <c r="AQ293" t="s">
        <v>95</v>
      </c>
      <c r="AR293" t="s">
        <v>95</v>
      </c>
      <c r="AS293" t="s">
        <v>95</v>
      </c>
      <c r="AT293" t="s">
        <v>95</v>
      </c>
      <c r="AU293" t="s">
        <v>93</v>
      </c>
      <c r="AV293" t="s">
        <v>93</v>
      </c>
      <c r="AW293" t="s">
        <v>93</v>
      </c>
      <c r="AX293" t="s">
        <v>95</v>
      </c>
      <c r="AY293" t="s">
        <v>95</v>
      </c>
      <c r="AZ293" t="s">
        <v>95</v>
      </c>
    </row>
    <row r="294" spans="1:60" x14ac:dyDescent="0.3">
      <c r="A294">
        <v>21</v>
      </c>
      <c r="B294" t="s">
        <v>70</v>
      </c>
      <c r="C294" t="s">
        <v>157</v>
      </c>
      <c r="D294" t="s">
        <v>97</v>
      </c>
      <c r="E294" t="s">
        <v>108</v>
      </c>
      <c r="F294" t="s">
        <v>74</v>
      </c>
      <c r="G294" t="s">
        <v>115</v>
      </c>
      <c r="H294" t="s">
        <v>74</v>
      </c>
      <c r="I294" t="s">
        <v>76</v>
      </c>
      <c r="J294" t="s">
        <v>77</v>
      </c>
      <c r="K294" t="s">
        <v>131</v>
      </c>
      <c r="L294" t="s">
        <v>79</v>
      </c>
      <c r="M294" t="s">
        <v>80</v>
      </c>
      <c r="N294" t="s">
        <v>79</v>
      </c>
      <c r="O294" t="s">
        <v>109</v>
      </c>
      <c r="P294" t="s">
        <v>79</v>
      </c>
      <c r="Q294" t="s">
        <v>83</v>
      </c>
      <c r="R294" t="s">
        <v>79</v>
      </c>
      <c r="S294" t="s">
        <v>84</v>
      </c>
      <c r="T294" t="s">
        <v>124</v>
      </c>
      <c r="U294" t="s">
        <v>79</v>
      </c>
      <c r="V294" t="s">
        <v>106</v>
      </c>
      <c r="W294" t="s">
        <v>141</v>
      </c>
      <c r="X294" t="s">
        <v>112</v>
      </c>
      <c r="Y294" t="s">
        <v>92</v>
      </c>
      <c r="Z294" t="s">
        <v>92</v>
      </c>
      <c r="AA294" t="s">
        <v>92</v>
      </c>
      <c r="AB294" t="s">
        <v>92</v>
      </c>
      <c r="AC294" t="s">
        <v>92</v>
      </c>
      <c r="AD294" t="s">
        <v>92</v>
      </c>
      <c r="AE294" t="s">
        <v>92</v>
      </c>
      <c r="AF294" t="s">
        <v>92</v>
      </c>
      <c r="AG294" t="s">
        <v>92</v>
      </c>
      <c r="AH294" t="s">
        <v>92</v>
      </c>
      <c r="AI294" t="s">
        <v>92</v>
      </c>
      <c r="AJ294" t="s">
        <v>92</v>
      </c>
      <c r="AK294" t="s">
        <v>92</v>
      </c>
      <c r="AL294" t="s">
        <v>92</v>
      </c>
      <c r="AM294" t="s">
        <v>92</v>
      </c>
      <c r="AN294" t="s">
        <v>93</v>
      </c>
      <c r="AO294" t="s">
        <v>93</v>
      </c>
      <c r="AP294" t="s">
        <v>93</v>
      </c>
      <c r="AQ294" t="s">
        <v>93</v>
      </c>
      <c r="AR294" t="s">
        <v>92</v>
      </c>
      <c r="AS294" t="s">
        <v>92</v>
      </c>
      <c r="AT294" t="s">
        <v>93</v>
      </c>
      <c r="AU294" t="s">
        <v>92</v>
      </c>
      <c r="AV294" t="s">
        <v>92</v>
      </c>
      <c r="AW294" t="s">
        <v>93</v>
      </c>
      <c r="AX294" t="s">
        <v>92</v>
      </c>
      <c r="AY294" t="s">
        <v>92</v>
      </c>
      <c r="AZ294" t="s">
        <v>93</v>
      </c>
      <c r="BA294" t="s">
        <v>93</v>
      </c>
      <c r="BB294" t="s">
        <v>92</v>
      </c>
      <c r="BC294" t="s">
        <v>92</v>
      </c>
      <c r="BD294" t="s">
        <v>92</v>
      </c>
      <c r="BE294" t="s">
        <v>92</v>
      </c>
      <c r="BF294" t="s">
        <v>92</v>
      </c>
      <c r="BG294" t="s">
        <v>92</v>
      </c>
      <c r="BH294" t="s">
        <v>92</v>
      </c>
    </row>
    <row r="295" spans="1:60" x14ac:dyDescent="0.3">
      <c r="A295">
        <v>22</v>
      </c>
      <c r="B295" t="s">
        <v>70</v>
      </c>
      <c r="C295" t="s">
        <v>157</v>
      </c>
      <c r="D295" t="s">
        <v>72</v>
      </c>
      <c r="E295" t="s">
        <v>114</v>
      </c>
      <c r="F295" t="s">
        <v>98</v>
      </c>
      <c r="G295" t="s">
        <v>135</v>
      </c>
      <c r="H295" t="s">
        <v>98</v>
      </c>
      <c r="I295" t="s">
        <v>76</v>
      </c>
      <c r="J295" t="s">
        <v>77</v>
      </c>
      <c r="K295" t="s">
        <v>122</v>
      </c>
      <c r="L295" t="s">
        <v>79</v>
      </c>
      <c r="M295" t="s">
        <v>80</v>
      </c>
      <c r="N295" t="s">
        <v>79</v>
      </c>
      <c r="O295" t="s">
        <v>117</v>
      </c>
      <c r="P295" t="s">
        <v>82</v>
      </c>
      <c r="Q295" t="s">
        <v>83</v>
      </c>
      <c r="R295" t="s">
        <v>79</v>
      </c>
      <c r="S295" t="s">
        <v>84</v>
      </c>
      <c r="T295" t="s">
        <v>124</v>
      </c>
      <c r="U295" t="s">
        <v>82</v>
      </c>
      <c r="V295" t="s">
        <v>86</v>
      </c>
      <c r="W295" t="s">
        <v>87</v>
      </c>
      <c r="X295" t="s">
        <v>88</v>
      </c>
      <c r="Y295" t="s">
        <v>93</v>
      </c>
      <c r="Z295" t="s">
        <v>93</v>
      </c>
      <c r="AA295" t="s">
        <v>93</v>
      </c>
      <c r="AB295" t="s">
        <v>93</v>
      </c>
      <c r="AC295" t="s">
        <v>94</v>
      </c>
      <c r="AD295" t="s">
        <v>94</v>
      </c>
      <c r="AE295" t="s">
        <v>95</v>
      </c>
      <c r="AF295" t="s">
        <v>94</v>
      </c>
      <c r="AG295" t="s">
        <v>94</v>
      </c>
      <c r="AH295" t="s">
        <v>93</v>
      </c>
      <c r="AI295" t="s">
        <v>93</v>
      </c>
      <c r="AJ295" t="s">
        <v>93</v>
      </c>
      <c r="AK295" t="s">
        <v>93</v>
      </c>
      <c r="AL295" t="s">
        <v>95</v>
      </c>
      <c r="AM295" t="s">
        <v>95</v>
      </c>
      <c r="AN295" t="s">
        <v>93</v>
      </c>
      <c r="AO295" t="s">
        <v>93</v>
      </c>
      <c r="AP295" t="s">
        <v>93</v>
      </c>
      <c r="AQ295" t="s">
        <v>95</v>
      </c>
      <c r="AR295" t="s">
        <v>95</v>
      </c>
      <c r="AS295" t="s">
        <v>95</v>
      </c>
      <c r="AT295" t="s">
        <v>95</v>
      </c>
      <c r="AU295" t="s">
        <v>93</v>
      </c>
      <c r="AV295" t="s">
        <v>93</v>
      </c>
      <c r="AW295" t="s">
        <v>93</v>
      </c>
      <c r="AX295" t="s">
        <v>95</v>
      </c>
      <c r="AY295" t="s">
        <v>95</v>
      </c>
      <c r="AZ295" t="s">
        <v>95</v>
      </c>
      <c r="BA295" t="s">
        <v>93</v>
      </c>
      <c r="BB295" t="s">
        <v>93</v>
      </c>
      <c r="BC295" t="s">
        <v>93</v>
      </c>
      <c r="BD295" t="s">
        <v>93</v>
      </c>
      <c r="BE295" t="s">
        <v>93</v>
      </c>
      <c r="BF295" t="s">
        <v>95</v>
      </c>
      <c r="BG295" t="s">
        <v>95</v>
      </c>
      <c r="BH295" t="s">
        <v>95</v>
      </c>
    </row>
    <row r="296" spans="1:60" x14ac:dyDescent="0.3">
      <c r="A296">
        <v>20</v>
      </c>
      <c r="B296" t="s">
        <v>70</v>
      </c>
      <c r="C296" t="s">
        <v>157</v>
      </c>
      <c r="D296" t="s">
        <v>72</v>
      </c>
      <c r="E296" t="s">
        <v>114</v>
      </c>
      <c r="F296" t="s">
        <v>165</v>
      </c>
      <c r="G296" t="s">
        <v>210</v>
      </c>
      <c r="H296" t="s">
        <v>165</v>
      </c>
      <c r="I296" t="s">
        <v>76</v>
      </c>
      <c r="J296" t="s">
        <v>77</v>
      </c>
      <c r="K296" t="s">
        <v>125</v>
      </c>
      <c r="L296" t="s">
        <v>79</v>
      </c>
      <c r="M296" t="s">
        <v>102</v>
      </c>
      <c r="N296" t="s">
        <v>79</v>
      </c>
      <c r="O296" t="s">
        <v>109</v>
      </c>
      <c r="P296" t="s">
        <v>79</v>
      </c>
      <c r="Q296" t="s">
        <v>83</v>
      </c>
      <c r="R296" t="s">
        <v>79</v>
      </c>
      <c r="S296" t="s">
        <v>84</v>
      </c>
      <c r="T296" t="s">
        <v>139</v>
      </c>
      <c r="U296" t="s">
        <v>79</v>
      </c>
      <c r="V296" t="s">
        <v>106</v>
      </c>
      <c r="W296" t="s">
        <v>141</v>
      </c>
      <c r="X296" t="s">
        <v>112</v>
      </c>
      <c r="Y296" t="s">
        <v>94</v>
      </c>
      <c r="Z296" t="s">
        <v>94</v>
      </c>
      <c r="AA296" t="s">
        <v>94</v>
      </c>
      <c r="AB296" t="s">
        <v>94</v>
      </c>
      <c r="AC296" t="s">
        <v>94</v>
      </c>
      <c r="AD296" t="s">
        <v>95</v>
      </c>
      <c r="AE296" t="s">
        <v>94</v>
      </c>
      <c r="AF296" t="s">
        <v>95</v>
      </c>
      <c r="AG296" t="s">
        <v>94</v>
      </c>
      <c r="AH296" t="s">
        <v>94</v>
      </c>
      <c r="AI296" t="s">
        <v>95</v>
      </c>
      <c r="AJ296" t="s">
        <v>94</v>
      </c>
      <c r="AK296" t="s">
        <v>94</v>
      </c>
      <c r="AL296" t="s">
        <v>94</v>
      </c>
      <c r="AM296" t="s">
        <v>92</v>
      </c>
      <c r="AN296" t="s">
        <v>95</v>
      </c>
      <c r="AO296" t="s">
        <v>94</v>
      </c>
      <c r="AP296" t="s">
        <v>92</v>
      </c>
      <c r="AQ296" t="s">
        <v>94</v>
      </c>
      <c r="AR296" t="s">
        <v>92</v>
      </c>
      <c r="AS296" t="s">
        <v>94</v>
      </c>
      <c r="AT296" t="s">
        <v>92</v>
      </c>
      <c r="AU296" t="s">
        <v>94</v>
      </c>
      <c r="AV296" t="s">
        <v>94</v>
      </c>
      <c r="AW296" t="s">
        <v>92</v>
      </c>
      <c r="AX296" t="s">
        <v>95</v>
      </c>
      <c r="AY296" t="s">
        <v>94</v>
      </c>
      <c r="AZ296" t="s">
        <v>95</v>
      </c>
      <c r="BA296" t="s">
        <v>94</v>
      </c>
      <c r="BB296" t="s">
        <v>92</v>
      </c>
      <c r="BC296" t="s">
        <v>94</v>
      </c>
      <c r="BD296" t="s">
        <v>95</v>
      </c>
      <c r="BE296" t="s">
        <v>94</v>
      </c>
      <c r="BF296" t="s">
        <v>94</v>
      </c>
      <c r="BG296" t="s">
        <v>94</v>
      </c>
      <c r="BH296" t="s">
        <v>94</v>
      </c>
    </row>
    <row r="297" spans="1:60" x14ac:dyDescent="0.3">
      <c r="A297">
        <v>21</v>
      </c>
      <c r="B297" t="s">
        <v>70</v>
      </c>
      <c r="C297" t="s">
        <v>157</v>
      </c>
      <c r="D297" t="s">
        <v>97</v>
      </c>
      <c r="E297" t="s">
        <v>108</v>
      </c>
      <c r="F297" t="s">
        <v>74</v>
      </c>
      <c r="G297" t="s">
        <v>75</v>
      </c>
      <c r="H297" t="s">
        <v>74</v>
      </c>
      <c r="I297" t="s">
        <v>76</v>
      </c>
      <c r="J297" t="s">
        <v>77</v>
      </c>
      <c r="K297" t="s">
        <v>131</v>
      </c>
      <c r="L297" t="s">
        <v>79</v>
      </c>
      <c r="M297" t="s">
        <v>80</v>
      </c>
      <c r="N297" t="s">
        <v>79</v>
      </c>
      <c r="O297" t="s">
        <v>117</v>
      </c>
      <c r="P297" t="s">
        <v>82</v>
      </c>
      <c r="Q297" t="s">
        <v>83</v>
      </c>
      <c r="R297" t="s">
        <v>82</v>
      </c>
      <c r="S297" t="s">
        <v>84</v>
      </c>
      <c r="T297" t="s">
        <v>167</v>
      </c>
      <c r="U297" t="s">
        <v>82</v>
      </c>
      <c r="V297" t="s">
        <v>106</v>
      </c>
      <c r="W297" t="s">
        <v>87</v>
      </c>
      <c r="X297" t="s">
        <v>112</v>
      </c>
      <c r="Y297" t="s">
        <v>93</v>
      </c>
      <c r="Z297" t="s">
        <v>93</v>
      </c>
      <c r="AA297" t="s">
        <v>93</v>
      </c>
      <c r="AB297" t="s">
        <v>93</v>
      </c>
      <c r="AC297" t="s">
        <v>93</v>
      </c>
      <c r="AD297" t="s">
        <v>93</v>
      </c>
      <c r="AE297" t="s">
        <v>93</v>
      </c>
      <c r="AF297" t="s">
        <v>93</v>
      </c>
      <c r="AG297" t="s">
        <v>92</v>
      </c>
      <c r="AH297" t="s">
        <v>92</v>
      </c>
      <c r="AI297" t="s">
        <v>93</v>
      </c>
      <c r="AJ297" t="s">
        <v>93</v>
      </c>
      <c r="AK297" t="s">
        <v>93</v>
      </c>
      <c r="AL297" t="s">
        <v>93</v>
      </c>
      <c r="AM297" t="s">
        <v>93</v>
      </c>
      <c r="AN297" t="s">
        <v>93</v>
      </c>
      <c r="AO297" t="s">
        <v>93</v>
      </c>
      <c r="AP297" t="s">
        <v>93</v>
      </c>
      <c r="AQ297" t="s">
        <v>94</v>
      </c>
      <c r="AR297" t="s">
        <v>95</v>
      </c>
      <c r="AS297" t="s">
        <v>95</v>
      </c>
      <c r="AT297" t="s">
        <v>95</v>
      </c>
      <c r="AU297" t="s">
        <v>92</v>
      </c>
      <c r="AV297" t="s">
        <v>92</v>
      </c>
      <c r="AW297" t="s">
        <v>92</v>
      </c>
      <c r="AX297" t="s">
        <v>92</v>
      </c>
      <c r="AY297" t="s">
        <v>92</v>
      </c>
      <c r="AZ297" t="s">
        <v>92</v>
      </c>
      <c r="BA297" t="s">
        <v>93</v>
      </c>
      <c r="BB297" t="s">
        <v>93</v>
      </c>
      <c r="BD297" t="s">
        <v>93</v>
      </c>
      <c r="BE297" t="s">
        <v>93</v>
      </c>
      <c r="BF297" t="s">
        <v>94</v>
      </c>
      <c r="BG297" t="s">
        <v>92</v>
      </c>
      <c r="BH297" t="s">
        <v>92</v>
      </c>
    </row>
    <row r="298" spans="1:60" x14ac:dyDescent="0.3">
      <c r="A298">
        <v>21</v>
      </c>
      <c r="B298" t="s">
        <v>70</v>
      </c>
      <c r="C298" t="s">
        <v>96</v>
      </c>
      <c r="D298" t="s">
        <v>72</v>
      </c>
      <c r="E298" t="s">
        <v>114</v>
      </c>
      <c r="F298" t="s">
        <v>98</v>
      </c>
      <c r="G298" t="s">
        <v>135</v>
      </c>
      <c r="H298" t="s">
        <v>98</v>
      </c>
      <c r="I298" t="s">
        <v>76</v>
      </c>
      <c r="J298" t="s">
        <v>77</v>
      </c>
      <c r="K298" t="s">
        <v>125</v>
      </c>
      <c r="L298" t="s">
        <v>79</v>
      </c>
      <c r="M298" t="s">
        <v>80</v>
      </c>
      <c r="N298" t="s">
        <v>79</v>
      </c>
      <c r="O298" t="s">
        <v>109</v>
      </c>
      <c r="P298" t="s">
        <v>82</v>
      </c>
      <c r="Q298" t="s">
        <v>103</v>
      </c>
      <c r="R298" t="s">
        <v>79</v>
      </c>
      <c r="S298" t="s">
        <v>145</v>
      </c>
      <c r="T298" t="s">
        <v>119</v>
      </c>
      <c r="U298" t="s">
        <v>82</v>
      </c>
      <c r="V298" t="s">
        <v>106</v>
      </c>
      <c r="W298" t="s">
        <v>141</v>
      </c>
      <c r="X298" t="s">
        <v>127</v>
      </c>
      <c r="Y298" t="s">
        <v>94</v>
      </c>
      <c r="Z298" t="s">
        <v>94</v>
      </c>
      <c r="AA298" t="s">
        <v>94</v>
      </c>
      <c r="AB298" t="s">
        <v>94</v>
      </c>
      <c r="AC298" t="s">
        <v>94</v>
      </c>
      <c r="AD298" t="s">
        <v>94</v>
      </c>
      <c r="AE298" t="s">
        <v>94</v>
      </c>
      <c r="AF298" t="s">
        <v>94</v>
      </c>
      <c r="AG298" t="s">
        <v>94</v>
      </c>
      <c r="AH298" t="s">
        <v>92</v>
      </c>
      <c r="AI298" t="s">
        <v>93</v>
      </c>
      <c r="AJ298" t="s">
        <v>93</v>
      </c>
      <c r="AK298" t="s">
        <v>93</v>
      </c>
      <c r="AL298" t="s">
        <v>95</v>
      </c>
      <c r="AM298" t="s">
        <v>95</v>
      </c>
      <c r="AN298" t="s">
        <v>94</v>
      </c>
      <c r="AO298" t="s">
        <v>93</v>
      </c>
      <c r="AP298" t="s">
        <v>93</v>
      </c>
      <c r="AQ298" t="s">
        <v>95</v>
      </c>
      <c r="AR298" t="s">
        <v>95</v>
      </c>
      <c r="AS298" t="s">
        <v>95</v>
      </c>
      <c r="AT298" t="s">
        <v>95</v>
      </c>
      <c r="AU298" t="s">
        <v>92</v>
      </c>
      <c r="AV298" t="s">
        <v>92</v>
      </c>
      <c r="AW298" t="s">
        <v>92</v>
      </c>
      <c r="AX298" t="s">
        <v>92</v>
      </c>
      <c r="AY298" t="s">
        <v>94</v>
      </c>
      <c r="AZ298" t="s">
        <v>94</v>
      </c>
      <c r="BA298" t="s">
        <v>93</v>
      </c>
      <c r="BB298" t="s">
        <v>92</v>
      </c>
      <c r="BC298" t="s">
        <v>93</v>
      </c>
      <c r="BD298" t="s">
        <v>92</v>
      </c>
      <c r="BE298" t="s">
        <v>93</v>
      </c>
      <c r="BF298" t="s">
        <v>94</v>
      </c>
      <c r="BG298" t="s">
        <v>92</v>
      </c>
      <c r="BH298" t="s">
        <v>94</v>
      </c>
    </row>
    <row r="299" spans="1:60" x14ac:dyDescent="0.3">
      <c r="A299">
        <v>22</v>
      </c>
      <c r="B299" t="s">
        <v>128</v>
      </c>
      <c r="C299" t="s">
        <v>71</v>
      </c>
      <c r="D299" t="s">
        <v>72</v>
      </c>
      <c r="E299" t="s">
        <v>108</v>
      </c>
      <c r="F299" t="s">
        <v>74</v>
      </c>
      <c r="G299" t="s">
        <v>75</v>
      </c>
      <c r="H299" t="s">
        <v>74</v>
      </c>
      <c r="I299" t="s">
        <v>115</v>
      </c>
      <c r="J299" t="s">
        <v>101</v>
      </c>
      <c r="K299" t="s">
        <v>122</v>
      </c>
      <c r="L299" t="s">
        <v>79</v>
      </c>
      <c r="M299" t="s">
        <v>80</v>
      </c>
      <c r="N299" t="s">
        <v>79</v>
      </c>
      <c r="O299" t="s">
        <v>81</v>
      </c>
      <c r="P299" t="s">
        <v>79</v>
      </c>
      <c r="Q299" t="s">
        <v>83</v>
      </c>
      <c r="R299" t="s">
        <v>79</v>
      </c>
      <c r="S299" t="s">
        <v>223</v>
      </c>
      <c r="T299" t="s">
        <v>85</v>
      </c>
      <c r="U299" t="s">
        <v>79</v>
      </c>
      <c r="V299" t="s">
        <v>86</v>
      </c>
      <c r="W299" t="s">
        <v>120</v>
      </c>
      <c r="X299" t="s">
        <v>112</v>
      </c>
      <c r="Y299" t="s">
        <v>94</v>
      </c>
      <c r="Z299" t="s">
        <v>92</v>
      </c>
      <c r="AA299" t="s">
        <v>92</v>
      </c>
      <c r="AB299" t="s">
        <v>94</v>
      </c>
      <c r="AC299" t="s">
        <v>94</v>
      </c>
      <c r="AD299" t="s">
        <v>94</v>
      </c>
      <c r="AE299" t="s">
        <v>92</v>
      </c>
      <c r="AF299" t="s">
        <v>92</v>
      </c>
      <c r="AG299" t="s">
        <v>95</v>
      </c>
      <c r="AH299" t="s">
        <v>95</v>
      </c>
      <c r="AI299" t="s">
        <v>92</v>
      </c>
      <c r="AJ299" t="s">
        <v>94</v>
      </c>
      <c r="AK299" t="s">
        <v>95</v>
      </c>
      <c r="AL299" t="s">
        <v>95</v>
      </c>
      <c r="AM299" t="s">
        <v>95</v>
      </c>
      <c r="AN299" t="s">
        <v>94</v>
      </c>
      <c r="AO299" t="s">
        <v>94</v>
      </c>
      <c r="AP299" t="s">
        <v>94</v>
      </c>
      <c r="AQ299" t="s">
        <v>95</v>
      </c>
      <c r="AR299" t="s">
        <v>92</v>
      </c>
      <c r="AS299" t="s">
        <v>92</v>
      </c>
      <c r="AT299" t="s">
        <v>95</v>
      </c>
      <c r="AU299" t="s">
        <v>94</v>
      </c>
      <c r="AV299" t="s">
        <v>94</v>
      </c>
      <c r="AW299" t="s">
        <v>94</v>
      </c>
      <c r="AX299" t="s">
        <v>94</v>
      </c>
      <c r="AY299" t="s">
        <v>94</v>
      </c>
      <c r="AZ299" t="s">
        <v>95</v>
      </c>
      <c r="BA299" t="s">
        <v>93</v>
      </c>
      <c r="BB299" t="s">
        <v>94</v>
      </c>
      <c r="BC299" t="s">
        <v>92</v>
      </c>
      <c r="BD299" t="s">
        <v>93</v>
      </c>
      <c r="BE299" t="s">
        <v>93</v>
      </c>
      <c r="BF299" t="s">
        <v>92</v>
      </c>
      <c r="BG299" t="s">
        <v>92</v>
      </c>
      <c r="BH299" t="s">
        <v>92</v>
      </c>
    </row>
    <row r="300" spans="1:60" x14ac:dyDescent="0.3">
      <c r="A300">
        <v>23</v>
      </c>
      <c r="B300" t="s">
        <v>128</v>
      </c>
      <c r="C300" t="s">
        <v>71</v>
      </c>
      <c r="D300" t="s">
        <v>149</v>
      </c>
      <c r="E300" t="s">
        <v>108</v>
      </c>
      <c r="F300" t="s">
        <v>136</v>
      </c>
      <c r="G300" t="s">
        <v>135</v>
      </c>
      <c r="H300" t="s">
        <v>136</v>
      </c>
      <c r="I300" t="s">
        <v>76</v>
      </c>
      <c r="J300" t="s">
        <v>77</v>
      </c>
      <c r="K300" t="s">
        <v>78</v>
      </c>
      <c r="L300" t="s">
        <v>79</v>
      </c>
      <c r="M300" t="s">
        <v>80</v>
      </c>
      <c r="N300" t="s">
        <v>79</v>
      </c>
      <c r="O300" t="s">
        <v>109</v>
      </c>
      <c r="P300" t="s">
        <v>82</v>
      </c>
      <c r="Q300" t="s">
        <v>83</v>
      </c>
      <c r="R300" t="s">
        <v>79</v>
      </c>
      <c r="S300" t="s">
        <v>183</v>
      </c>
      <c r="T300" t="s">
        <v>188</v>
      </c>
      <c r="U300" t="s">
        <v>79</v>
      </c>
      <c r="V300" t="s">
        <v>106</v>
      </c>
      <c r="W300" t="s">
        <v>141</v>
      </c>
      <c r="X300" t="s">
        <v>112</v>
      </c>
      <c r="Y300" t="s">
        <v>93</v>
      </c>
      <c r="Z300" t="s">
        <v>93</v>
      </c>
      <c r="AA300" t="s">
        <v>93</v>
      </c>
      <c r="AB300" t="s">
        <v>93</v>
      </c>
      <c r="AC300" t="s">
        <v>95</v>
      </c>
      <c r="AD300" t="s">
        <v>95</v>
      </c>
      <c r="AE300" t="s">
        <v>95</v>
      </c>
      <c r="AF300" t="s">
        <v>92</v>
      </c>
      <c r="AG300" t="s">
        <v>92</v>
      </c>
      <c r="AH300" t="s">
        <v>92</v>
      </c>
      <c r="AI300" t="s">
        <v>92</v>
      </c>
      <c r="AJ300" t="s">
        <v>92</v>
      </c>
      <c r="AK300" t="s">
        <v>92</v>
      </c>
      <c r="AL300" t="s">
        <v>95</v>
      </c>
      <c r="AM300" t="s">
        <v>95</v>
      </c>
      <c r="AN300" t="s">
        <v>93</v>
      </c>
      <c r="AO300" t="s">
        <v>93</v>
      </c>
      <c r="AP300" t="s">
        <v>93</v>
      </c>
      <c r="AQ300" t="s">
        <v>95</v>
      </c>
      <c r="AR300" t="s">
        <v>95</v>
      </c>
      <c r="AS300" t="s">
        <v>95</v>
      </c>
      <c r="AT300" t="s">
        <v>95</v>
      </c>
      <c r="AU300" t="s">
        <v>93</v>
      </c>
      <c r="AV300" t="s">
        <v>93</v>
      </c>
      <c r="AW300" t="s">
        <v>93</v>
      </c>
      <c r="AX300" t="s">
        <v>95</v>
      </c>
      <c r="AY300" t="s">
        <v>95</v>
      </c>
      <c r="AZ300" t="s">
        <v>95</v>
      </c>
      <c r="BA300" t="s">
        <v>93</v>
      </c>
      <c r="BB300" t="s">
        <v>93</v>
      </c>
      <c r="BC300" t="s">
        <v>93</v>
      </c>
      <c r="BD300" t="s">
        <v>93</v>
      </c>
      <c r="BE300" t="s">
        <v>93</v>
      </c>
      <c r="BF300" t="s">
        <v>95</v>
      </c>
      <c r="BG300" t="s">
        <v>95</v>
      </c>
      <c r="BH300" t="s">
        <v>95</v>
      </c>
    </row>
    <row r="301" spans="1:60" x14ac:dyDescent="0.3">
      <c r="A301">
        <v>23</v>
      </c>
      <c r="B301" t="s">
        <v>128</v>
      </c>
      <c r="C301" t="s">
        <v>153</v>
      </c>
      <c r="D301" t="s">
        <v>72</v>
      </c>
      <c r="E301" t="s">
        <v>114</v>
      </c>
      <c r="F301" t="s">
        <v>74</v>
      </c>
      <c r="G301" t="s">
        <v>75</v>
      </c>
      <c r="H301" t="s">
        <v>74</v>
      </c>
      <c r="I301" t="s">
        <v>115</v>
      </c>
      <c r="J301" t="s">
        <v>77</v>
      </c>
      <c r="K301" t="s">
        <v>122</v>
      </c>
      <c r="L301" t="s">
        <v>82</v>
      </c>
      <c r="M301" t="s">
        <v>132</v>
      </c>
      <c r="N301" t="s">
        <v>79</v>
      </c>
      <c r="O301" t="s">
        <v>81</v>
      </c>
      <c r="P301" t="s">
        <v>82</v>
      </c>
      <c r="Q301" t="s">
        <v>83</v>
      </c>
      <c r="R301" t="s">
        <v>82</v>
      </c>
      <c r="S301" t="s">
        <v>84</v>
      </c>
      <c r="T301" t="s">
        <v>124</v>
      </c>
      <c r="U301" t="s">
        <v>82</v>
      </c>
      <c r="V301" t="s">
        <v>106</v>
      </c>
      <c r="W301" t="s">
        <v>87</v>
      </c>
      <c r="X301" t="s">
        <v>112</v>
      </c>
      <c r="Y301" t="s">
        <v>93</v>
      </c>
      <c r="Z301" t="s">
        <v>93</v>
      </c>
      <c r="AA301" t="s">
        <v>93</v>
      </c>
      <c r="AB301" t="s">
        <v>93</v>
      </c>
      <c r="AC301" t="s">
        <v>93</v>
      </c>
      <c r="AD301" t="s">
        <v>93</v>
      </c>
      <c r="AE301" t="s">
        <v>92</v>
      </c>
      <c r="AF301" t="s">
        <v>92</v>
      </c>
      <c r="AG301" t="s">
        <v>95</v>
      </c>
      <c r="AH301" t="s">
        <v>93</v>
      </c>
      <c r="AI301" t="s">
        <v>94</v>
      </c>
      <c r="AJ301" t="s">
        <v>94</v>
      </c>
      <c r="AK301" t="s">
        <v>94</v>
      </c>
      <c r="AL301" t="s">
        <v>94</v>
      </c>
      <c r="AM301" t="s">
        <v>93</v>
      </c>
      <c r="AN301" t="s">
        <v>93</v>
      </c>
      <c r="AO301" t="s">
        <v>93</v>
      </c>
      <c r="AP301" t="s">
        <v>93</v>
      </c>
      <c r="AQ301" t="s">
        <v>95</v>
      </c>
      <c r="AR301" t="s">
        <v>95</v>
      </c>
      <c r="AS301" t="s">
        <v>95</v>
      </c>
      <c r="AT301" t="s">
        <v>95</v>
      </c>
      <c r="AU301" t="s">
        <v>93</v>
      </c>
      <c r="AV301" t="s">
        <v>93</v>
      </c>
      <c r="AW301" t="s">
        <v>93</v>
      </c>
      <c r="AX301" t="s">
        <v>95</v>
      </c>
      <c r="AY301" t="s">
        <v>95</v>
      </c>
      <c r="AZ301" t="s">
        <v>95</v>
      </c>
    </row>
    <row r="302" spans="1:60" x14ac:dyDescent="0.3">
      <c r="A302">
        <v>21</v>
      </c>
      <c r="B302" t="s">
        <v>70</v>
      </c>
      <c r="C302" t="s">
        <v>96</v>
      </c>
      <c r="D302" t="s">
        <v>72</v>
      </c>
      <c r="E302" t="s">
        <v>114</v>
      </c>
      <c r="F302" t="s">
        <v>74</v>
      </c>
      <c r="G302" t="s">
        <v>146</v>
      </c>
      <c r="H302" t="s">
        <v>74</v>
      </c>
      <c r="I302" t="s">
        <v>76</v>
      </c>
      <c r="J302" t="s">
        <v>101</v>
      </c>
      <c r="K302" t="s">
        <v>125</v>
      </c>
      <c r="L302" t="s">
        <v>79</v>
      </c>
      <c r="M302" t="s">
        <v>80</v>
      </c>
      <c r="N302" t="s">
        <v>82</v>
      </c>
      <c r="O302" t="s">
        <v>109</v>
      </c>
      <c r="P302" t="s">
        <v>82</v>
      </c>
      <c r="Q302" t="s">
        <v>83</v>
      </c>
      <c r="R302" t="s">
        <v>79</v>
      </c>
      <c r="S302" t="s">
        <v>84</v>
      </c>
      <c r="T302" t="s">
        <v>252</v>
      </c>
      <c r="U302" t="s">
        <v>82</v>
      </c>
      <c r="V302" t="s">
        <v>86</v>
      </c>
      <c r="W302" t="s">
        <v>87</v>
      </c>
      <c r="X302" t="s">
        <v>121</v>
      </c>
      <c r="Y302" t="s">
        <v>93</v>
      </c>
      <c r="Z302" t="s">
        <v>93</v>
      </c>
      <c r="AA302" t="s">
        <v>93</v>
      </c>
      <c r="AB302" t="s">
        <v>93</v>
      </c>
      <c r="AC302" t="s">
        <v>93</v>
      </c>
      <c r="AD302" t="s">
        <v>93</v>
      </c>
      <c r="AE302" t="s">
        <v>93</v>
      </c>
      <c r="AF302" t="s">
        <v>92</v>
      </c>
      <c r="AG302" t="s">
        <v>92</v>
      </c>
      <c r="AH302" t="s">
        <v>92</v>
      </c>
      <c r="AI302" t="s">
        <v>93</v>
      </c>
      <c r="AJ302" t="s">
        <v>94</v>
      </c>
      <c r="AK302" t="s">
        <v>94</v>
      </c>
      <c r="AL302" t="s">
        <v>92</v>
      </c>
      <c r="AM302" t="s">
        <v>95</v>
      </c>
      <c r="AN302" t="s">
        <v>93</v>
      </c>
      <c r="AO302" t="s">
        <v>93</v>
      </c>
      <c r="AP302" t="s">
        <v>93</v>
      </c>
      <c r="AQ302" t="s">
        <v>93</v>
      </c>
      <c r="AR302" t="s">
        <v>95</v>
      </c>
      <c r="AS302" t="s">
        <v>95</v>
      </c>
      <c r="AT302" t="s">
        <v>95</v>
      </c>
      <c r="AU302" t="s">
        <v>93</v>
      </c>
      <c r="AV302" t="s">
        <v>93</v>
      </c>
      <c r="AW302" t="s">
        <v>93</v>
      </c>
      <c r="AX302" t="s">
        <v>95</v>
      </c>
      <c r="AY302" t="s">
        <v>95</v>
      </c>
      <c r="AZ302" t="s">
        <v>95</v>
      </c>
      <c r="BA302" t="s">
        <v>93</v>
      </c>
      <c r="BB302" t="s">
        <v>93</v>
      </c>
      <c r="BC302" t="s">
        <v>93</v>
      </c>
      <c r="BD302" t="s">
        <v>93</v>
      </c>
      <c r="BE302" t="s">
        <v>93</v>
      </c>
      <c r="BF302" t="s">
        <v>95</v>
      </c>
      <c r="BG302" t="s">
        <v>95</v>
      </c>
      <c r="BH302" t="s">
        <v>95</v>
      </c>
    </row>
    <row r="303" spans="1:60" x14ac:dyDescent="0.3">
      <c r="A303">
        <v>20</v>
      </c>
      <c r="B303" t="s">
        <v>70</v>
      </c>
      <c r="C303" t="s">
        <v>157</v>
      </c>
      <c r="D303" t="s">
        <v>72</v>
      </c>
      <c r="E303" t="s">
        <v>114</v>
      </c>
      <c r="F303" t="s">
        <v>98</v>
      </c>
      <c r="G303" t="s">
        <v>135</v>
      </c>
      <c r="H303" t="s">
        <v>98</v>
      </c>
      <c r="I303" t="s">
        <v>76</v>
      </c>
      <c r="J303" t="s">
        <v>101</v>
      </c>
      <c r="K303" t="s">
        <v>125</v>
      </c>
      <c r="L303" t="s">
        <v>79</v>
      </c>
      <c r="M303" t="s">
        <v>80</v>
      </c>
      <c r="N303" t="s">
        <v>79</v>
      </c>
      <c r="O303" t="s">
        <v>133</v>
      </c>
      <c r="P303" t="s">
        <v>79</v>
      </c>
      <c r="Q303" t="s">
        <v>118</v>
      </c>
      <c r="R303" t="s">
        <v>79</v>
      </c>
      <c r="S303" t="s">
        <v>84</v>
      </c>
      <c r="T303" t="s">
        <v>124</v>
      </c>
      <c r="U303" t="s">
        <v>82</v>
      </c>
      <c r="V303" t="s">
        <v>106</v>
      </c>
      <c r="W303" t="s">
        <v>141</v>
      </c>
      <c r="X303" t="s">
        <v>112</v>
      </c>
      <c r="Y303" t="s">
        <v>94</v>
      </c>
      <c r="Z303" t="s">
        <v>94</v>
      </c>
      <c r="AA303" t="s">
        <v>94</v>
      </c>
      <c r="AB303" t="s">
        <v>94</v>
      </c>
      <c r="AC303" t="s">
        <v>94</v>
      </c>
      <c r="AD303" t="s">
        <v>94</v>
      </c>
      <c r="AE303" t="s">
        <v>94</v>
      </c>
      <c r="AF303" t="s">
        <v>94</v>
      </c>
      <c r="AG303" t="s">
        <v>94</v>
      </c>
      <c r="AH303" t="s">
        <v>94</v>
      </c>
      <c r="AI303" t="s">
        <v>94</v>
      </c>
      <c r="AJ303" t="s">
        <v>94</v>
      </c>
      <c r="AK303" t="s">
        <v>94</v>
      </c>
      <c r="AL303" t="s">
        <v>94</v>
      </c>
      <c r="AM303" t="s">
        <v>94</v>
      </c>
      <c r="AN303" t="s">
        <v>94</v>
      </c>
      <c r="AO303" t="s">
        <v>94</v>
      </c>
      <c r="AP303" t="s">
        <v>94</v>
      </c>
      <c r="AQ303" t="s">
        <v>94</v>
      </c>
      <c r="AR303" t="s">
        <v>94</v>
      </c>
      <c r="AS303" t="s">
        <v>94</v>
      </c>
      <c r="AT303" t="s">
        <v>94</v>
      </c>
      <c r="AU303" t="s">
        <v>94</v>
      </c>
      <c r="AV303" t="s">
        <v>94</v>
      </c>
      <c r="AW303" t="s">
        <v>94</v>
      </c>
      <c r="AX303" t="s">
        <v>94</v>
      </c>
      <c r="AY303" t="s">
        <v>94</v>
      </c>
      <c r="AZ303" t="s">
        <v>95</v>
      </c>
      <c r="BA303" t="s">
        <v>94</v>
      </c>
      <c r="BB303" t="s">
        <v>94</v>
      </c>
      <c r="BC303" t="s">
        <v>94</v>
      </c>
      <c r="BD303" t="s">
        <v>94</v>
      </c>
      <c r="BE303" t="s">
        <v>94</v>
      </c>
      <c r="BF303" t="s">
        <v>94</v>
      </c>
      <c r="BG303" t="s">
        <v>94</v>
      </c>
      <c r="BH303" t="s">
        <v>94</v>
      </c>
    </row>
    <row r="304" spans="1:60" x14ac:dyDescent="0.3">
      <c r="A304">
        <v>23</v>
      </c>
      <c r="B304" t="s">
        <v>70</v>
      </c>
      <c r="C304" t="s">
        <v>71</v>
      </c>
      <c r="D304" t="s">
        <v>72</v>
      </c>
      <c r="E304" t="s">
        <v>73</v>
      </c>
      <c r="F304" t="s">
        <v>136</v>
      </c>
      <c r="G304" t="s">
        <v>75</v>
      </c>
      <c r="H304" t="s">
        <v>136</v>
      </c>
      <c r="I304" t="s">
        <v>76</v>
      </c>
      <c r="J304" t="s">
        <v>77</v>
      </c>
      <c r="K304" t="s">
        <v>125</v>
      </c>
      <c r="L304" t="s">
        <v>82</v>
      </c>
      <c r="M304" t="s">
        <v>80</v>
      </c>
      <c r="N304" t="s">
        <v>79</v>
      </c>
      <c r="O304" t="s">
        <v>117</v>
      </c>
      <c r="P304" t="s">
        <v>82</v>
      </c>
      <c r="Q304" t="s">
        <v>103</v>
      </c>
      <c r="R304" t="s">
        <v>79</v>
      </c>
      <c r="S304" t="s">
        <v>137</v>
      </c>
      <c r="T304" t="s">
        <v>152</v>
      </c>
      <c r="U304" t="s">
        <v>82</v>
      </c>
      <c r="V304" t="s">
        <v>106</v>
      </c>
      <c r="W304" t="s">
        <v>141</v>
      </c>
      <c r="X304" t="s">
        <v>112</v>
      </c>
      <c r="Y304" t="s">
        <v>92</v>
      </c>
      <c r="Z304" t="s">
        <v>93</v>
      </c>
      <c r="AA304" t="s">
        <v>93</v>
      </c>
      <c r="AB304" t="s">
        <v>92</v>
      </c>
      <c r="AC304" t="s">
        <v>92</v>
      </c>
      <c r="AD304" t="s">
        <v>92</v>
      </c>
      <c r="AE304" t="s">
        <v>93</v>
      </c>
      <c r="AF304" t="s">
        <v>94</v>
      </c>
      <c r="AG304" t="s">
        <v>92</v>
      </c>
      <c r="AH304" t="s">
        <v>92</v>
      </c>
      <c r="AI304" t="s">
        <v>93</v>
      </c>
      <c r="AJ304" t="s">
        <v>92</v>
      </c>
      <c r="AK304" t="s">
        <v>94</v>
      </c>
      <c r="AL304" t="s">
        <v>92</v>
      </c>
      <c r="AM304" t="s">
        <v>92</v>
      </c>
      <c r="AN304" t="s">
        <v>93</v>
      </c>
      <c r="AO304" t="s">
        <v>93</v>
      </c>
      <c r="AP304" t="s">
        <v>93</v>
      </c>
      <c r="AQ304" t="s">
        <v>95</v>
      </c>
      <c r="AR304" t="s">
        <v>95</v>
      </c>
      <c r="AS304" t="s">
        <v>95</v>
      </c>
      <c r="AT304" t="s">
        <v>95</v>
      </c>
      <c r="AU304" t="s">
        <v>92</v>
      </c>
      <c r="AV304" t="s">
        <v>92</v>
      </c>
      <c r="AW304" t="s">
        <v>92</v>
      </c>
      <c r="AX304" t="s">
        <v>94</v>
      </c>
      <c r="AY304" t="s">
        <v>95</v>
      </c>
      <c r="AZ304" t="s">
        <v>95</v>
      </c>
      <c r="BA304" t="s">
        <v>93</v>
      </c>
      <c r="BB304" t="s">
        <v>93</v>
      </c>
      <c r="BC304" t="s">
        <v>92</v>
      </c>
      <c r="BD304" t="s">
        <v>92</v>
      </c>
      <c r="BE304" t="s">
        <v>92</v>
      </c>
      <c r="BF304" t="s">
        <v>94</v>
      </c>
      <c r="BG304" t="s">
        <v>92</v>
      </c>
      <c r="BH304" t="s">
        <v>95</v>
      </c>
    </row>
    <row r="305" spans="1:60" x14ac:dyDescent="0.3">
      <c r="A305">
        <v>20</v>
      </c>
      <c r="B305" t="s">
        <v>70</v>
      </c>
      <c r="C305" t="s">
        <v>157</v>
      </c>
      <c r="D305" t="s">
        <v>97</v>
      </c>
      <c r="E305" t="s">
        <v>108</v>
      </c>
      <c r="F305" t="s">
        <v>74</v>
      </c>
      <c r="G305" t="s">
        <v>75</v>
      </c>
      <c r="H305" t="s">
        <v>74</v>
      </c>
      <c r="I305" t="s">
        <v>75</v>
      </c>
      <c r="J305" t="s">
        <v>77</v>
      </c>
      <c r="K305" t="s">
        <v>78</v>
      </c>
      <c r="L305" t="s">
        <v>82</v>
      </c>
      <c r="M305" t="s">
        <v>80</v>
      </c>
      <c r="N305" t="s">
        <v>79</v>
      </c>
      <c r="O305" t="s">
        <v>81</v>
      </c>
      <c r="P305" t="s">
        <v>82</v>
      </c>
      <c r="Q305" t="s">
        <v>83</v>
      </c>
      <c r="R305" t="s">
        <v>82</v>
      </c>
      <c r="S305" t="s">
        <v>84</v>
      </c>
      <c r="T305" t="s">
        <v>119</v>
      </c>
      <c r="U305" t="s">
        <v>82</v>
      </c>
      <c r="V305" t="s">
        <v>106</v>
      </c>
      <c r="W305" t="s">
        <v>141</v>
      </c>
      <c r="X305" t="s">
        <v>112</v>
      </c>
      <c r="Y305" t="s">
        <v>93</v>
      </c>
      <c r="Z305" t="s">
        <v>93</v>
      </c>
      <c r="AA305" t="s">
        <v>93</v>
      </c>
      <c r="AB305" t="s">
        <v>93</v>
      </c>
      <c r="AC305" t="s">
        <v>95</v>
      </c>
      <c r="AD305" t="s">
        <v>95</v>
      </c>
      <c r="AE305" t="s">
        <v>95</v>
      </c>
      <c r="AF305" t="s">
        <v>93</v>
      </c>
      <c r="AG305" t="s">
        <v>93</v>
      </c>
      <c r="AH305" t="s">
        <v>93</v>
      </c>
      <c r="AI305" t="s">
        <v>93</v>
      </c>
      <c r="AJ305" t="s">
        <v>93</v>
      </c>
      <c r="AK305" t="s">
        <v>93</v>
      </c>
      <c r="AL305" t="s">
        <v>93</v>
      </c>
      <c r="AM305" t="s">
        <v>93</v>
      </c>
      <c r="AN305" t="s">
        <v>93</v>
      </c>
      <c r="AO305" t="s">
        <v>93</v>
      </c>
      <c r="AP305" t="s">
        <v>93</v>
      </c>
      <c r="AQ305" t="s">
        <v>95</v>
      </c>
      <c r="AR305" t="s">
        <v>95</v>
      </c>
      <c r="AS305" t="s">
        <v>95</v>
      </c>
      <c r="AT305" t="s">
        <v>95</v>
      </c>
      <c r="AU305" t="s">
        <v>93</v>
      </c>
      <c r="AV305" t="s">
        <v>93</v>
      </c>
      <c r="AW305" t="s">
        <v>93</v>
      </c>
      <c r="AX305" t="s">
        <v>95</v>
      </c>
      <c r="AY305" t="s">
        <v>95</v>
      </c>
      <c r="AZ305" t="s">
        <v>95</v>
      </c>
      <c r="BA305" t="s">
        <v>93</v>
      </c>
      <c r="BB305" t="s">
        <v>93</v>
      </c>
      <c r="BC305" t="s">
        <v>93</v>
      </c>
      <c r="BD305" t="s">
        <v>93</v>
      </c>
      <c r="BE305" t="s">
        <v>93</v>
      </c>
      <c r="BF305" t="s">
        <v>95</v>
      </c>
      <c r="BG305" t="s">
        <v>95</v>
      </c>
      <c r="BH305" t="s">
        <v>95</v>
      </c>
    </row>
    <row r="306" spans="1:60" x14ac:dyDescent="0.3">
      <c r="A306">
        <v>23</v>
      </c>
      <c r="B306" t="s">
        <v>70</v>
      </c>
      <c r="C306" t="s">
        <v>71</v>
      </c>
      <c r="D306" t="s">
        <v>72</v>
      </c>
      <c r="E306" t="s">
        <v>114</v>
      </c>
      <c r="F306" t="s">
        <v>136</v>
      </c>
      <c r="G306" t="s">
        <v>75</v>
      </c>
      <c r="H306" t="s">
        <v>136</v>
      </c>
      <c r="I306" t="s">
        <v>76</v>
      </c>
      <c r="J306" t="s">
        <v>77</v>
      </c>
      <c r="K306" t="s">
        <v>125</v>
      </c>
      <c r="L306" t="s">
        <v>79</v>
      </c>
      <c r="M306" t="s">
        <v>80</v>
      </c>
      <c r="N306" t="s">
        <v>79</v>
      </c>
      <c r="O306" t="s">
        <v>109</v>
      </c>
      <c r="P306" t="s">
        <v>82</v>
      </c>
      <c r="Q306" t="s">
        <v>83</v>
      </c>
      <c r="R306" t="s">
        <v>79</v>
      </c>
      <c r="S306" t="s">
        <v>84</v>
      </c>
      <c r="T306" t="s">
        <v>205</v>
      </c>
      <c r="U306" t="s">
        <v>79</v>
      </c>
      <c r="V306" t="s">
        <v>86</v>
      </c>
      <c r="W306" t="s">
        <v>141</v>
      </c>
      <c r="X306" t="s">
        <v>112</v>
      </c>
      <c r="Y306" t="s">
        <v>94</v>
      </c>
      <c r="Z306" t="s">
        <v>94</v>
      </c>
      <c r="AA306" t="s">
        <v>94</v>
      </c>
      <c r="AB306" t="s">
        <v>94</v>
      </c>
      <c r="AC306" t="s">
        <v>94</v>
      </c>
      <c r="AD306" t="s">
        <v>94</v>
      </c>
      <c r="AE306" t="s">
        <v>94</v>
      </c>
      <c r="AF306" t="s">
        <v>94</v>
      </c>
      <c r="AG306" t="s">
        <v>94</v>
      </c>
      <c r="AH306" t="s">
        <v>94</v>
      </c>
      <c r="AI306" t="s">
        <v>94</v>
      </c>
      <c r="AJ306" t="s">
        <v>94</v>
      </c>
      <c r="AK306" t="s">
        <v>94</v>
      </c>
      <c r="AL306" t="s">
        <v>94</v>
      </c>
      <c r="AM306" t="s">
        <v>94</v>
      </c>
      <c r="AN306" t="s">
        <v>94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94</v>
      </c>
      <c r="AU306" t="s">
        <v>94</v>
      </c>
      <c r="AV306" t="s">
        <v>94</v>
      </c>
      <c r="AW306" t="s">
        <v>94</v>
      </c>
      <c r="AX306" t="s">
        <v>94</v>
      </c>
      <c r="AY306" t="s">
        <v>94</v>
      </c>
      <c r="AZ306" t="s">
        <v>94</v>
      </c>
      <c r="BA306" t="s">
        <v>94</v>
      </c>
      <c r="BB306" t="s">
        <v>94</v>
      </c>
      <c r="BC306" t="s">
        <v>95</v>
      </c>
      <c r="BD306" t="s">
        <v>95</v>
      </c>
      <c r="BE306" t="s">
        <v>95</v>
      </c>
      <c r="BF306" t="s">
        <v>94</v>
      </c>
      <c r="BG306" t="s">
        <v>94</v>
      </c>
      <c r="BH306" t="s">
        <v>94</v>
      </c>
    </row>
    <row r="307" spans="1:60" x14ac:dyDescent="0.3">
      <c r="A307">
        <v>23</v>
      </c>
      <c r="B307" t="s">
        <v>70</v>
      </c>
      <c r="C307" t="s">
        <v>71</v>
      </c>
      <c r="D307" t="s">
        <v>72</v>
      </c>
      <c r="E307" t="s">
        <v>114</v>
      </c>
      <c r="F307" t="s">
        <v>136</v>
      </c>
      <c r="G307" t="s">
        <v>135</v>
      </c>
      <c r="H307" t="s">
        <v>100</v>
      </c>
      <c r="I307" t="s">
        <v>76</v>
      </c>
      <c r="J307" t="s">
        <v>77</v>
      </c>
      <c r="K307" t="s">
        <v>125</v>
      </c>
      <c r="L307" t="s">
        <v>79</v>
      </c>
      <c r="M307" t="s">
        <v>102</v>
      </c>
      <c r="N307" t="s">
        <v>79</v>
      </c>
      <c r="O307" t="s">
        <v>179</v>
      </c>
      <c r="P307" t="s">
        <v>82</v>
      </c>
      <c r="Q307" t="s">
        <v>83</v>
      </c>
      <c r="R307" t="s">
        <v>79</v>
      </c>
      <c r="S307" t="s">
        <v>253</v>
      </c>
      <c r="T307" t="s">
        <v>140</v>
      </c>
      <c r="U307" t="s">
        <v>82</v>
      </c>
      <c r="V307" t="s">
        <v>106</v>
      </c>
      <c r="W307" t="s">
        <v>141</v>
      </c>
      <c r="X307" t="s">
        <v>112</v>
      </c>
      <c r="Y307" t="s">
        <v>92</v>
      </c>
      <c r="Z307" t="s">
        <v>92</v>
      </c>
      <c r="AA307" t="s">
        <v>92</v>
      </c>
      <c r="AB307" t="s">
        <v>92</v>
      </c>
      <c r="AC307" t="s">
        <v>92</v>
      </c>
      <c r="AD307" t="s">
        <v>94</v>
      </c>
      <c r="AE307" t="s">
        <v>94</v>
      </c>
      <c r="AF307" t="s">
        <v>92</v>
      </c>
      <c r="AG307" t="s">
        <v>93</v>
      </c>
      <c r="AH307" t="s">
        <v>92</v>
      </c>
      <c r="AI307" t="s">
        <v>92</v>
      </c>
      <c r="AJ307" t="s">
        <v>92</v>
      </c>
      <c r="AK307" t="s">
        <v>93</v>
      </c>
      <c r="AL307" t="s">
        <v>92</v>
      </c>
      <c r="AM307" t="s">
        <v>92</v>
      </c>
      <c r="AN307" t="s">
        <v>92</v>
      </c>
      <c r="AO307" t="s">
        <v>92</v>
      </c>
      <c r="AP307" t="s">
        <v>93</v>
      </c>
      <c r="AQ307" t="s">
        <v>94</v>
      </c>
      <c r="AR307" t="s">
        <v>92</v>
      </c>
      <c r="AS307" t="s">
        <v>92</v>
      </c>
      <c r="AT307" t="s">
        <v>92</v>
      </c>
      <c r="AU307" t="s">
        <v>92</v>
      </c>
      <c r="AV307" t="s">
        <v>92</v>
      </c>
      <c r="AW307" t="s">
        <v>92</v>
      </c>
      <c r="AX307" t="s">
        <v>92</v>
      </c>
      <c r="AY307" t="s">
        <v>92</v>
      </c>
      <c r="AZ307" t="s">
        <v>92</v>
      </c>
      <c r="BA307" t="s">
        <v>92</v>
      </c>
      <c r="BB307" t="s">
        <v>92</v>
      </c>
      <c r="BC307" t="s">
        <v>92</v>
      </c>
      <c r="BD307" t="s">
        <v>92</v>
      </c>
      <c r="BE307" t="s">
        <v>92</v>
      </c>
      <c r="BF307" t="s">
        <v>94</v>
      </c>
      <c r="BG307" t="s">
        <v>94</v>
      </c>
      <c r="BH307" t="s">
        <v>92</v>
      </c>
    </row>
    <row r="308" spans="1:60" x14ac:dyDescent="0.3">
      <c r="A308">
        <v>24</v>
      </c>
      <c r="B308" t="s">
        <v>70</v>
      </c>
      <c r="C308" t="s">
        <v>71</v>
      </c>
      <c r="D308" t="s">
        <v>149</v>
      </c>
      <c r="E308" t="s">
        <v>108</v>
      </c>
      <c r="F308" t="s">
        <v>74</v>
      </c>
      <c r="G308" t="s">
        <v>135</v>
      </c>
      <c r="H308" t="s">
        <v>136</v>
      </c>
      <c r="I308" t="s">
        <v>76</v>
      </c>
      <c r="J308" t="s">
        <v>77</v>
      </c>
      <c r="K308" t="s">
        <v>122</v>
      </c>
      <c r="L308" t="s">
        <v>79</v>
      </c>
      <c r="M308" t="s">
        <v>80</v>
      </c>
      <c r="N308" t="s">
        <v>79</v>
      </c>
      <c r="O308" t="s">
        <v>109</v>
      </c>
      <c r="P308" t="s">
        <v>79</v>
      </c>
      <c r="Q308" t="s">
        <v>83</v>
      </c>
      <c r="R308" t="s">
        <v>79</v>
      </c>
      <c r="S308" t="s">
        <v>84</v>
      </c>
      <c r="T308" t="s">
        <v>124</v>
      </c>
      <c r="U308" t="s">
        <v>82</v>
      </c>
      <c r="V308" t="s">
        <v>106</v>
      </c>
      <c r="W308" t="s">
        <v>141</v>
      </c>
      <c r="X308" t="s">
        <v>112</v>
      </c>
      <c r="Y308" t="s">
        <v>94</v>
      </c>
      <c r="Z308" t="s">
        <v>93</v>
      </c>
      <c r="AA308" t="s">
        <v>93</v>
      </c>
      <c r="AB308" t="s">
        <v>92</v>
      </c>
      <c r="AC308" t="s">
        <v>93</v>
      </c>
      <c r="AD308" t="s">
        <v>92</v>
      </c>
      <c r="AE308" t="s">
        <v>92</v>
      </c>
      <c r="AF308" t="s">
        <v>94</v>
      </c>
      <c r="AG308" t="s">
        <v>94</v>
      </c>
      <c r="AH308" t="s">
        <v>92</v>
      </c>
      <c r="AI308" t="s">
        <v>92</v>
      </c>
      <c r="AJ308" t="s">
        <v>94</v>
      </c>
      <c r="AK308" t="s">
        <v>92</v>
      </c>
      <c r="AL308" t="s">
        <v>92</v>
      </c>
      <c r="AM308" t="s">
        <v>94</v>
      </c>
      <c r="AN308" t="s">
        <v>94</v>
      </c>
      <c r="AO308" t="s">
        <v>94</v>
      </c>
      <c r="AP308" t="s">
        <v>95</v>
      </c>
      <c r="AQ308" t="s">
        <v>94</v>
      </c>
      <c r="AR308" t="s">
        <v>95</v>
      </c>
      <c r="AS308" t="s">
        <v>94</v>
      </c>
      <c r="AT308" t="s">
        <v>95</v>
      </c>
      <c r="AU308" t="s">
        <v>94</v>
      </c>
      <c r="AV308" t="s">
        <v>95</v>
      </c>
      <c r="AW308" t="s">
        <v>94</v>
      </c>
      <c r="AX308" t="s">
        <v>95</v>
      </c>
      <c r="AY308" t="s">
        <v>94</v>
      </c>
      <c r="AZ308" t="s">
        <v>92</v>
      </c>
      <c r="BA308" t="s">
        <v>95</v>
      </c>
      <c r="BB308" t="s">
        <v>95</v>
      </c>
      <c r="BC308" t="s">
        <v>95</v>
      </c>
      <c r="BD308" t="s">
        <v>95</v>
      </c>
      <c r="BE308" t="s">
        <v>95</v>
      </c>
      <c r="BF308" t="s">
        <v>95</v>
      </c>
      <c r="BG308" t="s">
        <v>95</v>
      </c>
      <c r="BH308" t="s">
        <v>95</v>
      </c>
    </row>
    <row r="309" spans="1:60" x14ac:dyDescent="0.3">
      <c r="A309">
        <v>21</v>
      </c>
      <c r="B309" t="s">
        <v>70</v>
      </c>
      <c r="C309" t="s">
        <v>96</v>
      </c>
      <c r="D309" t="s">
        <v>149</v>
      </c>
      <c r="E309" t="s">
        <v>114</v>
      </c>
      <c r="F309" t="s">
        <v>74</v>
      </c>
      <c r="G309" t="s">
        <v>135</v>
      </c>
      <c r="H309" t="s">
        <v>74</v>
      </c>
      <c r="I309" t="s">
        <v>76</v>
      </c>
      <c r="J309" t="s">
        <v>77</v>
      </c>
      <c r="K309" t="s">
        <v>122</v>
      </c>
      <c r="L309" t="s">
        <v>79</v>
      </c>
      <c r="M309" t="s">
        <v>80</v>
      </c>
      <c r="N309" t="s">
        <v>79</v>
      </c>
      <c r="O309" t="s">
        <v>81</v>
      </c>
      <c r="P309" t="s">
        <v>79</v>
      </c>
      <c r="Q309" t="s">
        <v>83</v>
      </c>
      <c r="R309" t="s">
        <v>79</v>
      </c>
      <c r="S309" t="s">
        <v>84</v>
      </c>
      <c r="T309" t="s">
        <v>124</v>
      </c>
      <c r="U309" t="s">
        <v>79</v>
      </c>
      <c r="V309" t="s">
        <v>86</v>
      </c>
      <c r="W309" t="s">
        <v>120</v>
      </c>
      <c r="X309" t="s">
        <v>112</v>
      </c>
      <c r="Y309" t="s">
        <v>94</v>
      </c>
      <c r="Z309" t="s">
        <v>95</v>
      </c>
      <c r="AA309" t="s">
        <v>94</v>
      </c>
      <c r="AB309" t="s">
        <v>95</v>
      </c>
      <c r="AC309" t="s">
        <v>94</v>
      </c>
      <c r="AD309" t="s">
        <v>95</v>
      </c>
      <c r="AE309" t="s">
        <v>94</v>
      </c>
      <c r="AF309" t="s">
        <v>95</v>
      </c>
      <c r="AG309" t="s">
        <v>94</v>
      </c>
      <c r="AH309" t="s">
        <v>95</v>
      </c>
      <c r="AI309" t="s">
        <v>92</v>
      </c>
      <c r="AJ309" t="s">
        <v>92</v>
      </c>
      <c r="AK309" t="s">
        <v>95</v>
      </c>
      <c r="AL309" t="s">
        <v>94</v>
      </c>
      <c r="AM309" t="s">
        <v>95</v>
      </c>
      <c r="AN309" t="s">
        <v>94</v>
      </c>
      <c r="AO309" t="s">
        <v>92</v>
      </c>
      <c r="AP309" t="s">
        <v>95</v>
      </c>
      <c r="AQ309" t="s">
        <v>95</v>
      </c>
      <c r="AR309" t="s">
        <v>92</v>
      </c>
      <c r="AS309" t="s">
        <v>94</v>
      </c>
      <c r="AT309" t="s">
        <v>93</v>
      </c>
      <c r="AU309" t="s">
        <v>95</v>
      </c>
      <c r="AV309" t="s">
        <v>94</v>
      </c>
      <c r="AW309" t="s">
        <v>92</v>
      </c>
      <c r="AX309" t="s">
        <v>95</v>
      </c>
      <c r="AY309" t="s">
        <v>94</v>
      </c>
      <c r="AZ309" t="s">
        <v>92</v>
      </c>
      <c r="BA309" t="s">
        <v>95</v>
      </c>
      <c r="BB309" t="s">
        <v>94</v>
      </c>
      <c r="BC309" t="s">
        <v>92</v>
      </c>
      <c r="BD309" t="s">
        <v>95</v>
      </c>
      <c r="BE309" t="s">
        <v>94</v>
      </c>
      <c r="BF309" t="s">
        <v>94</v>
      </c>
      <c r="BG309" t="s">
        <v>93</v>
      </c>
      <c r="BH309" t="s">
        <v>95</v>
      </c>
    </row>
    <row r="310" spans="1:60" x14ac:dyDescent="0.3">
      <c r="A310">
        <v>20</v>
      </c>
      <c r="B310" t="s">
        <v>70</v>
      </c>
      <c r="C310" t="s">
        <v>157</v>
      </c>
      <c r="D310" t="s">
        <v>72</v>
      </c>
      <c r="E310" t="s">
        <v>114</v>
      </c>
      <c r="F310" t="s">
        <v>74</v>
      </c>
      <c r="G310" t="s">
        <v>75</v>
      </c>
      <c r="H310" t="s">
        <v>98</v>
      </c>
      <c r="I310" t="s">
        <v>76</v>
      </c>
      <c r="J310" t="s">
        <v>101</v>
      </c>
      <c r="K310" t="s">
        <v>125</v>
      </c>
      <c r="L310" t="s">
        <v>82</v>
      </c>
      <c r="M310" t="s">
        <v>80</v>
      </c>
      <c r="N310" t="s">
        <v>79</v>
      </c>
      <c r="O310" t="s">
        <v>109</v>
      </c>
      <c r="P310" t="s">
        <v>82</v>
      </c>
      <c r="Q310" t="s">
        <v>118</v>
      </c>
      <c r="R310" t="s">
        <v>79</v>
      </c>
      <c r="S310" t="s">
        <v>84</v>
      </c>
      <c r="T310" t="s">
        <v>167</v>
      </c>
      <c r="U310" t="s">
        <v>79</v>
      </c>
      <c r="V310" t="s">
        <v>106</v>
      </c>
      <c r="W310" t="s">
        <v>141</v>
      </c>
      <c r="X310" t="s">
        <v>127</v>
      </c>
      <c r="Y310" t="s">
        <v>93</v>
      </c>
      <c r="Z310" t="s">
        <v>93</v>
      </c>
      <c r="AA310" t="s">
        <v>93</v>
      </c>
      <c r="AB310" t="s">
        <v>93</v>
      </c>
      <c r="AC310" t="s">
        <v>93</v>
      </c>
      <c r="AD310" t="s">
        <v>93</v>
      </c>
      <c r="AE310" t="s">
        <v>93</v>
      </c>
      <c r="AF310" t="s">
        <v>93</v>
      </c>
      <c r="AG310" t="s">
        <v>93</v>
      </c>
      <c r="AH310" t="s">
        <v>93</v>
      </c>
      <c r="AI310" t="s">
        <v>93</v>
      </c>
      <c r="AJ310" t="s">
        <v>93</v>
      </c>
      <c r="AK310" t="s">
        <v>93</v>
      </c>
      <c r="AL310" t="s">
        <v>93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93</v>
      </c>
      <c r="AS310" t="s">
        <v>93</v>
      </c>
      <c r="AT310" t="s">
        <v>93</v>
      </c>
      <c r="AU310" t="s">
        <v>93</v>
      </c>
      <c r="AV310" t="s">
        <v>93</v>
      </c>
      <c r="AW310" t="s">
        <v>93</v>
      </c>
      <c r="AX310" t="s">
        <v>93</v>
      </c>
      <c r="AY310" t="s">
        <v>93</v>
      </c>
      <c r="AZ310" t="s">
        <v>93</v>
      </c>
      <c r="BA310" t="s">
        <v>93</v>
      </c>
      <c r="BB310" t="s">
        <v>93</v>
      </c>
      <c r="BC310" t="s">
        <v>93</v>
      </c>
      <c r="BD310" t="s">
        <v>93</v>
      </c>
      <c r="BE310" t="s">
        <v>93</v>
      </c>
      <c r="BF310" t="s">
        <v>93</v>
      </c>
      <c r="BG310" t="s">
        <v>93</v>
      </c>
      <c r="BH310" t="s">
        <v>93</v>
      </c>
    </row>
    <row r="311" spans="1:60" x14ac:dyDescent="0.3">
      <c r="A311">
        <v>20</v>
      </c>
      <c r="B311" t="s">
        <v>70</v>
      </c>
      <c r="C311" t="s">
        <v>157</v>
      </c>
      <c r="D311" t="s">
        <v>72</v>
      </c>
      <c r="E311" t="s">
        <v>108</v>
      </c>
      <c r="F311" t="s">
        <v>98</v>
      </c>
      <c r="G311" t="s">
        <v>146</v>
      </c>
      <c r="H311" t="s">
        <v>100</v>
      </c>
      <c r="I311" t="s">
        <v>76</v>
      </c>
      <c r="J311" t="s">
        <v>77</v>
      </c>
      <c r="K311" t="s">
        <v>78</v>
      </c>
      <c r="L311" t="s">
        <v>82</v>
      </c>
      <c r="M311" t="s">
        <v>102</v>
      </c>
      <c r="N311" t="s">
        <v>79</v>
      </c>
      <c r="O311" t="s">
        <v>81</v>
      </c>
      <c r="P311" t="s">
        <v>82</v>
      </c>
      <c r="Q311" t="s">
        <v>83</v>
      </c>
      <c r="R311" t="s">
        <v>79</v>
      </c>
      <c r="S311" t="s">
        <v>193</v>
      </c>
      <c r="T311" t="s">
        <v>119</v>
      </c>
      <c r="U311" t="s">
        <v>79</v>
      </c>
      <c r="V311" t="s">
        <v>86</v>
      </c>
      <c r="W311" t="s">
        <v>120</v>
      </c>
      <c r="X311" t="s">
        <v>112</v>
      </c>
      <c r="Y311" t="s">
        <v>95</v>
      </c>
      <c r="Z311" t="s">
        <v>95</v>
      </c>
      <c r="AA311" t="s">
        <v>94</v>
      </c>
      <c r="AB311" t="s">
        <v>95</v>
      </c>
      <c r="AC311" t="s">
        <v>95</v>
      </c>
      <c r="AD311" t="s">
        <v>95</v>
      </c>
      <c r="AE311" t="s">
        <v>95</v>
      </c>
      <c r="AF311" t="s">
        <v>95</v>
      </c>
      <c r="AG311" t="s">
        <v>95</v>
      </c>
      <c r="AH311" t="s">
        <v>95</v>
      </c>
      <c r="AI311" t="s">
        <v>95</v>
      </c>
      <c r="AJ311" t="s">
        <v>95</v>
      </c>
      <c r="AK311" t="s">
        <v>95</v>
      </c>
      <c r="AL311" t="s">
        <v>95</v>
      </c>
      <c r="AM311" t="s">
        <v>95</v>
      </c>
      <c r="AN311" t="s">
        <v>95</v>
      </c>
      <c r="AO311" t="s">
        <v>95</v>
      </c>
      <c r="AP311" t="s">
        <v>95</v>
      </c>
      <c r="AQ311" t="s">
        <v>95</v>
      </c>
      <c r="AR311" t="s">
        <v>95</v>
      </c>
      <c r="AS311" t="s">
        <v>95</v>
      </c>
      <c r="AT311" t="s">
        <v>95</v>
      </c>
      <c r="AU311" t="s">
        <v>95</v>
      </c>
      <c r="AV311" t="s">
        <v>95</v>
      </c>
      <c r="AW311" t="s">
        <v>95</v>
      </c>
      <c r="AX311" t="s">
        <v>95</v>
      </c>
      <c r="AY311" t="s">
        <v>95</v>
      </c>
      <c r="AZ311" t="s">
        <v>95</v>
      </c>
      <c r="BA311" t="s">
        <v>92</v>
      </c>
      <c r="BB311" t="s">
        <v>94</v>
      </c>
      <c r="BC311" t="s">
        <v>94</v>
      </c>
      <c r="BD311" t="s">
        <v>95</v>
      </c>
      <c r="BE311" t="s">
        <v>92</v>
      </c>
      <c r="BF311" t="s">
        <v>94</v>
      </c>
      <c r="BG311" t="s">
        <v>94</v>
      </c>
      <c r="BH311" t="s">
        <v>93</v>
      </c>
    </row>
    <row r="312" spans="1:60" x14ac:dyDescent="0.3">
      <c r="A312" t="s">
        <v>254</v>
      </c>
      <c r="B312" t="s">
        <v>70</v>
      </c>
      <c r="C312" t="s">
        <v>157</v>
      </c>
      <c r="D312" t="s">
        <v>72</v>
      </c>
      <c r="E312" t="s">
        <v>114</v>
      </c>
      <c r="F312" t="s">
        <v>100</v>
      </c>
      <c r="G312" t="s">
        <v>135</v>
      </c>
      <c r="H312" t="s">
        <v>100</v>
      </c>
      <c r="I312" t="s">
        <v>76</v>
      </c>
      <c r="J312" t="s">
        <v>77</v>
      </c>
      <c r="K312" t="s">
        <v>125</v>
      </c>
      <c r="L312" t="s">
        <v>79</v>
      </c>
      <c r="M312" t="s">
        <v>80</v>
      </c>
      <c r="N312" t="s">
        <v>82</v>
      </c>
      <c r="O312" t="s">
        <v>138</v>
      </c>
      <c r="P312" t="s">
        <v>82</v>
      </c>
      <c r="Q312" t="s">
        <v>103</v>
      </c>
      <c r="R312" t="s">
        <v>82</v>
      </c>
      <c r="S312" t="s">
        <v>84</v>
      </c>
      <c r="T312" t="s">
        <v>150</v>
      </c>
      <c r="U312" t="s">
        <v>82</v>
      </c>
      <c r="V312" t="s">
        <v>106</v>
      </c>
      <c r="W312" t="s">
        <v>87</v>
      </c>
      <c r="X312" t="s">
        <v>88</v>
      </c>
      <c r="Y312" t="s">
        <v>94</v>
      </c>
      <c r="Z312" t="s">
        <v>94</v>
      </c>
      <c r="AA312" t="s">
        <v>94</v>
      </c>
      <c r="AB312" t="s">
        <v>94</v>
      </c>
      <c r="AC312" t="s">
        <v>94</v>
      </c>
      <c r="AD312" t="s">
        <v>94</v>
      </c>
      <c r="AE312" t="s">
        <v>94</v>
      </c>
      <c r="AF312" t="s">
        <v>94</v>
      </c>
      <c r="AG312" t="s">
        <v>94</v>
      </c>
      <c r="AH312" t="s">
        <v>94</v>
      </c>
      <c r="AI312" t="s">
        <v>94</v>
      </c>
      <c r="AJ312" t="s">
        <v>94</v>
      </c>
      <c r="AK312" t="s">
        <v>92</v>
      </c>
      <c r="AL312" t="s">
        <v>94</v>
      </c>
      <c r="AM312" t="s">
        <v>92</v>
      </c>
      <c r="AN312" t="s">
        <v>94</v>
      </c>
      <c r="AO312" t="s">
        <v>94</v>
      </c>
      <c r="AP312" t="s">
        <v>92</v>
      </c>
      <c r="AQ312" t="s">
        <v>95</v>
      </c>
      <c r="AR312" t="s">
        <v>94</v>
      </c>
      <c r="AS312" t="s">
        <v>92</v>
      </c>
      <c r="AT312" t="s">
        <v>94</v>
      </c>
      <c r="AU312" t="s">
        <v>94</v>
      </c>
      <c r="AV312" t="s">
        <v>92</v>
      </c>
      <c r="AW312" t="s">
        <v>95</v>
      </c>
      <c r="AX312" t="s">
        <v>94</v>
      </c>
      <c r="AY312" t="s">
        <v>94</v>
      </c>
      <c r="AZ312" t="s">
        <v>95</v>
      </c>
      <c r="BA312" t="s">
        <v>94</v>
      </c>
      <c r="BB312" t="s">
        <v>95</v>
      </c>
      <c r="BC312" t="s">
        <v>92</v>
      </c>
      <c r="BD312" t="s">
        <v>94</v>
      </c>
      <c r="BE312" t="s">
        <v>95</v>
      </c>
      <c r="BF312" t="s">
        <v>92</v>
      </c>
      <c r="BG312" t="s">
        <v>94</v>
      </c>
      <c r="BH312" t="s">
        <v>94</v>
      </c>
    </row>
    <row r="313" spans="1:60" x14ac:dyDescent="0.3">
      <c r="A313">
        <v>20</v>
      </c>
      <c r="B313" t="s">
        <v>70</v>
      </c>
      <c r="C313" t="s">
        <v>157</v>
      </c>
      <c r="D313" t="s">
        <v>149</v>
      </c>
      <c r="E313" t="s">
        <v>108</v>
      </c>
      <c r="F313" t="s">
        <v>136</v>
      </c>
      <c r="G313" t="s">
        <v>99</v>
      </c>
      <c r="H313" t="s">
        <v>74</v>
      </c>
      <c r="I313" t="s">
        <v>76</v>
      </c>
      <c r="J313" t="s">
        <v>77</v>
      </c>
      <c r="K313" t="s">
        <v>122</v>
      </c>
      <c r="L313" t="s">
        <v>79</v>
      </c>
      <c r="M313" t="s">
        <v>102</v>
      </c>
      <c r="N313" t="s">
        <v>79</v>
      </c>
      <c r="O313" t="s">
        <v>117</v>
      </c>
      <c r="P313" t="s">
        <v>79</v>
      </c>
      <c r="Q313" t="s">
        <v>103</v>
      </c>
      <c r="R313" t="s">
        <v>79</v>
      </c>
      <c r="S313" t="s">
        <v>145</v>
      </c>
      <c r="T313" t="s">
        <v>191</v>
      </c>
      <c r="U313" t="s">
        <v>79</v>
      </c>
      <c r="V313" t="s">
        <v>86</v>
      </c>
      <c r="W313" t="s">
        <v>141</v>
      </c>
      <c r="X313" t="s">
        <v>88</v>
      </c>
      <c r="Y313" t="s">
        <v>94</v>
      </c>
      <c r="Z313" t="s">
        <v>95</v>
      </c>
      <c r="AA313" t="s">
        <v>95</v>
      </c>
      <c r="AB313" t="s">
        <v>93</v>
      </c>
      <c r="AC313" t="s">
        <v>93</v>
      </c>
      <c r="AD313" t="s">
        <v>93</v>
      </c>
      <c r="AE313" t="s">
        <v>92</v>
      </c>
      <c r="AF313" t="s">
        <v>93</v>
      </c>
      <c r="AG313" t="s">
        <v>93</v>
      </c>
      <c r="AH313" t="s">
        <v>93</v>
      </c>
      <c r="AI313" t="s">
        <v>93</v>
      </c>
      <c r="AJ313" t="s">
        <v>93</v>
      </c>
      <c r="AK313" t="s">
        <v>93</v>
      </c>
      <c r="AL313" t="s">
        <v>95</v>
      </c>
      <c r="AM313" t="s">
        <v>93</v>
      </c>
      <c r="AN313" t="s">
        <v>93</v>
      </c>
      <c r="AO313" t="s">
        <v>93</v>
      </c>
      <c r="AP313" t="s">
        <v>93</v>
      </c>
      <c r="AQ313" t="s">
        <v>95</v>
      </c>
      <c r="AR313" t="s">
        <v>95</v>
      </c>
      <c r="AS313" t="s">
        <v>95</v>
      </c>
      <c r="AT313" t="s">
        <v>93</v>
      </c>
      <c r="AU313" t="s">
        <v>95</v>
      </c>
      <c r="AV313" t="s">
        <v>95</v>
      </c>
      <c r="AW313" t="s">
        <v>95</v>
      </c>
      <c r="AX313" t="s">
        <v>95</v>
      </c>
      <c r="AY313" t="s">
        <v>95</v>
      </c>
      <c r="AZ313" t="s">
        <v>93</v>
      </c>
      <c r="BA313" t="s">
        <v>93</v>
      </c>
      <c r="BB313" t="s">
        <v>93</v>
      </c>
      <c r="BC313" t="s">
        <v>93</v>
      </c>
      <c r="BD313" t="s">
        <v>93</v>
      </c>
      <c r="BE313" t="s">
        <v>93</v>
      </c>
      <c r="BF313" t="s">
        <v>93</v>
      </c>
      <c r="BG313" t="s">
        <v>93</v>
      </c>
      <c r="BH313" t="s">
        <v>93</v>
      </c>
    </row>
    <row r="314" spans="1:60" x14ac:dyDescent="0.3">
      <c r="A314">
        <v>21</v>
      </c>
      <c r="B314" t="s">
        <v>128</v>
      </c>
      <c r="C314" t="s">
        <v>157</v>
      </c>
      <c r="D314" t="s">
        <v>72</v>
      </c>
      <c r="E314" t="s">
        <v>108</v>
      </c>
      <c r="F314" t="s">
        <v>74</v>
      </c>
      <c r="G314" t="s">
        <v>115</v>
      </c>
      <c r="H314" t="s">
        <v>136</v>
      </c>
      <c r="I314" t="s">
        <v>76</v>
      </c>
      <c r="J314" t="s">
        <v>77</v>
      </c>
      <c r="K314" t="s">
        <v>78</v>
      </c>
      <c r="L314" t="s">
        <v>79</v>
      </c>
      <c r="M314" t="s">
        <v>80</v>
      </c>
      <c r="N314" t="s">
        <v>79</v>
      </c>
      <c r="O314" t="s">
        <v>117</v>
      </c>
      <c r="P314" t="s">
        <v>79</v>
      </c>
      <c r="Q314" t="s">
        <v>118</v>
      </c>
      <c r="R314" t="s">
        <v>82</v>
      </c>
      <c r="S314" t="s">
        <v>84</v>
      </c>
      <c r="T314" t="s">
        <v>124</v>
      </c>
      <c r="U314" t="s">
        <v>82</v>
      </c>
      <c r="V314" t="s">
        <v>106</v>
      </c>
      <c r="W314" t="s">
        <v>87</v>
      </c>
      <c r="X314" t="s">
        <v>112</v>
      </c>
      <c r="Y314" t="s">
        <v>92</v>
      </c>
      <c r="Z314" t="s">
        <v>93</v>
      </c>
      <c r="AA314" t="s">
        <v>93</v>
      </c>
      <c r="AB314" t="s">
        <v>93</v>
      </c>
      <c r="AC314" t="s">
        <v>94</v>
      </c>
      <c r="AD314" t="s">
        <v>95</v>
      </c>
      <c r="AE314" t="s">
        <v>95</v>
      </c>
      <c r="AF314" t="s">
        <v>92</v>
      </c>
      <c r="AG314" t="s">
        <v>92</v>
      </c>
      <c r="AH314" t="s">
        <v>95</v>
      </c>
      <c r="AI314" t="s">
        <v>93</v>
      </c>
      <c r="AJ314" t="s">
        <v>93</v>
      </c>
      <c r="AK314" t="s">
        <v>92</v>
      </c>
      <c r="AL314" t="s">
        <v>94</v>
      </c>
      <c r="AM314" t="s">
        <v>94</v>
      </c>
      <c r="AN314" t="s">
        <v>93</v>
      </c>
      <c r="AO314" t="s">
        <v>93</v>
      </c>
      <c r="AP314" t="s">
        <v>93</v>
      </c>
      <c r="AQ314" t="s">
        <v>95</v>
      </c>
      <c r="AR314" t="s">
        <v>94</v>
      </c>
      <c r="AS314" t="s">
        <v>95</v>
      </c>
      <c r="AT314" t="s">
        <v>95</v>
      </c>
      <c r="AU314" t="s">
        <v>93</v>
      </c>
      <c r="AV314" t="s">
        <v>93</v>
      </c>
      <c r="AW314" t="s">
        <v>93</v>
      </c>
      <c r="AX314" t="s">
        <v>93</v>
      </c>
      <c r="AY314" t="s">
        <v>95</v>
      </c>
      <c r="AZ314" t="s">
        <v>95</v>
      </c>
      <c r="BA314" t="s">
        <v>93</v>
      </c>
      <c r="BB314" t="s">
        <v>93</v>
      </c>
      <c r="BC314" t="s">
        <v>93</v>
      </c>
      <c r="BD314" t="s">
        <v>93</v>
      </c>
      <c r="BE314" t="s">
        <v>93</v>
      </c>
      <c r="BF314" t="s">
        <v>94</v>
      </c>
      <c r="BG314" t="s">
        <v>95</v>
      </c>
      <c r="BH314" t="s">
        <v>95</v>
      </c>
    </row>
    <row r="315" spans="1:60" x14ac:dyDescent="0.3">
      <c r="A315">
        <v>19</v>
      </c>
      <c r="B315" t="s">
        <v>70</v>
      </c>
      <c r="C315" t="s">
        <v>157</v>
      </c>
      <c r="D315" t="s">
        <v>97</v>
      </c>
      <c r="E315" t="s">
        <v>73</v>
      </c>
      <c r="F315" t="s">
        <v>74</v>
      </c>
      <c r="G315" t="s">
        <v>135</v>
      </c>
      <c r="H315" t="s">
        <v>74</v>
      </c>
      <c r="I315" t="s">
        <v>115</v>
      </c>
      <c r="J315" t="s">
        <v>101</v>
      </c>
      <c r="K315" t="s">
        <v>122</v>
      </c>
      <c r="L315" t="s">
        <v>79</v>
      </c>
      <c r="M315" t="s">
        <v>102</v>
      </c>
      <c r="N315" t="s">
        <v>79</v>
      </c>
      <c r="O315" t="s">
        <v>133</v>
      </c>
      <c r="P315" t="s">
        <v>79</v>
      </c>
      <c r="Q315" t="s">
        <v>83</v>
      </c>
      <c r="R315" t="s">
        <v>79</v>
      </c>
      <c r="S315" t="s">
        <v>145</v>
      </c>
      <c r="T315" t="s">
        <v>215</v>
      </c>
      <c r="U315" t="s">
        <v>82</v>
      </c>
      <c r="V315" t="s">
        <v>86</v>
      </c>
      <c r="W315" t="s">
        <v>87</v>
      </c>
      <c r="X315" t="s">
        <v>112</v>
      </c>
      <c r="Y315" t="s">
        <v>93</v>
      </c>
      <c r="Z315" t="s">
        <v>92</v>
      </c>
      <c r="AA315" t="s">
        <v>93</v>
      </c>
      <c r="AB315" t="s">
        <v>93</v>
      </c>
      <c r="AC315" t="s">
        <v>92</v>
      </c>
      <c r="AD315" t="s">
        <v>94</v>
      </c>
      <c r="AE315" t="s">
        <v>94</v>
      </c>
      <c r="AF315" t="s">
        <v>94</v>
      </c>
      <c r="AG315" t="s">
        <v>94</v>
      </c>
      <c r="AH315" t="s">
        <v>93</v>
      </c>
      <c r="AI315" t="s">
        <v>93</v>
      </c>
      <c r="AJ315" t="s">
        <v>93</v>
      </c>
      <c r="AK315" t="s">
        <v>93</v>
      </c>
      <c r="AL315" t="s">
        <v>95</v>
      </c>
      <c r="AM315" t="s">
        <v>92</v>
      </c>
      <c r="AN315" t="s">
        <v>93</v>
      </c>
      <c r="AO315" t="s">
        <v>93</v>
      </c>
      <c r="AP315" t="s">
        <v>93</v>
      </c>
      <c r="AQ315" t="s">
        <v>93</v>
      </c>
      <c r="AR315" t="s">
        <v>95</v>
      </c>
      <c r="AS315" t="s">
        <v>95</v>
      </c>
      <c r="AT315" t="s">
        <v>95</v>
      </c>
      <c r="AU315" t="s">
        <v>93</v>
      </c>
      <c r="AV315" t="s">
        <v>93</v>
      </c>
      <c r="AW315" t="s">
        <v>93</v>
      </c>
      <c r="AX315" t="s">
        <v>93</v>
      </c>
      <c r="AY315" t="s">
        <v>95</v>
      </c>
      <c r="AZ315" t="s">
        <v>95</v>
      </c>
      <c r="BA315" t="s">
        <v>93</v>
      </c>
      <c r="BB315" t="s">
        <v>93</v>
      </c>
      <c r="BC315" t="s">
        <v>93</v>
      </c>
      <c r="BD315" t="s">
        <v>93</v>
      </c>
      <c r="BE315" t="s">
        <v>93</v>
      </c>
      <c r="BF315" t="s">
        <v>94</v>
      </c>
      <c r="BG315" t="s">
        <v>95</v>
      </c>
      <c r="BH315" t="s">
        <v>94</v>
      </c>
    </row>
    <row r="316" spans="1:60" x14ac:dyDescent="0.3">
      <c r="A316">
        <v>21</v>
      </c>
      <c r="B316" t="s">
        <v>128</v>
      </c>
      <c r="C316" t="s">
        <v>157</v>
      </c>
      <c r="D316" t="s">
        <v>97</v>
      </c>
      <c r="E316" t="s">
        <v>114</v>
      </c>
      <c r="F316" t="s">
        <v>74</v>
      </c>
      <c r="G316" t="s">
        <v>160</v>
      </c>
      <c r="H316" t="s">
        <v>74</v>
      </c>
      <c r="I316" t="s">
        <v>160</v>
      </c>
      <c r="J316" t="s">
        <v>77</v>
      </c>
      <c r="K316" t="s">
        <v>122</v>
      </c>
      <c r="L316" t="s">
        <v>79</v>
      </c>
      <c r="M316" t="s">
        <v>80</v>
      </c>
      <c r="N316" t="s">
        <v>79</v>
      </c>
      <c r="O316" t="s">
        <v>117</v>
      </c>
      <c r="P316" t="s">
        <v>79</v>
      </c>
      <c r="Q316" t="s">
        <v>83</v>
      </c>
      <c r="R316" t="s">
        <v>79</v>
      </c>
      <c r="S316" t="s">
        <v>84</v>
      </c>
      <c r="T316" t="s">
        <v>139</v>
      </c>
      <c r="U316" t="s">
        <v>82</v>
      </c>
      <c r="V316" t="s">
        <v>86</v>
      </c>
      <c r="W316" t="s">
        <v>87</v>
      </c>
      <c r="X316" t="s">
        <v>112</v>
      </c>
      <c r="Y316" t="s">
        <v>94</v>
      </c>
      <c r="Z316" t="s">
        <v>93</v>
      </c>
      <c r="AA316" t="s">
        <v>94</v>
      </c>
      <c r="AB316" t="s">
        <v>94</v>
      </c>
      <c r="AC316" t="s">
        <v>94</v>
      </c>
      <c r="AD316" t="s">
        <v>93</v>
      </c>
      <c r="AE316" t="s">
        <v>94</v>
      </c>
      <c r="AF316" t="s">
        <v>94</v>
      </c>
      <c r="AG316" t="s">
        <v>94</v>
      </c>
      <c r="AH316" t="s">
        <v>94</v>
      </c>
      <c r="AI316" t="s">
        <v>94</v>
      </c>
      <c r="AJ316" t="s">
        <v>94</v>
      </c>
      <c r="AK316" t="s">
        <v>94</v>
      </c>
      <c r="AL316" t="s">
        <v>94</v>
      </c>
      <c r="AM316" t="s">
        <v>94</v>
      </c>
      <c r="AN316" t="s">
        <v>92</v>
      </c>
      <c r="AO316" t="s">
        <v>92</v>
      </c>
      <c r="AP316" t="s">
        <v>92</v>
      </c>
      <c r="AQ316" t="s">
        <v>92</v>
      </c>
      <c r="AR316" t="s">
        <v>92</v>
      </c>
      <c r="AS316" t="s">
        <v>92</v>
      </c>
      <c r="AT316" t="s">
        <v>92</v>
      </c>
      <c r="AU316" t="s">
        <v>92</v>
      </c>
      <c r="AV316" t="s">
        <v>92</v>
      </c>
      <c r="AW316" t="s">
        <v>92</v>
      </c>
      <c r="AX316" t="s">
        <v>92</v>
      </c>
      <c r="AY316" t="s">
        <v>92</v>
      </c>
      <c r="AZ316" t="s">
        <v>92</v>
      </c>
      <c r="BA316" t="s">
        <v>92</v>
      </c>
      <c r="BB316" t="s">
        <v>92</v>
      </c>
      <c r="BC316" t="s">
        <v>92</v>
      </c>
      <c r="BD316" t="s">
        <v>92</v>
      </c>
      <c r="BE316" t="s">
        <v>92</v>
      </c>
      <c r="BF316" t="s">
        <v>92</v>
      </c>
      <c r="BG316" t="s">
        <v>92</v>
      </c>
      <c r="BH316" t="s">
        <v>92</v>
      </c>
    </row>
    <row r="317" spans="1:60" x14ac:dyDescent="0.3">
      <c r="A317">
        <v>20</v>
      </c>
      <c r="B317" t="s">
        <v>70</v>
      </c>
      <c r="C317" t="s">
        <v>157</v>
      </c>
      <c r="D317" t="s">
        <v>72</v>
      </c>
      <c r="E317" t="s">
        <v>108</v>
      </c>
      <c r="F317" t="s">
        <v>98</v>
      </c>
      <c r="G317" t="s">
        <v>135</v>
      </c>
      <c r="H317" t="s">
        <v>100</v>
      </c>
      <c r="I317" t="s">
        <v>76</v>
      </c>
      <c r="J317" t="s">
        <v>77</v>
      </c>
      <c r="K317" t="s">
        <v>122</v>
      </c>
      <c r="L317" t="s">
        <v>79</v>
      </c>
      <c r="M317" t="s">
        <v>80</v>
      </c>
      <c r="N317" t="s">
        <v>79</v>
      </c>
      <c r="O317" t="s">
        <v>117</v>
      </c>
      <c r="P317" t="s">
        <v>82</v>
      </c>
      <c r="Q317" t="s">
        <v>83</v>
      </c>
      <c r="R317" t="s">
        <v>82</v>
      </c>
      <c r="S317" t="s">
        <v>84</v>
      </c>
      <c r="T317" t="s">
        <v>124</v>
      </c>
      <c r="U317" t="s">
        <v>82</v>
      </c>
      <c r="V317" t="s">
        <v>106</v>
      </c>
      <c r="W317" t="s">
        <v>87</v>
      </c>
      <c r="Y317" t="s">
        <v>93</v>
      </c>
      <c r="Z317" t="s">
        <v>93</v>
      </c>
      <c r="AA317" t="s">
        <v>93</v>
      </c>
      <c r="AB317" t="s">
        <v>93</v>
      </c>
      <c r="AC317" t="s">
        <v>94</v>
      </c>
      <c r="AD317" t="s">
        <v>94</v>
      </c>
      <c r="AE317" t="s">
        <v>95</v>
      </c>
      <c r="AF317" t="s">
        <v>93</v>
      </c>
      <c r="AG317" t="s">
        <v>93</v>
      </c>
      <c r="AH317" t="s">
        <v>93</v>
      </c>
      <c r="AI317" t="s">
        <v>93</v>
      </c>
      <c r="AJ317" t="s">
        <v>93</v>
      </c>
      <c r="AK317" t="s">
        <v>93</v>
      </c>
      <c r="AL317" t="s">
        <v>94</v>
      </c>
      <c r="AM317" t="s">
        <v>94</v>
      </c>
      <c r="AN317" t="s">
        <v>93</v>
      </c>
      <c r="AO317" t="s">
        <v>93</v>
      </c>
      <c r="AP317" t="s">
        <v>93</v>
      </c>
      <c r="AQ317" t="s">
        <v>95</v>
      </c>
      <c r="AR317" t="s">
        <v>95</v>
      </c>
      <c r="AS317" t="s">
        <v>95</v>
      </c>
      <c r="AT317" t="s">
        <v>95</v>
      </c>
      <c r="AU317" t="s">
        <v>93</v>
      </c>
      <c r="AV317" t="s">
        <v>93</v>
      </c>
      <c r="AW317" t="s">
        <v>93</v>
      </c>
      <c r="AX317" t="s">
        <v>95</v>
      </c>
      <c r="AY317" t="s">
        <v>95</v>
      </c>
      <c r="AZ317" t="s">
        <v>95</v>
      </c>
      <c r="BA317" t="s">
        <v>93</v>
      </c>
      <c r="BB317" t="s">
        <v>93</v>
      </c>
      <c r="BC317" t="s">
        <v>93</v>
      </c>
      <c r="BD317" t="s">
        <v>93</v>
      </c>
      <c r="BE317" t="s">
        <v>93</v>
      </c>
      <c r="BF317" t="s">
        <v>95</v>
      </c>
      <c r="BG317" t="s">
        <v>94</v>
      </c>
      <c r="BH317" t="s">
        <v>94</v>
      </c>
    </row>
    <row r="318" spans="1:60" x14ac:dyDescent="0.3">
      <c r="A318">
        <v>20</v>
      </c>
      <c r="B318" t="s">
        <v>70</v>
      </c>
      <c r="C318" t="s">
        <v>157</v>
      </c>
      <c r="D318" t="s">
        <v>97</v>
      </c>
      <c r="E318" t="s">
        <v>108</v>
      </c>
      <c r="F318" t="s">
        <v>74</v>
      </c>
      <c r="G318" t="s">
        <v>115</v>
      </c>
      <c r="H318" t="s">
        <v>74</v>
      </c>
      <c r="I318" t="s">
        <v>115</v>
      </c>
      <c r="J318" t="s">
        <v>101</v>
      </c>
      <c r="K318" t="s">
        <v>131</v>
      </c>
      <c r="L318" t="s">
        <v>82</v>
      </c>
      <c r="M318" t="s">
        <v>80</v>
      </c>
      <c r="N318" t="s">
        <v>79</v>
      </c>
      <c r="O318" t="s">
        <v>81</v>
      </c>
      <c r="P318" t="s">
        <v>82</v>
      </c>
      <c r="Q318" t="s">
        <v>83</v>
      </c>
      <c r="R318" t="s">
        <v>82</v>
      </c>
      <c r="S318" t="s">
        <v>84</v>
      </c>
      <c r="T318" t="s">
        <v>124</v>
      </c>
      <c r="U318" t="s">
        <v>82</v>
      </c>
      <c r="V318" t="s">
        <v>106</v>
      </c>
      <c r="W318" t="s">
        <v>87</v>
      </c>
      <c r="X318" t="s">
        <v>255</v>
      </c>
      <c r="Y318" t="s">
        <v>94</v>
      </c>
      <c r="Z318" t="s">
        <v>93</v>
      </c>
      <c r="AA318" t="s">
        <v>93</v>
      </c>
      <c r="AB318" t="s">
        <v>93</v>
      </c>
      <c r="AC318" t="s">
        <v>93</v>
      </c>
      <c r="AD318" t="s">
        <v>93</v>
      </c>
      <c r="AE318" t="s">
        <v>93</v>
      </c>
      <c r="AF318" t="s">
        <v>94</v>
      </c>
      <c r="AG318" t="s">
        <v>95</v>
      </c>
      <c r="AH318" t="s">
        <v>95</v>
      </c>
      <c r="AI318" t="s">
        <v>93</v>
      </c>
      <c r="AJ318" t="s">
        <v>93</v>
      </c>
      <c r="AK318" t="s">
        <v>93</v>
      </c>
      <c r="AL318" t="s">
        <v>93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93</v>
      </c>
      <c r="AS318" t="s">
        <v>93</v>
      </c>
      <c r="AT318" t="s">
        <v>93</v>
      </c>
      <c r="AU318" t="s">
        <v>93</v>
      </c>
      <c r="AV318" t="s">
        <v>93</v>
      </c>
      <c r="AW318" t="s">
        <v>93</v>
      </c>
      <c r="AX318" t="s">
        <v>93</v>
      </c>
      <c r="AY318" t="s">
        <v>93</v>
      </c>
      <c r="AZ318" t="s">
        <v>93</v>
      </c>
      <c r="BA318" t="s">
        <v>93</v>
      </c>
      <c r="BB318" t="s">
        <v>93</v>
      </c>
      <c r="BC318" t="s">
        <v>93</v>
      </c>
      <c r="BD318" t="s">
        <v>93</v>
      </c>
      <c r="BE318" t="s">
        <v>93</v>
      </c>
      <c r="BF318" t="s">
        <v>93</v>
      </c>
      <c r="BG318" t="s">
        <v>93</v>
      </c>
      <c r="BH318" t="s">
        <v>93</v>
      </c>
    </row>
    <row r="319" spans="1:60" x14ac:dyDescent="0.3">
      <c r="A319">
        <v>21</v>
      </c>
      <c r="B319" t="s">
        <v>70</v>
      </c>
      <c r="C319" t="s">
        <v>157</v>
      </c>
      <c r="D319" t="s">
        <v>72</v>
      </c>
      <c r="E319" t="s">
        <v>114</v>
      </c>
      <c r="F319" t="s">
        <v>136</v>
      </c>
      <c r="G319" t="s">
        <v>135</v>
      </c>
      <c r="H319" t="s">
        <v>136</v>
      </c>
      <c r="I319" t="s">
        <v>76</v>
      </c>
      <c r="J319" t="s">
        <v>77</v>
      </c>
      <c r="K319" t="s">
        <v>125</v>
      </c>
      <c r="L319" t="s">
        <v>82</v>
      </c>
      <c r="M319" t="s">
        <v>80</v>
      </c>
      <c r="N319" t="s">
        <v>79</v>
      </c>
      <c r="O319" t="s">
        <v>81</v>
      </c>
      <c r="P319" t="s">
        <v>82</v>
      </c>
      <c r="Q319" t="s">
        <v>118</v>
      </c>
      <c r="R319" t="s">
        <v>79</v>
      </c>
      <c r="S319" t="s">
        <v>221</v>
      </c>
      <c r="T319" t="s">
        <v>124</v>
      </c>
      <c r="U319" t="s">
        <v>79</v>
      </c>
      <c r="V319" t="s">
        <v>86</v>
      </c>
      <c r="W319" t="s">
        <v>141</v>
      </c>
      <c r="X319" t="s">
        <v>112</v>
      </c>
      <c r="Y319" t="s">
        <v>94</v>
      </c>
      <c r="Z319" t="s">
        <v>94</v>
      </c>
      <c r="AA319" t="s">
        <v>94</v>
      </c>
      <c r="AB319" t="s">
        <v>94</v>
      </c>
      <c r="AC319" t="s">
        <v>94</v>
      </c>
      <c r="AD319" t="s">
        <v>94</v>
      </c>
      <c r="AE319" t="s">
        <v>94</v>
      </c>
      <c r="AF319" t="s">
        <v>94</v>
      </c>
      <c r="AG319" t="s">
        <v>94</v>
      </c>
      <c r="AH319" t="s">
        <v>94</v>
      </c>
      <c r="AI319" t="s">
        <v>94</v>
      </c>
      <c r="AJ319" t="s">
        <v>94</v>
      </c>
      <c r="AK319" t="s">
        <v>94</v>
      </c>
      <c r="AL319" t="s">
        <v>94</v>
      </c>
      <c r="AM319" t="s">
        <v>94</v>
      </c>
      <c r="AN319" t="s">
        <v>94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94</v>
      </c>
      <c r="AU319" t="s">
        <v>94</v>
      </c>
      <c r="AV319" t="s">
        <v>94</v>
      </c>
      <c r="AW319" t="s">
        <v>94</v>
      </c>
      <c r="AX319" t="s">
        <v>94</v>
      </c>
      <c r="AY319" t="s">
        <v>94</v>
      </c>
      <c r="AZ319" t="s">
        <v>94</v>
      </c>
      <c r="BA319" t="s">
        <v>94</v>
      </c>
      <c r="BB319" t="s">
        <v>94</v>
      </c>
      <c r="BC319" t="s">
        <v>94</v>
      </c>
      <c r="BD319" t="s">
        <v>94</v>
      </c>
      <c r="BE319" t="s">
        <v>94</v>
      </c>
      <c r="BF319" t="s">
        <v>94</v>
      </c>
      <c r="BG319" t="s">
        <v>94</v>
      </c>
      <c r="BH319" t="s">
        <v>94</v>
      </c>
    </row>
    <row r="320" spans="1:60" x14ac:dyDescent="0.3">
      <c r="A320">
        <v>21</v>
      </c>
      <c r="B320" t="s">
        <v>70</v>
      </c>
      <c r="C320" t="s">
        <v>157</v>
      </c>
      <c r="D320" t="s">
        <v>72</v>
      </c>
      <c r="E320" t="s">
        <v>108</v>
      </c>
      <c r="F320" t="s">
        <v>74</v>
      </c>
      <c r="G320" t="s">
        <v>75</v>
      </c>
      <c r="H320" t="s">
        <v>100</v>
      </c>
      <c r="I320" t="s">
        <v>76</v>
      </c>
      <c r="J320" t="s">
        <v>77</v>
      </c>
      <c r="K320" t="s">
        <v>125</v>
      </c>
      <c r="L320" t="s">
        <v>79</v>
      </c>
      <c r="M320" t="s">
        <v>80</v>
      </c>
      <c r="N320" t="s">
        <v>82</v>
      </c>
      <c r="O320" t="s">
        <v>117</v>
      </c>
      <c r="P320" t="s">
        <v>82</v>
      </c>
      <c r="Q320" t="s">
        <v>103</v>
      </c>
      <c r="R320" t="s">
        <v>82</v>
      </c>
      <c r="S320" t="s">
        <v>256</v>
      </c>
      <c r="T320" t="s">
        <v>257</v>
      </c>
      <c r="U320" t="s">
        <v>79</v>
      </c>
      <c r="V320" t="s">
        <v>258</v>
      </c>
      <c r="W320" t="s">
        <v>87</v>
      </c>
      <c r="X320" t="s">
        <v>112</v>
      </c>
      <c r="Y320" t="s">
        <v>92</v>
      </c>
      <c r="Z320" t="s">
        <v>93</v>
      </c>
      <c r="AA320" t="s">
        <v>92</v>
      </c>
      <c r="AB320" t="s">
        <v>93</v>
      </c>
      <c r="AC320" t="s">
        <v>92</v>
      </c>
      <c r="AD320" t="s">
        <v>93</v>
      </c>
      <c r="AE320" t="s">
        <v>94</v>
      </c>
      <c r="AF320" t="s">
        <v>94</v>
      </c>
      <c r="AG320" t="s">
        <v>94</v>
      </c>
      <c r="AH320" t="s">
        <v>93</v>
      </c>
      <c r="AI320" t="s">
        <v>93</v>
      </c>
      <c r="AJ320" t="s">
        <v>92</v>
      </c>
      <c r="AK320" t="s">
        <v>92</v>
      </c>
      <c r="AL320" t="s">
        <v>92</v>
      </c>
      <c r="AM320" t="s">
        <v>92</v>
      </c>
      <c r="AN320" t="s">
        <v>92</v>
      </c>
      <c r="AO320" t="s">
        <v>95</v>
      </c>
      <c r="AP320" t="s">
        <v>92</v>
      </c>
      <c r="AQ320" t="s">
        <v>92</v>
      </c>
      <c r="AR320" t="s">
        <v>95</v>
      </c>
      <c r="AS320" t="s">
        <v>95</v>
      </c>
      <c r="AT320" t="s">
        <v>92</v>
      </c>
      <c r="AU320" t="s">
        <v>94</v>
      </c>
      <c r="AV320" t="s">
        <v>94</v>
      </c>
      <c r="AW320" t="s">
        <v>92</v>
      </c>
      <c r="AX320" t="s">
        <v>94</v>
      </c>
      <c r="AY320" t="s">
        <v>95</v>
      </c>
      <c r="AZ320" t="s">
        <v>95</v>
      </c>
      <c r="BA320" t="s">
        <v>92</v>
      </c>
      <c r="BB320" t="s">
        <v>92</v>
      </c>
      <c r="BC320" t="s">
        <v>92</v>
      </c>
      <c r="BD320" t="s">
        <v>92</v>
      </c>
      <c r="BE320" t="s">
        <v>92</v>
      </c>
      <c r="BF320" t="s">
        <v>92</v>
      </c>
      <c r="BG320" t="s">
        <v>92</v>
      </c>
      <c r="BH320" t="s">
        <v>92</v>
      </c>
    </row>
    <row r="321" spans="1:60" x14ac:dyDescent="0.3">
      <c r="A321">
        <v>21</v>
      </c>
      <c r="B321" t="s">
        <v>70</v>
      </c>
      <c r="C321" t="s">
        <v>157</v>
      </c>
      <c r="D321" t="s">
        <v>72</v>
      </c>
      <c r="E321" t="s">
        <v>73</v>
      </c>
      <c r="F321" t="s">
        <v>100</v>
      </c>
      <c r="G321" t="s">
        <v>135</v>
      </c>
      <c r="H321" t="s">
        <v>136</v>
      </c>
      <c r="I321" t="s">
        <v>76</v>
      </c>
      <c r="J321" t="s">
        <v>77</v>
      </c>
      <c r="K321" t="s">
        <v>125</v>
      </c>
      <c r="L321" t="s">
        <v>79</v>
      </c>
      <c r="M321" t="s">
        <v>80</v>
      </c>
      <c r="N321" t="s">
        <v>79</v>
      </c>
      <c r="O321" t="s">
        <v>179</v>
      </c>
      <c r="P321" t="s">
        <v>82</v>
      </c>
      <c r="Q321" t="s">
        <v>103</v>
      </c>
      <c r="R321" t="s">
        <v>82</v>
      </c>
      <c r="S321" t="s">
        <v>84</v>
      </c>
      <c r="T321" t="s">
        <v>159</v>
      </c>
      <c r="U321" t="s">
        <v>82</v>
      </c>
      <c r="V321" t="s">
        <v>148</v>
      </c>
      <c r="W321" t="s">
        <v>141</v>
      </c>
      <c r="X321" t="s">
        <v>112</v>
      </c>
      <c r="Y321" t="s">
        <v>93</v>
      </c>
      <c r="Z321" t="s">
        <v>94</v>
      </c>
      <c r="AA321" t="s">
        <v>93</v>
      </c>
      <c r="AB321" t="s">
        <v>92</v>
      </c>
      <c r="AC321" t="s">
        <v>94</v>
      </c>
      <c r="AD321" t="s">
        <v>94</v>
      </c>
      <c r="AE321" t="s">
        <v>93</v>
      </c>
      <c r="AF321" t="s">
        <v>94</v>
      </c>
      <c r="AG321" t="s">
        <v>92</v>
      </c>
      <c r="AH321" t="s">
        <v>93</v>
      </c>
      <c r="AI321" t="s">
        <v>93</v>
      </c>
      <c r="AJ321" t="s">
        <v>93</v>
      </c>
      <c r="AK321" t="s">
        <v>95</v>
      </c>
      <c r="AL321" t="s">
        <v>94</v>
      </c>
      <c r="AM321" t="s">
        <v>93</v>
      </c>
      <c r="AN321" t="s">
        <v>93</v>
      </c>
      <c r="AO321" t="s">
        <v>93</v>
      </c>
      <c r="AP321" t="s">
        <v>93</v>
      </c>
      <c r="AQ321" t="s">
        <v>93</v>
      </c>
      <c r="AR321" t="s">
        <v>93</v>
      </c>
      <c r="AS321" t="s">
        <v>95</v>
      </c>
      <c r="AT321" t="s">
        <v>95</v>
      </c>
      <c r="AU321" t="s">
        <v>92</v>
      </c>
      <c r="AV321" t="s">
        <v>93</v>
      </c>
      <c r="AW321" t="s">
        <v>93</v>
      </c>
      <c r="AX321" t="s">
        <v>93</v>
      </c>
      <c r="AY321" t="s">
        <v>93</v>
      </c>
      <c r="AZ321" t="s">
        <v>95</v>
      </c>
      <c r="BA321" t="s">
        <v>92</v>
      </c>
      <c r="BB321" t="s">
        <v>95</v>
      </c>
      <c r="BC321" t="s">
        <v>93</v>
      </c>
      <c r="BD321" t="s">
        <v>93</v>
      </c>
      <c r="BE321" t="s">
        <v>93</v>
      </c>
      <c r="BF321" t="s">
        <v>93</v>
      </c>
      <c r="BG321" t="s">
        <v>93</v>
      </c>
      <c r="BH321" t="s">
        <v>93</v>
      </c>
    </row>
    <row r="322" spans="1:60" x14ac:dyDescent="0.3">
      <c r="A322">
        <v>20</v>
      </c>
      <c r="B322" t="s">
        <v>70</v>
      </c>
      <c r="C322" t="s">
        <v>157</v>
      </c>
      <c r="D322" t="s">
        <v>72</v>
      </c>
      <c r="E322" t="s">
        <v>73</v>
      </c>
      <c r="F322" t="s">
        <v>74</v>
      </c>
      <c r="G322" t="s">
        <v>115</v>
      </c>
      <c r="H322" t="s">
        <v>74</v>
      </c>
      <c r="I322" t="s">
        <v>115</v>
      </c>
      <c r="J322" t="s">
        <v>101</v>
      </c>
      <c r="K322" t="s">
        <v>122</v>
      </c>
      <c r="L322" t="s">
        <v>79</v>
      </c>
      <c r="M322" t="s">
        <v>80</v>
      </c>
      <c r="N322" t="s">
        <v>79</v>
      </c>
      <c r="O322" t="s">
        <v>117</v>
      </c>
      <c r="P322" t="s">
        <v>79</v>
      </c>
      <c r="Q322" t="s">
        <v>83</v>
      </c>
      <c r="R322" t="s">
        <v>79</v>
      </c>
      <c r="S322" t="s">
        <v>145</v>
      </c>
      <c r="T322" t="s">
        <v>124</v>
      </c>
      <c r="U322" t="s">
        <v>79</v>
      </c>
      <c r="V322" t="s">
        <v>86</v>
      </c>
      <c r="W322" t="s">
        <v>87</v>
      </c>
      <c r="X322" t="s">
        <v>112</v>
      </c>
      <c r="Y322" t="s">
        <v>93</v>
      </c>
      <c r="Z322" t="s">
        <v>93</v>
      </c>
      <c r="AA322" t="s">
        <v>93</v>
      </c>
      <c r="AB322" t="s">
        <v>93</v>
      </c>
      <c r="AC322" t="s">
        <v>92</v>
      </c>
      <c r="AD322" t="s">
        <v>93</v>
      </c>
      <c r="AE322" t="s">
        <v>95</v>
      </c>
      <c r="AF322" t="s">
        <v>93</v>
      </c>
      <c r="AG322" t="s">
        <v>93</v>
      </c>
      <c r="AH322" t="s">
        <v>92</v>
      </c>
      <c r="AI322" t="s">
        <v>93</v>
      </c>
      <c r="AJ322" t="s">
        <v>93</v>
      </c>
      <c r="AK322" t="s">
        <v>93</v>
      </c>
      <c r="AL322" t="s">
        <v>95</v>
      </c>
      <c r="AM322" t="s">
        <v>95</v>
      </c>
      <c r="AN322" t="s">
        <v>93</v>
      </c>
      <c r="AO322" t="s">
        <v>93</v>
      </c>
      <c r="AP322" t="s">
        <v>93</v>
      </c>
      <c r="AQ322" t="s">
        <v>95</v>
      </c>
      <c r="AR322" t="s">
        <v>95</v>
      </c>
      <c r="AS322" t="s">
        <v>95</v>
      </c>
      <c r="AT322" t="s">
        <v>95</v>
      </c>
      <c r="AU322" t="s">
        <v>93</v>
      </c>
      <c r="AV322" t="s">
        <v>93</v>
      </c>
      <c r="AW322" t="s">
        <v>93</v>
      </c>
      <c r="AX322" t="s">
        <v>95</v>
      </c>
      <c r="AY322" t="s">
        <v>95</v>
      </c>
      <c r="AZ322" t="s">
        <v>95</v>
      </c>
      <c r="BA322" t="s">
        <v>93</v>
      </c>
      <c r="BB322" t="s">
        <v>92</v>
      </c>
      <c r="BC322" t="s">
        <v>93</v>
      </c>
      <c r="BD322" t="s">
        <v>93</v>
      </c>
      <c r="BE322" t="s">
        <v>93</v>
      </c>
      <c r="BF322" t="s">
        <v>95</v>
      </c>
      <c r="BG322" t="s">
        <v>95</v>
      </c>
      <c r="BH322" t="s">
        <v>95</v>
      </c>
    </row>
    <row r="323" spans="1:60" x14ac:dyDescent="0.3">
      <c r="A323">
        <v>20</v>
      </c>
      <c r="B323" t="s">
        <v>70</v>
      </c>
      <c r="C323" t="s">
        <v>157</v>
      </c>
      <c r="D323" t="s">
        <v>97</v>
      </c>
      <c r="E323" t="s">
        <v>108</v>
      </c>
      <c r="F323" t="s">
        <v>74</v>
      </c>
      <c r="G323" t="s">
        <v>99</v>
      </c>
      <c r="H323" t="s">
        <v>74</v>
      </c>
      <c r="I323" t="s">
        <v>76</v>
      </c>
      <c r="J323" t="s">
        <v>77</v>
      </c>
      <c r="K323" t="s">
        <v>125</v>
      </c>
      <c r="L323" t="s">
        <v>82</v>
      </c>
      <c r="M323" t="s">
        <v>80</v>
      </c>
      <c r="N323" t="s">
        <v>79</v>
      </c>
      <c r="O323" t="s">
        <v>81</v>
      </c>
      <c r="P323" t="s">
        <v>82</v>
      </c>
      <c r="Q323" t="s">
        <v>103</v>
      </c>
      <c r="R323" t="s">
        <v>79</v>
      </c>
      <c r="S323" t="s">
        <v>84</v>
      </c>
      <c r="T323" t="s">
        <v>124</v>
      </c>
      <c r="U323" t="s">
        <v>79</v>
      </c>
      <c r="V323" t="s">
        <v>106</v>
      </c>
      <c r="W323" t="s">
        <v>87</v>
      </c>
      <c r="X323" t="s">
        <v>112</v>
      </c>
      <c r="Y323" t="s">
        <v>94</v>
      </c>
      <c r="Z323" t="s">
        <v>92</v>
      </c>
      <c r="AA323" t="s">
        <v>94</v>
      </c>
      <c r="AB323" t="s">
        <v>93</v>
      </c>
      <c r="AC323" t="s">
        <v>92</v>
      </c>
      <c r="AD323" t="s">
        <v>92</v>
      </c>
      <c r="AE323" t="s">
        <v>94</v>
      </c>
      <c r="AF323" t="s">
        <v>92</v>
      </c>
      <c r="AG323" t="s">
        <v>92</v>
      </c>
      <c r="AH323" t="s">
        <v>93</v>
      </c>
      <c r="AI323" t="s">
        <v>93</v>
      </c>
      <c r="AJ323" t="s">
        <v>93</v>
      </c>
      <c r="AK323" t="s">
        <v>93</v>
      </c>
      <c r="AL323" t="s">
        <v>94</v>
      </c>
      <c r="AM323" t="s">
        <v>94</v>
      </c>
      <c r="AN323" t="s">
        <v>93</v>
      </c>
      <c r="AO323" t="s">
        <v>93</v>
      </c>
      <c r="AP323" t="s">
        <v>93</v>
      </c>
      <c r="AQ323" t="s">
        <v>95</v>
      </c>
      <c r="AR323" t="s">
        <v>94</v>
      </c>
      <c r="AS323" t="s">
        <v>95</v>
      </c>
      <c r="AT323" t="s">
        <v>95</v>
      </c>
      <c r="AU323" t="s">
        <v>94</v>
      </c>
      <c r="AV323" t="s">
        <v>94</v>
      </c>
      <c r="AW323" t="s">
        <v>92</v>
      </c>
      <c r="AX323" t="s">
        <v>94</v>
      </c>
      <c r="AY323" t="s">
        <v>94</v>
      </c>
      <c r="AZ323" t="s">
        <v>95</v>
      </c>
      <c r="BA323" t="s">
        <v>93</v>
      </c>
      <c r="BB323" t="s">
        <v>93</v>
      </c>
      <c r="BC323" t="s">
        <v>93</v>
      </c>
      <c r="BD323" t="s">
        <v>92</v>
      </c>
      <c r="BE323" t="s">
        <v>93</v>
      </c>
      <c r="BF323" t="s">
        <v>94</v>
      </c>
      <c r="BG323" t="s">
        <v>95</v>
      </c>
      <c r="BH323" t="s">
        <v>95</v>
      </c>
    </row>
    <row r="324" spans="1:60" x14ac:dyDescent="0.3">
      <c r="A324">
        <v>20</v>
      </c>
      <c r="B324" t="s">
        <v>70</v>
      </c>
      <c r="C324" t="s">
        <v>157</v>
      </c>
      <c r="D324" t="s">
        <v>72</v>
      </c>
      <c r="E324" t="s">
        <v>114</v>
      </c>
      <c r="F324" t="s">
        <v>136</v>
      </c>
      <c r="G324" t="s">
        <v>166</v>
      </c>
      <c r="H324" t="s">
        <v>100</v>
      </c>
      <c r="I324" t="s">
        <v>76</v>
      </c>
      <c r="J324" t="s">
        <v>77</v>
      </c>
      <c r="K324" t="s">
        <v>122</v>
      </c>
      <c r="L324" t="s">
        <v>79</v>
      </c>
      <c r="M324" t="s">
        <v>102</v>
      </c>
      <c r="N324" t="s">
        <v>79</v>
      </c>
      <c r="O324" t="s">
        <v>109</v>
      </c>
      <c r="P324" t="s">
        <v>82</v>
      </c>
      <c r="Q324" t="s">
        <v>103</v>
      </c>
      <c r="R324" t="s">
        <v>82</v>
      </c>
      <c r="S324" t="s">
        <v>259</v>
      </c>
      <c r="T324" t="s">
        <v>130</v>
      </c>
      <c r="U324" t="s">
        <v>82</v>
      </c>
      <c r="V324" t="s">
        <v>86</v>
      </c>
      <c r="W324" t="s">
        <v>87</v>
      </c>
      <c r="X324" t="s">
        <v>112</v>
      </c>
      <c r="Y324" t="s">
        <v>93</v>
      </c>
      <c r="Z324" t="s">
        <v>93</v>
      </c>
      <c r="AA324" t="s">
        <v>93</v>
      </c>
      <c r="AB324" t="s">
        <v>93</v>
      </c>
      <c r="AC324" t="s">
        <v>94</v>
      </c>
      <c r="AD324" t="s">
        <v>95</v>
      </c>
      <c r="AE324" t="s">
        <v>94</v>
      </c>
      <c r="AF324" t="s">
        <v>93</v>
      </c>
      <c r="AG324" t="s">
        <v>93</v>
      </c>
      <c r="AH324" t="s">
        <v>93</v>
      </c>
      <c r="AI324" t="s">
        <v>93</v>
      </c>
      <c r="AJ324" t="s">
        <v>93</v>
      </c>
      <c r="AK324" t="s">
        <v>93</v>
      </c>
      <c r="AL324" t="s">
        <v>94</v>
      </c>
      <c r="AM324" t="s">
        <v>94</v>
      </c>
      <c r="AN324" t="s">
        <v>93</v>
      </c>
      <c r="AO324" t="s">
        <v>93</v>
      </c>
      <c r="AP324" t="s">
        <v>93</v>
      </c>
      <c r="AQ324" t="s">
        <v>95</v>
      </c>
      <c r="AR324" t="s">
        <v>95</v>
      </c>
      <c r="AS324" t="s">
        <v>95</v>
      </c>
      <c r="AT324" t="s">
        <v>95</v>
      </c>
      <c r="AU324" t="s">
        <v>93</v>
      </c>
      <c r="AV324" t="s">
        <v>93</v>
      </c>
      <c r="AW324" t="s">
        <v>93</v>
      </c>
      <c r="AX324" t="s">
        <v>95</v>
      </c>
      <c r="AY324" t="s">
        <v>95</v>
      </c>
      <c r="AZ324" t="s">
        <v>95</v>
      </c>
    </row>
    <row r="325" spans="1:60" x14ac:dyDescent="0.3">
      <c r="A325">
        <v>19</v>
      </c>
      <c r="B325" t="s">
        <v>70</v>
      </c>
      <c r="C325" t="s">
        <v>157</v>
      </c>
      <c r="D325" t="s">
        <v>97</v>
      </c>
      <c r="E325" t="s">
        <v>108</v>
      </c>
      <c r="F325" t="s">
        <v>74</v>
      </c>
      <c r="G325" t="s">
        <v>115</v>
      </c>
      <c r="H325" t="s">
        <v>74</v>
      </c>
      <c r="I325" t="s">
        <v>160</v>
      </c>
      <c r="J325" t="s">
        <v>77</v>
      </c>
      <c r="K325" t="s">
        <v>131</v>
      </c>
      <c r="L325" t="s">
        <v>79</v>
      </c>
      <c r="M325" t="s">
        <v>80</v>
      </c>
      <c r="N325" t="s">
        <v>82</v>
      </c>
      <c r="O325" t="s">
        <v>117</v>
      </c>
      <c r="P325" t="s">
        <v>82</v>
      </c>
      <c r="Q325" t="s">
        <v>83</v>
      </c>
      <c r="R325" t="s">
        <v>82</v>
      </c>
      <c r="S325" t="s">
        <v>84</v>
      </c>
      <c r="T325" t="s">
        <v>159</v>
      </c>
      <c r="U325" t="s">
        <v>82</v>
      </c>
      <c r="V325" t="s">
        <v>106</v>
      </c>
      <c r="W325" t="s">
        <v>87</v>
      </c>
      <c r="X325" t="s">
        <v>112</v>
      </c>
      <c r="Y325" t="s">
        <v>93</v>
      </c>
      <c r="Z325" t="s">
        <v>93</v>
      </c>
      <c r="AA325" t="s">
        <v>93</v>
      </c>
      <c r="AB325" t="s">
        <v>93</v>
      </c>
      <c r="AC325" t="s">
        <v>92</v>
      </c>
      <c r="AD325" t="s">
        <v>92</v>
      </c>
      <c r="AE325" t="s">
        <v>92</v>
      </c>
      <c r="AF325" t="s">
        <v>93</v>
      </c>
      <c r="AG325" t="s">
        <v>95</v>
      </c>
      <c r="AH325" t="s">
        <v>92</v>
      </c>
      <c r="AI325" t="s">
        <v>93</v>
      </c>
      <c r="AJ325" t="s">
        <v>93</v>
      </c>
      <c r="AK325" t="s">
        <v>93</v>
      </c>
      <c r="AL325" t="s">
        <v>93</v>
      </c>
      <c r="AM325" t="s">
        <v>93</v>
      </c>
      <c r="AN325" t="s">
        <v>93</v>
      </c>
      <c r="AO325" t="s">
        <v>93</v>
      </c>
      <c r="AP325" t="s">
        <v>93</v>
      </c>
      <c r="AQ325" t="s">
        <v>93</v>
      </c>
      <c r="AR325" t="s">
        <v>95</v>
      </c>
      <c r="AS325" t="s">
        <v>95</v>
      </c>
      <c r="AT325" t="s">
        <v>94</v>
      </c>
      <c r="AU325" t="s">
        <v>94</v>
      </c>
      <c r="AV325" t="s">
        <v>95</v>
      </c>
      <c r="AW325" t="s">
        <v>95</v>
      </c>
      <c r="AX325" t="s">
        <v>93</v>
      </c>
      <c r="AY325" t="s">
        <v>93</v>
      </c>
      <c r="AZ325" t="s">
        <v>93</v>
      </c>
    </row>
    <row r="326" spans="1:60" x14ac:dyDescent="0.3">
      <c r="A326">
        <v>22</v>
      </c>
      <c r="B326" t="s">
        <v>128</v>
      </c>
      <c r="C326" t="s">
        <v>157</v>
      </c>
      <c r="D326" t="s">
        <v>72</v>
      </c>
      <c r="E326" t="s">
        <v>108</v>
      </c>
      <c r="F326" t="s">
        <v>74</v>
      </c>
      <c r="G326" t="s">
        <v>99</v>
      </c>
      <c r="H326" t="s">
        <v>74</v>
      </c>
      <c r="I326" t="s">
        <v>76</v>
      </c>
      <c r="J326" t="s">
        <v>77</v>
      </c>
      <c r="K326" t="s">
        <v>78</v>
      </c>
      <c r="L326" t="s">
        <v>82</v>
      </c>
      <c r="M326" t="s">
        <v>80</v>
      </c>
      <c r="N326" t="s">
        <v>82</v>
      </c>
      <c r="O326" t="s">
        <v>117</v>
      </c>
      <c r="P326" t="s">
        <v>82</v>
      </c>
      <c r="Q326" t="s">
        <v>83</v>
      </c>
      <c r="R326" t="s">
        <v>82</v>
      </c>
      <c r="S326" t="s">
        <v>84</v>
      </c>
      <c r="T326" t="s">
        <v>119</v>
      </c>
      <c r="U326" t="s">
        <v>82</v>
      </c>
      <c r="V326" t="s">
        <v>106</v>
      </c>
      <c r="W326" t="s">
        <v>120</v>
      </c>
      <c r="X326" t="s">
        <v>260</v>
      </c>
      <c r="Y326" t="s">
        <v>92</v>
      </c>
      <c r="Z326" t="s">
        <v>94</v>
      </c>
      <c r="AA326" t="s">
        <v>95</v>
      </c>
      <c r="AB326" t="s">
        <v>95</v>
      </c>
      <c r="AC326" t="s">
        <v>93</v>
      </c>
      <c r="AD326" t="s">
        <v>93</v>
      </c>
      <c r="AE326" t="s">
        <v>94</v>
      </c>
      <c r="AF326" t="s">
        <v>95</v>
      </c>
      <c r="AG326" t="s">
        <v>95</v>
      </c>
      <c r="AH326" t="s">
        <v>93</v>
      </c>
      <c r="AI326" t="s">
        <v>93</v>
      </c>
      <c r="AJ326" t="s">
        <v>94</v>
      </c>
      <c r="AK326" t="s">
        <v>93</v>
      </c>
      <c r="AL326" t="s">
        <v>94</v>
      </c>
      <c r="AM326" t="s">
        <v>95</v>
      </c>
      <c r="AN326" t="s">
        <v>93</v>
      </c>
      <c r="AO326" t="s">
        <v>93</v>
      </c>
      <c r="AP326" t="s">
        <v>93</v>
      </c>
      <c r="AQ326" t="s">
        <v>95</v>
      </c>
      <c r="AR326" t="s">
        <v>95</v>
      </c>
      <c r="AS326" t="s">
        <v>95</v>
      </c>
      <c r="AT326" t="s">
        <v>92</v>
      </c>
      <c r="AU326" t="s">
        <v>95</v>
      </c>
      <c r="AV326" t="s">
        <v>95</v>
      </c>
      <c r="AW326" t="s">
        <v>94</v>
      </c>
      <c r="AX326" t="s">
        <v>93</v>
      </c>
      <c r="AY326" t="s">
        <v>93</v>
      </c>
      <c r="AZ326" t="s">
        <v>93</v>
      </c>
      <c r="BA326" t="s">
        <v>95</v>
      </c>
      <c r="BB326" t="s">
        <v>95</v>
      </c>
      <c r="BC326" t="s">
        <v>95</v>
      </c>
      <c r="BD326" t="s">
        <v>95</v>
      </c>
      <c r="BE326" t="s">
        <v>95</v>
      </c>
      <c r="BF326" t="s">
        <v>95</v>
      </c>
      <c r="BG326" t="s">
        <v>95</v>
      </c>
      <c r="BH326" t="s">
        <v>95</v>
      </c>
    </row>
    <row r="327" spans="1:60" x14ac:dyDescent="0.3">
      <c r="A327">
        <v>20</v>
      </c>
      <c r="B327" t="s">
        <v>70</v>
      </c>
      <c r="C327" t="s">
        <v>157</v>
      </c>
      <c r="D327" t="s">
        <v>72</v>
      </c>
      <c r="E327" t="s">
        <v>114</v>
      </c>
      <c r="F327" t="s">
        <v>100</v>
      </c>
      <c r="G327" t="s">
        <v>135</v>
      </c>
      <c r="H327" t="s">
        <v>100</v>
      </c>
      <c r="I327" t="s">
        <v>76</v>
      </c>
      <c r="J327" t="s">
        <v>101</v>
      </c>
      <c r="K327" t="s">
        <v>125</v>
      </c>
      <c r="L327" t="s">
        <v>79</v>
      </c>
      <c r="M327" t="s">
        <v>102</v>
      </c>
      <c r="N327" t="s">
        <v>79</v>
      </c>
      <c r="O327" t="s">
        <v>179</v>
      </c>
      <c r="P327" t="s">
        <v>82</v>
      </c>
      <c r="Q327" t="s">
        <v>83</v>
      </c>
      <c r="R327" t="s">
        <v>82</v>
      </c>
      <c r="S327" t="s">
        <v>223</v>
      </c>
      <c r="T327" t="s">
        <v>155</v>
      </c>
      <c r="U327" t="s">
        <v>82</v>
      </c>
      <c r="V327" t="s">
        <v>86</v>
      </c>
      <c r="W327" t="s">
        <v>87</v>
      </c>
      <c r="X327" t="s">
        <v>88</v>
      </c>
      <c r="Y327" t="s">
        <v>94</v>
      </c>
      <c r="Z327" t="s">
        <v>94</v>
      </c>
      <c r="AA327" t="s">
        <v>94</v>
      </c>
      <c r="AB327" t="s">
        <v>94</v>
      </c>
      <c r="AC327" t="s">
        <v>94</v>
      </c>
      <c r="AD327" t="s">
        <v>94</v>
      </c>
      <c r="AE327" t="s">
        <v>94</v>
      </c>
      <c r="AF327" t="s">
        <v>94</v>
      </c>
      <c r="AG327" t="s">
        <v>94</v>
      </c>
      <c r="AH327" t="s">
        <v>94</v>
      </c>
      <c r="AI327" t="s">
        <v>94</v>
      </c>
      <c r="AJ327" t="s">
        <v>94</v>
      </c>
      <c r="AK327" t="s">
        <v>94</v>
      </c>
      <c r="AL327" t="s">
        <v>94</v>
      </c>
      <c r="AM327" t="s">
        <v>94</v>
      </c>
      <c r="AN327" t="s">
        <v>94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94</v>
      </c>
      <c r="AU327" t="s">
        <v>92</v>
      </c>
      <c r="AV327" t="s">
        <v>92</v>
      </c>
      <c r="AW327" t="s">
        <v>92</v>
      </c>
      <c r="AX327" t="s">
        <v>92</v>
      </c>
      <c r="AY327" t="s">
        <v>92</v>
      </c>
      <c r="AZ327" t="s">
        <v>92</v>
      </c>
      <c r="BA327" t="s">
        <v>92</v>
      </c>
      <c r="BB327" t="s">
        <v>92</v>
      </c>
      <c r="BC327" t="s">
        <v>92</v>
      </c>
      <c r="BD327" t="s">
        <v>92</v>
      </c>
      <c r="BE327" t="s">
        <v>92</v>
      </c>
      <c r="BF327" t="s">
        <v>92</v>
      </c>
      <c r="BG327" t="s">
        <v>92</v>
      </c>
      <c r="BH327" t="s">
        <v>92</v>
      </c>
    </row>
    <row r="328" spans="1:60" x14ac:dyDescent="0.3">
      <c r="A328">
        <v>20</v>
      </c>
      <c r="B328" t="s">
        <v>70</v>
      </c>
      <c r="C328" t="s">
        <v>157</v>
      </c>
      <c r="D328" t="s">
        <v>97</v>
      </c>
      <c r="E328" t="s">
        <v>108</v>
      </c>
      <c r="F328" t="s">
        <v>74</v>
      </c>
      <c r="G328" t="s">
        <v>115</v>
      </c>
      <c r="H328" t="s">
        <v>74</v>
      </c>
      <c r="I328" t="s">
        <v>76</v>
      </c>
      <c r="J328" t="s">
        <v>77</v>
      </c>
      <c r="K328" t="s">
        <v>131</v>
      </c>
      <c r="L328" t="s">
        <v>79</v>
      </c>
      <c r="M328" t="s">
        <v>102</v>
      </c>
      <c r="N328" t="s">
        <v>79</v>
      </c>
      <c r="O328" t="s">
        <v>109</v>
      </c>
      <c r="P328" t="s">
        <v>79</v>
      </c>
      <c r="Q328" t="s">
        <v>83</v>
      </c>
      <c r="R328" t="s">
        <v>79</v>
      </c>
      <c r="S328" t="s">
        <v>145</v>
      </c>
      <c r="T328" t="s">
        <v>139</v>
      </c>
      <c r="U328" t="s">
        <v>82</v>
      </c>
      <c r="V328" t="s">
        <v>86</v>
      </c>
      <c r="W328" t="s">
        <v>87</v>
      </c>
      <c r="X328" t="s">
        <v>112</v>
      </c>
      <c r="Y328" t="s">
        <v>92</v>
      </c>
      <c r="Z328" t="s">
        <v>92</v>
      </c>
      <c r="AA328" t="s">
        <v>92</v>
      </c>
      <c r="AB328" t="s">
        <v>93</v>
      </c>
      <c r="AC328" t="s">
        <v>92</v>
      </c>
      <c r="AD328" t="s">
        <v>92</v>
      </c>
      <c r="AE328" t="s">
        <v>92</v>
      </c>
      <c r="AF328" t="s">
        <v>92</v>
      </c>
      <c r="AG328" t="s">
        <v>92</v>
      </c>
      <c r="AH328" t="s">
        <v>92</v>
      </c>
      <c r="AI328" t="s">
        <v>93</v>
      </c>
      <c r="AJ328" t="s">
        <v>92</v>
      </c>
      <c r="AK328" t="s">
        <v>92</v>
      </c>
      <c r="AL328" t="s">
        <v>92</v>
      </c>
      <c r="AM328" t="s">
        <v>92</v>
      </c>
      <c r="AN328" t="s">
        <v>93</v>
      </c>
      <c r="AO328" t="s">
        <v>93</v>
      </c>
      <c r="AP328" t="s">
        <v>93</v>
      </c>
      <c r="AQ328" t="s">
        <v>93</v>
      </c>
      <c r="AR328" t="s">
        <v>93</v>
      </c>
      <c r="AS328" t="s">
        <v>93</v>
      </c>
      <c r="AT328" t="s">
        <v>93</v>
      </c>
      <c r="AU328" t="s">
        <v>92</v>
      </c>
      <c r="AV328" t="s">
        <v>92</v>
      </c>
      <c r="AW328" t="s">
        <v>92</v>
      </c>
      <c r="AX328" t="s">
        <v>92</v>
      </c>
      <c r="AY328" t="s">
        <v>92</v>
      </c>
      <c r="AZ328" t="s">
        <v>92</v>
      </c>
      <c r="BA328" t="s">
        <v>93</v>
      </c>
      <c r="BB328" t="s">
        <v>93</v>
      </c>
      <c r="BC328" t="s">
        <v>93</v>
      </c>
      <c r="BD328" t="s">
        <v>93</v>
      </c>
      <c r="BE328" t="s">
        <v>93</v>
      </c>
      <c r="BF328" t="s">
        <v>93</v>
      </c>
      <c r="BG328" t="s">
        <v>93</v>
      </c>
      <c r="BH328" t="s">
        <v>93</v>
      </c>
    </row>
    <row r="329" spans="1:60" x14ac:dyDescent="0.3">
      <c r="A329">
        <v>21</v>
      </c>
      <c r="B329" t="s">
        <v>70</v>
      </c>
      <c r="C329" t="s">
        <v>157</v>
      </c>
      <c r="D329" t="s">
        <v>72</v>
      </c>
      <c r="E329" t="s">
        <v>114</v>
      </c>
      <c r="F329" t="s">
        <v>74</v>
      </c>
      <c r="G329" t="s">
        <v>135</v>
      </c>
      <c r="H329" t="s">
        <v>74</v>
      </c>
      <c r="I329" t="s">
        <v>115</v>
      </c>
      <c r="J329" t="s">
        <v>77</v>
      </c>
      <c r="K329" t="s">
        <v>122</v>
      </c>
      <c r="L329" t="s">
        <v>79</v>
      </c>
      <c r="M329" t="s">
        <v>80</v>
      </c>
      <c r="N329" t="s">
        <v>79</v>
      </c>
      <c r="O329" t="s">
        <v>81</v>
      </c>
      <c r="P329" t="s">
        <v>79</v>
      </c>
      <c r="Q329" t="s">
        <v>83</v>
      </c>
      <c r="R329" t="s">
        <v>79</v>
      </c>
      <c r="S329" t="s">
        <v>145</v>
      </c>
      <c r="T329" t="s">
        <v>159</v>
      </c>
      <c r="U329" t="s">
        <v>82</v>
      </c>
      <c r="V329" t="s">
        <v>106</v>
      </c>
      <c r="W329" t="s">
        <v>87</v>
      </c>
      <c r="X329" t="s">
        <v>127</v>
      </c>
      <c r="Y329" t="s">
        <v>93</v>
      </c>
      <c r="Z329" t="s">
        <v>92</v>
      </c>
      <c r="AA329" t="s">
        <v>93</v>
      </c>
      <c r="AB329" t="s">
        <v>93</v>
      </c>
      <c r="AC329" t="s">
        <v>92</v>
      </c>
      <c r="AD329" t="s">
        <v>92</v>
      </c>
      <c r="AE329" t="s">
        <v>92</v>
      </c>
      <c r="AF329" t="s">
        <v>93</v>
      </c>
      <c r="AG329" t="s">
        <v>93</v>
      </c>
      <c r="AH329" t="s">
        <v>93</v>
      </c>
      <c r="AI329" t="s">
        <v>93</v>
      </c>
      <c r="AJ329" t="s">
        <v>93</v>
      </c>
      <c r="AK329" t="s">
        <v>93</v>
      </c>
      <c r="AL329" t="s">
        <v>92</v>
      </c>
      <c r="AM329" t="s">
        <v>92</v>
      </c>
      <c r="AN329" t="s">
        <v>93</v>
      </c>
      <c r="AO329" t="s">
        <v>93</v>
      </c>
      <c r="AP329" t="s">
        <v>93</v>
      </c>
      <c r="AQ329" t="s">
        <v>94</v>
      </c>
      <c r="AR329" t="s">
        <v>92</v>
      </c>
      <c r="AS329" t="s">
        <v>94</v>
      </c>
      <c r="AT329" t="s">
        <v>93</v>
      </c>
      <c r="AU329" t="s">
        <v>93</v>
      </c>
      <c r="AV329" t="s">
        <v>93</v>
      </c>
      <c r="AW329" t="s">
        <v>93</v>
      </c>
      <c r="AX329" t="s">
        <v>92</v>
      </c>
      <c r="AY329" t="s">
        <v>92</v>
      </c>
      <c r="AZ329" t="s">
        <v>94</v>
      </c>
      <c r="BA329" t="s">
        <v>93</v>
      </c>
      <c r="BB329" t="s">
        <v>93</v>
      </c>
      <c r="BC329" t="s">
        <v>93</v>
      </c>
      <c r="BD329" t="s">
        <v>93</v>
      </c>
      <c r="BE329" t="s">
        <v>93</v>
      </c>
      <c r="BF329" t="s">
        <v>92</v>
      </c>
      <c r="BG329" t="s">
        <v>92</v>
      </c>
      <c r="BH329" t="s">
        <v>92</v>
      </c>
    </row>
    <row r="330" spans="1:60" x14ac:dyDescent="0.3">
      <c r="A330">
        <v>22</v>
      </c>
      <c r="B330" t="s">
        <v>70</v>
      </c>
      <c r="C330" t="s">
        <v>157</v>
      </c>
      <c r="D330" t="s">
        <v>72</v>
      </c>
      <c r="E330" t="s">
        <v>108</v>
      </c>
      <c r="F330" t="s">
        <v>74</v>
      </c>
      <c r="G330" t="s">
        <v>135</v>
      </c>
      <c r="H330" t="s">
        <v>74</v>
      </c>
      <c r="I330" t="s">
        <v>76</v>
      </c>
      <c r="J330" t="s">
        <v>101</v>
      </c>
      <c r="K330" t="s">
        <v>131</v>
      </c>
      <c r="L330" t="s">
        <v>79</v>
      </c>
      <c r="M330" t="s">
        <v>80</v>
      </c>
      <c r="N330" t="s">
        <v>79</v>
      </c>
      <c r="O330" t="s">
        <v>179</v>
      </c>
      <c r="P330" t="s">
        <v>82</v>
      </c>
      <c r="Q330" t="s">
        <v>83</v>
      </c>
      <c r="R330" t="s">
        <v>82</v>
      </c>
      <c r="S330" t="s">
        <v>84</v>
      </c>
      <c r="T330" t="s">
        <v>85</v>
      </c>
      <c r="U330" t="s">
        <v>82</v>
      </c>
      <c r="V330" t="s">
        <v>106</v>
      </c>
      <c r="W330" t="s">
        <v>87</v>
      </c>
      <c r="X330" t="s">
        <v>112</v>
      </c>
      <c r="Y330" t="s">
        <v>93</v>
      </c>
      <c r="Z330" t="s">
        <v>93</v>
      </c>
      <c r="AA330" t="s">
        <v>93</v>
      </c>
      <c r="AB330" t="s">
        <v>93</v>
      </c>
      <c r="AC330" t="s">
        <v>93</v>
      </c>
      <c r="AD330" t="s">
        <v>93</v>
      </c>
      <c r="AE330" t="s">
        <v>93</v>
      </c>
      <c r="AF330" t="s">
        <v>93</v>
      </c>
      <c r="AG330" t="s">
        <v>93</v>
      </c>
      <c r="AH330" t="s">
        <v>93</v>
      </c>
      <c r="AI330" t="s">
        <v>93</v>
      </c>
      <c r="AJ330" t="s">
        <v>93</v>
      </c>
      <c r="AK330" t="s">
        <v>93</v>
      </c>
      <c r="AL330" t="s">
        <v>93</v>
      </c>
      <c r="AM330" t="s">
        <v>93</v>
      </c>
      <c r="AN330" t="s">
        <v>93</v>
      </c>
      <c r="AO330" t="s">
        <v>93</v>
      </c>
      <c r="AP330" t="s">
        <v>93</v>
      </c>
      <c r="AQ330" t="s">
        <v>93</v>
      </c>
      <c r="AR330" t="s">
        <v>93</v>
      </c>
      <c r="AS330" t="s">
        <v>95</v>
      </c>
      <c r="AT330" t="s">
        <v>95</v>
      </c>
      <c r="AU330" t="s">
        <v>93</v>
      </c>
      <c r="AV330" t="s">
        <v>93</v>
      </c>
      <c r="AW330" t="s">
        <v>93</v>
      </c>
      <c r="AX330" t="s">
        <v>95</v>
      </c>
      <c r="AY330" t="s">
        <v>95</v>
      </c>
      <c r="AZ330" t="s">
        <v>95</v>
      </c>
      <c r="BA330" t="s">
        <v>93</v>
      </c>
      <c r="BB330" t="s">
        <v>95</v>
      </c>
      <c r="BC330" t="s">
        <v>93</v>
      </c>
      <c r="BD330" t="s">
        <v>93</v>
      </c>
      <c r="BE330" t="s">
        <v>93</v>
      </c>
      <c r="BF330" t="s">
        <v>95</v>
      </c>
      <c r="BG330" t="s">
        <v>93</v>
      </c>
      <c r="BH330" t="s">
        <v>95</v>
      </c>
    </row>
    <row r="331" spans="1:60" x14ac:dyDescent="0.3">
      <c r="A331">
        <v>21</v>
      </c>
      <c r="B331" t="s">
        <v>70</v>
      </c>
      <c r="C331" t="s">
        <v>157</v>
      </c>
      <c r="D331" t="s">
        <v>72</v>
      </c>
      <c r="E331" t="s">
        <v>114</v>
      </c>
      <c r="F331" t="s">
        <v>100</v>
      </c>
      <c r="G331" t="s">
        <v>210</v>
      </c>
      <c r="H331" t="s">
        <v>100</v>
      </c>
      <c r="I331" t="s">
        <v>76</v>
      </c>
      <c r="J331" t="s">
        <v>77</v>
      </c>
      <c r="K331" t="s">
        <v>125</v>
      </c>
      <c r="L331" t="s">
        <v>79</v>
      </c>
      <c r="M331" t="s">
        <v>80</v>
      </c>
      <c r="N331" t="s">
        <v>79</v>
      </c>
      <c r="O331" t="s">
        <v>117</v>
      </c>
      <c r="P331" t="s">
        <v>82</v>
      </c>
      <c r="Q331" t="s">
        <v>83</v>
      </c>
      <c r="R331" t="s">
        <v>79</v>
      </c>
      <c r="S331" t="s">
        <v>84</v>
      </c>
      <c r="T331" t="s">
        <v>85</v>
      </c>
      <c r="U331" t="s">
        <v>82</v>
      </c>
      <c r="V331" t="s">
        <v>106</v>
      </c>
      <c r="W331" t="s">
        <v>87</v>
      </c>
      <c r="X331" t="s">
        <v>112</v>
      </c>
      <c r="Y331" t="s">
        <v>94</v>
      </c>
      <c r="Z331" t="s">
        <v>94</v>
      </c>
      <c r="AA331" t="s">
        <v>94</v>
      </c>
      <c r="AB331" t="s">
        <v>94</v>
      </c>
      <c r="AC331" t="s">
        <v>94</v>
      </c>
      <c r="AD331" t="s">
        <v>94</v>
      </c>
      <c r="AE331" t="s">
        <v>94</v>
      </c>
      <c r="AF331" t="s">
        <v>94</v>
      </c>
      <c r="AG331" t="s">
        <v>94</v>
      </c>
      <c r="AH331" t="s">
        <v>94</v>
      </c>
      <c r="AI331" t="s">
        <v>93</v>
      </c>
      <c r="AJ331" t="s">
        <v>94</v>
      </c>
      <c r="AK331" t="s">
        <v>94</v>
      </c>
      <c r="AL331" t="s">
        <v>94</v>
      </c>
      <c r="AM331" t="s">
        <v>94</v>
      </c>
      <c r="AN331" t="s">
        <v>94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94</v>
      </c>
      <c r="AU331" t="s">
        <v>94</v>
      </c>
      <c r="AV331" t="s">
        <v>94</v>
      </c>
      <c r="AW331" t="s">
        <v>94</v>
      </c>
      <c r="AX331" t="s">
        <v>94</v>
      </c>
      <c r="AY331" t="s">
        <v>94</v>
      </c>
      <c r="AZ331" t="s">
        <v>94</v>
      </c>
      <c r="BA331" t="s">
        <v>94</v>
      </c>
      <c r="BB331" t="s">
        <v>94</v>
      </c>
      <c r="BC331" t="s">
        <v>93</v>
      </c>
      <c r="BD331" t="s">
        <v>93</v>
      </c>
      <c r="BE331" t="s">
        <v>93</v>
      </c>
      <c r="BF331" t="s">
        <v>94</v>
      </c>
      <c r="BG331" t="s">
        <v>94</v>
      </c>
      <c r="BH331" t="s">
        <v>94</v>
      </c>
    </row>
    <row r="332" spans="1:60" x14ac:dyDescent="0.3">
      <c r="A332">
        <v>23</v>
      </c>
      <c r="B332" t="s">
        <v>128</v>
      </c>
      <c r="C332" t="s">
        <v>96</v>
      </c>
      <c r="D332" t="s">
        <v>72</v>
      </c>
      <c r="E332" t="s">
        <v>114</v>
      </c>
      <c r="F332" t="s">
        <v>74</v>
      </c>
      <c r="G332" t="s">
        <v>75</v>
      </c>
      <c r="H332" t="s">
        <v>74</v>
      </c>
      <c r="I332" t="s">
        <v>76</v>
      </c>
      <c r="J332" t="s">
        <v>77</v>
      </c>
      <c r="K332" t="s">
        <v>125</v>
      </c>
      <c r="L332" t="s">
        <v>79</v>
      </c>
      <c r="M332" t="s">
        <v>80</v>
      </c>
      <c r="N332" t="s">
        <v>79</v>
      </c>
      <c r="O332" t="s">
        <v>81</v>
      </c>
      <c r="P332" t="s">
        <v>82</v>
      </c>
      <c r="Q332" t="s">
        <v>83</v>
      </c>
      <c r="R332" t="s">
        <v>79</v>
      </c>
      <c r="S332" t="s">
        <v>84</v>
      </c>
      <c r="T332" t="s">
        <v>261</v>
      </c>
      <c r="U332" t="s">
        <v>82</v>
      </c>
      <c r="V332" t="s">
        <v>86</v>
      </c>
      <c r="W332" t="s">
        <v>141</v>
      </c>
      <c r="X332" t="s">
        <v>88</v>
      </c>
      <c r="Y332" t="s">
        <v>95</v>
      </c>
      <c r="Z332" t="s">
        <v>95</v>
      </c>
      <c r="AA332" t="s">
        <v>95</v>
      </c>
      <c r="AB332" t="s">
        <v>95</v>
      </c>
      <c r="AC332" t="s">
        <v>95</v>
      </c>
      <c r="AD332" t="s">
        <v>95</v>
      </c>
      <c r="AE332" t="s">
        <v>95</v>
      </c>
      <c r="AF332" t="s">
        <v>95</v>
      </c>
      <c r="AG332" t="s">
        <v>95</v>
      </c>
      <c r="AH332" t="s">
        <v>95</v>
      </c>
      <c r="AI332" t="s">
        <v>95</v>
      </c>
      <c r="AJ332" t="s">
        <v>95</v>
      </c>
      <c r="AK332" t="s">
        <v>95</v>
      </c>
      <c r="AL332" t="s">
        <v>95</v>
      </c>
      <c r="AM332" t="s">
        <v>95</v>
      </c>
      <c r="AN332" t="s">
        <v>95</v>
      </c>
      <c r="AO332" t="s">
        <v>95</v>
      </c>
      <c r="AP332" t="s">
        <v>95</v>
      </c>
      <c r="AQ332" t="s">
        <v>95</v>
      </c>
      <c r="AR332" t="s">
        <v>95</v>
      </c>
      <c r="AS332" t="s">
        <v>95</v>
      </c>
      <c r="AT332" t="s">
        <v>95</v>
      </c>
      <c r="AU332" t="s">
        <v>95</v>
      </c>
      <c r="AV332" t="s">
        <v>95</v>
      </c>
      <c r="AW332" t="s">
        <v>95</v>
      </c>
      <c r="AX332" t="s">
        <v>95</v>
      </c>
      <c r="AY332" t="s">
        <v>95</v>
      </c>
      <c r="AZ332" t="s">
        <v>95</v>
      </c>
      <c r="BA332" t="s">
        <v>95</v>
      </c>
      <c r="BB332" t="s">
        <v>95</v>
      </c>
      <c r="BC332" t="s">
        <v>95</v>
      </c>
      <c r="BD332" t="s">
        <v>95</v>
      </c>
      <c r="BE332" t="s">
        <v>95</v>
      </c>
      <c r="BF332" t="s">
        <v>95</v>
      </c>
      <c r="BG332" t="s">
        <v>95</v>
      </c>
      <c r="BH332" t="s">
        <v>95</v>
      </c>
    </row>
    <row r="333" spans="1:60" x14ac:dyDescent="0.3">
      <c r="A333">
        <v>21</v>
      </c>
      <c r="B333" t="s">
        <v>70</v>
      </c>
      <c r="C333" t="s">
        <v>113</v>
      </c>
      <c r="D333" t="s">
        <v>72</v>
      </c>
      <c r="E333" t="s">
        <v>114</v>
      </c>
      <c r="F333" t="s">
        <v>100</v>
      </c>
      <c r="G333" t="s">
        <v>135</v>
      </c>
      <c r="H333" t="s">
        <v>98</v>
      </c>
      <c r="I333" t="s">
        <v>76</v>
      </c>
      <c r="J333" t="s">
        <v>77</v>
      </c>
      <c r="K333" t="s">
        <v>122</v>
      </c>
      <c r="L333" t="s">
        <v>79</v>
      </c>
      <c r="M333" t="s">
        <v>80</v>
      </c>
      <c r="N333" t="s">
        <v>79</v>
      </c>
      <c r="O333" t="s">
        <v>117</v>
      </c>
      <c r="P333" t="s">
        <v>82</v>
      </c>
      <c r="Q333" t="s">
        <v>83</v>
      </c>
      <c r="R333" t="s">
        <v>79</v>
      </c>
      <c r="S333" t="s">
        <v>84</v>
      </c>
      <c r="T333" t="s">
        <v>124</v>
      </c>
      <c r="U333" t="s">
        <v>79</v>
      </c>
      <c r="V333" t="s">
        <v>106</v>
      </c>
      <c r="W333" t="s">
        <v>87</v>
      </c>
      <c r="X333" t="s">
        <v>112</v>
      </c>
      <c r="Y333" t="s">
        <v>93</v>
      </c>
      <c r="Z333" t="s">
        <v>93</v>
      </c>
      <c r="AA333" t="s">
        <v>93</v>
      </c>
      <c r="AB333" t="s">
        <v>93</v>
      </c>
      <c r="AC333" t="s">
        <v>94</v>
      </c>
      <c r="AD333" t="s">
        <v>94</v>
      </c>
      <c r="AE333" t="s">
        <v>94</v>
      </c>
      <c r="AF333" t="s">
        <v>93</v>
      </c>
      <c r="AG333" t="s">
        <v>93</v>
      </c>
      <c r="AH333" t="s">
        <v>93</v>
      </c>
      <c r="AI333" t="s">
        <v>93</v>
      </c>
      <c r="AJ333" t="s">
        <v>93</v>
      </c>
      <c r="AK333" t="s">
        <v>93</v>
      </c>
      <c r="AL333" t="s">
        <v>92</v>
      </c>
      <c r="AM333" t="s">
        <v>94</v>
      </c>
      <c r="AN333" t="s">
        <v>93</v>
      </c>
      <c r="AO333" t="s">
        <v>93</v>
      </c>
      <c r="AP333" t="s">
        <v>92</v>
      </c>
      <c r="AQ333" t="s">
        <v>93</v>
      </c>
      <c r="AR333" t="s">
        <v>93</v>
      </c>
      <c r="AS333" t="s">
        <v>93</v>
      </c>
      <c r="AT333" t="s">
        <v>93</v>
      </c>
      <c r="AU333" t="s">
        <v>93</v>
      </c>
      <c r="AV333" t="s">
        <v>93</v>
      </c>
      <c r="AW333" t="s">
        <v>93</v>
      </c>
      <c r="AX333" t="s">
        <v>95</v>
      </c>
      <c r="AY333" t="s">
        <v>92</v>
      </c>
      <c r="AZ333" t="s">
        <v>95</v>
      </c>
      <c r="BA333" t="s">
        <v>93</v>
      </c>
      <c r="BB333" t="s">
        <v>93</v>
      </c>
      <c r="BC333" t="s">
        <v>93</v>
      </c>
      <c r="BD333" t="s">
        <v>93</v>
      </c>
      <c r="BE333" t="s">
        <v>93</v>
      </c>
      <c r="BF333" t="s">
        <v>94</v>
      </c>
      <c r="BG333" t="s">
        <v>95</v>
      </c>
      <c r="BH333" t="s">
        <v>94</v>
      </c>
    </row>
    <row r="334" spans="1:60" x14ac:dyDescent="0.3">
      <c r="A334" t="s">
        <v>262</v>
      </c>
      <c r="B334" t="s">
        <v>70</v>
      </c>
      <c r="C334" t="s">
        <v>71</v>
      </c>
      <c r="D334" t="s">
        <v>72</v>
      </c>
      <c r="E334" t="s">
        <v>108</v>
      </c>
      <c r="F334" t="s">
        <v>136</v>
      </c>
      <c r="G334" t="s">
        <v>115</v>
      </c>
      <c r="H334" t="s">
        <v>98</v>
      </c>
      <c r="I334" t="s">
        <v>76</v>
      </c>
      <c r="J334" t="s">
        <v>77</v>
      </c>
      <c r="K334" t="s">
        <v>122</v>
      </c>
      <c r="L334" t="s">
        <v>79</v>
      </c>
      <c r="M334" t="s">
        <v>80</v>
      </c>
      <c r="N334" t="s">
        <v>79</v>
      </c>
      <c r="O334" t="s">
        <v>117</v>
      </c>
      <c r="P334" t="s">
        <v>82</v>
      </c>
      <c r="Q334" t="s">
        <v>103</v>
      </c>
      <c r="R334" t="s">
        <v>82</v>
      </c>
      <c r="S334" t="s">
        <v>145</v>
      </c>
      <c r="T334" t="s">
        <v>152</v>
      </c>
      <c r="U334" t="s">
        <v>82</v>
      </c>
      <c r="V334" t="s">
        <v>106</v>
      </c>
      <c r="W334" t="s">
        <v>87</v>
      </c>
      <c r="X334" t="s">
        <v>112</v>
      </c>
      <c r="Y334" t="s">
        <v>92</v>
      </c>
      <c r="Z334" t="s">
        <v>92</v>
      </c>
      <c r="AA334" t="s">
        <v>94</v>
      </c>
      <c r="AB334" t="s">
        <v>92</v>
      </c>
      <c r="AC334" t="s">
        <v>94</v>
      </c>
      <c r="AD334" t="s">
        <v>94</v>
      </c>
      <c r="AE334" t="s">
        <v>94</v>
      </c>
      <c r="AF334" t="s">
        <v>93</v>
      </c>
      <c r="AG334" t="s">
        <v>92</v>
      </c>
      <c r="AH334" t="s">
        <v>92</v>
      </c>
      <c r="AI334" t="s">
        <v>93</v>
      </c>
      <c r="AJ334" t="s">
        <v>93</v>
      </c>
      <c r="AK334" t="s">
        <v>92</v>
      </c>
      <c r="AL334" t="s">
        <v>94</v>
      </c>
      <c r="AM334" t="s">
        <v>95</v>
      </c>
      <c r="AN334" t="s">
        <v>93</v>
      </c>
      <c r="AO334" t="s">
        <v>93</v>
      </c>
      <c r="AP334" t="s">
        <v>92</v>
      </c>
      <c r="AQ334" t="s">
        <v>95</v>
      </c>
      <c r="AR334" t="s">
        <v>94</v>
      </c>
      <c r="AS334" t="s">
        <v>95</v>
      </c>
      <c r="AT334" t="s">
        <v>95</v>
      </c>
      <c r="AU334" t="s">
        <v>92</v>
      </c>
      <c r="AV334" t="s">
        <v>92</v>
      </c>
      <c r="AW334" t="s">
        <v>92</v>
      </c>
      <c r="AX334" t="s">
        <v>95</v>
      </c>
      <c r="AY334" t="s">
        <v>95</v>
      </c>
      <c r="AZ334" t="s">
        <v>95</v>
      </c>
      <c r="BA334" t="s">
        <v>92</v>
      </c>
      <c r="BB334" t="s">
        <v>94</v>
      </c>
      <c r="BC334" t="s">
        <v>92</v>
      </c>
      <c r="BD334" t="s">
        <v>92</v>
      </c>
      <c r="BE334" t="s">
        <v>92</v>
      </c>
      <c r="BF334" t="s">
        <v>95</v>
      </c>
      <c r="BG334" t="s">
        <v>94</v>
      </c>
      <c r="BH334" t="s">
        <v>95</v>
      </c>
    </row>
    <row r="335" spans="1:60" x14ac:dyDescent="0.3">
      <c r="A335">
        <v>20</v>
      </c>
      <c r="B335" t="s">
        <v>70</v>
      </c>
      <c r="C335" t="s">
        <v>157</v>
      </c>
      <c r="D335" t="s">
        <v>72</v>
      </c>
      <c r="E335" t="s">
        <v>114</v>
      </c>
      <c r="F335" t="s">
        <v>136</v>
      </c>
      <c r="G335" t="s">
        <v>146</v>
      </c>
      <c r="H335" t="s">
        <v>98</v>
      </c>
      <c r="I335" t="s">
        <v>76</v>
      </c>
      <c r="J335" t="s">
        <v>77</v>
      </c>
      <c r="K335" t="s">
        <v>125</v>
      </c>
      <c r="L335" t="s">
        <v>82</v>
      </c>
      <c r="M335" t="s">
        <v>102</v>
      </c>
      <c r="N335" t="s">
        <v>79</v>
      </c>
      <c r="O335" t="s">
        <v>117</v>
      </c>
      <c r="P335" t="s">
        <v>79</v>
      </c>
      <c r="Q335" t="s">
        <v>83</v>
      </c>
      <c r="R335" t="s">
        <v>79</v>
      </c>
      <c r="S335" t="s">
        <v>84</v>
      </c>
      <c r="T335" t="s">
        <v>263</v>
      </c>
      <c r="U335" t="s">
        <v>82</v>
      </c>
      <c r="V335" t="s">
        <v>264</v>
      </c>
      <c r="W335" t="s">
        <v>141</v>
      </c>
      <c r="X335" t="s">
        <v>265</v>
      </c>
      <c r="Y335" t="s">
        <v>93</v>
      </c>
      <c r="Z335" t="s">
        <v>93</v>
      </c>
      <c r="AA335" t="s">
        <v>93</v>
      </c>
      <c r="AB335" t="s">
        <v>93</v>
      </c>
      <c r="AC335" t="s">
        <v>93</v>
      </c>
      <c r="AD335" t="s">
        <v>92</v>
      </c>
      <c r="AE335" t="s">
        <v>92</v>
      </c>
      <c r="AF335" t="s">
        <v>94</v>
      </c>
      <c r="AG335" t="s">
        <v>92</v>
      </c>
      <c r="AH335" t="s">
        <v>92</v>
      </c>
      <c r="AI335" t="s">
        <v>92</v>
      </c>
      <c r="AJ335" t="s">
        <v>92</v>
      </c>
      <c r="AK335" t="s">
        <v>92</v>
      </c>
      <c r="AL335" t="s">
        <v>92</v>
      </c>
      <c r="AM335" t="s">
        <v>92</v>
      </c>
      <c r="AN335" t="s">
        <v>92</v>
      </c>
      <c r="AO335" t="s">
        <v>92</v>
      </c>
      <c r="AP335" t="s">
        <v>92</v>
      </c>
      <c r="AQ335" t="s">
        <v>92</v>
      </c>
      <c r="AR335" t="s">
        <v>92</v>
      </c>
      <c r="AS335" t="s">
        <v>92</v>
      </c>
      <c r="AT335" t="s">
        <v>92</v>
      </c>
      <c r="AU335" t="s">
        <v>92</v>
      </c>
      <c r="AV335" t="s">
        <v>92</v>
      </c>
      <c r="AW335" t="s">
        <v>92</v>
      </c>
      <c r="AX335" t="s">
        <v>92</v>
      </c>
      <c r="AY335" t="s">
        <v>92</v>
      </c>
      <c r="AZ335" t="s">
        <v>92</v>
      </c>
      <c r="BA335" t="s">
        <v>92</v>
      </c>
      <c r="BB335" t="s">
        <v>92</v>
      </c>
      <c r="BC335" t="s">
        <v>92</v>
      </c>
      <c r="BD335" t="s">
        <v>92</v>
      </c>
      <c r="BE335" t="s">
        <v>92</v>
      </c>
      <c r="BF335" t="s">
        <v>92</v>
      </c>
      <c r="BG335" t="s">
        <v>92</v>
      </c>
      <c r="BH335" t="s">
        <v>92</v>
      </c>
    </row>
    <row r="336" spans="1:60" x14ac:dyDescent="0.3">
      <c r="A336">
        <v>23</v>
      </c>
      <c r="B336" t="s">
        <v>70</v>
      </c>
      <c r="C336" t="s">
        <v>113</v>
      </c>
      <c r="D336" t="s">
        <v>149</v>
      </c>
      <c r="E336" t="s">
        <v>73</v>
      </c>
      <c r="F336" t="s">
        <v>98</v>
      </c>
      <c r="G336" t="s">
        <v>135</v>
      </c>
      <c r="H336" t="s">
        <v>98</v>
      </c>
      <c r="I336" t="s">
        <v>76</v>
      </c>
      <c r="J336" t="s">
        <v>77</v>
      </c>
      <c r="K336" t="s">
        <v>78</v>
      </c>
      <c r="L336" t="s">
        <v>79</v>
      </c>
      <c r="M336" t="s">
        <v>80</v>
      </c>
      <c r="N336" t="s">
        <v>82</v>
      </c>
      <c r="O336" t="s">
        <v>138</v>
      </c>
      <c r="P336" t="s">
        <v>79</v>
      </c>
      <c r="Q336" t="s">
        <v>103</v>
      </c>
      <c r="R336" t="s">
        <v>79</v>
      </c>
      <c r="S336" t="s">
        <v>123</v>
      </c>
      <c r="T336" t="s">
        <v>140</v>
      </c>
      <c r="U336" t="s">
        <v>79</v>
      </c>
      <c r="V336" t="s">
        <v>86</v>
      </c>
      <c r="W336" t="s">
        <v>141</v>
      </c>
      <c r="X336" t="s">
        <v>112</v>
      </c>
      <c r="Y336" t="s">
        <v>94</v>
      </c>
      <c r="Z336" t="s">
        <v>94</v>
      </c>
      <c r="AA336" t="s">
        <v>94</v>
      </c>
      <c r="AB336" t="s">
        <v>94</v>
      </c>
      <c r="AC336" t="s">
        <v>94</v>
      </c>
      <c r="AD336" t="s">
        <v>94</v>
      </c>
      <c r="AE336" t="s">
        <v>94</v>
      </c>
      <c r="AF336" t="s">
        <v>94</v>
      </c>
      <c r="AG336" t="s">
        <v>94</v>
      </c>
      <c r="AH336" t="s">
        <v>94</v>
      </c>
      <c r="AI336" t="s">
        <v>94</v>
      </c>
      <c r="AJ336" t="s">
        <v>94</v>
      </c>
      <c r="AK336" t="s">
        <v>94</v>
      </c>
      <c r="AL336" t="s">
        <v>94</v>
      </c>
      <c r="AM336" t="s">
        <v>94</v>
      </c>
      <c r="AN336" t="s">
        <v>94</v>
      </c>
      <c r="AO336" t="s">
        <v>92</v>
      </c>
      <c r="AP336" t="s">
        <v>92</v>
      </c>
      <c r="AQ336" t="s">
        <v>94</v>
      </c>
      <c r="AR336" t="s">
        <v>92</v>
      </c>
      <c r="AS336" t="s">
        <v>94</v>
      </c>
      <c r="AT336" t="s">
        <v>92</v>
      </c>
      <c r="AU336" t="s">
        <v>94</v>
      </c>
      <c r="AV336" t="s">
        <v>92</v>
      </c>
      <c r="AW336" t="s">
        <v>94</v>
      </c>
      <c r="AX336" t="s">
        <v>94</v>
      </c>
      <c r="AY336" t="s">
        <v>92</v>
      </c>
      <c r="AZ336" t="s">
        <v>92</v>
      </c>
      <c r="BA336" t="s">
        <v>92</v>
      </c>
      <c r="BB336" t="s">
        <v>92</v>
      </c>
      <c r="BC336" t="s">
        <v>94</v>
      </c>
      <c r="BD336" t="s">
        <v>92</v>
      </c>
      <c r="BE336" t="s">
        <v>94</v>
      </c>
      <c r="BF336" t="s">
        <v>92</v>
      </c>
      <c r="BG336" t="s">
        <v>94</v>
      </c>
      <c r="BH336" t="s">
        <v>92</v>
      </c>
    </row>
    <row r="337" spans="1:60" x14ac:dyDescent="0.3">
      <c r="A337">
        <v>24</v>
      </c>
      <c r="B337" t="s">
        <v>70</v>
      </c>
      <c r="C337" t="s">
        <v>71</v>
      </c>
      <c r="D337" t="s">
        <v>72</v>
      </c>
      <c r="E337" t="s">
        <v>108</v>
      </c>
      <c r="F337" t="s">
        <v>74</v>
      </c>
      <c r="G337" t="s">
        <v>115</v>
      </c>
      <c r="H337" t="s">
        <v>136</v>
      </c>
      <c r="I337" t="s">
        <v>76</v>
      </c>
      <c r="J337" t="s">
        <v>77</v>
      </c>
      <c r="K337" t="s">
        <v>78</v>
      </c>
      <c r="L337" t="s">
        <v>79</v>
      </c>
      <c r="M337" t="s">
        <v>80</v>
      </c>
      <c r="N337" t="s">
        <v>79</v>
      </c>
      <c r="O337" t="s">
        <v>117</v>
      </c>
      <c r="P337" t="s">
        <v>82</v>
      </c>
      <c r="Q337" t="s">
        <v>83</v>
      </c>
      <c r="R337" t="s">
        <v>82</v>
      </c>
      <c r="S337" t="s">
        <v>84</v>
      </c>
      <c r="T337" t="s">
        <v>150</v>
      </c>
      <c r="U337" t="s">
        <v>82</v>
      </c>
      <c r="V337" t="s">
        <v>106</v>
      </c>
      <c r="W337" t="s">
        <v>120</v>
      </c>
      <c r="X337" t="s">
        <v>127</v>
      </c>
      <c r="Y337" t="s">
        <v>94</v>
      </c>
      <c r="Z337" t="s">
        <v>94</v>
      </c>
      <c r="AA337" t="s">
        <v>92</v>
      </c>
      <c r="AB337" t="s">
        <v>93</v>
      </c>
      <c r="AC337" t="s">
        <v>94</v>
      </c>
      <c r="AD337" t="s">
        <v>94</v>
      </c>
      <c r="AE337" t="s">
        <v>94</v>
      </c>
      <c r="AF337" t="s">
        <v>94</v>
      </c>
      <c r="AG337" t="s">
        <v>94</v>
      </c>
      <c r="AH337" t="s">
        <v>94</v>
      </c>
      <c r="AI337" t="s">
        <v>94</v>
      </c>
      <c r="AJ337" t="s">
        <v>94</v>
      </c>
      <c r="AK337" t="s">
        <v>94</v>
      </c>
      <c r="AL337" t="s">
        <v>94</v>
      </c>
      <c r="AM337" t="s">
        <v>94</v>
      </c>
      <c r="AN337" t="s">
        <v>93</v>
      </c>
      <c r="AO337" t="s">
        <v>93</v>
      </c>
      <c r="AP337" t="s">
        <v>93</v>
      </c>
      <c r="AQ337" t="s">
        <v>93</v>
      </c>
      <c r="AR337" t="s">
        <v>95</v>
      </c>
      <c r="AS337" t="s">
        <v>95</v>
      </c>
      <c r="AT337" t="s">
        <v>95</v>
      </c>
      <c r="AU337" t="s">
        <v>94</v>
      </c>
      <c r="AV337" t="s">
        <v>94</v>
      </c>
      <c r="AW337" t="s">
        <v>94</v>
      </c>
      <c r="AX337" t="s">
        <v>94</v>
      </c>
      <c r="AY337" t="s">
        <v>94</v>
      </c>
      <c r="AZ337" t="s">
        <v>94</v>
      </c>
      <c r="BA337" t="s">
        <v>93</v>
      </c>
      <c r="BB337" t="s">
        <v>93</v>
      </c>
      <c r="BC337" t="s">
        <v>93</v>
      </c>
      <c r="BD337" t="s">
        <v>93</v>
      </c>
      <c r="BE337" t="s">
        <v>93</v>
      </c>
      <c r="BF337" t="s">
        <v>93</v>
      </c>
      <c r="BG337" t="s">
        <v>94</v>
      </c>
      <c r="BH337" t="s">
        <v>94</v>
      </c>
    </row>
    <row r="338" spans="1:60" x14ac:dyDescent="0.3">
      <c r="A338">
        <v>23</v>
      </c>
      <c r="B338" t="s">
        <v>70</v>
      </c>
      <c r="C338" t="s">
        <v>71</v>
      </c>
      <c r="D338" t="s">
        <v>97</v>
      </c>
      <c r="E338" t="s">
        <v>108</v>
      </c>
      <c r="F338" t="s">
        <v>74</v>
      </c>
      <c r="G338" t="s">
        <v>99</v>
      </c>
      <c r="H338" t="s">
        <v>136</v>
      </c>
      <c r="I338" t="s">
        <v>76</v>
      </c>
      <c r="J338" t="s">
        <v>77</v>
      </c>
      <c r="K338" t="s">
        <v>122</v>
      </c>
      <c r="L338" t="s">
        <v>82</v>
      </c>
      <c r="M338" t="s">
        <v>80</v>
      </c>
      <c r="N338" t="s">
        <v>79</v>
      </c>
      <c r="O338" t="s">
        <v>81</v>
      </c>
      <c r="P338" t="s">
        <v>79</v>
      </c>
      <c r="Q338" t="s">
        <v>83</v>
      </c>
      <c r="R338" t="s">
        <v>79</v>
      </c>
      <c r="S338" t="s">
        <v>84</v>
      </c>
      <c r="T338" t="s">
        <v>139</v>
      </c>
      <c r="U338" t="s">
        <v>82</v>
      </c>
      <c r="V338" t="s">
        <v>106</v>
      </c>
      <c r="W338" t="s">
        <v>141</v>
      </c>
      <c r="Y338" t="s">
        <v>92</v>
      </c>
      <c r="Z338" t="s">
        <v>92</v>
      </c>
      <c r="AA338" t="s">
        <v>92</v>
      </c>
      <c r="AB338" t="s">
        <v>92</v>
      </c>
      <c r="AC338" t="s">
        <v>94</v>
      </c>
      <c r="AD338" t="s">
        <v>92</v>
      </c>
      <c r="AE338" t="s">
        <v>94</v>
      </c>
      <c r="AF338" t="s">
        <v>93</v>
      </c>
      <c r="AG338" t="s">
        <v>93</v>
      </c>
      <c r="AH338" t="s">
        <v>93</v>
      </c>
      <c r="AI338" t="s">
        <v>93</v>
      </c>
      <c r="AJ338" t="s">
        <v>92</v>
      </c>
      <c r="AK338" t="s">
        <v>93</v>
      </c>
      <c r="AL338" t="s">
        <v>95</v>
      </c>
      <c r="AM338" t="s">
        <v>94</v>
      </c>
      <c r="AN338" t="s">
        <v>93</v>
      </c>
      <c r="AO338" t="s">
        <v>93</v>
      </c>
      <c r="AP338" t="s">
        <v>93</v>
      </c>
      <c r="AQ338" t="s">
        <v>95</v>
      </c>
      <c r="AR338" t="s">
        <v>95</v>
      </c>
      <c r="AS338" t="s">
        <v>95</v>
      </c>
      <c r="AT338" t="s">
        <v>95</v>
      </c>
      <c r="AU338" t="s">
        <v>93</v>
      </c>
      <c r="AV338" t="s">
        <v>95</v>
      </c>
      <c r="AW338" t="s">
        <v>95</v>
      </c>
      <c r="AX338" t="s">
        <v>94</v>
      </c>
      <c r="AY338" t="s">
        <v>94</v>
      </c>
      <c r="AZ338" t="s">
        <v>95</v>
      </c>
    </row>
    <row r="339" spans="1:60" x14ac:dyDescent="0.3">
      <c r="A339">
        <v>24</v>
      </c>
      <c r="B339" t="s">
        <v>70</v>
      </c>
      <c r="C339" t="s">
        <v>153</v>
      </c>
      <c r="D339" t="s">
        <v>97</v>
      </c>
      <c r="E339" t="s">
        <v>108</v>
      </c>
      <c r="F339" t="s">
        <v>74</v>
      </c>
      <c r="G339" t="s">
        <v>75</v>
      </c>
      <c r="H339" t="s">
        <v>74</v>
      </c>
      <c r="I339" t="s">
        <v>76</v>
      </c>
      <c r="J339" t="s">
        <v>101</v>
      </c>
      <c r="K339" t="s">
        <v>131</v>
      </c>
      <c r="L339" t="s">
        <v>82</v>
      </c>
      <c r="M339" t="s">
        <v>80</v>
      </c>
      <c r="N339" t="s">
        <v>79</v>
      </c>
      <c r="O339" t="s">
        <v>109</v>
      </c>
      <c r="P339" t="s">
        <v>79</v>
      </c>
      <c r="Q339" t="s">
        <v>83</v>
      </c>
      <c r="R339" t="s">
        <v>79</v>
      </c>
      <c r="S339" t="s">
        <v>84</v>
      </c>
      <c r="T339" t="s">
        <v>266</v>
      </c>
      <c r="U339" t="s">
        <v>79</v>
      </c>
      <c r="V339" t="s">
        <v>86</v>
      </c>
      <c r="W339" t="s">
        <v>141</v>
      </c>
      <c r="X339" t="s">
        <v>88</v>
      </c>
      <c r="Y339" t="s">
        <v>92</v>
      </c>
      <c r="Z339" t="s">
        <v>93</v>
      </c>
      <c r="AA339" t="s">
        <v>93</v>
      </c>
      <c r="AB339" t="s">
        <v>93</v>
      </c>
      <c r="AC339" t="s">
        <v>94</v>
      </c>
      <c r="AD339" t="s">
        <v>95</v>
      </c>
      <c r="AE339" t="s">
        <v>95</v>
      </c>
      <c r="AF339" t="s">
        <v>93</v>
      </c>
      <c r="AG339" t="s">
        <v>93</v>
      </c>
      <c r="AH339" t="s">
        <v>93</v>
      </c>
      <c r="AI339" t="s">
        <v>93</v>
      </c>
      <c r="AJ339" t="s">
        <v>93</v>
      </c>
      <c r="AK339" t="s">
        <v>92</v>
      </c>
      <c r="AL339" t="s">
        <v>95</v>
      </c>
      <c r="AM339" t="s">
        <v>94</v>
      </c>
      <c r="AN339" t="s">
        <v>93</v>
      </c>
      <c r="AO339" t="s">
        <v>93</v>
      </c>
      <c r="AP339" t="s">
        <v>93</v>
      </c>
      <c r="AQ339" t="s">
        <v>95</v>
      </c>
      <c r="AR339" t="s">
        <v>95</v>
      </c>
      <c r="AS339" t="s">
        <v>95</v>
      </c>
      <c r="AT339" t="s">
        <v>95</v>
      </c>
      <c r="AU339" t="s">
        <v>93</v>
      </c>
      <c r="AV339" t="s">
        <v>93</v>
      </c>
      <c r="AW339" t="s">
        <v>93</v>
      </c>
      <c r="AX339" t="s">
        <v>94</v>
      </c>
      <c r="AY339" t="s">
        <v>95</v>
      </c>
      <c r="AZ339" t="s">
        <v>95</v>
      </c>
      <c r="BA339" t="s">
        <v>95</v>
      </c>
      <c r="BB339" t="s">
        <v>95</v>
      </c>
      <c r="BC339" t="s">
        <v>95</v>
      </c>
      <c r="BD339" t="s">
        <v>95</v>
      </c>
      <c r="BE339" t="s">
        <v>95</v>
      </c>
      <c r="BF339" t="s">
        <v>95</v>
      </c>
      <c r="BG339" t="s">
        <v>95</v>
      </c>
      <c r="BH339" t="s">
        <v>95</v>
      </c>
    </row>
    <row r="340" spans="1:60" x14ac:dyDescent="0.3">
      <c r="A340">
        <v>24</v>
      </c>
      <c r="B340" t="s">
        <v>70</v>
      </c>
      <c r="C340" t="s">
        <v>113</v>
      </c>
      <c r="D340" t="s">
        <v>97</v>
      </c>
      <c r="E340" t="s">
        <v>108</v>
      </c>
      <c r="F340" t="s">
        <v>74</v>
      </c>
      <c r="G340" t="s">
        <v>75</v>
      </c>
      <c r="H340" t="s">
        <v>136</v>
      </c>
      <c r="I340" t="s">
        <v>76</v>
      </c>
      <c r="J340" t="s">
        <v>77</v>
      </c>
      <c r="K340" t="s">
        <v>131</v>
      </c>
      <c r="L340" t="s">
        <v>79</v>
      </c>
      <c r="M340" t="s">
        <v>102</v>
      </c>
      <c r="N340" t="s">
        <v>79</v>
      </c>
      <c r="O340" t="s">
        <v>109</v>
      </c>
      <c r="P340" t="s">
        <v>82</v>
      </c>
      <c r="Q340" t="s">
        <v>103</v>
      </c>
      <c r="R340" t="s">
        <v>79</v>
      </c>
      <c r="S340" t="s">
        <v>84</v>
      </c>
      <c r="T340" t="s">
        <v>152</v>
      </c>
      <c r="U340" t="s">
        <v>79</v>
      </c>
      <c r="V340" t="s">
        <v>86</v>
      </c>
      <c r="W340" t="s">
        <v>141</v>
      </c>
      <c r="X340" t="s">
        <v>112</v>
      </c>
      <c r="Y340" t="s">
        <v>94</v>
      </c>
      <c r="Z340" t="s">
        <v>92</v>
      </c>
      <c r="AA340" t="s">
        <v>92</v>
      </c>
      <c r="AB340" t="s">
        <v>92</v>
      </c>
      <c r="AC340" t="s">
        <v>92</v>
      </c>
      <c r="AD340" t="s">
        <v>92</v>
      </c>
      <c r="AE340" t="s">
        <v>92</v>
      </c>
      <c r="AF340" t="s">
        <v>95</v>
      </c>
      <c r="AG340" t="s">
        <v>92</v>
      </c>
      <c r="AH340" t="s">
        <v>95</v>
      </c>
      <c r="AI340" t="s">
        <v>92</v>
      </c>
      <c r="AJ340" t="s">
        <v>92</v>
      </c>
      <c r="AK340" t="s">
        <v>92</v>
      </c>
      <c r="AL340" t="s">
        <v>94</v>
      </c>
      <c r="AM340" t="s">
        <v>94</v>
      </c>
      <c r="AN340" t="s">
        <v>93</v>
      </c>
      <c r="AO340" t="s">
        <v>93</v>
      </c>
      <c r="AP340" t="s">
        <v>93</v>
      </c>
      <c r="AQ340" t="s">
        <v>95</v>
      </c>
      <c r="AR340" t="s">
        <v>95</v>
      </c>
      <c r="AS340" t="s">
        <v>95</v>
      </c>
      <c r="AT340" t="s">
        <v>95</v>
      </c>
      <c r="AU340" t="s">
        <v>94</v>
      </c>
      <c r="AV340" t="s">
        <v>94</v>
      </c>
      <c r="AW340" t="s">
        <v>94</v>
      </c>
      <c r="AX340" t="s">
        <v>94</v>
      </c>
      <c r="AY340" t="s">
        <v>94</v>
      </c>
      <c r="AZ340" t="s">
        <v>95</v>
      </c>
      <c r="BA340" t="s">
        <v>93</v>
      </c>
      <c r="BB340" t="s">
        <v>95</v>
      </c>
      <c r="BC340" t="s">
        <v>93</v>
      </c>
      <c r="BD340" t="s">
        <v>93</v>
      </c>
      <c r="BE340" t="s">
        <v>93</v>
      </c>
      <c r="BF340" t="s">
        <v>95</v>
      </c>
      <c r="BG340" t="s">
        <v>95</v>
      </c>
      <c r="BH340" t="s">
        <v>95</v>
      </c>
    </row>
    <row r="341" spans="1:60" x14ac:dyDescent="0.3">
      <c r="A341">
        <v>23</v>
      </c>
      <c r="B341" t="s">
        <v>70</v>
      </c>
      <c r="C341" t="s">
        <v>113</v>
      </c>
      <c r="D341" t="s">
        <v>72</v>
      </c>
      <c r="E341" t="s">
        <v>108</v>
      </c>
      <c r="F341" t="s">
        <v>74</v>
      </c>
      <c r="G341" t="s">
        <v>115</v>
      </c>
      <c r="H341" t="s">
        <v>74</v>
      </c>
      <c r="I341" t="s">
        <v>115</v>
      </c>
      <c r="J341" t="s">
        <v>77</v>
      </c>
      <c r="K341" t="s">
        <v>78</v>
      </c>
      <c r="L341" t="s">
        <v>79</v>
      </c>
      <c r="M341" t="s">
        <v>80</v>
      </c>
      <c r="N341" t="s">
        <v>79</v>
      </c>
      <c r="O341" t="s">
        <v>117</v>
      </c>
      <c r="P341" t="s">
        <v>82</v>
      </c>
      <c r="Q341" t="s">
        <v>83</v>
      </c>
      <c r="R341" t="s">
        <v>79</v>
      </c>
      <c r="S341" t="s">
        <v>84</v>
      </c>
      <c r="T341" t="s">
        <v>159</v>
      </c>
      <c r="U341" t="s">
        <v>82</v>
      </c>
      <c r="V341" t="s">
        <v>148</v>
      </c>
      <c r="W341" t="s">
        <v>87</v>
      </c>
      <c r="X341" t="s">
        <v>112</v>
      </c>
      <c r="Y341" t="s">
        <v>92</v>
      </c>
      <c r="Z341" t="s">
        <v>92</v>
      </c>
      <c r="AA341" t="s">
        <v>92</v>
      </c>
      <c r="AB341" t="s">
        <v>92</v>
      </c>
      <c r="AC341" t="s">
        <v>92</v>
      </c>
      <c r="AD341" t="s">
        <v>92</v>
      </c>
      <c r="AE341" t="s">
        <v>92</v>
      </c>
      <c r="AF341" t="s">
        <v>92</v>
      </c>
      <c r="AG341" t="s">
        <v>92</v>
      </c>
      <c r="AH341" t="s">
        <v>92</v>
      </c>
      <c r="AI341" t="s">
        <v>94</v>
      </c>
      <c r="AJ341" t="s">
        <v>94</v>
      </c>
      <c r="AK341" t="s">
        <v>94</v>
      </c>
      <c r="AL341" t="s">
        <v>94</v>
      </c>
      <c r="AM341" t="s">
        <v>94</v>
      </c>
      <c r="AN341" t="s">
        <v>93</v>
      </c>
      <c r="AO341" t="s">
        <v>93</v>
      </c>
      <c r="AP341" t="s">
        <v>93</v>
      </c>
      <c r="AQ341" t="s">
        <v>92</v>
      </c>
      <c r="AR341" t="s">
        <v>93</v>
      </c>
      <c r="AS341" t="s">
        <v>92</v>
      </c>
      <c r="AT341" t="s">
        <v>92</v>
      </c>
      <c r="AU341" t="s">
        <v>94</v>
      </c>
      <c r="AV341" t="s">
        <v>94</v>
      </c>
      <c r="AW341" t="s">
        <v>94</v>
      </c>
      <c r="AX341" t="s">
        <v>94</v>
      </c>
      <c r="AY341" t="s">
        <v>94</v>
      </c>
      <c r="AZ341" t="s">
        <v>94</v>
      </c>
      <c r="BA341" t="s">
        <v>94</v>
      </c>
      <c r="BB341" t="s">
        <v>94</v>
      </c>
      <c r="BC341" t="s">
        <v>94</v>
      </c>
      <c r="BD341" t="s">
        <v>94</v>
      </c>
      <c r="BE341" t="s">
        <v>94</v>
      </c>
      <c r="BF341" t="s">
        <v>92</v>
      </c>
      <c r="BG341" t="s">
        <v>92</v>
      </c>
      <c r="BH341" t="s">
        <v>94</v>
      </c>
    </row>
    <row r="342" spans="1:60" x14ac:dyDescent="0.3">
      <c r="A342">
        <v>23</v>
      </c>
      <c r="B342" t="s">
        <v>70</v>
      </c>
      <c r="C342" t="s">
        <v>113</v>
      </c>
      <c r="D342" t="s">
        <v>149</v>
      </c>
      <c r="E342" t="s">
        <v>108</v>
      </c>
      <c r="F342" t="s">
        <v>74</v>
      </c>
      <c r="G342" t="s">
        <v>115</v>
      </c>
      <c r="H342" t="s">
        <v>136</v>
      </c>
      <c r="I342" t="s">
        <v>76</v>
      </c>
      <c r="J342" t="s">
        <v>77</v>
      </c>
      <c r="K342" t="s">
        <v>78</v>
      </c>
      <c r="L342" t="s">
        <v>79</v>
      </c>
      <c r="M342" t="s">
        <v>80</v>
      </c>
      <c r="N342" t="s">
        <v>79</v>
      </c>
      <c r="O342" t="s">
        <v>117</v>
      </c>
      <c r="P342" t="s">
        <v>79</v>
      </c>
      <c r="Q342" t="s">
        <v>83</v>
      </c>
      <c r="R342" t="s">
        <v>79</v>
      </c>
      <c r="S342" t="s">
        <v>84</v>
      </c>
      <c r="T342" t="s">
        <v>85</v>
      </c>
      <c r="U342" t="s">
        <v>82</v>
      </c>
      <c r="V342" t="s">
        <v>106</v>
      </c>
      <c r="W342" t="s">
        <v>120</v>
      </c>
      <c r="X342" t="s">
        <v>160</v>
      </c>
      <c r="Y342" t="s">
        <v>93</v>
      </c>
      <c r="Z342" t="s">
        <v>92</v>
      </c>
      <c r="AA342" t="s">
        <v>93</v>
      </c>
      <c r="AB342" t="s">
        <v>93</v>
      </c>
      <c r="AC342" t="s">
        <v>92</v>
      </c>
      <c r="AD342" t="s">
        <v>92</v>
      </c>
      <c r="AE342" t="s">
        <v>94</v>
      </c>
      <c r="AF342" t="s">
        <v>92</v>
      </c>
      <c r="AG342" t="s">
        <v>92</v>
      </c>
      <c r="AH342" t="s">
        <v>93</v>
      </c>
      <c r="AI342" t="s">
        <v>93</v>
      </c>
      <c r="AJ342" t="s">
        <v>92</v>
      </c>
      <c r="AK342" t="s">
        <v>93</v>
      </c>
      <c r="AL342" t="s">
        <v>92</v>
      </c>
      <c r="AM342" t="s">
        <v>92</v>
      </c>
      <c r="AN342" t="s">
        <v>93</v>
      </c>
      <c r="AO342" t="s">
        <v>93</v>
      </c>
      <c r="AP342" t="s">
        <v>93</v>
      </c>
      <c r="AQ342" t="s">
        <v>95</v>
      </c>
      <c r="AR342" t="s">
        <v>95</v>
      </c>
      <c r="AS342" t="s">
        <v>95</v>
      </c>
      <c r="AT342" t="s">
        <v>95</v>
      </c>
      <c r="AU342" t="s">
        <v>94</v>
      </c>
      <c r="AV342" t="s">
        <v>92</v>
      </c>
      <c r="AW342" t="s">
        <v>93</v>
      </c>
      <c r="AX342" t="s">
        <v>93</v>
      </c>
      <c r="AY342" t="s">
        <v>93</v>
      </c>
      <c r="AZ342" t="s">
        <v>93</v>
      </c>
    </row>
    <row r="343" spans="1:60" x14ac:dyDescent="0.3">
      <c r="A343">
        <v>25</v>
      </c>
      <c r="B343" t="s">
        <v>70</v>
      </c>
      <c r="C343" t="s">
        <v>153</v>
      </c>
      <c r="D343" t="s">
        <v>97</v>
      </c>
      <c r="E343" t="s">
        <v>114</v>
      </c>
      <c r="F343" t="s">
        <v>74</v>
      </c>
      <c r="G343" t="s">
        <v>75</v>
      </c>
      <c r="H343" t="s">
        <v>136</v>
      </c>
      <c r="I343" t="s">
        <v>115</v>
      </c>
      <c r="J343" t="s">
        <v>77</v>
      </c>
      <c r="K343" t="s">
        <v>122</v>
      </c>
      <c r="L343" t="s">
        <v>82</v>
      </c>
      <c r="M343" t="s">
        <v>80</v>
      </c>
      <c r="N343" t="s">
        <v>79</v>
      </c>
      <c r="O343" t="s">
        <v>117</v>
      </c>
      <c r="P343" t="s">
        <v>82</v>
      </c>
      <c r="Q343" t="s">
        <v>83</v>
      </c>
      <c r="R343" t="s">
        <v>79</v>
      </c>
      <c r="S343" t="s">
        <v>84</v>
      </c>
      <c r="T343" t="s">
        <v>130</v>
      </c>
      <c r="U343" t="s">
        <v>79</v>
      </c>
      <c r="V343" t="s">
        <v>106</v>
      </c>
      <c r="W343" t="s">
        <v>87</v>
      </c>
      <c r="X343" t="s">
        <v>112</v>
      </c>
      <c r="Y343" t="s">
        <v>93</v>
      </c>
      <c r="Z343" t="s">
        <v>93</v>
      </c>
      <c r="AA343" t="s">
        <v>93</v>
      </c>
      <c r="AB343" t="s">
        <v>93</v>
      </c>
      <c r="AC343" t="s">
        <v>92</v>
      </c>
      <c r="AD343" t="s">
        <v>94</v>
      </c>
      <c r="AE343" t="s">
        <v>94</v>
      </c>
      <c r="AF343" t="s">
        <v>92</v>
      </c>
      <c r="AG343" t="s">
        <v>94</v>
      </c>
      <c r="AH343" t="s">
        <v>95</v>
      </c>
      <c r="AI343" t="s">
        <v>93</v>
      </c>
      <c r="AJ343" t="s">
        <v>93</v>
      </c>
      <c r="AK343" t="s">
        <v>93</v>
      </c>
      <c r="AL343" t="s">
        <v>95</v>
      </c>
      <c r="AM343" t="s">
        <v>93</v>
      </c>
      <c r="AN343" t="s">
        <v>93</v>
      </c>
      <c r="AO343" t="s">
        <v>93</v>
      </c>
      <c r="AP343" t="s">
        <v>93</v>
      </c>
      <c r="AQ343" t="s">
        <v>95</v>
      </c>
      <c r="AR343" t="s">
        <v>95</v>
      </c>
      <c r="AS343" t="s">
        <v>95</v>
      </c>
      <c r="AT343" t="s">
        <v>95</v>
      </c>
      <c r="AU343" t="s">
        <v>93</v>
      </c>
      <c r="AV343" t="s">
        <v>92</v>
      </c>
      <c r="AW343" t="s">
        <v>92</v>
      </c>
      <c r="AX343" t="s">
        <v>92</v>
      </c>
      <c r="AY343" t="s">
        <v>95</v>
      </c>
      <c r="AZ343" t="s">
        <v>95</v>
      </c>
    </row>
    <row r="344" spans="1:60" x14ac:dyDescent="0.3">
      <c r="A344">
        <v>24</v>
      </c>
      <c r="B344" t="s">
        <v>128</v>
      </c>
      <c r="C344" t="s">
        <v>113</v>
      </c>
      <c r="D344" t="s">
        <v>72</v>
      </c>
      <c r="E344" t="s">
        <v>108</v>
      </c>
      <c r="F344" t="s">
        <v>74</v>
      </c>
      <c r="G344" t="s">
        <v>75</v>
      </c>
      <c r="H344" t="s">
        <v>136</v>
      </c>
      <c r="I344" t="s">
        <v>267</v>
      </c>
      <c r="J344" t="s">
        <v>77</v>
      </c>
      <c r="K344" t="s">
        <v>125</v>
      </c>
      <c r="L344" t="s">
        <v>82</v>
      </c>
      <c r="M344" t="s">
        <v>80</v>
      </c>
      <c r="N344" t="s">
        <v>82</v>
      </c>
      <c r="O344" t="s">
        <v>117</v>
      </c>
      <c r="P344" t="s">
        <v>82</v>
      </c>
      <c r="Q344" t="s">
        <v>83</v>
      </c>
      <c r="R344" t="s">
        <v>82</v>
      </c>
      <c r="S344" t="s">
        <v>84</v>
      </c>
      <c r="T344" t="s">
        <v>187</v>
      </c>
      <c r="U344" t="s">
        <v>82</v>
      </c>
      <c r="V344" t="s">
        <v>106</v>
      </c>
      <c r="W344" t="s">
        <v>141</v>
      </c>
      <c r="Y344" t="s">
        <v>92</v>
      </c>
      <c r="Z344" t="s">
        <v>92</v>
      </c>
      <c r="AA344" t="s">
        <v>93</v>
      </c>
      <c r="AB344" t="s">
        <v>93</v>
      </c>
      <c r="AC344" t="s">
        <v>94</v>
      </c>
      <c r="AD344" t="s">
        <v>92</v>
      </c>
      <c r="AE344" t="s">
        <v>92</v>
      </c>
      <c r="AF344" t="s">
        <v>92</v>
      </c>
      <c r="AG344" t="s">
        <v>95</v>
      </c>
      <c r="AH344" t="s">
        <v>95</v>
      </c>
      <c r="AI344" t="s">
        <v>94</v>
      </c>
      <c r="AJ344" t="s">
        <v>92</v>
      </c>
      <c r="AK344" t="s">
        <v>95</v>
      </c>
      <c r="AL344" t="s">
        <v>95</v>
      </c>
      <c r="AM344" t="s">
        <v>95</v>
      </c>
      <c r="AN344" t="s">
        <v>93</v>
      </c>
      <c r="AO344" t="s">
        <v>93</v>
      </c>
      <c r="AP344" t="s">
        <v>93</v>
      </c>
      <c r="AQ344" t="s">
        <v>95</v>
      </c>
      <c r="AR344" t="s">
        <v>95</v>
      </c>
      <c r="AS344" t="s">
        <v>95</v>
      </c>
      <c r="AT344" t="s">
        <v>95</v>
      </c>
      <c r="AU344" t="s">
        <v>94</v>
      </c>
      <c r="AV344" t="s">
        <v>94</v>
      </c>
      <c r="AW344" t="s">
        <v>95</v>
      </c>
      <c r="AX344" t="s">
        <v>92</v>
      </c>
      <c r="AY344" t="s">
        <v>94</v>
      </c>
      <c r="AZ344" t="s">
        <v>94</v>
      </c>
      <c r="BA344" t="s">
        <v>92</v>
      </c>
      <c r="BB344" t="s">
        <v>92</v>
      </c>
      <c r="BC344" t="s">
        <v>92</v>
      </c>
      <c r="BD344" t="s">
        <v>93</v>
      </c>
      <c r="BE344" t="s">
        <v>93</v>
      </c>
      <c r="BF344" t="s">
        <v>95</v>
      </c>
      <c r="BG344" t="s">
        <v>95</v>
      </c>
      <c r="BH344" t="s">
        <v>95</v>
      </c>
    </row>
    <row r="345" spans="1:60" x14ac:dyDescent="0.3">
      <c r="A345" t="s">
        <v>268</v>
      </c>
      <c r="B345" t="s">
        <v>70</v>
      </c>
      <c r="C345" t="s">
        <v>153</v>
      </c>
      <c r="D345" t="s">
        <v>97</v>
      </c>
      <c r="E345" t="s">
        <v>108</v>
      </c>
      <c r="F345" t="s">
        <v>74</v>
      </c>
      <c r="G345" t="s">
        <v>115</v>
      </c>
      <c r="H345" t="s">
        <v>74</v>
      </c>
      <c r="I345" t="s">
        <v>75</v>
      </c>
      <c r="J345" t="s">
        <v>77</v>
      </c>
      <c r="K345" t="s">
        <v>78</v>
      </c>
      <c r="L345" t="s">
        <v>79</v>
      </c>
      <c r="M345" t="s">
        <v>132</v>
      </c>
      <c r="N345" t="s">
        <v>79</v>
      </c>
      <c r="O345" t="s">
        <v>117</v>
      </c>
      <c r="P345" t="s">
        <v>79</v>
      </c>
      <c r="Q345" t="s">
        <v>83</v>
      </c>
      <c r="R345" t="s">
        <v>79</v>
      </c>
      <c r="S345" t="s">
        <v>84</v>
      </c>
      <c r="T345" t="s">
        <v>269</v>
      </c>
      <c r="U345" t="s">
        <v>82</v>
      </c>
      <c r="V345" t="s">
        <v>86</v>
      </c>
      <c r="W345" t="s">
        <v>87</v>
      </c>
      <c r="X345" t="s">
        <v>112</v>
      </c>
      <c r="Y345" t="s">
        <v>94</v>
      </c>
      <c r="Z345" t="s">
        <v>93</v>
      </c>
      <c r="AA345" t="s">
        <v>93</v>
      </c>
      <c r="AB345" t="s">
        <v>93</v>
      </c>
      <c r="AC345" t="s">
        <v>92</v>
      </c>
      <c r="AD345" t="s">
        <v>92</v>
      </c>
      <c r="AE345" t="s">
        <v>95</v>
      </c>
      <c r="AF345" t="s">
        <v>93</v>
      </c>
      <c r="AG345" t="s">
        <v>92</v>
      </c>
      <c r="AH345" t="s">
        <v>93</v>
      </c>
      <c r="AI345" t="s">
        <v>92</v>
      </c>
      <c r="AJ345" t="s">
        <v>92</v>
      </c>
      <c r="AK345" t="s">
        <v>93</v>
      </c>
      <c r="AL345" t="s">
        <v>94</v>
      </c>
      <c r="AM345" t="s">
        <v>92</v>
      </c>
      <c r="AN345" t="s">
        <v>93</v>
      </c>
      <c r="AO345" t="s">
        <v>93</v>
      </c>
      <c r="AP345" t="s">
        <v>93</v>
      </c>
      <c r="AQ345" t="s">
        <v>95</v>
      </c>
      <c r="AR345" t="s">
        <v>95</v>
      </c>
      <c r="AS345" t="s">
        <v>95</v>
      </c>
      <c r="AT345" t="s">
        <v>95</v>
      </c>
      <c r="AU345" t="s">
        <v>92</v>
      </c>
      <c r="AV345" t="s">
        <v>93</v>
      </c>
      <c r="AW345" t="s">
        <v>92</v>
      </c>
      <c r="AX345" t="s">
        <v>94</v>
      </c>
      <c r="AY345" t="s">
        <v>94</v>
      </c>
      <c r="AZ345" t="s">
        <v>95</v>
      </c>
      <c r="BA345" t="s">
        <v>93</v>
      </c>
      <c r="BB345" t="s">
        <v>93</v>
      </c>
      <c r="BC345" t="s">
        <v>93</v>
      </c>
      <c r="BD345" t="s">
        <v>93</v>
      </c>
      <c r="BE345" t="s">
        <v>92</v>
      </c>
      <c r="BF345" t="s">
        <v>94</v>
      </c>
      <c r="BG345" t="s">
        <v>92</v>
      </c>
      <c r="BH345" t="s">
        <v>92</v>
      </c>
    </row>
    <row r="346" spans="1:60" x14ac:dyDescent="0.3">
      <c r="A346">
        <v>25</v>
      </c>
      <c r="B346" t="s">
        <v>70</v>
      </c>
      <c r="C346" t="s">
        <v>153</v>
      </c>
      <c r="D346" t="s">
        <v>149</v>
      </c>
      <c r="E346" t="s">
        <v>73</v>
      </c>
      <c r="F346" t="s">
        <v>74</v>
      </c>
      <c r="G346" t="s">
        <v>75</v>
      </c>
      <c r="H346" t="s">
        <v>74</v>
      </c>
      <c r="I346" t="s">
        <v>115</v>
      </c>
      <c r="J346" t="s">
        <v>77</v>
      </c>
      <c r="K346" t="s">
        <v>131</v>
      </c>
      <c r="L346" t="s">
        <v>79</v>
      </c>
      <c r="M346" t="s">
        <v>132</v>
      </c>
      <c r="N346" t="s">
        <v>79</v>
      </c>
      <c r="O346" t="s">
        <v>109</v>
      </c>
      <c r="P346" t="s">
        <v>79</v>
      </c>
      <c r="Q346" t="s">
        <v>83</v>
      </c>
      <c r="R346" t="s">
        <v>79</v>
      </c>
      <c r="S346" t="s">
        <v>145</v>
      </c>
      <c r="T346" t="s">
        <v>152</v>
      </c>
      <c r="U346" t="s">
        <v>79</v>
      </c>
      <c r="V346" t="s">
        <v>86</v>
      </c>
      <c r="W346" t="s">
        <v>120</v>
      </c>
      <c r="X346" t="s">
        <v>112</v>
      </c>
      <c r="Y346" t="s">
        <v>92</v>
      </c>
      <c r="Z346" t="s">
        <v>93</v>
      </c>
      <c r="AA346" t="s">
        <v>93</v>
      </c>
      <c r="AB346" t="s">
        <v>93</v>
      </c>
      <c r="AC346" t="s">
        <v>93</v>
      </c>
      <c r="AD346" t="s">
        <v>93</v>
      </c>
      <c r="AE346" t="s">
        <v>94</v>
      </c>
      <c r="AF346" t="s">
        <v>93</v>
      </c>
      <c r="AG346" t="s">
        <v>92</v>
      </c>
      <c r="AH346" t="s">
        <v>95</v>
      </c>
      <c r="AI346" t="s">
        <v>94</v>
      </c>
      <c r="AJ346" t="s">
        <v>94</v>
      </c>
      <c r="AK346" t="s">
        <v>92</v>
      </c>
      <c r="AL346" t="s">
        <v>92</v>
      </c>
      <c r="AM346" t="s">
        <v>92</v>
      </c>
      <c r="AN346" t="s">
        <v>93</v>
      </c>
      <c r="AO346" t="s">
        <v>93</v>
      </c>
      <c r="AP346" t="s">
        <v>93</v>
      </c>
      <c r="AQ346" t="s">
        <v>93</v>
      </c>
      <c r="AR346" t="s">
        <v>93</v>
      </c>
      <c r="AS346" t="s">
        <v>93</v>
      </c>
      <c r="AT346" t="s">
        <v>93</v>
      </c>
      <c r="AU346" t="s">
        <v>94</v>
      </c>
      <c r="AV346" t="s">
        <v>94</v>
      </c>
      <c r="AW346" t="s">
        <v>94</v>
      </c>
      <c r="AX346" t="s">
        <v>94</v>
      </c>
      <c r="AY346" t="s">
        <v>94</v>
      </c>
      <c r="AZ346" t="s">
        <v>94</v>
      </c>
      <c r="BA346" t="s">
        <v>93</v>
      </c>
      <c r="BB346" t="s">
        <v>93</v>
      </c>
      <c r="BC346" t="s">
        <v>93</v>
      </c>
      <c r="BD346" t="s">
        <v>93</v>
      </c>
      <c r="BE346" t="s">
        <v>93</v>
      </c>
      <c r="BF346" t="s">
        <v>93</v>
      </c>
      <c r="BG346" t="s">
        <v>93</v>
      </c>
      <c r="BH346" t="s">
        <v>93</v>
      </c>
    </row>
    <row r="347" spans="1:60" x14ac:dyDescent="0.3">
      <c r="A347">
        <v>23</v>
      </c>
      <c r="B347" t="s">
        <v>70</v>
      </c>
      <c r="C347" t="s">
        <v>71</v>
      </c>
      <c r="D347" t="s">
        <v>72</v>
      </c>
      <c r="E347" t="s">
        <v>114</v>
      </c>
      <c r="F347" t="s">
        <v>98</v>
      </c>
      <c r="G347" t="s">
        <v>135</v>
      </c>
      <c r="H347" t="s">
        <v>98</v>
      </c>
      <c r="I347" t="s">
        <v>76</v>
      </c>
      <c r="J347" t="s">
        <v>77</v>
      </c>
      <c r="K347" t="s">
        <v>125</v>
      </c>
      <c r="L347" t="s">
        <v>79</v>
      </c>
      <c r="M347" t="s">
        <v>201</v>
      </c>
      <c r="N347" t="s">
        <v>79</v>
      </c>
      <c r="O347" t="s">
        <v>109</v>
      </c>
      <c r="P347" t="s">
        <v>79</v>
      </c>
      <c r="Q347" t="s">
        <v>103</v>
      </c>
      <c r="R347" t="s">
        <v>79</v>
      </c>
      <c r="S347" t="s">
        <v>84</v>
      </c>
      <c r="T347" t="s">
        <v>124</v>
      </c>
      <c r="U347" t="s">
        <v>82</v>
      </c>
      <c r="V347" t="s">
        <v>106</v>
      </c>
      <c r="W347" t="s">
        <v>87</v>
      </c>
      <c r="X347" t="s">
        <v>112</v>
      </c>
      <c r="Y347" t="s">
        <v>92</v>
      </c>
      <c r="Z347" t="s">
        <v>93</v>
      </c>
      <c r="AA347" t="s">
        <v>93</v>
      </c>
      <c r="AB347" t="s">
        <v>93</v>
      </c>
      <c r="AC347" t="s">
        <v>94</v>
      </c>
      <c r="AD347" t="s">
        <v>92</v>
      </c>
      <c r="AE347" t="s">
        <v>94</v>
      </c>
      <c r="AF347" t="s">
        <v>92</v>
      </c>
      <c r="AG347" t="s">
        <v>92</v>
      </c>
      <c r="AH347" t="s">
        <v>93</v>
      </c>
      <c r="AI347" t="s">
        <v>93</v>
      </c>
      <c r="AJ347" t="s">
        <v>93</v>
      </c>
      <c r="AK347" t="s">
        <v>94</v>
      </c>
      <c r="AL347" t="s">
        <v>95</v>
      </c>
      <c r="AM347" t="s">
        <v>94</v>
      </c>
      <c r="AN347" t="s">
        <v>93</v>
      </c>
      <c r="AO347" t="s">
        <v>93</v>
      </c>
      <c r="AP347" t="s">
        <v>92</v>
      </c>
      <c r="AQ347" t="s">
        <v>92</v>
      </c>
      <c r="AR347" t="s">
        <v>94</v>
      </c>
      <c r="AS347" t="s">
        <v>94</v>
      </c>
      <c r="AT347" t="s">
        <v>94</v>
      </c>
      <c r="AU347" t="s">
        <v>92</v>
      </c>
      <c r="AV347" t="s">
        <v>94</v>
      </c>
      <c r="AW347" t="s">
        <v>94</v>
      </c>
      <c r="AX347" t="s">
        <v>92</v>
      </c>
      <c r="AY347" t="s">
        <v>94</v>
      </c>
      <c r="AZ347" t="s">
        <v>94</v>
      </c>
      <c r="BA347" t="s">
        <v>93</v>
      </c>
      <c r="BB347" t="s">
        <v>92</v>
      </c>
      <c r="BC347" t="s">
        <v>94</v>
      </c>
      <c r="BD347" t="s">
        <v>92</v>
      </c>
      <c r="BE347" t="s">
        <v>94</v>
      </c>
      <c r="BF347" t="s">
        <v>92</v>
      </c>
      <c r="BG347" t="s">
        <v>95</v>
      </c>
      <c r="BH347" t="s">
        <v>92</v>
      </c>
    </row>
    <row r="348" spans="1:60" x14ac:dyDescent="0.3">
      <c r="A348">
        <v>23</v>
      </c>
      <c r="B348" t="s">
        <v>70</v>
      </c>
      <c r="C348" t="s">
        <v>113</v>
      </c>
      <c r="D348" t="s">
        <v>72</v>
      </c>
      <c r="E348" t="s">
        <v>108</v>
      </c>
      <c r="F348" t="s">
        <v>74</v>
      </c>
      <c r="G348" t="s">
        <v>115</v>
      </c>
      <c r="H348" t="s">
        <v>74</v>
      </c>
      <c r="I348" t="s">
        <v>115</v>
      </c>
      <c r="J348" t="s">
        <v>77</v>
      </c>
      <c r="K348" t="s">
        <v>122</v>
      </c>
      <c r="L348" t="s">
        <v>79</v>
      </c>
      <c r="M348" t="s">
        <v>102</v>
      </c>
      <c r="N348" t="s">
        <v>79</v>
      </c>
      <c r="O348" t="s">
        <v>81</v>
      </c>
      <c r="P348" t="s">
        <v>82</v>
      </c>
      <c r="Q348" t="s">
        <v>83</v>
      </c>
      <c r="R348" t="s">
        <v>79</v>
      </c>
      <c r="S348" t="s">
        <v>84</v>
      </c>
      <c r="T348" t="s">
        <v>233</v>
      </c>
      <c r="U348" t="s">
        <v>82</v>
      </c>
      <c r="V348" t="s">
        <v>86</v>
      </c>
      <c r="W348" t="s">
        <v>141</v>
      </c>
      <c r="X348" t="s">
        <v>112</v>
      </c>
      <c r="Y348" t="s">
        <v>92</v>
      </c>
      <c r="Z348" t="s">
        <v>92</v>
      </c>
      <c r="AA348" t="s">
        <v>92</v>
      </c>
      <c r="AB348" t="s">
        <v>92</v>
      </c>
      <c r="AC348" t="s">
        <v>92</v>
      </c>
      <c r="AD348" t="s">
        <v>92</v>
      </c>
      <c r="AE348" t="s">
        <v>92</v>
      </c>
      <c r="AF348" t="s">
        <v>92</v>
      </c>
      <c r="AG348" t="s">
        <v>92</v>
      </c>
      <c r="AH348" t="s">
        <v>92</v>
      </c>
      <c r="AI348" t="s">
        <v>92</v>
      </c>
      <c r="AJ348" t="s">
        <v>92</v>
      </c>
      <c r="AK348" t="s">
        <v>92</v>
      </c>
      <c r="AL348" t="s">
        <v>92</v>
      </c>
      <c r="AM348" t="s">
        <v>92</v>
      </c>
      <c r="AN348" t="s">
        <v>92</v>
      </c>
      <c r="AO348" t="s">
        <v>92</v>
      </c>
      <c r="AP348" t="s">
        <v>92</v>
      </c>
      <c r="AQ348" t="s">
        <v>92</v>
      </c>
      <c r="AR348" t="s">
        <v>92</v>
      </c>
      <c r="AS348" t="s">
        <v>92</v>
      </c>
      <c r="AT348" t="s">
        <v>92</v>
      </c>
      <c r="AU348" t="s">
        <v>92</v>
      </c>
      <c r="AV348" t="s">
        <v>92</v>
      </c>
      <c r="AW348" t="s">
        <v>92</v>
      </c>
      <c r="AX348" t="s">
        <v>92</v>
      </c>
      <c r="AY348" t="s">
        <v>92</v>
      </c>
      <c r="AZ348" t="s">
        <v>92</v>
      </c>
      <c r="BA348" t="s">
        <v>92</v>
      </c>
      <c r="BB348" t="s">
        <v>92</v>
      </c>
      <c r="BC348" t="s">
        <v>92</v>
      </c>
      <c r="BD348" t="s">
        <v>92</v>
      </c>
      <c r="BE348" t="s">
        <v>92</v>
      </c>
      <c r="BF348" t="s">
        <v>92</v>
      </c>
      <c r="BG348" t="s">
        <v>92</v>
      </c>
      <c r="BH348" t="s">
        <v>92</v>
      </c>
    </row>
    <row r="349" spans="1:60" x14ac:dyDescent="0.3">
      <c r="A349">
        <v>22</v>
      </c>
      <c r="B349" t="s">
        <v>70</v>
      </c>
      <c r="C349" t="s">
        <v>96</v>
      </c>
      <c r="D349" t="s">
        <v>72</v>
      </c>
      <c r="E349" t="s">
        <v>114</v>
      </c>
      <c r="F349" t="s">
        <v>74</v>
      </c>
      <c r="G349" t="s">
        <v>135</v>
      </c>
      <c r="H349" t="s">
        <v>74</v>
      </c>
      <c r="I349" t="s">
        <v>76</v>
      </c>
      <c r="J349" t="s">
        <v>77</v>
      </c>
      <c r="K349" t="s">
        <v>122</v>
      </c>
      <c r="L349" t="s">
        <v>79</v>
      </c>
      <c r="M349" t="s">
        <v>102</v>
      </c>
      <c r="N349" t="s">
        <v>79</v>
      </c>
      <c r="O349" t="s">
        <v>81</v>
      </c>
      <c r="P349" t="s">
        <v>79</v>
      </c>
      <c r="Q349" t="s">
        <v>83</v>
      </c>
      <c r="R349" t="s">
        <v>79</v>
      </c>
      <c r="S349" t="s">
        <v>84</v>
      </c>
      <c r="T349" t="s">
        <v>190</v>
      </c>
      <c r="U349" t="s">
        <v>82</v>
      </c>
      <c r="V349" t="s">
        <v>86</v>
      </c>
      <c r="W349" t="s">
        <v>141</v>
      </c>
      <c r="X349" t="s">
        <v>112</v>
      </c>
      <c r="Y349" t="s">
        <v>92</v>
      </c>
      <c r="Z349" t="s">
        <v>92</v>
      </c>
      <c r="AA349" t="s">
        <v>92</v>
      </c>
      <c r="AB349" t="s">
        <v>92</v>
      </c>
      <c r="AC349" t="s">
        <v>92</v>
      </c>
      <c r="AD349" t="s">
        <v>92</v>
      </c>
      <c r="AE349" t="s">
        <v>92</v>
      </c>
      <c r="AF349" t="s">
        <v>92</v>
      </c>
      <c r="AG349" t="s">
        <v>92</v>
      </c>
      <c r="AH349" t="s">
        <v>92</v>
      </c>
      <c r="AI349" t="s">
        <v>92</v>
      </c>
      <c r="AJ349" t="s">
        <v>92</v>
      </c>
      <c r="AK349" t="s">
        <v>92</v>
      </c>
      <c r="AL349" t="s">
        <v>92</v>
      </c>
      <c r="AM349" t="s">
        <v>92</v>
      </c>
      <c r="AN349" t="s">
        <v>92</v>
      </c>
      <c r="AO349" t="s">
        <v>92</v>
      </c>
      <c r="AP349" t="s">
        <v>92</v>
      </c>
      <c r="AQ349" t="s">
        <v>92</v>
      </c>
      <c r="AR349" t="s">
        <v>92</v>
      </c>
      <c r="AS349" t="s">
        <v>92</v>
      </c>
      <c r="AT349" t="s">
        <v>92</v>
      </c>
      <c r="AU349" t="s">
        <v>92</v>
      </c>
      <c r="AV349" t="s">
        <v>92</v>
      </c>
      <c r="AW349" t="s">
        <v>92</v>
      </c>
      <c r="AX349" t="s">
        <v>92</v>
      </c>
      <c r="AY349" t="s">
        <v>92</v>
      </c>
      <c r="AZ349" t="s">
        <v>92</v>
      </c>
      <c r="BA349" t="s">
        <v>92</v>
      </c>
      <c r="BB349" t="s">
        <v>92</v>
      </c>
      <c r="BC349" t="s">
        <v>92</v>
      </c>
      <c r="BD349" t="s">
        <v>92</v>
      </c>
      <c r="BE349" t="s">
        <v>92</v>
      </c>
      <c r="BF349" t="s">
        <v>92</v>
      </c>
      <c r="BG349" t="s">
        <v>92</v>
      </c>
      <c r="BH349" t="s">
        <v>92</v>
      </c>
    </row>
    <row r="350" spans="1:60" x14ac:dyDescent="0.3">
      <c r="A350">
        <v>22</v>
      </c>
      <c r="B350" t="s">
        <v>70</v>
      </c>
      <c r="C350" t="s">
        <v>113</v>
      </c>
      <c r="D350" t="s">
        <v>72</v>
      </c>
      <c r="E350" t="s">
        <v>73</v>
      </c>
      <c r="F350" t="s">
        <v>74</v>
      </c>
      <c r="G350" t="s">
        <v>115</v>
      </c>
      <c r="H350" t="s">
        <v>136</v>
      </c>
      <c r="I350" t="s">
        <v>76</v>
      </c>
      <c r="J350" t="s">
        <v>77</v>
      </c>
      <c r="K350" t="s">
        <v>122</v>
      </c>
      <c r="L350" t="s">
        <v>82</v>
      </c>
      <c r="M350" t="s">
        <v>80</v>
      </c>
      <c r="N350" t="s">
        <v>79</v>
      </c>
      <c r="O350" t="s">
        <v>81</v>
      </c>
      <c r="P350" t="s">
        <v>79</v>
      </c>
      <c r="Q350" t="s">
        <v>103</v>
      </c>
      <c r="R350" t="s">
        <v>79</v>
      </c>
      <c r="S350" t="s">
        <v>84</v>
      </c>
      <c r="T350" t="s">
        <v>139</v>
      </c>
      <c r="U350" t="s">
        <v>79</v>
      </c>
      <c r="V350" t="s">
        <v>86</v>
      </c>
      <c r="W350" t="s">
        <v>141</v>
      </c>
      <c r="X350" t="s">
        <v>112</v>
      </c>
      <c r="Y350" t="s">
        <v>93</v>
      </c>
      <c r="Z350" t="s">
        <v>92</v>
      </c>
      <c r="AA350" t="s">
        <v>93</v>
      </c>
      <c r="AB350" t="s">
        <v>93</v>
      </c>
      <c r="AC350" t="s">
        <v>92</v>
      </c>
      <c r="AD350" t="s">
        <v>94</v>
      </c>
      <c r="AE350" t="s">
        <v>94</v>
      </c>
      <c r="AF350" t="s">
        <v>93</v>
      </c>
      <c r="AG350" t="s">
        <v>92</v>
      </c>
      <c r="AH350" t="s">
        <v>93</v>
      </c>
      <c r="AI350" t="s">
        <v>93</v>
      </c>
      <c r="AJ350" t="s">
        <v>93</v>
      </c>
      <c r="AK350" t="s">
        <v>93</v>
      </c>
      <c r="AL350" t="s">
        <v>95</v>
      </c>
      <c r="AM350" t="s">
        <v>95</v>
      </c>
      <c r="AN350" t="s">
        <v>93</v>
      </c>
      <c r="AO350" t="s">
        <v>93</v>
      </c>
      <c r="AP350" t="s">
        <v>93</v>
      </c>
      <c r="AQ350" t="s">
        <v>95</v>
      </c>
      <c r="AR350" t="s">
        <v>95</v>
      </c>
      <c r="AS350" t="s">
        <v>95</v>
      </c>
      <c r="AT350" t="s">
        <v>95</v>
      </c>
      <c r="AU350" t="s">
        <v>92</v>
      </c>
      <c r="AV350" t="s">
        <v>92</v>
      </c>
      <c r="AW350" t="s">
        <v>94</v>
      </c>
      <c r="AX350" t="s">
        <v>94</v>
      </c>
      <c r="AY350" t="s">
        <v>95</v>
      </c>
      <c r="AZ350" t="s">
        <v>95</v>
      </c>
      <c r="BA350" t="s">
        <v>93</v>
      </c>
      <c r="BB350" t="s">
        <v>93</v>
      </c>
      <c r="BC350" t="s">
        <v>93</v>
      </c>
      <c r="BD350" t="s">
        <v>93</v>
      </c>
      <c r="BE350" t="s">
        <v>93</v>
      </c>
      <c r="BF350" t="s">
        <v>95</v>
      </c>
      <c r="BG350" t="s">
        <v>94</v>
      </c>
      <c r="BH350" t="s">
        <v>95</v>
      </c>
    </row>
    <row r="351" spans="1:60" x14ac:dyDescent="0.3">
      <c r="A351">
        <v>21</v>
      </c>
      <c r="B351" t="s">
        <v>70</v>
      </c>
      <c r="C351" t="s">
        <v>96</v>
      </c>
      <c r="D351" t="s">
        <v>72</v>
      </c>
      <c r="E351" t="s">
        <v>114</v>
      </c>
      <c r="F351" t="s">
        <v>74</v>
      </c>
      <c r="G351" t="s">
        <v>75</v>
      </c>
      <c r="H351" t="s">
        <v>100</v>
      </c>
      <c r="I351" t="s">
        <v>76</v>
      </c>
      <c r="J351" t="s">
        <v>77</v>
      </c>
      <c r="K351" t="s">
        <v>122</v>
      </c>
      <c r="L351" t="s">
        <v>79</v>
      </c>
      <c r="M351" t="s">
        <v>80</v>
      </c>
      <c r="N351" t="s">
        <v>82</v>
      </c>
      <c r="O351" t="s">
        <v>81</v>
      </c>
      <c r="P351" t="s">
        <v>79</v>
      </c>
      <c r="Q351" t="s">
        <v>103</v>
      </c>
      <c r="R351" t="s">
        <v>79</v>
      </c>
      <c r="S351" t="s">
        <v>84</v>
      </c>
      <c r="T351" t="s">
        <v>147</v>
      </c>
      <c r="U351" t="s">
        <v>82</v>
      </c>
      <c r="V351" t="s">
        <v>148</v>
      </c>
      <c r="W351" t="s">
        <v>141</v>
      </c>
      <c r="X351" t="s">
        <v>88</v>
      </c>
      <c r="Y351" t="s">
        <v>92</v>
      </c>
      <c r="Z351" t="s">
        <v>92</v>
      </c>
      <c r="AA351" t="s">
        <v>93</v>
      </c>
      <c r="AB351" t="s">
        <v>92</v>
      </c>
      <c r="AC351" t="s">
        <v>94</v>
      </c>
      <c r="AD351" t="s">
        <v>94</v>
      </c>
      <c r="AE351" t="s">
        <v>95</v>
      </c>
      <c r="AF351" t="s">
        <v>94</v>
      </c>
      <c r="AG351" t="s">
        <v>95</v>
      </c>
      <c r="AH351" t="s">
        <v>95</v>
      </c>
      <c r="AI351" t="s">
        <v>93</v>
      </c>
      <c r="AJ351" t="s">
        <v>92</v>
      </c>
      <c r="AK351" t="s">
        <v>92</v>
      </c>
      <c r="AL351" t="s">
        <v>95</v>
      </c>
      <c r="AM351" t="s">
        <v>94</v>
      </c>
      <c r="AN351" t="s">
        <v>93</v>
      </c>
      <c r="AO351" t="s">
        <v>93</v>
      </c>
      <c r="AP351" t="s">
        <v>93</v>
      </c>
      <c r="AQ351" t="s">
        <v>94</v>
      </c>
      <c r="AR351" t="s">
        <v>94</v>
      </c>
      <c r="AS351" t="s">
        <v>95</v>
      </c>
      <c r="AT351" t="s">
        <v>95</v>
      </c>
      <c r="AU351" t="s">
        <v>94</v>
      </c>
      <c r="AV351" t="s">
        <v>94</v>
      </c>
      <c r="AW351" t="s">
        <v>92</v>
      </c>
      <c r="AX351" t="s">
        <v>94</v>
      </c>
      <c r="AY351" t="s">
        <v>94</v>
      </c>
      <c r="AZ351" t="s">
        <v>94</v>
      </c>
      <c r="BA351" t="s">
        <v>95</v>
      </c>
      <c r="BB351" t="s">
        <v>95</v>
      </c>
      <c r="BC351" t="s">
        <v>95</v>
      </c>
      <c r="BD351" t="s">
        <v>95</v>
      </c>
      <c r="BE351" t="s">
        <v>95</v>
      </c>
      <c r="BF351" t="s">
        <v>95</v>
      </c>
      <c r="BG351" t="s">
        <v>95</v>
      </c>
      <c r="BH351" t="s">
        <v>95</v>
      </c>
    </row>
    <row r="352" spans="1:60" x14ac:dyDescent="0.3">
      <c r="A352">
        <v>21</v>
      </c>
      <c r="B352" t="s">
        <v>70</v>
      </c>
      <c r="C352" t="s">
        <v>96</v>
      </c>
      <c r="D352" t="s">
        <v>72</v>
      </c>
      <c r="E352" t="s">
        <v>114</v>
      </c>
      <c r="F352" t="s">
        <v>165</v>
      </c>
      <c r="G352" t="s">
        <v>75</v>
      </c>
      <c r="H352" t="s">
        <v>98</v>
      </c>
      <c r="I352" t="s">
        <v>76</v>
      </c>
      <c r="J352" t="s">
        <v>77</v>
      </c>
      <c r="K352" t="s">
        <v>125</v>
      </c>
      <c r="L352" t="s">
        <v>79</v>
      </c>
      <c r="M352" t="s">
        <v>80</v>
      </c>
      <c r="N352" t="s">
        <v>79</v>
      </c>
      <c r="O352" t="s">
        <v>109</v>
      </c>
      <c r="P352" t="s">
        <v>79</v>
      </c>
      <c r="Q352" t="s">
        <v>83</v>
      </c>
      <c r="R352" t="s">
        <v>79</v>
      </c>
      <c r="S352" t="s">
        <v>84</v>
      </c>
      <c r="T352" t="s">
        <v>130</v>
      </c>
      <c r="U352" t="s">
        <v>82</v>
      </c>
      <c r="V352" t="s">
        <v>106</v>
      </c>
      <c r="W352" t="s">
        <v>87</v>
      </c>
      <c r="X352" t="s">
        <v>112</v>
      </c>
      <c r="Y352" t="s">
        <v>93</v>
      </c>
      <c r="Z352" t="s">
        <v>93</v>
      </c>
      <c r="AA352" t="s">
        <v>93</v>
      </c>
      <c r="AB352" t="s">
        <v>93</v>
      </c>
      <c r="AC352" t="s">
        <v>95</v>
      </c>
      <c r="AD352" t="s">
        <v>95</v>
      </c>
      <c r="AE352" t="s">
        <v>92</v>
      </c>
      <c r="AF352" t="s">
        <v>95</v>
      </c>
      <c r="AG352" t="s">
        <v>95</v>
      </c>
      <c r="AH352" t="s">
        <v>95</v>
      </c>
      <c r="AI352" t="s">
        <v>93</v>
      </c>
      <c r="AJ352" t="s">
        <v>95</v>
      </c>
      <c r="AK352" t="s">
        <v>95</v>
      </c>
      <c r="AL352" t="s">
        <v>92</v>
      </c>
      <c r="AM352" t="s">
        <v>94</v>
      </c>
      <c r="AN352" t="s">
        <v>92</v>
      </c>
      <c r="AO352" t="s">
        <v>92</v>
      </c>
      <c r="AP352" t="s">
        <v>92</v>
      </c>
      <c r="AQ352" t="s">
        <v>93</v>
      </c>
      <c r="AR352" t="s">
        <v>93</v>
      </c>
      <c r="AS352" t="s">
        <v>95</v>
      </c>
      <c r="AT352" t="s">
        <v>95</v>
      </c>
      <c r="AU352" t="s">
        <v>95</v>
      </c>
      <c r="AV352" t="s">
        <v>95</v>
      </c>
      <c r="AW352" t="s">
        <v>93</v>
      </c>
      <c r="AX352" t="s">
        <v>92</v>
      </c>
      <c r="AY352" t="s">
        <v>94</v>
      </c>
      <c r="AZ352" t="s">
        <v>94</v>
      </c>
      <c r="BA352" t="s">
        <v>93</v>
      </c>
      <c r="BB352" t="s">
        <v>93</v>
      </c>
      <c r="BC352" t="s">
        <v>93</v>
      </c>
      <c r="BD352" t="s">
        <v>94</v>
      </c>
      <c r="BE352" t="s">
        <v>94</v>
      </c>
      <c r="BF352" t="s">
        <v>94</v>
      </c>
      <c r="BG352" t="s">
        <v>94</v>
      </c>
      <c r="BH352" t="s">
        <v>95</v>
      </c>
    </row>
    <row r="353" spans="1:60" x14ac:dyDescent="0.3">
      <c r="A353">
        <v>21</v>
      </c>
      <c r="B353" t="s">
        <v>70</v>
      </c>
      <c r="C353" t="s">
        <v>96</v>
      </c>
      <c r="D353" t="s">
        <v>72</v>
      </c>
      <c r="E353" t="s">
        <v>114</v>
      </c>
      <c r="F353" t="s">
        <v>136</v>
      </c>
      <c r="G353" t="s">
        <v>75</v>
      </c>
      <c r="H353" t="s">
        <v>98</v>
      </c>
      <c r="I353" t="s">
        <v>76</v>
      </c>
      <c r="J353" t="s">
        <v>77</v>
      </c>
      <c r="K353" t="s">
        <v>122</v>
      </c>
      <c r="L353" t="s">
        <v>79</v>
      </c>
      <c r="M353" t="s">
        <v>80</v>
      </c>
      <c r="N353" t="s">
        <v>79</v>
      </c>
      <c r="O353" t="s">
        <v>117</v>
      </c>
      <c r="P353" t="s">
        <v>79</v>
      </c>
      <c r="Q353" t="s">
        <v>83</v>
      </c>
      <c r="R353" t="s">
        <v>79</v>
      </c>
      <c r="S353" t="s">
        <v>84</v>
      </c>
      <c r="T353" t="s">
        <v>164</v>
      </c>
      <c r="U353" t="s">
        <v>82</v>
      </c>
      <c r="V353" t="s">
        <v>106</v>
      </c>
      <c r="W353" t="s">
        <v>120</v>
      </c>
      <c r="X353" t="s">
        <v>112</v>
      </c>
      <c r="Y353" t="s">
        <v>94</v>
      </c>
      <c r="Z353" t="s">
        <v>92</v>
      </c>
      <c r="AA353" t="s">
        <v>92</v>
      </c>
      <c r="AB353" t="s">
        <v>95</v>
      </c>
      <c r="AC353" t="s">
        <v>93</v>
      </c>
      <c r="AD353" t="s">
        <v>93</v>
      </c>
      <c r="AE353" t="s">
        <v>93</v>
      </c>
      <c r="AF353" t="s">
        <v>95</v>
      </c>
      <c r="AG353" t="s">
        <v>94</v>
      </c>
      <c r="AH353" t="s">
        <v>93</v>
      </c>
      <c r="AI353" t="s">
        <v>93</v>
      </c>
      <c r="AJ353" t="s">
        <v>93</v>
      </c>
      <c r="AK353" t="s">
        <v>94</v>
      </c>
      <c r="AL353" t="s">
        <v>93</v>
      </c>
      <c r="AM353" t="s">
        <v>93</v>
      </c>
      <c r="AN353" t="s">
        <v>92</v>
      </c>
      <c r="AO353" t="s">
        <v>93</v>
      </c>
      <c r="AP353" t="s">
        <v>93</v>
      </c>
      <c r="AQ353" t="s">
        <v>94</v>
      </c>
      <c r="AR353" t="s">
        <v>94</v>
      </c>
      <c r="AS353" t="s">
        <v>95</v>
      </c>
      <c r="AT353" t="s">
        <v>94</v>
      </c>
      <c r="AU353" t="s">
        <v>95</v>
      </c>
      <c r="AV353" t="s">
        <v>94</v>
      </c>
      <c r="AW353" t="s">
        <v>92</v>
      </c>
      <c r="AX353" t="s">
        <v>95</v>
      </c>
      <c r="AY353" t="s">
        <v>95</v>
      </c>
      <c r="AZ353" t="s">
        <v>95</v>
      </c>
      <c r="BA353" t="s">
        <v>92</v>
      </c>
      <c r="BB353" t="s">
        <v>92</v>
      </c>
      <c r="BC353" t="s">
        <v>93</v>
      </c>
      <c r="BD353" t="s">
        <v>93</v>
      </c>
      <c r="BE353" t="s">
        <v>93</v>
      </c>
      <c r="BF353" t="s">
        <v>95</v>
      </c>
      <c r="BG353" t="s">
        <v>93</v>
      </c>
      <c r="BH353" t="s">
        <v>93</v>
      </c>
    </row>
    <row r="354" spans="1:60" x14ac:dyDescent="0.3">
      <c r="A354">
        <v>23</v>
      </c>
      <c r="B354" t="s">
        <v>70</v>
      </c>
      <c r="C354" t="s">
        <v>113</v>
      </c>
      <c r="D354" t="s">
        <v>72</v>
      </c>
      <c r="E354" t="s">
        <v>108</v>
      </c>
      <c r="F354" t="s">
        <v>74</v>
      </c>
      <c r="G354" t="s">
        <v>75</v>
      </c>
      <c r="H354" t="s">
        <v>74</v>
      </c>
      <c r="I354" t="s">
        <v>115</v>
      </c>
      <c r="J354" t="s">
        <v>77</v>
      </c>
      <c r="K354" t="s">
        <v>78</v>
      </c>
      <c r="L354" t="s">
        <v>79</v>
      </c>
      <c r="M354" t="s">
        <v>80</v>
      </c>
      <c r="N354" t="s">
        <v>79</v>
      </c>
      <c r="O354" t="s">
        <v>179</v>
      </c>
      <c r="P354" t="s">
        <v>79</v>
      </c>
      <c r="Q354" t="s">
        <v>83</v>
      </c>
      <c r="R354" t="s">
        <v>79</v>
      </c>
      <c r="S354" t="s">
        <v>84</v>
      </c>
      <c r="T354" t="s">
        <v>167</v>
      </c>
      <c r="U354" t="s">
        <v>79</v>
      </c>
      <c r="V354" t="s">
        <v>106</v>
      </c>
      <c r="W354" t="s">
        <v>141</v>
      </c>
      <c r="X354" t="s">
        <v>127</v>
      </c>
      <c r="Y354" t="s">
        <v>94</v>
      </c>
      <c r="Z354" t="s">
        <v>94</v>
      </c>
      <c r="AA354" t="s">
        <v>94</v>
      </c>
      <c r="AB354" t="s">
        <v>94</v>
      </c>
      <c r="AC354" t="s">
        <v>94</v>
      </c>
      <c r="AD354" t="s">
        <v>94</v>
      </c>
      <c r="AE354" t="s">
        <v>94</v>
      </c>
      <c r="AF354" t="s">
        <v>94</v>
      </c>
      <c r="AG354" t="s">
        <v>94</v>
      </c>
      <c r="AH354" t="s">
        <v>94</v>
      </c>
      <c r="AI354" t="s">
        <v>94</v>
      </c>
      <c r="AJ354" t="s">
        <v>94</v>
      </c>
      <c r="AK354" t="s">
        <v>94</v>
      </c>
      <c r="AL354" t="s">
        <v>94</v>
      </c>
      <c r="AM354" t="s">
        <v>94</v>
      </c>
      <c r="AN354" t="s">
        <v>92</v>
      </c>
      <c r="AO354" t="s">
        <v>92</v>
      </c>
      <c r="AP354" t="s">
        <v>92</v>
      </c>
      <c r="AQ354" t="s">
        <v>92</v>
      </c>
      <c r="AR354" t="s">
        <v>92</v>
      </c>
      <c r="AS354" t="s">
        <v>92</v>
      </c>
      <c r="AT354" t="s">
        <v>92</v>
      </c>
      <c r="AU354" t="s">
        <v>94</v>
      </c>
      <c r="AV354" t="s">
        <v>94</v>
      </c>
      <c r="AW354" t="s">
        <v>94</v>
      </c>
      <c r="AX354" t="s">
        <v>94</v>
      </c>
      <c r="AY354" t="s">
        <v>94</v>
      </c>
      <c r="AZ354" t="s">
        <v>94</v>
      </c>
      <c r="BA354" t="s">
        <v>92</v>
      </c>
      <c r="BB354" t="s">
        <v>92</v>
      </c>
      <c r="BC354" t="s">
        <v>92</v>
      </c>
      <c r="BD354" t="s">
        <v>92</v>
      </c>
      <c r="BE354" t="s">
        <v>92</v>
      </c>
      <c r="BF354" t="s">
        <v>92</v>
      </c>
      <c r="BG354" t="s">
        <v>92</v>
      </c>
      <c r="BH354" t="s">
        <v>92</v>
      </c>
    </row>
    <row r="355" spans="1:60" x14ac:dyDescent="0.3">
      <c r="A355">
        <v>24</v>
      </c>
      <c r="B355" t="s">
        <v>70</v>
      </c>
      <c r="C355" t="s">
        <v>96</v>
      </c>
      <c r="D355" t="s">
        <v>72</v>
      </c>
      <c r="E355" t="s">
        <v>73</v>
      </c>
      <c r="F355" t="s">
        <v>74</v>
      </c>
      <c r="G355" t="s">
        <v>115</v>
      </c>
      <c r="H355" t="s">
        <v>136</v>
      </c>
      <c r="I355" t="s">
        <v>76</v>
      </c>
      <c r="J355" t="s">
        <v>101</v>
      </c>
      <c r="K355" t="s">
        <v>125</v>
      </c>
      <c r="L355" t="s">
        <v>79</v>
      </c>
      <c r="M355" t="s">
        <v>80</v>
      </c>
      <c r="N355" t="s">
        <v>79</v>
      </c>
      <c r="O355" t="s">
        <v>117</v>
      </c>
      <c r="P355" t="s">
        <v>82</v>
      </c>
      <c r="Q355" t="s">
        <v>83</v>
      </c>
      <c r="R355" t="s">
        <v>82</v>
      </c>
      <c r="S355" t="s">
        <v>123</v>
      </c>
      <c r="T355" t="s">
        <v>159</v>
      </c>
      <c r="U355" t="s">
        <v>82</v>
      </c>
      <c r="V355" t="s">
        <v>106</v>
      </c>
      <c r="W355" t="s">
        <v>120</v>
      </c>
      <c r="X355" t="s">
        <v>112</v>
      </c>
      <c r="Y355" t="s">
        <v>94</v>
      </c>
      <c r="Z355" t="s">
        <v>92</v>
      </c>
      <c r="AA355" t="s">
        <v>93</v>
      </c>
      <c r="AB355" t="s">
        <v>93</v>
      </c>
      <c r="AC355" t="s">
        <v>94</v>
      </c>
      <c r="AD355" t="s">
        <v>94</v>
      </c>
      <c r="AE355" t="s">
        <v>95</v>
      </c>
      <c r="AF355" t="s">
        <v>92</v>
      </c>
      <c r="AG355" t="s">
        <v>94</v>
      </c>
      <c r="AH355" t="s">
        <v>94</v>
      </c>
      <c r="AI355" t="s">
        <v>93</v>
      </c>
      <c r="AJ355" t="s">
        <v>92</v>
      </c>
      <c r="AK355" t="s">
        <v>92</v>
      </c>
      <c r="AL355" t="s">
        <v>92</v>
      </c>
      <c r="AM355" t="s">
        <v>94</v>
      </c>
      <c r="AN355" t="s">
        <v>94</v>
      </c>
      <c r="AO355" t="s">
        <v>92</v>
      </c>
      <c r="AP355" t="s">
        <v>94</v>
      </c>
      <c r="AQ355" t="s">
        <v>92</v>
      </c>
      <c r="AR355" t="s">
        <v>92</v>
      </c>
      <c r="AS355" t="s">
        <v>94</v>
      </c>
      <c r="AT355" t="s">
        <v>94</v>
      </c>
      <c r="AU355" t="s">
        <v>92</v>
      </c>
      <c r="AV355" t="s">
        <v>94</v>
      </c>
      <c r="AW355" t="s">
        <v>92</v>
      </c>
      <c r="AX355" t="s">
        <v>94</v>
      </c>
      <c r="AY355" t="s">
        <v>92</v>
      </c>
      <c r="AZ355" t="s">
        <v>94</v>
      </c>
      <c r="BA355" t="s">
        <v>94</v>
      </c>
      <c r="BB355" t="s">
        <v>92</v>
      </c>
      <c r="BC355" t="s">
        <v>94</v>
      </c>
      <c r="BD355" t="s">
        <v>92</v>
      </c>
      <c r="BE355" t="s">
        <v>94</v>
      </c>
      <c r="BF355" t="s">
        <v>92</v>
      </c>
      <c r="BG355" t="s">
        <v>94</v>
      </c>
      <c r="BH355" t="s">
        <v>94</v>
      </c>
    </row>
    <row r="356" spans="1:60" x14ac:dyDescent="0.3">
      <c r="A356">
        <v>22</v>
      </c>
      <c r="B356" t="s">
        <v>70</v>
      </c>
      <c r="C356" t="s">
        <v>96</v>
      </c>
      <c r="D356" t="s">
        <v>72</v>
      </c>
      <c r="E356" t="s">
        <v>108</v>
      </c>
      <c r="F356" t="s">
        <v>74</v>
      </c>
      <c r="G356" t="s">
        <v>99</v>
      </c>
      <c r="H356" t="s">
        <v>98</v>
      </c>
      <c r="I356" t="s">
        <v>76</v>
      </c>
      <c r="J356" t="s">
        <v>101</v>
      </c>
      <c r="K356" t="s">
        <v>125</v>
      </c>
      <c r="L356" t="s">
        <v>82</v>
      </c>
      <c r="M356" t="s">
        <v>80</v>
      </c>
      <c r="N356" t="s">
        <v>79</v>
      </c>
      <c r="O356" t="s">
        <v>109</v>
      </c>
      <c r="P356" t="s">
        <v>82</v>
      </c>
      <c r="Q356" t="s">
        <v>103</v>
      </c>
      <c r="R356" t="s">
        <v>82</v>
      </c>
      <c r="S356" t="s">
        <v>84</v>
      </c>
      <c r="T356" t="s">
        <v>85</v>
      </c>
      <c r="U356" t="s">
        <v>82</v>
      </c>
      <c r="V356" t="s">
        <v>106</v>
      </c>
      <c r="W356" t="s">
        <v>141</v>
      </c>
      <c r="X356" t="s">
        <v>112</v>
      </c>
      <c r="Y356" t="s">
        <v>92</v>
      </c>
      <c r="Z356" t="s">
        <v>92</v>
      </c>
      <c r="AA356" t="s">
        <v>93</v>
      </c>
      <c r="AB356" t="s">
        <v>93</v>
      </c>
      <c r="AC356" t="s">
        <v>94</v>
      </c>
      <c r="AD356" t="s">
        <v>95</v>
      </c>
      <c r="AE356" t="s">
        <v>94</v>
      </c>
      <c r="AF356" t="s">
        <v>93</v>
      </c>
      <c r="AG356" t="s">
        <v>94</v>
      </c>
      <c r="AH356" t="s">
        <v>94</v>
      </c>
      <c r="AI356" t="s">
        <v>93</v>
      </c>
      <c r="AJ356" t="s">
        <v>93</v>
      </c>
      <c r="AK356" t="s">
        <v>93</v>
      </c>
      <c r="AL356" t="s">
        <v>93</v>
      </c>
      <c r="AM356" t="s">
        <v>93</v>
      </c>
      <c r="AN356" t="s">
        <v>92</v>
      </c>
      <c r="AO356" t="s">
        <v>92</v>
      </c>
      <c r="AP356" t="s">
        <v>92</v>
      </c>
      <c r="AQ356" t="s">
        <v>93</v>
      </c>
      <c r="AR356" t="s">
        <v>92</v>
      </c>
      <c r="AS356" t="s">
        <v>93</v>
      </c>
      <c r="AT356" t="s">
        <v>92</v>
      </c>
      <c r="AU356" t="s">
        <v>92</v>
      </c>
      <c r="AV356" t="s">
        <v>94</v>
      </c>
      <c r="AW356" t="s">
        <v>92</v>
      </c>
      <c r="AX356" t="s">
        <v>92</v>
      </c>
      <c r="AY356" t="s">
        <v>94</v>
      </c>
      <c r="AZ356" t="s">
        <v>95</v>
      </c>
      <c r="BA356" t="s">
        <v>95</v>
      </c>
      <c r="BB356" t="s">
        <v>94</v>
      </c>
      <c r="BC356" t="s">
        <v>94</v>
      </c>
      <c r="BD356" t="s">
        <v>92</v>
      </c>
      <c r="BE356" t="s">
        <v>92</v>
      </c>
      <c r="BF356" t="s">
        <v>92</v>
      </c>
      <c r="BG356" t="s">
        <v>92</v>
      </c>
      <c r="BH356" t="s">
        <v>92</v>
      </c>
    </row>
    <row r="357" spans="1:60" x14ac:dyDescent="0.3">
      <c r="A357">
        <v>20</v>
      </c>
      <c r="B357" t="s">
        <v>70</v>
      </c>
      <c r="C357" t="s">
        <v>157</v>
      </c>
      <c r="D357" t="s">
        <v>72</v>
      </c>
      <c r="E357" t="s">
        <v>73</v>
      </c>
      <c r="F357" t="s">
        <v>74</v>
      </c>
      <c r="G357" t="s">
        <v>135</v>
      </c>
      <c r="H357" t="s">
        <v>74</v>
      </c>
      <c r="I357" t="s">
        <v>75</v>
      </c>
      <c r="J357" t="s">
        <v>77</v>
      </c>
      <c r="K357" t="s">
        <v>78</v>
      </c>
      <c r="L357" t="s">
        <v>79</v>
      </c>
      <c r="M357" t="s">
        <v>80</v>
      </c>
      <c r="N357" t="s">
        <v>79</v>
      </c>
      <c r="O357" t="s">
        <v>179</v>
      </c>
      <c r="P357" t="s">
        <v>82</v>
      </c>
      <c r="Q357" t="s">
        <v>103</v>
      </c>
      <c r="R357" t="s">
        <v>79</v>
      </c>
      <c r="S357" t="s">
        <v>84</v>
      </c>
      <c r="T357" t="s">
        <v>152</v>
      </c>
      <c r="U357" t="s">
        <v>79</v>
      </c>
      <c r="V357" t="s">
        <v>86</v>
      </c>
      <c r="W357" t="s">
        <v>87</v>
      </c>
      <c r="X357" t="s">
        <v>112</v>
      </c>
      <c r="Y357" t="s">
        <v>93</v>
      </c>
      <c r="Z357" t="s">
        <v>93</v>
      </c>
      <c r="AA357" t="s">
        <v>93</v>
      </c>
      <c r="AB357" t="s">
        <v>93</v>
      </c>
      <c r="AC357" t="s">
        <v>94</v>
      </c>
      <c r="AD357" t="s">
        <v>93</v>
      </c>
      <c r="AE357" t="s">
        <v>94</v>
      </c>
      <c r="AF357" t="s">
        <v>95</v>
      </c>
      <c r="AG357" t="s">
        <v>93</v>
      </c>
      <c r="AH357" t="s">
        <v>95</v>
      </c>
      <c r="AI357" t="s">
        <v>93</v>
      </c>
      <c r="AJ357" t="s">
        <v>93</v>
      </c>
      <c r="AK357" t="s">
        <v>93</v>
      </c>
      <c r="AL357" t="s">
        <v>94</v>
      </c>
      <c r="AM357" t="s">
        <v>93</v>
      </c>
      <c r="AN357" t="s">
        <v>93</v>
      </c>
      <c r="AO357" t="s">
        <v>93</v>
      </c>
      <c r="AP357" t="s">
        <v>93</v>
      </c>
      <c r="AQ357" t="s">
        <v>95</v>
      </c>
      <c r="AR357" t="s">
        <v>94</v>
      </c>
      <c r="AS357" t="s">
        <v>93</v>
      </c>
      <c r="AT357" t="s">
        <v>92</v>
      </c>
      <c r="AU357" t="s">
        <v>94</v>
      </c>
      <c r="AV357" t="s">
        <v>92</v>
      </c>
      <c r="AW357" t="s">
        <v>92</v>
      </c>
      <c r="AX357" t="s">
        <v>94</v>
      </c>
      <c r="AY357" t="s">
        <v>94</v>
      </c>
      <c r="AZ357" t="s">
        <v>94</v>
      </c>
      <c r="BA357" t="s">
        <v>93</v>
      </c>
      <c r="BB357" t="s">
        <v>93</v>
      </c>
      <c r="BC357" t="s">
        <v>93</v>
      </c>
      <c r="BD357" t="s">
        <v>93</v>
      </c>
      <c r="BE357" t="s">
        <v>93</v>
      </c>
      <c r="BF357" t="s">
        <v>95</v>
      </c>
      <c r="BG357" t="s">
        <v>94</v>
      </c>
      <c r="BH357" t="s">
        <v>95</v>
      </c>
    </row>
    <row r="358" spans="1:60" x14ac:dyDescent="0.3">
      <c r="A358">
        <v>22</v>
      </c>
      <c r="B358" t="s">
        <v>70</v>
      </c>
      <c r="C358" t="s">
        <v>96</v>
      </c>
      <c r="D358" t="s">
        <v>72</v>
      </c>
      <c r="E358" t="s">
        <v>108</v>
      </c>
      <c r="F358" t="s">
        <v>136</v>
      </c>
      <c r="G358" t="s">
        <v>135</v>
      </c>
      <c r="H358" t="s">
        <v>136</v>
      </c>
      <c r="I358" t="s">
        <v>76</v>
      </c>
      <c r="J358" t="s">
        <v>101</v>
      </c>
      <c r="K358" t="s">
        <v>78</v>
      </c>
      <c r="L358" t="s">
        <v>79</v>
      </c>
      <c r="M358" t="s">
        <v>102</v>
      </c>
      <c r="N358" t="s">
        <v>79</v>
      </c>
      <c r="O358" t="s">
        <v>117</v>
      </c>
      <c r="P358" t="s">
        <v>82</v>
      </c>
      <c r="Q358" t="s">
        <v>83</v>
      </c>
      <c r="R358" t="s">
        <v>82</v>
      </c>
      <c r="S358" t="s">
        <v>142</v>
      </c>
      <c r="T358" t="s">
        <v>85</v>
      </c>
      <c r="U358" t="s">
        <v>82</v>
      </c>
      <c r="V358" t="s">
        <v>86</v>
      </c>
      <c r="W358" t="s">
        <v>120</v>
      </c>
      <c r="X358" t="s">
        <v>88</v>
      </c>
      <c r="Y358" t="s">
        <v>95</v>
      </c>
      <c r="Z358" t="s">
        <v>95</v>
      </c>
      <c r="AA358" t="s">
        <v>95</v>
      </c>
      <c r="AB358" t="s">
        <v>95</v>
      </c>
      <c r="AC358" t="s">
        <v>95</v>
      </c>
      <c r="AD358" t="s">
        <v>95</v>
      </c>
      <c r="AE358" t="s">
        <v>95</v>
      </c>
      <c r="AF358" t="s">
        <v>95</v>
      </c>
      <c r="AG358" t="s">
        <v>95</v>
      </c>
      <c r="AH358" t="s">
        <v>95</v>
      </c>
      <c r="AI358" t="s">
        <v>95</v>
      </c>
      <c r="AJ358" t="s">
        <v>95</v>
      </c>
      <c r="AK358" t="s">
        <v>95</v>
      </c>
      <c r="AL358" t="s">
        <v>95</v>
      </c>
      <c r="AM358" t="s">
        <v>95</v>
      </c>
      <c r="AN358" t="s">
        <v>95</v>
      </c>
      <c r="AO358" t="s">
        <v>95</v>
      </c>
      <c r="AP358" t="s">
        <v>95</v>
      </c>
      <c r="AQ358" t="s">
        <v>95</v>
      </c>
      <c r="AR358" t="s">
        <v>95</v>
      </c>
      <c r="AS358" t="s">
        <v>95</v>
      </c>
      <c r="AT358" t="s">
        <v>95</v>
      </c>
      <c r="AU358" t="s">
        <v>95</v>
      </c>
      <c r="AV358" t="s">
        <v>95</v>
      </c>
      <c r="AW358" t="s">
        <v>95</v>
      </c>
      <c r="AX358" t="s">
        <v>95</v>
      </c>
      <c r="AY358" t="s">
        <v>95</v>
      </c>
      <c r="AZ358" t="s">
        <v>95</v>
      </c>
      <c r="BA358" t="s">
        <v>95</v>
      </c>
      <c r="BB358" t="s">
        <v>95</v>
      </c>
      <c r="BC358" t="s">
        <v>95</v>
      </c>
      <c r="BD358" t="s">
        <v>95</v>
      </c>
      <c r="BE358" t="s">
        <v>95</v>
      </c>
      <c r="BF358" t="s">
        <v>95</v>
      </c>
      <c r="BG358" t="s">
        <v>95</v>
      </c>
      <c r="BH358" t="s">
        <v>95</v>
      </c>
    </row>
    <row r="359" spans="1:60" x14ac:dyDescent="0.3">
      <c r="A359">
        <v>20</v>
      </c>
      <c r="B359" t="s">
        <v>70</v>
      </c>
      <c r="C359" t="s">
        <v>157</v>
      </c>
      <c r="D359" t="s">
        <v>149</v>
      </c>
      <c r="E359" t="s">
        <v>108</v>
      </c>
      <c r="F359" t="s">
        <v>74</v>
      </c>
      <c r="G359" t="s">
        <v>270</v>
      </c>
      <c r="H359" t="s">
        <v>98</v>
      </c>
      <c r="I359" t="s">
        <v>76</v>
      </c>
      <c r="J359" t="s">
        <v>77</v>
      </c>
      <c r="K359" t="s">
        <v>78</v>
      </c>
      <c r="L359" t="s">
        <v>79</v>
      </c>
      <c r="M359" t="s">
        <v>80</v>
      </c>
      <c r="N359" t="s">
        <v>82</v>
      </c>
      <c r="O359" t="s">
        <v>117</v>
      </c>
      <c r="P359" t="s">
        <v>79</v>
      </c>
      <c r="Q359" t="s">
        <v>83</v>
      </c>
      <c r="R359" t="s">
        <v>82</v>
      </c>
      <c r="S359" t="s">
        <v>84</v>
      </c>
      <c r="T359" t="s">
        <v>111</v>
      </c>
      <c r="U359" t="s">
        <v>82</v>
      </c>
      <c r="V359" t="s">
        <v>148</v>
      </c>
      <c r="W359" t="s">
        <v>120</v>
      </c>
      <c r="X359" t="s">
        <v>271</v>
      </c>
      <c r="Y359" t="s">
        <v>93</v>
      </c>
      <c r="Z359" t="s">
        <v>93</v>
      </c>
      <c r="AA359" t="s">
        <v>93</v>
      </c>
      <c r="AB359" t="s">
        <v>93</v>
      </c>
      <c r="AC359" t="s">
        <v>94</v>
      </c>
      <c r="AD359" t="s">
        <v>94</v>
      </c>
      <c r="AE359" t="s">
        <v>95</v>
      </c>
      <c r="AF359" t="s">
        <v>93</v>
      </c>
      <c r="AG359" t="s">
        <v>93</v>
      </c>
      <c r="AH359" t="s">
        <v>93</v>
      </c>
      <c r="AI359" t="s">
        <v>93</v>
      </c>
      <c r="AJ359" t="s">
        <v>92</v>
      </c>
      <c r="AK359" t="s">
        <v>93</v>
      </c>
      <c r="AL359" t="s">
        <v>95</v>
      </c>
      <c r="AM359" t="s">
        <v>94</v>
      </c>
      <c r="AN359" t="s">
        <v>94</v>
      </c>
      <c r="AO359" t="s">
        <v>93</v>
      </c>
      <c r="AP359" t="s">
        <v>93</v>
      </c>
      <c r="AQ359" t="s">
        <v>95</v>
      </c>
      <c r="AR359" t="s">
        <v>95</v>
      </c>
      <c r="AS359" t="s">
        <v>95</v>
      </c>
      <c r="AT359" t="s">
        <v>95</v>
      </c>
      <c r="AU359" t="s">
        <v>92</v>
      </c>
      <c r="AV359" t="s">
        <v>92</v>
      </c>
      <c r="AW359" t="s">
        <v>92</v>
      </c>
      <c r="AX359" t="s">
        <v>94</v>
      </c>
      <c r="AY359" t="s">
        <v>95</v>
      </c>
      <c r="AZ359" t="s">
        <v>95</v>
      </c>
      <c r="BH359" t="s">
        <v>94</v>
      </c>
    </row>
    <row r="360" spans="1:60" x14ac:dyDescent="0.3">
      <c r="A360">
        <v>24</v>
      </c>
      <c r="B360" t="s">
        <v>70</v>
      </c>
      <c r="C360" t="s">
        <v>71</v>
      </c>
      <c r="D360" t="s">
        <v>72</v>
      </c>
      <c r="E360" t="s">
        <v>114</v>
      </c>
      <c r="F360" t="s">
        <v>136</v>
      </c>
      <c r="G360" t="s">
        <v>210</v>
      </c>
      <c r="H360" t="s">
        <v>136</v>
      </c>
      <c r="I360" t="s">
        <v>76</v>
      </c>
      <c r="J360" t="s">
        <v>77</v>
      </c>
      <c r="K360" t="s">
        <v>122</v>
      </c>
      <c r="L360" t="s">
        <v>79</v>
      </c>
      <c r="M360" t="s">
        <v>80</v>
      </c>
      <c r="N360" t="s">
        <v>82</v>
      </c>
      <c r="O360" t="s">
        <v>117</v>
      </c>
      <c r="P360" t="s">
        <v>82</v>
      </c>
      <c r="Q360" t="s">
        <v>83</v>
      </c>
      <c r="R360" t="s">
        <v>82</v>
      </c>
      <c r="S360" t="s">
        <v>84</v>
      </c>
      <c r="T360" t="s">
        <v>85</v>
      </c>
      <c r="U360" t="s">
        <v>82</v>
      </c>
      <c r="V360" t="s">
        <v>106</v>
      </c>
      <c r="W360" t="s">
        <v>87</v>
      </c>
      <c r="X360" t="s">
        <v>88</v>
      </c>
      <c r="Y360" t="s">
        <v>92</v>
      </c>
      <c r="Z360" t="s">
        <v>92</v>
      </c>
      <c r="AA360" t="s">
        <v>93</v>
      </c>
      <c r="AB360" t="s">
        <v>92</v>
      </c>
      <c r="AC360" t="s">
        <v>94</v>
      </c>
      <c r="AD360" t="s">
        <v>94</v>
      </c>
      <c r="AE360" t="s">
        <v>94</v>
      </c>
      <c r="AF360" t="s">
        <v>94</v>
      </c>
      <c r="AG360" t="s">
        <v>92</v>
      </c>
      <c r="AH360" t="s">
        <v>94</v>
      </c>
      <c r="AI360" t="s">
        <v>93</v>
      </c>
      <c r="AJ360" t="s">
        <v>92</v>
      </c>
      <c r="AK360" t="s">
        <v>92</v>
      </c>
      <c r="AL360" t="s">
        <v>94</v>
      </c>
      <c r="AM360" t="s">
        <v>92</v>
      </c>
      <c r="AN360" t="s">
        <v>92</v>
      </c>
      <c r="AO360" t="s">
        <v>92</v>
      </c>
      <c r="AP360" t="s">
        <v>92</v>
      </c>
      <c r="AQ360" t="s">
        <v>92</v>
      </c>
      <c r="AR360" t="s">
        <v>92</v>
      </c>
      <c r="AS360" t="s">
        <v>94</v>
      </c>
      <c r="AT360" t="s">
        <v>95</v>
      </c>
      <c r="AU360" t="s">
        <v>94</v>
      </c>
      <c r="AV360" t="s">
        <v>94</v>
      </c>
      <c r="AW360" t="s">
        <v>94</v>
      </c>
      <c r="AX360" t="s">
        <v>94</v>
      </c>
      <c r="AY360" t="s">
        <v>94</v>
      </c>
      <c r="AZ360" t="s">
        <v>94</v>
      </c>
      <c r="BA360" t="s">
        <v>93</v>
      </c>
      <c r="BB360" t="s">
        <v>92</v>
      </c>
      <c r="BC360" t="s">
        <v>92</v>
      </c>
      <c r="BD360" t="s">
        <v>92</v>
      </c>
      <c r="BE360" t="s">
        <v>92</v>
      </c>
      <c r="BF360" t="s">
        <v>94</v>
      </c>
      <c r="BG360" t="s">
        <v>94</v>
      </c>
      <c r="BH360" t="s">
        <v>94</v>
      </c>
    </row>
    <row r="361" spans="1:60" x14ac:dyDescent="0.3">
      <c r="A361">
        <v>23</v>
      </c>
      <c r="B361" t="s">
        <v>70</v>
      </c>
      <c r="C361" t="s">
        <v>113</v>
      </c>
      <c r="D361" t="s">
        <v>72</v>
      </c>
      <c r="E361" t="s">
        <v>108</v>
      </c>
      <c r="F361" t="s">
        <v>74</v>
      </c>
      <c r="G361" t="s">
        <v>135</v>
      </c>
      <c r="H361" t="s">
        <v>74</v>
      </c>
      <c r="I361" t="s">
        <v>115</v>
      </c>
      <c r="J361" t="s">
        <v>101</v>
      </c>
      <c r="K361" t="s">
        <v>122</v>
      </c>
      <c r="L361" t="s">
        <v>79</v>
      </c>
      <c r="M361" t="s">
        <v>102</v>
      </c>
      <c r="N361" t="s">
        <v>79</v>
      </c>
      <c r="O361" t="s">
        <v>81</v>
      </c>
      <c r="P361" t="s">
        <v>79</v>
      </c>
      <c r="Q361" t="s">
        <v>83</v>
      </c>
      <c r="R361" t="s">
        <v>82</v>
      </c>
      <c r="S361" t="s">
        <v>142</v>
      </c>
      <c r="T361" t="s">
        <v>159</v>
      </c>
      <c r="U361" t="s">
        <v>82</v>
      </c>
      <c r="V361" t="s">
        <v>106</v>
      </c>
      <c r="W361" t="s">
        <v>141</v>
      </c>
      <c r="X361" t="s">
        <v>112</v>
      </c>
      <c r="Y361" t="s">
        <v>94</v>
      </c>
      <c r="Z361" t="s">
        <v>93</v>
      </c>
      <c r="AA361" t="s">
        <v>93</v>
      </c>
      <c r="AB361" t="s">
        <v>93</v>
      </c>
      <c r="AC361" t="s">
        <v>92</v>
      </c>
      <c r="AD361" t="s">
        <v>95</v>
      </c>
      <c r="AE361" t="s">
        <v>95</v>
      </c>
      <c r="AF361" t="s">
        <v>93</v>
      </c>
      <c r="AG361" t="s">
        <v>92</v>
      </c>
      <c r="AH361" t="s">
        <v>93</v>
      </c>
      <c r="AI361" t="s">
        <v>93</v>
      </c>
      <c r="AJ361" t="s">
        <v>93</v>
      </c>
      <c r="AK361" t="s">
        <v>93</v>
      </c>
      <c r="AL361" t="s">
        <v>93</v>
      </c>
      <c r="AM361" t="s">
        <v>95</v>
      </c>
      <c r="AN361" t="s">
        <v>93</v>
      </c>
      <c r="AO361" t="s">
        <v>93</v>
      </c>
      <c r="AP361" t="s">
        <v>93</v>
      </c>
      <c r="AQ361" t="s">
        <v>95</v>
      </c>
      <c r="AR361" t="s">
        <v>95</v>
      </c>
      <c r="AS361" t="s">
        <v>95</v>
      </c>
      <c r="AT361" t="s">
        <v>95</v>
      </c>
      <c r="AU361" t="s">
        <v>93</v>
      </c>
      <c r="AV361" t="s">
        <v>93</v>
      </c>
      <c r="AW361" t="s">
        <v>93</v>
      </c>
      <c r="AX361" t="s">
        <v>95</v>
      </c>
      <c r="AY361" t="s">
        <v>95</v>
      </c>
      <c r="AZ361" t="s">
        <v>95</v>
      </c>
      <c r="BA361" t="s">
        <v>93</v>
      </c>
      <c r="BB361" t="s">
        <v>93</v>
      </c>
      <c r="BC361" t="s">
        <v>93</v>
      </c>
      <c r="BD361" t="s">
        <v>93</v>
      </c>
      <c r="BE361" t="s">
        <v>93</v>
      </c>
      <c r="BF361" t="s">
        <v>95</v>
      </c>
      <c r="BG361" t="s">
        <v>95</v>
      </c>
      <c r="BH361" t="s">
        <v>95</v>
      </c>
    </row>
    <row r="362" spans="1:60" x14ac:dyDescent="0.3">
      <c r="A362">
        <v>20</v>
      </c>
      <c r="B362" t="s">
        <v>70</v>
      </c>
      <c r="C362" t="s">
        <v>96</v>
      </c>
      <c r="D362" t="s">
        <v>97</v>
      </c>
      <c r="E362" t="s">
        <v>73</v>
      </c>
      <c r="F362" t="s">
        <v>98</v>
      </c>
      <c r="G362" t="s">
        <v>135</v>
      </c>
      <c r="H362" t="s">
        <v>100</v>
      </c>
      <c r="I362" t="s">
        <v>76</v>
      </c>
      <c r="J362" t="s">
        <v>77</v>
      </c>
      <c r="K362" t="s">
        <v>122</v>
      </c>
      <c r="L362" t="s">
        <v>79</v>
      </c>
      <c r="M362" t="s">
        <v>80</v>
      </c>
      <c r="N362" t="s">
        <v>79</v>
      </c>
      <c r="O362" t="s">
        <v>138</v>
      </c>
      <c r="P362" t="s">
        <v>79</v>
      </c>
      <c r="Q362" t="s">
        <v>83</v>
      </c>
      <c r="R362" t="s">
        <v>79</v>
      </c>
      <c r="S362" t="s">
        <v>199</v>
      </c>
      <c r="T362" t="s">
        <v>236</v>
      </c>
      <c r="U362" t="s">
        <v>82</v>
      </c>
      <c r="V362" t="s">
        <v>86</v>
      </c>
      <c r="W362" t="s">
        <v>141</v>
      </c>
      <c r="X362" t="s">
        <v>112</v>
      </c>
      <c r="Y362" t="s">
        <v>94</v>
      </c>
      <c r="Z362" t="s">
        <v>92</v>
      </c>
      <c r="AA362" t="s">
        <v>94</v>
      </c>
      <c r="AB362" t="s">
        <v>92</v>
      </c>
      <c r="AC362" t="s">
        <v>94</v>
      </c>
      <c r="AD362" t="s">
        <v>92</v>
      </c>
      <c r="AE362" t="s">
        <v>94</v>
      </c>
      <c r="AF362" t="s">
        <v>92</v>
      </c>
      <c r="AG362" t="s">
        <v>94</v>
      </c>
      <c r="AH362" t="s">
        <v>92</v>
      </c>
      <c r="AI362" t="s">
        <v>94</v>
      </c>
      <c r="AJ362" t="s">
        <v>92</v>
      </c>
      <c r="AK362" t="s">
        <v>94</v>
      </c>
      <c r="AL362" t="s">
        <v>92</v>
      </c>
      <c r="AM362" t="s">
        <v>94</v>
      </c>
      <c r="AN362" t="s">
        <v>92</v>
      </c>
      <c r="AO362" t="s">
        <v>94</v>
      </c>
      <c r="AP362" t="s">
        <v>92</v>
      </c>
      <c r="AQ362" t="s">
        <v>94</v>
      </c>
      <c r="AR362" t="s">
        <v>92</v>
      </c>
      <c r="AS362" t="s">
        <v>94</v>
      </c>
      <c r="AT362" t="s">
        <v>92</v>
      </c>
      <c r="AU362" t="s">
        <v>92</v>
      </c>
      <c r="AV362" t="s">
        <v>94</v>
      </c>
      <c r="AW362" t="s">
        <v>92</v>
      </c>
      <c r="AX362" t="s">
        <v>94</v>
      </c>
      <c r="AY362" t="s">
        <v>92</v>
      </c>
      <c r="AZ362" t="s">
        <v>92</v>
      </c>
      <c r="BA362" t="s">
        <v>92</v>
      </c>
      <c r="BB362" t="s">
        <v>94</v>
      </c>
      <c r="BC362" t="s">
        <v>94</v>
      </c>
      <c r="BD362" t="s">
        <v>92</v>
      </c>
      <c r="BE362" t="s">
        <v>94</v>
      </c>
      <c r="BF362" t="s">
        <v>92</v>
      </c>
      <c r="BG362" t="s">
        <v>92</v>
      </c>
      <c r="BH362" t="s">
        <v>94</v>
      </c>
    </row>
    <row r="363" spans="1:60" x14ac:dyDescent="0.3">
      <c r="A363">
        <v>22</v>
      </c>
      <c r="B363" t="s">
        <v>70</v>
      </c>
      <c r="C363" t="s">
        <v>96</v>
      </c>
      <c r="D363" t="s">
        <v>149</v>
      </c>
      <c r="E363" t="s">
        <v>73</v>
      </c>
      <c r="F363" t="s">
        <v>74</v>
      </c>
      <c r="G363" t="s">
        <v>75</v>
      </c>
      <c r="H363" t="s">
        <v>74</v>
      </c>
      <c r="I363" t="s">
        <v>76</v>
      </c>
      <c r="J363" t="s">
        <v>101</v>
      </c>
      <c r="K363" t="s">
        <v>122</v>
      </c>
      <c r="L363" t="s">
        <v>82</v>
      </c>
      <c r="M363" t="s">
        <v>80</v>
      </c>
      <c r="N363" t="s">
        <v>79</v>
      </c>
      <c r="O363" t="s">
        <v>117</v>
      </c>
      <c r="P363" t="s">
        <v>82</v>
      </c>
      <c r="Q363" t="s">
        <v>103</v>
      </c>
      <c r="R363" t="s">
        <v>79</v>
      </c>
      <c r="S363" t="s">
        <v>123</v>
      </c>
      <c r="T363" t="s">
        <v>124</v>
      </c>
      <c r="U363" t="s">
        <v>79</v>
      </c>
      <c r="V363" t="s">
        <v>106</v>
      </c>
      <c r="W363" t="s">
        <v>141</v>
      </c>
      <c r="X363" t="s">
        <v>112</v>
      </c>
      <c r="Y363" t="s">
        <v>93</v>
      </c>
      <c r="Z363" t="s">
        <v>93</v>
      </c>
      <c r="AA363" t="s">
        <v>93</v>
      </c>
      <c r="AB363" t="s">
        <v>93</v>
      </c>
      <c r="AC363" t="s">
        <v>93</v>
      </c>
      <c r="AD363" t="s">
        <v>93</v>
      </c>
      <c r="AE363" t="s">
        <v>93</v>
      </c>
      <c r="AF363" t="s">
        <v>93</v>
      </c>
      <c r="AG363" t="s">
        <v>93</v>
      </c>
      <c r="AH363" t="s">
        <v>93</v>
      </c>
      <c r="AI363" t="s">
        <v>93</v>
      </c>
      <c r="AJ363" t="s">
        <v>93</v>
      </c>
      <c r="AK363" t="s">
        <v>93</v>
      </c>
      <c r="AL363" t="s">
        <v>93</v>
      </c>
      <c r="AM363" t="s">
        <v>93</v>
      </c>
      <c r="AN363" t="s">
        <v>93</v>
      </c>
      <c r="AO363" t="s">
        <v>93</v>
      </c>
      <c r="AP363" t="s">
        <v>93</v>
      </c>
      <c r="AQ363" t="s">
        <v>93</v>
      </c>
      <c r="AR363" t="s">
        <v>93</v>
      </c>
      <c r="AS363" t="s">
        <v>93</v>
      </c>
      <c r="AT363" t="s">
        <v>93</v>
      </c>
      <c r="AU363" t="s">
        <v>95</v>
      </c>
      <c r="AV363" t="s">
        <v>95</v>
      </c>
      <c r="AW363" t="s">
        <v>95</v>
      </c>
      <c r="AX363" t="s">
        <v>95</v>
      </c>
      <c r="AY363" t="s">
        <v>95</v>
      </c>
      <c r="AZ363" t="s">
        <v>95</v>
      </c>
      <c r="BA363" t="s">
        <v>93</v>
      </c>
      <c r="BB363" t="s">
        <v>93</v>
      </c>
      <c r="BC363" t="s">
        <v>93</v>
      </c>
      <c r="BD363" t="s">
        <v>92</v>
      </c>
      <c r="BE363" t="s">
        <v>93</v>
      </c>
      <c r="BF363" t="s">
        <v>93</v>
      </c>
      <c r="BG363" t="s">
        <v>93</v>
      </c>
      <c r="BH363" t="s">
        <v>93</v>
      </c>
    </row>
    <row r="364" spans="1:60" x14ac:dyDescent="0.3">
      <c r="A364">
        <v>23</v>
      </c>
      <c r="B364" t="s">
        <v>70</v>
      </c>
      <c r="C364" t="s">
        <v>71</v>
      </c>
      <c r="D364" t="s">
        <v>72</v>
      </c>
      <c r="E364" t="s">
        <v>108</v>
      </c>
      <c r="F364" t="s">
        <v>98</v>
      </c>
      <c r="G364" t="s">
        <v>135</v>
      </c>
      <c r="H364" t="s">
        <v>98</v>
      </c>
      <c r="I364" t="s">
        <v>76</v>
      </c>
      <c r="J364" t="s">
        <v>77</v>
      </c>
      <c r="K364" t="s">
        <v>122</v>
      </c>
      <c r="L364" t="s">
        <v>79</v>
      </c>
      <c r="M364" t="s">
        <v>80</v>
      </c>
      <c r="N364" t="s">
        <v>79</v>
      </c>
      <c r="O364" t="s">
        <v>117</v>
      </c>
      <c r="P364" t="s">
        <v>82</v>
      </c>
      <c r="Q364" t="s">
        <v>83</v>
      </c>
      <c r="R364" t="s">
        <v>82</v>
      </c>
      <c r="S364" t="s">
        <v>84</v>
      </c>
      <c r="T364" t="s">
        <v>247</v>
      </c>
      <c r="U364" t="s">
        <v>82</v>
      </c>
      <c r="V364" t="s">
        <v>106</v>
      </c>
      <c r="W364" t="s">
        <v>141</v>
      </c>
      <c r="X364" t="s">
        <v>272</v>
      </c>
      <c r="Y364" t="s">
        <v>93</v>
      </c>
      <c r="Z364" t="s">
        <v>93</v>
      </c>
      <c r="AA364" t="s">
        <v>93</v>
      </c>
      <c r="AB364" t="s">
        <v>93</v>
      </c>
      <c r="AC364" t="s">
        <v>94</v>
      </c>
      <c r="AD364" t="s">
        <v>94</v>
      </c>
      <c r="AE364" t="s">
        <v>94</v>
      </c>
      <c r="AF364" t="s">
        <v>93</v>
      </c>
      <c r="AG364" t="s">
        <v>93</v>
      </c>
      <c r="AH364" t="s">
        <v>93</v>
      </c>
      <c r="AI364" t="s">
        <v>93</v>
      </c>
      <c r="AJ364" t="s">
        <v>93</v>
      </c>
      <c r="AK364" t="s">
        <v>93</v>
      </c>
      <c r="AL364" t="s">
        <v>94</v>
      </c>
      <c r="AM364" t="s">
        <v>94</v>
      </c>
      <c r="AN364" t="s">
        <v>93</v>
      </c>
      <c r="AO364" t="s">
        <v>93</v>
      </c>
      <c r="AP364" t="s">
        <v>93</v>
      </c>
      <c r="AQ364" t="s">
        <v>95</v>
      </c>
      <c r="AR364" t="s">
        <v>95</v>
      </c>
      <c r="AS364" t="s">
        <v>95</v>
      </c>
      <c r="AT364" t="s">
        <v>95</v>
      </c>
      <c r="AU364" t="s">
        <v>93</v>
      </c>
      <c r="AV364" t="s">
        <v>93</v>
      </c>
      <c r="AW364" t="s">
        <v>93</v>
      </c>
      <c r="AX364" t="s">
        <v>94</v>
      </c>
      <c r="AY364" t="s">
        <v>94</v>
      </c>
      <c r="AZ364" t="s">
        <v>95</v>
      </c>
      <c r="BA364" t="s">
        <v>93</v>
      </c>
      <c r="BB364" t="s">
        <v>93</v>
      </c>
      <c r="BC364" t="s">
        <v>93</v>
      </c>
      <c r="BD364" t="s">
        <v>93</v>
      </c>
      <c r="BE364" t="s">
        <v>93</v>
      </c>
      <c r="BF364" t="s">
        <v>95</v>
      </c>
      <c r="BG364" t="s">
        <v>95</v>
      </c>
      <c r="BH364" t="s">
        <v>95</v>
      </c>
    </row>
    <row r="365" spans="1:60" x14ac:dyDescent="0.3">
      <c r="A365">
        <v>21</v>
      </c>
      <c r="B365" t="s">
        <v>70</v>
      </c>
      <c r="C365" t="s">
        <v>96</v>
      </c>
      <c r="D365" t="s">
        <v>97</v>
      </c>
      <c r="E365" t="s">
        <v>73</v>
      </c>
      <c r="F365" t="s">
        <v>74</v>
      </c>
      <c r="G365" t="s">
        <v>135</v>
      </c>
      <c r="H365" t="s">
        <v>136</v>
      </c>
      <c r="I365" t="s">
        <v>76</v>
      </c>
      <c r="J365" t="s">
        <v>77</v>
      </c>
      <c r="K365" t="s">
        <v>122</v>
      </c>
      <c r="L365" t="s">
        <v>82</v>
      </c>
      <c r="M365" t="s">
        <v>80</v>
      </c>
      <c r="N365" t="s">
        <v>79</v>
      </c>
      <c r="O365" t="s">
        <v>81</v>
      </c>
      <c r="P365" t="s">
        <v>82</v>
      </c>
      <c r="Q365" t="s">
        <v>83</v>
      </c>
      <c r="R365" t="s">
        <v>82</v>
      </c>
      <c r="S365" t="s">
        <v>84</v>
      </c>
      <c r="T365" t="s">
        <v>151</v>
      </c>
      <c r="U365" t="s">
        <v>82</v>
      </c>
      <c r="V365" t="s">
        <v>86</v>
      </c>
      <c r="W365" t="s">
        <v>141</v>
      </c>
      <c r="X365" t="s">
        <v>112</v>
      </c>
      <c r="Y365" t="s">
        <v>93</v>
      </c>
      <c r="Z365" t="s">
        <v>93</v>
      </c>
      <c r="AA365" t="s">
        <v>93</v>
      </c>
      <c r="AB365" t="s">
        <v>93</v>
      </c>
      <c r="AC365" t="s">
        <v>95</v>
      </c>
      <c r="AD365" t="s">
        <v>95</v>
      </c>
      <c r="AE365" t="s">
        <v>95</v>
      </c>
      <c r="AF365" t="s">
        <v>95</v>
      </c>
      <c r="AG365" t="s">
        <v>94</v>
      </c>
      <c r="AH365" t="s">
        <v>94</v>
      </c>
      <c r="AI365" t="s">
        <v>93</v>
      </c>
      <c r="AJ365" t="s">
        <v>92</v>
      </c>
      <c r="AK365" t="s">
        <v>93</v>
      </c>
      <c r="AL365" t="s">
        <v>92</v>
      </c>
      <c r="AM365" t="s">
        <v>95</v>
      </c>
      <c r="AN365" t="s">
        <v>93</v>
      </c>
      <c r="AO365" t="s">
        <v>93</v>
      </c>
      <c r="AP365" t="s">
        <v>93</v>
      </c>
      <c r="AQ365" t="s">
        <v>95</v>
      </c>
      <c r="AR365" t="s">
        <v>95</v>
      </c>
      <c r="AS365" t="s">
        <v>95</v>
      </c>
      <c r="AT365" t="s">
        <v>95</v>
      </c>
      <c r="AU365" t="s">
        <v>92</v>
      </c>
      <c r="AV365" t="s">
        <v>92</v>
      </c>
      <c r="AW365" t="s">
        <v>92</v>
      </c>
      <c r="AX365" t="s">
        <v>92</v>
      </c>
      <c r="AY365" t="s">
        <v>95</v>
      </c>
      <c r="AZ365" t="s">
        <v>95</v>
      </c>
      <c r="BA365" t="s">
        <v>93</v>
      </c>
      <c r="BB365" t="s">
        <v>93</v>
      </c>
      <c r="BC365" t="s">
        <v>93</v>
      </c>
      <c r="BD365" t="s">
        <v>93</v>
      </c>
      <c r="BE365" t="s">
        <v>92</v>
      </c>
      <c r="BF365" t="s">
        <v>95</v>
      </c>
      <c r="BG365" t="s">
        <v>95</v>
      </c>
      <c r="BH365" t="s">
        <v>95</v>
      </c>
    </row>
    <row r="366" spans="1:60" x14ac:dyDescent="0.3">
      <c r="A366">
        <v>25</v>
      </c>
      <c r="B366" t="s">
        <v>70</v>
      </c>
      <c r="C366" t="s">
        <v>113</v>
      </c>
      <c r="D366" t="s">
        <v>97</v>
      </c>
      <c r="E366" t="s">
        <v>108</v>
      </c>
      <c r="F366" t="s">
        <v>74</v>
      </c>
      <c r="G366" t="s">
        <v>99</v>
      </c>
      <c r="H366" t="s">
        <v>136</v>
      </c>
      <c r="I366" t="s">
        <v>76</v>
      </c>
      <c r="J366" t="s">
        <v>77</v>
      </c>
      <c r="K366" t="s">
        <v>78</v>
      </c>
      <c r="L366" t="s">
        <v>79</v>
      </c>
      <c r="M366" t="s">
        <v>132</v>
      </c>
      <c r="N366" t="s">
        <v>79</v>
      </c>
      <c r="O366" t="s">
        <v>109</v>
      </c>
      <c r="P366" t="s">
        <v>79</v>
      </c>
      <c r="Q366" t="s">
        <v>103</v>
      </c>
      <c r="R366" t="s">
        <v>79</v>
      </c>
      <c r="S366" t="s">
        <v>223</v>
      </c>
      <c r="T366" t="s">
        <v>124</v>
      </c>
      <c r="U366" t="s">
        <v>82</v>
      </c>
      <c r="V366" t="s">
        <v>106</v>
      </c>
      <c r="W366" t="s">
        <v>87</v>
      </c>
      <c r="X366" t="s">
        <v>112</v>
      </c>
      <c r="Y366" t="s">
        <v>93</v>
      </c>
      <c r="Z366" t="s">
        <v>93</v>
      </c>
      <c r="AA366" t="s">
        <v>93</v>
      </c>
      <c r="AB366" t="s">
        <v>93</v>
      </c>
      <c r="AC366" t="s">
        <v>94</v>
      </c>
      <c r="AD366" t="s">
        <v>94</v>
      </c>
      <c r="AE366" t="s">
        <v>95</v>
      </c>
      <c r="AF366" t="s">
        <v>93</v>
      </c>
      <c r="AG366" t="s">
        <v>93</v>
      </c>
      <c r="AH366" t="s">
        <v>93</v>
      </c>
      <c r="AI366" t="s">
        <v>93</v>
      </c>
      <c r="AJ366" t="s">
        <v>93</v>
      </c>
      <c r="AK366" t="s">
        <v>93</v>
      </c>
      <c r="AL366" t="s">
        <v>95</v>
      </c>
      <c r="AM366" t="s">
        <v>94</v>
      </c>
      <c r="AN366" t="s">
        <v>93</v>
      </c>
      <c r="AO366" t="s">
        <v>93</v>
      </c>
      <c r="AP366" t="s">
        <v>93</v>
      </c>
      <c r="AQ366" t="s">
        <v>95</v>
      </c>
      <c r="AR366" t="s">
        <v>95</v>
      </c>
      <c r="AS366" t="s">
        <v>95</v>
      </c>
      <c r="AT366" t="s">
        <v>95</v>
      </c>
      <c r="AU366" t="s">
        <v>94</v>
      </c>
      <c r="AV366" t="s">
        <v>92</v>
      </c>
      <c r="AW366" t="s">
        <v>92</v>
      </c>
      <c r="AX366" t="s">
        <v>94</v>
      </c>
      <c r="AY366" t="s">
        <v>95</v>
      </c>
      <c r="AZ366" t="s">
        <v>95</v>
      </c>
      <c r="BA366" t="s">
        <v>93</v>
      </c>
      <c r="BB366" t="s">
        <v>93</v>
      </c>
      <c r="BC366" t="s">
        <v>93</v>
      </c>
      <c r="BD366" t="s">
        <v>93</v>
      </c>
      <c r="BE366" t="s">
        <v>93</v>
      </c>
      <c r="BF366" t="s">
        <v>95</v>
      </c>
      <c r="BG366" t="s">
        <v>95</v>
      </c>
      <c r="BH366" t="s">
        <v>92</v>
      </c>
    </row>
    <row r="367" spans="1:60" x14ac:dyDescent="0.3">
      <c r="A367">
        <v>22</v>
      </c>
      <c r="B367" t="s">
        <v>70</v>
      </c>
      <c r="C367" t="s">
        <v>113</v>
      </c>
      <c r="D367" t="s">
        <v>97</v>
      </c>
      <c r="E367" t="s">
        <v>108</v>
      </c>
      <c r="F367" t="s">
        <v>74</v>
      </c>
      <c r="G367" t="s">
        <v>135</v>
      </c>
      <c r="H367" t="s">
        <v>74</v>
      </c>
      <c r="I367" t="s">
        <v>76</v>
      </c>
      <c r="J367" t="s">
        <v>77</v>
      </c>
      <c r="K367" t="s">
        <v>131</v>
      </c>
      <c r="L367" t="s">
        <v>79</v>
      </c>
      <c r="M367" t="s">
        <v>80</v>
      </c>
      <c r="N367" t="s">
        <v>79</v>
      </c>
      <c r="O367" t="s">
        <v>117</v>
      </c>
      <c r="P367" t="s">
        <v>82</v>
      </c>
      <c r="Q367" t="s">
        <v>83</v>
      </c>
      <c r="R367" t="s">
        <v>82</v>
      </c>
      <c r="S367" t="s">
        <v>259</v>
      </c>
      <c r="T367" t="s">
        <v>167</v>
      </c>
      <c r="U367" t="s">
        <v>82</v>
      </c>
      <c r="V367" t="s">
        <v>106</v>
      </c>
      <c r="W367" t="s">
        <v>87</v>
      </c>
      <c r="X367" t="s">
        <v>112</v>
      </c>
      <c r="Y367" t="s">
        <v>94</v>
      </c>
      <c r="Z367" t="s">
        <v>92</v>
      </c>
      <c r="AA367" t="s">
        <v>92</v>
      </c>
      <c r="AB367" t="s">
        <v>92</v>
      </c>
      <c r="AC367" t="s">
        <v>92</v>
      </c>
      <c r="AD367" t="s">
        <v>92</v>
      </c>
      <c r="AE367" t="s">
        <v>95</v>
      </c>
      <c r="AF367" t="s">
        <v>93</v>
      </c>
      <c r="AG367" t="s">
        <v>93</v>
      </c>
      <c r="AH367" t="s">
        <v>93</v>
      </c>
      <c r="AI367" t="s">
        <v>93</v>
      </c>
      <c r="AJ367" t="s">
        <v>93</v>
      </c>
      <c r="AK367" t="s">
        <v>95</v>
      </c>
      <c r="AL367" t="s">
        <v>95</v>
      </c>
      <c r="AM367" t="s">
        <v>94</v>
      </c>
      <c r="AN367" t="s">
        <v>93</v>
      </c>
      <c r="AO367" t="s">
        <v>92</v>
      </c>
      <c r="AP367" t="s">
        <v>93</v>
      </c>
      <c r="AQ367" t="s">
        <v>95</v>
      </c>
      <c r="AR367" t="s">
        <v>95</v>
      </c>
      <c r="AS367" t="s">
        <v>95</v>
      </c>
      <c r="AT367" t="s">
        <v>95</v>
      </c>
      <c r="AU367" t="s">
        <v>92</v>
      </c>
      <c r="AV367" t="s">
        <v>92</v>
      </c>
      <c r="AW367" t="s">
        <v>92</v>
      </c>
      <c r="AX367" t="s">
        <v>94</v>
      </c>
      <c r="AY367" t="s">
        <v>92</v>
      </c>
      <c r="AZ367" t="s">
        <v>95</v>
      </c>
      <c r="BA367" t="s">
        <v>93</v>
      </c>
      <c r="BB367" t="s">
        <v>93</v>
      </c>
      <c r="BC367" t="s">
        <v>93</v>
      </c>
      <c r="BD367" t="s">
        <v>93</v>
      </c>
      <c r="BE367" t="s">
        <v>93</v>
      </c>
      <c r="BF367" t="s">
        <v>95</v>
      </c>
      <c r="BG367" t="s">
        <v>94</v>
      </c>
      <c r="BH367" t="s">
        <v>93</v>
      </c>
    </row>
    <row r="368" spans="1:60" x14ac:dyDescent="0.3">
      <c r="A368" t="s">
        <v>273</v>
      </c>
      <c r="B368" t="s">
        <v>70</v>
      </c>
      <c r="C368" t="s">
        <v>157</v>
      </c>
      <c r="D368" t="s">
        <v>97</v>
      </c>
      <c r="E368" t="s">
        <v>73</v>
      </c>
      <c r="F368" t="s">
        <v>74</v>
      </c>
      <c r="G368" t="s">
        <v>135</v>
      </c>
      <c r="H368" t="s">
        <v>74</v>
      </c>
      <c r="I368" t="s">
        <v>76</v>
      </c>
      <c r="J368" t="s">
        <v>101</v>
      </c>
      <c r="K368" t="s">
        <v>131</v>
      </c>
      <c r="L368" t="s">
        <v>79</v>
      </c>
      <c r="M368" t="s">
        <v>80</v>
      </c>
      <c r="N368" t="s">
        <v>79</v>
      </c>
      <c r="O368" t="s">
        <v>133</v>
      </c>
      <c r="P368" t="s">
        <v>82</v>
      </c>
      <c r="Q368" t="s">
        <v>83</v>
      </c>
      <c r="R368" t="s">
        <v>79</v>
      </c>
      <c r="S368" t="s">
        <v>274</v>
      </c>
      <c r="T368" t="s">
        <v>175</v>
      </c>
      <c r="U368" t="s">
        <v>82</v>
      </c>
      <c r="V368" t="s">
        <v>106</v>
      </c>
      <c r="W368" t="s">
        <v>141</v>
      </c>
      <c r="Y368" t="s">
        <v>94</v>
      </c>
      <c r="Z368" t="s">
        <v>92</v>
      </c>
      <c r="AA368" t="s">
        <v>94</v>
      </c>
      <c r="AB368" t="s">
        <v>93</v>
      </c>
      <c r="AC368" t="s">
        <v>93</v>
      </c>
      <c r="AD368" t="s">
        <v>93</v>
      </c>
      <c r="AE368" t="s">
        <v>93</v>
      </c>
      <c r="AF368" t="s">
        <v>95</v>
      </c>
      <c r="AG368" t="s">
        <v>95</v>
      </c>
      <c r="AH368" t="s">
        <v>95</v>
      </c>
      <c r="AI368" t="s">
        <v>93</v>
      </c>
      <c r="AJ368" t="s">
        <v>94</v>
      </c>
      <c r="AK368" t="s">
        <v>95</v>
      </c>
      <c r="AL368" t="s">
        <v>92</v>
      </c>
      <c r="AM368" t="s">
        <v>92</v>
      </c>
      <c r="AN368" t="s">
        <v>92</v>
      </c>
      <c r="AO368" t="s">
        <v>93</v>
      </c>
      <c r="AP368" t="s">
        <v>93</v>
      </c>
      <c r="AQ368" t="s">
        <v>94</v>
      </c>
      <c r="AR368" t="s">
        <v>95</v>
      </c>
      <c r="AS368" t="s">
        <v>95</v>
      </c>
      <c r="AT368" t="s">
        <v>95</v>
      </c>
      <c r="AU368" t="s">
        <v>95</v>
      </c>
      <c r="AV368" t="s">
        <v>95</v>
      </c>
      <c r="AW368" t="s">
        <v>95</v>
      </c>
      <c r="AX368" t="s">
        <v>93</v>
      </c>
      <c r="AY368" t="s">
        <v>95</v>
      </c>
      <c r="AZ368" t="s">
        <v>95</v>
      </c>
      <c r="BA368" t="s">
        <v>93</v>
      </c>
      <c r="BB368" t="s">
        <v>93</v>
      </c>
      <c r="BC368" t="s">
        <v>93</v>
      </c>
      <c r="BD368" t="s">
        <v>93</v>
      </c>
      <c r="BE368" t="s">
        <v>92</v>
      </c>
      <c r="BF368" t="s">
        <v>95</v>
      </c>
      <c r="BG368" t="s">
        <v>95</v>
      </c>
      <c r="BH368" t="s">
        <v>94</v>
      </c>
    </row>
    <row r="369" spans="1:60" x14ac:dyDescent="0.3">
      <c r="A369">
        <v>20</v>
      </c>
      <c r="B369" t="s">
        <v>70</v>
      </c>
      <c r="C369" t="s">
        <v>157</v>
      </c>
      <c r="D369" t="s">
        <v>72</v>
      </c>
      <c r="E369" t="s">
        <v>73</v>
      </c>
      <c r="F369" t="s">
        <v>136</v>
      </c>
      <c r="G369" t="s">
        <v>75</v>
      </c>
      <c r="H369" t="s">
        <v>136</v>
      </c>
      <c r="I369" t="s">
        <v>76</v>
      </c>
      <c r="J369" t="s">
        <v>77</v>
      </c>
      <c r="K369" t="s">
        <v>122</v>
      </c>
      <c r="L369" t="s">
        <v>79</v>
      </c>
      <c r="M369" t="s">
        <v>80</v>
      </c>
      <c r="N369" t="s">
        <v>82</v>
      </c>
      <c r="O369" t="s">
        <v>138</v>
      </c>
      <c r="P369" t="s">
        <v>79</v>
      </c>
      <c r="Q369" t="s">
        <v>83</v>
      </c>
      <c r="R369" t="s">
        <v>79</v>
      </c>
      <c r="S369" t="s">
        <v>241</v>
      </c>
      <c r="T369" t="s">
        <v>85</v>
      </c>
      <c r="U369" t="s">
        <v>79</v>
      </c>
      <c r="V369" t="s">
        <v>106</v>
      </c>
      <c r="W369" t="s">
        <v>120</v>
      </c>
      <c r="X369" t="s">
        <v>112</v>
      </c>
      <c r="Y369" t="s">
        <v>94</v>
      </c>
      <c r="Z369" t="s">
        <v>92</v>
      </c>
      <c r="AA369" t="s">
        <v>94</v>
      </c>
      <c r="AB369" t="s">
        <v>92</v>
      </c>
      <c r="AC369" t="s">
        <v>95</v>
      </c>
      <c r="AD369" t="s">
        <v>92</v>
      </c>
      <c r="AE369" t="s">
        <v>95</v>
      </c>
      <c r="AF369" t="s">
        <v>92</v>
      </c>
      <c r="AG369" t="s">
        <v>95</v>
      </c>
      <c r="AH369" t="s">
        <v>94</v>
      </c>
      <c r="AI369" t="s">
        <v>95</v>
      </c>
      <c r="AJ369" t="s">
        <v>92</v>
      </c>
      <c r="AK369" t="s">
        <v>94</v>
      </c>
      <c r="AL369" t="s">
        <v>92</v>
      </c>
      <c r="AM369" t="s">
        <v>95</v>
      </c>
      <c r="AN369" t="s">
        <v>94</v>
      </c>
      <c r="AO369" t="s">
        <v>94</v>
      </c>
      <c r="AP369" t="s">
        <v>92</v>
      </c>
      <c r="AQ369" t="s">
        <v>95</v>
      </c>
      <c r="AR369" t="s">
        <v>94</v>
      </c>
      <c r="AS369" t="s">
        <v>94</v>
      </c>
      <c r="AT369" t="s">
        <v>95</v>
      </c>
      <c r="AU369" t="s">
        <v>95</v>
      </c>
      <c r="AV369" t="s">
        <v>92</v>
      </c>
      <c r="AW369" t="s">
        <v>94</v>
      </c>
      <c r="AX369" t="s">
        <v>95</v>
      </c>
      <c r="AY369" t="s">
        <v>92</v>
      </c>
      <c r="AZ369" t="s">
        <v>94</v>
      </c>
      <c r="BA369" t="s">
        <v>95</v>
      </c>
      <c r="BB369" t="s">
        <v>94</v>
      </c>
      <c r="BC369" t="s">
        <v>92</v>
      </c>
      <c r="BD369" t="s">
        <v>95</v>
      </c>
      <c r="BE369" t="s">
        <v>94</v>
      </c>
      <c r="BF369" t="s">
        <v>95</v>
      </c>
      <c r="BG369" t="s">
        <v>94</v>
      </c>
      <c r="BH369" t="s">
        <v>94</v>
      </c>
    </row>
    <row r="370" spans="1:60" x14ac:dyDescent="0.3">
      <c r="A370">
        <v>21</v>
      </c>
      <c r="B370" t="s">
        <v>70</v>
      </c>
      <c r="C370" t="s">
        <v>157</v>
      </c>
      <c r="D370" t="s">
        <v>97</v>
      </c>
      <c r="E370" t="s">
        <v>108</v>
      </c>
      <c r="F370" t="s">
        <v>74</v>
      </c>
      <c r="G370" t="s">
        <v>99</v>
      </c>
      <c r="H370" t="s">
        <v>74</v>
      </c>
      <c r="I370" t="s">
        <v>76</v>
      </c>
      <c r="J370" t="s">
        <v>77</v>
      </c>
      <c r="K370" t="s">
        <v>78</v>
      </c>
      <c r="L370" t="s">
        <v>82</v>
      </c>
      <c r="M370" t="s">
        <v>80</v>
      </c>
      <c r="N370" t="s">
        <v>79</v>
      </c>
      <c r="O370" t="s">
        <v>117</v>
      </c>
      <c r="P370" t="s">
        <v>82</v>
      </c>
      <c r="Q370" t="s">
        <v>83</v>
      </c>
      <c r="R370" t="s">
        <v>79</v>
      </c>
      <c r="S370" t="s">
        <v>84</v>
      </c>
      <c r="T370" t="s">
        <v>275</v>
      </c>
      <c r="U370" t="s">
        <v>82</v>
      </c>
      <c r="V370" t="s">
        <v>86</v>
      </c>
      <c r="W370" t="s">
        <v>87</v>
      </c>
      <c r="X370" t="s">
        <v>88</v>
      </c>
      <c r="Y370" t="s">
        <v>94</v>
      </c>
      <c r="Z370" t="s">
        <v>93</v>
      </c>
      <c r="AA370" t="s">
        <v>92</v>
      </c>
      <c r="AB370" t="s">
        <v>92</v>
      </c>
      <c r="AC370" t="s">
        <v>95</v>
      </c>
      <c r="AD370" t="s">
        <v>94</v>
      </c>
      <c r="AE370" t="s">
        <v>95</v>
      </c>
      <c r="AF370" t="s">
        <v>93</v>
      </c>
      <c r="AG370" t="s">
        <v>92</v>
      </c>
      <c r="AH370" t="s">
        <v>95</v>
      </c>
      <c r="AI370" t="s">
        <v>93</v>
      </c>
      <c r="AJ370" t="s">
        <v>93</v>
      </c>
      <c r="AK370" t="s">
        <v>93</v>
      </c>
      <c r="AL370" t="s">
        <v>95</v>
      </c>
      <c r="AM370" t="s">
        <v>95</v>
      </c>
      <c r="AN370" t="s">
        <v>93</v>
      </c>
      <c r="AO370" t="s">
        <v>93</v>
      </c>
      <c r="AP370" t="s">
        <v>93</v>
      </c>
      <c r="AQ370" t="s">
        <v>95</v>
      </c>
      <c r="AR370" t="s">
        <v>95</v>
      </c>
      <c r="AS370" t="s">
        <v>95</v>
      </c>
      <c r="AT370" t="s">
        <v>95</v>
      </c>
      <c r="AU370" t="s">
        <v>93</v>
      </c>
      <c r="AV370" t="s">
        <v>93</v>
      </c>
      <c r="AW370" t="s">
        <v>93</v>
      </c>
      <c r="AX370" t="s">
        <v>95</v>
      </c>
      <c r="AY370" t="s">
        <v>95</v>
      </c>
      <c r="AZ370" t="s">
        <v>95</v>
      </c>
      <c r="BA370" t="s">
        <v>92</v>
      </c>
      <c r="BB370" t="s">
        <v>92</v>
      </c>
      <c r="BC370" t="s">
        <v>92</v>
      </c>
      <c r="BD370" t="s">
        <v>93</v>
      </c>
      <c r="BE370" t="s">
        <v>93</v>
      </c>
      <c r="BF370" t="s">
        <v>95</v>
      </c>
      <c r="BG370" t="s">
        <v>95</v>
      </c>
      <c r="BH370" t="s">
        <v>95</v>
      </c>
    </row>
    <row r="371" spans="1:60" x14ac:dyDescent="0.3">
      <c r="A371">
        <v>19</v>
      </c>
      <c r="B371" t="s">
        <v>70</v>
      </c>
      <c r="C371" t="s">
        <v>157</v>
      </c>
      <c r="D371" t="s">
        <v>72</v>
      </c>
      <c r="E371" t="s">
        <v>108</v>
      </c>
      <c r="F371" t="s">
        <v>74</v>
      </c>
      <c r="G371" t="s">
        <v>135</v>
      </c>
      <c r="H371" t="s">
        <v>74</v>
      </c>
      <c r="I371" t="s">
        <v>115</v>
      </c>
      <c r="J371" t="s">
        <v>77</v>
      </c>
      <c r="K371" t="s">
        <v>78</v>
      </c>
      <c r="L371" t="s">
        <v>79</v>
      </c>
      <c r="M371" t="s">
        <v>80</v>
      </c>
      <c r="N371" t="s">
        <v>79</v>
      </c>
      <c r="O371" t="s">
        <v>81</v>
      </c>
      <c r="P371" t="s">
        <v>82</v>
      </c>
      <c r="Q371" t="s">
        <v>83</v>
      </c>
      <c r="R371" t="s">
        <v>79</v>
      </c>
      <c r="S371" t="s">
        <v>84</v>
      </c>
      <c r="T371" t="s">
        <v>85</v>
      </c>
      <c r="U371" t="s">
        <v>82</v>
      </c>
      <c r="V371" t="s">
        <v>106</v>
      </c>
      <c r="W371" t="s">
        <v>87</v>
      </c>
      <c r="X371" t="s">
        <v>112</v>
      </c>
      <c r="Y371" t="s">
        <v>93</v>
      </c>
      <c r="Z371" t="s">
        <v>93</v>
      </c>
      <c r="AA371" t="s">
        <v>93</v>
      </c>
      <c r="AB371" t="s">
        <v>93</v>
      </c>
      <c r="AC371" t="s">
        <v>94</v>
      </c>
      <c r="AD371" t="s">
        <v>94</v>
      </c>
      <c r="AE371" t="s">
        <v>94</v>
      </c>
      <c r="AF371" t="s">
        <v>94</v>
      </c>
      <c r="AG371" t="s">
        <v>94</v>
      </c>
      <c r="AH371" t="s">
        <v>94</v>
      </c>
      <c r="AI371" t="s">
        <v>93</v>
      </c>
      <c r="AJ371" t="s">
        <v>94</v>
      </c>
      <c r="AK371" t="s">
        <v>93</v>
      </c>
      <c r="AL371" t="s">
        <v>94</v>
      </c>
      <c r="AM371" t="s">
        <v>94</v>
      </c>
      <c r="AN371" t="s">
        <v>93</v>
      </c>
      <c r="AO371" t="s">
        <v>93</v>
      </c>
      <c r="AP371" t="s">
        <v>93</v>
      </c>
      <c r="AQ371" t="s">
        <v>95</v>
      </c>
      <c r="AR371" t="s">
        <v>95</v>
      </c>
      <c r="AS371" t="s">
        <v>95</v>
      </c>
      <c r="AT371" t="s">
        <v>95</v>
      </c>
      <c r="AU371" t="s">
        <v>93</v>
      </c>
      <c r="AV371" t="s">
        <v>93</v>
      </c>
      <c r="AW371" t="s">
        <v>93</v>
      </c>
      <c r="AX371" t="s">
        <v>94</v>
      </c>
      <c r="AY371" t="s">
        <v>94</v>
      </c>
      <c r="AZ371" t="s">
        <v>94</v>
      </c>
    </row>
    <row r="372" spans="1:60" x14ac:dyDescent="0.3">
      <c r="A372">
        <v>19</v>
      </c>
      <c r="B372" t="s">
        <v>70</v>
      </c>
      <c r="C372" t="s">
        <v>157</v>
      </c>
      <c r="D372" t="s">
        <v>72</v>
      </c>
      <c r="E372" t="s">
        <v>114</v>
      </c>
      <c r="F372" t="s">
        <v>74</v>
      </c>
      <c r="G372" t="s">
        <v>115</v>
      </c>
      <c r="H372" t="s">
        <v>74</v>
      </c>
      <c r="I372" t="s">
        <v>76</v>
      </c>
      <c r="J372" t="s">
        <v>77</v>
      </c>
      <c r="K372" t="s">
        <v>122</v>
      </c>
      <c r="L372" t="s">
        <v>79</v>
      </c>
      <c r="M372" t="s">
        <v>80</v>
      </c>
      <c r="N372" t="s">
        <v>82</v>
      </c>
      <c r="O372" t="s">
        <v>117</v>
      </c>
      <c r="P372" t="s">
        <v>82</v>
      </c>
      <c r="Q372" t="s">
        <v>83</v>
      </c>
      <c r="R372" t="s">
        <v>79</v>
      </c>
      <c r="S372" t="s">
        <v>84</v>
      </c>
      <c r="T372" t="s">
        <v>164</v>
      </c>
      <c r="U372" t="s">
        <v>79</v>
      </c>
      <c r="V372" t="s">
        <v>106</v>
      </c>
      <c r="W372" t="s">
        <v>141</v>
      </c>
      <c r="X372" t="s">
        <v>112</v>
      </c>
      <c r="Y372" t="s">
        <v>95</v>
      </c>
      <c r="Z372" t="s">
        <v>94</v>
      </c>
      <c r="AA372" t="s">
        <v>95</v>
      </c>
      <c r="AB372" t="s">
        <v>94</v>
      </c>
      <c r="AC372" t="s">
        <v>93</v>
      </c>
      <c r="AD372" t="s">
        <v>93</v>
      </c>
      <c r="AE372" t="s">
        <v>94</v>
      </c>
      <c r="AF372" t="s">
        <v>94</v>
      </c>
      <c r="AG372" t="s">
        <v>94</v>
      </c>
      <c r="AH372" t="s">
        <v>94</v>
      </c>
      <c r="AI372" t="s">
        <v>94</v>
      </c>
      <c r="AJ372" t="s">
        <v>94</v>
      </c>
      <c r="AK372" t="s">
        <v>94</v>
      </c>
      <c r="AL372" t="s">
        <v>94</v>
      </c>
      <c r="AM372" t="s">
        <v>94</v>
      </c>
      <c r="AN372" t="s">
        <v>94</v>
      </c>
      <c r="AO372" t="s">
        <v>94</v>
      </c>
      <c r="AP372" t="s">
        <v>94</v>
      </c>
      <c r="AQ372" t="s">
        <v>94</v>
      </c>
      <c r="AR372" t="s">
        <v>94</v>
      </c>
      <c r="AS372" t="s">
        <v>95</v>
      </c>
      <c r="AT372" t="s">
        <v>93</v>
      </c>
      <c r="AU372" t="s">
        <v>94</v>
      </c>
      <c r="AV372" t="s">
        <v>95</v>
      </c>
      <c r="AW372" t="s">
        <v>95</v>
      </c>
      <c r="AX372" t="s">
        <v>93</v>
      </c>
      <c r="AY372" t="s">
        <v>94</v>
      </c>
      <c r="AZ372" t="s">
        <v>95</v>
      </c>
    </row>
    <row r="373" spans="1:60" x14ac:dyDescent="0.3">
      <c r="A373">
        <v>22</v>
      </c>
      <c r="B373" t="s">
        <v>128</v>
      </c>
      <c r="C373" t="s">
        <v>96</v>
      </c>
      <c r="D373" t="s">
        <v>72</v>
      </c>
      <c r="E373" t="s">
        <v>108</v>
      </c>
      <c r="F373" t="s">
        <v>98</v>
      </c>
      <c r="G373" t="s">
        <v>135</v>
      </c>
      <c r="H373" t="s">
        <v>100</v>
      </c>
      <c r="I373" t="s">
        <v>76</v>
      </c>
      <c r="J373" t="s">
        <v>77</v>
      </c>
      <c r="K373" t="s">
        <v>125</v>
      </c>
      <c r="L373" t="s">
        <v>79</v>
      </c>
      <c r="M373" t="s">
        <v>80</v>
      </c>
      <c r="N373" t="s">
        <v>79</v>
      </c>
      <c r="O373" t="s">
        <v>117</v>
      </c>
      <c r="P373" t="s">
        <v>79</v>
      </c>
      <c r="Q373" t="s">
        <v>83</v>
      </c>
      <c r="R373" t="s">
        <v>82</v>
      </c>
      <c r="S373" t="s">
        <v>84</v>
      </c>
      <c r="T373" t="s">
        <v>152</v>
      </c>
      <c r="U373" t="s">
        <v>82</v>
      </c>
      <c r="V373" t="s">
        <v>106</v>
      </c>
      <c r="W373" t="s">
        <v>141</v>
      </c>
      <c r="X373" t="s">
        <v>260</v>
      </c>
      <c r="Y373" t="s">
        <v>92</v>
      </c>
      <c r="Z373" t="s">
        <v>94</v>
      </c>
      <c r="AA373" t="s">
        <v>93</v>
      </c>
      <c r="AB373" t="s">
        <v>92</v>
      </c>
      <c r="AC373" t="s">
        <v>93</v>
      </c>
      <c r="AD373" t="s">
        <v>93</v>
      </c>
      <c r="AE373" t="s">
        <v>94</v>
      </c>
      <c r="AF373" t="s">
        <v>93</v>
      </c>
      <c r="AG373" t="s">
        <v>93</v>
      </c>
      <c r="AH373" t="s">
        <v>95</v>
      </c>
      <c r="AI373" t="s">
        <v>93</v>
      </c>
      <c r="AJ373" t="s">
        <v>93</v>
      </c>
      <c r="AK373" t="s">
        <v>93</v>
      </c>
      <c r="AL373" t="s">
        <v>95</v>
      </c>
      <c r="AM373" t="s">
        <v>95</v>
      </c>
      <c r="AN373" t="s">
        <v>92</v>
      </c>
      <c r="AO373" t="s">
        <v>95</v>
      </c>
      <c r="AP373" t="s">
        <v>92</v>
      </c>
      <c r="AQ373" t="s">
        <v>93</v>
      </c>
      <c r="AR373" t="s">
        <v>95</v>
      </c>
      <c r="AS373" t="s">
        <v>95</v>
      </c>
      <c r="AT373" t="s">
        <v>94</v>
      </c>
      <c r="AU373" t="s">
        <v>92</v>
      </c>
      <c r="AV373" t="s">
        <v>93</v>
      </c>
      <c r="AW373" t="s">
        <v>94</v>
      </c>
      <c r="AX373" t="s">
        <v>94</v>
      </c>
      <c r="AY373" t="s">
        <v>94</v>
      </c>
      <c r="AZ373" t="s">
        <v>94</v>
      </c>
      <c r="BA373" t="s">
        <v>94</v>
      </c>
      <c r="BB373" t="s">
        <v>94</v>
      </c>
      <c r="BC373" t="s">
        <v>94</v>
      </c>
      <c r="BD373" t="s">
        <v>94</v>
      </c>
      <c r="BE373" t="s">
        <v>94</v>
      </c>
      <c r="BF373" t="s">
        <v>94</v>
      </c>
      <c r="BG373" t="s">
        <v>94</v>
      </c>
      <c r="BH373" t="s">
        <v>94</v>
      </c>
    </row>
    <row r="374" spans="1:60" x14ac:dyDescent="0.3">
      <c r="A374">
        <v>22</v>
      </c>
      <c r="B374" t="s">
        <v>70</v>
      </c>
      <c r="C374" t="s">
        <v>113</v>
      </c>
      <c r="D374" t="s">
        <v>97</v>
      </c>
      <c r="E374" t="s">
        <v>108</v>
      </c>
      <c r="F374" t="s">
        <v>74</v>
      </c>
      <c r="G374" t="s">
        <v>135</v>
      </c>
      <c r="H374" t="s">
        <v>74</v>
      </c>
      <c r="I374" t="s">
        <v>76</v>
      </c>
      <c r="J374" t="s">
        <v>101</v>
      </c>
      <c r="K374" t="s">
        <v>131</v>
      </c>
      <c r="L374" t="s">
        <v>79</v>
      </c>
      <c r="M374" t="s">
        <v>80</v>
      </c>
      <c r="N374" t="s">
        <v>79</v>
      </c>
      <c r="O374" t="s">
        <v>81</v>
      </c>
      <c r="P374" t="s">
        <v>79</v>
      </c>
      <c r="Q374" t="s">
        <v>83</v>
      </c>
      <c r="R374" t="s">
        <v>79</v>
      </c>
      <c r="S374" t="s">
        <v>126</v>
      </c>
      <c r="T374" t="s">
        <v>164</v>
      </c>
      <c r="U374" t="s">
        <v>79</v>
      </c>
      <c r="V374" t="s">
        <v>86</v>
      </c>
      <c r="W374" t="s">
        <v>141</v>
      </c>
      <c r="X374" t="s">
        <v>88</v>
      </c>
      <c r="Y374" t="s">
        <v>95</v>
      </c>
      <c r="Z374" t="s">
        <v>92</v>
      </c>
      <c r="AA374" t="s">
        <v>92</v>
      </c>
      <c r="AB374" t="s">
        <v>92</v>
      </c>
      <c r="AC374" t="s">
        <v>92</v>
      </c>
      <c r="AD374" t="s">
        <v>92</v>
      </c>
      <c r="AE374" t="s">
        <v>92</v>
      </c>
      <c r="AF374" t="s">
        <v>92</v>
      </c>
      <c r="AG374" t="s">
        <v>92</v>
      </c>
      <c r="AH374" t="s">
        <v>92</v>
      </c>
      <c r="AI374" t="s">
        <v>92</v>
      </c>
      <c r="AJ374" t="s">
        <v>92</v>
      </c>
      <c r="AK374" t="s">
        <v>92</v>
      </c>
      <c r="AL374" t="s">
        <v>92</v>
      </c>
      <c r="AM374" t="s">
        <v>92</v>
      </c>
      <c r="AN374" t="s">
        <v>92</v>
      </c>
      <c r="AO374" t="s">
        <v>92</v>
      </c>
      <c r="AP374" t="s">
        <v>92</v>
      </c>
      <c r="AQ374" t="s">
        <v>92</v>
      </c>
      <c r="AR374" t="s">
        <v>92</v>
      </c>
      <c r="AS374" t="s">
        <v>92</v>
      </c>
      <c r="AT374" t="s">
        <v>92</v>
      </c>
      <c r="AU374" t="s">
        <v>92</v>
      </c>
      <c r="AV374" t="s">
        <v>92</v>
      </c>
      <c r="AW374" t="s">
        <v>92</v>
      </c>
      <c r="AX374" t="s">
        <v>92</v>
      </c>
      <c r="AY374" t="s">
        <v>92</v>
      </c>
      <c r="AZ374" t="s">
        <v>92</v>
      </c>
      <c r="BA374" t="s">
        <v>92</v>
      </c>
      <c r="BB374" t="s">
        <v>92</v>
      </c>
      <c r="BC374" t="s">
        <v>92</v>
      </c>
      <c r="BD374" t="s">
        <v>92</v>
      </c>
      <c r="BE374" t="s">
        <v>92</v>
      </c>
      <c r="BF374" t="s">
        <v>92</v>
      </c>
      <c r="BG374" t="s">
        <v>92</v>
      </c>
      <c r="BH374" t="s">
        <v>92</v>
      </c>
    </row>
    <row r="375" spans="1:60" x14ac:dyDescent="0.3">
      <c r="A375">
        <v>24</v>
      </c>
      <c r="B375" t="s">
        <v>70</v>
      </c>
      <c r="C375" t="s">
        <v>96</v>
      </c>
      <c r="D375" t="s">
        <v>97</v>
      </c>
      <c r="E375" t="s">
        <v>108</v>
      </c>
      <c r="F375" t="s">
        <v>74</v>
      </c>
      <c r="G375" t="s">
        <v>135</v>
      </c>
      <c r="H375" t="s">
        <v>74</v>
      </c>
      <c r="I375" t="s">
        <v>76</v>
      </c>
      <c r="J375" t="s">
        <v>77</v>
      </c>
      <c r="K375" t="s">
        <v>122</v>
      </c>
      <c r="L375" t="s">
        <v>82</v>
      </c>
      <c r="M375" t="s">
        <v>132</v>
      </c>
      <c r="N375" t="s">
        <v>79</v>
      </c>
      <c r="O375" t="s">
        <v>109</v>
      </c>
      <c r="P375" t="s">
        <v>82</v>
      </c>
      <c r="Q375" t="s">
        <v>83</v>
      </c>
      <c r="R375" t="s">
        <v>79</v>
      </c>
      <c r="S375" t="s">
        <v>84</v>
      </c>
      <c r="T375" t="s">
        <v>159</v>
      </c>
      <c r="U375" t="s">
        <v>82</v>
      </c>
      <c r="V375" t="s">
        <v>106</v>
      </c>
      <c r="W375" t="s">
        <v>87</v>
      </c>
      <c r="X375" t="s">
        <v>112</v>
      </c>
      <c r="Y375" t="s">
        <v>92</v>
      </c>
      <c r="Z375" t="s">
        <v>93</v>
      </c>
      <c r="AA375" t="s">
        <v>93</v>
      </c>
      <c r="AB375" t="s">
        <v>93</v>
      </c>
      <c r="AC375" t="s">
        <v>93</v>
      </c>
      <c r="AD375" t="s">
        <v>93</v>
      </c>
      <c r="AE375" t="s">
        <v>93</v>
      </c>
      <c r="AF375" t="s">
        <v>93</v>
      </c>
      <c r="AG375" t="s">
        <v>92</v>
      </c>
      <c r="AH375" t="s">
        <v>92</v>
      </c>
      <c r="AI375" t="s">
        <v>92</v>
      </c>
      <c r="AJ375" t="s">
        <v>93</v>
      </c>
      <c r="AK375" t="s">
        <v>93</v>
      </c>
      <c r="AL375" t="s">
        <v>93</v>
      </c>
      <c r="AM375" t="s">
        <v>92</v>
      </c>
      <c r="AN375" t="s">
        <v>93</v>
      </c>
      <c r="AO375" t="s">
        <v>93</v>
      </c>
      <c r="AP375" t="s">
        <v>93</v>
      </c>
      <c r="AQ375" t="s">
        <v>93</v>
      </c>
      <c r="AR375" t="s">
        <v>93</v>
      </c>
      <c r="AS375" t="s">
        <v>93</v>
      </c>
      <c r="AT375" t="s">
        <v>93</v>
      </c>
      <c r="AU375" t="s">
        <v>93</v>
      </c>
      <c r="AV375" t="s">
        <v>95</v>
      </c>
      <c r="AW375" t="s">
        <v>95</v>
      </c>
      <c r="AX375" t="s">
        <v>93</v>
      </c>
      <c r="AY375" t="s">
        <v>93</v>
      </c>
      <c r="AZ375" t="s">
        <v>93</v>
      </c>
      <c r="BA375" t="s">
        <v>93</v>
      </c>
      <c r="BB375" t="s">
        <v>93</v>
      </c>
      <c r="BC375" t="s">
        <v>93</v>
      </c>
      <c r="BD375" t="s">
        <v>93</v>
      </c>
      <c r="BE375" t="s">
        <v>93</v>
      </c>
      <c r="BF375" t="s">
        <v>93</v>
      </c>
      <c r="BG375" t="s">
        <v>93</v>
      </c>
      <c r="BH375" t="s">
        <v>93</v>
      </c>
    </row>
    <row r="376" spans="1:60" x14ac:dyDescent="0.3">
      <c r="A376">
        <v>22</v>
      </c>
      <c r="B376" t="s">
        <v>70</v>
      </c>
      <c r="C376" t="s">
        <v>113</v>
      </c>
      <c r="D376" t="s">
        <v>97</v>
      </c>
      <c r="E376" t="s">
        <v>108</v>
      </c>
      <c r="F376" t="s">
        <v>136</v>
      </c>
      <c r="G376" t="s">
        <v>135</v>
      </c>
      <c r="H376" t="s">
        <v>136</v>
      </c>
      <c r="I376" t="s">
        <v>76</v>
      </c>
      <c r="J376" t="s">
        <v>77</v>
      </c>
      <c r="K376" t="s">
        <v>78</v>
      </c>
      <c r="L376" t="s">
        <v>79</v>
      </c>
      <c r="M376" t="s">
        <v>80</v>
      </c>
      <c r="N376" t="s">
        <v>79</v>
      </c>
      <c r="O376" t="s">
        <v>117</v>
      </c>
      <c r="P376" t="s">
        <v>79</v>
      </c>
      <c r="Q376" t="s">
        <v>83</v>
      </c>
      <c r="R376" t="s">
        <v>79</v>
      </c>
      <c r="S376" t="s">
        <v>84</v>
      </c>
      <c r="T376" t="s">
        <v>85</v>
      </c>
      <c r="U376" t="s">
        <v>82</v>
      </c>
      <c r="V376" t="s">
        <v>106</v>
      </c>
      <c r="W376" t="s">
        <v>141</v>
      </c>
      <c r="X376" t="s">
        <v>112</v>
      </c>
      <c r="Y376" t="s">
        <v>93</v>
      </c>
      <c r="Z376" t="s">
        <v>92</v>
      </c>
      <c r="AA376" t="s">
        <v>93</v>
      </c>
      <c r="AB376" t="s">
        <v>94</v>
      </c>
      <c r="AC376" t="s">
        <v>95</v>
      </c>
      <c r="AD376" t="s">
        <v>95</v>
      </c>
      <c r="AE376" t="s">
        <v>95</v>
      </c>
      <c r="AF376" t="s">
        <v>93</v>
      </c>
      <c r="AG376" t="s">
        <v>93</v>
      </c>
      <c r="AH376" t="s">
        <v>93</v>
      </c>
      <c r="AI376" t="s">
        <v>93</v>
      </c>
      <c r="AJ376" t="s">
        <v>94</v>
      </c>
      <c r="AK376" t="s">
        <v>93</v>
      </c>
      <c r="AL376" t="s">
        <v>92</v>
      </c>
      <c r="AM376" t="s">
        <v>95</v>
      </c>
      <c r="AN376" t="s">
        <v>93</v>
      </c>
      <c r="AO376" t="s">
        <v>93</v>
      </c>
      <c r="AP376" t="s">
        <v>93</v>
      </c>
      <c r="AQ376" t="s">
        <v>95</v>
      </c>
      <c r="AR376" t="s">
        <v>95</v>
      </c>
      <c r="AS376" t="s">
        <v>95</v>
      </c>
      <c r="AT376" t="s">
        <v>95</v>
      </c>
      <c r="AU376" t="s">
        <v>95</v>
      </c>
      <c r="AV376" t="s">
        <v>95</v>
      </c>
      <c r="AW376" t="s">
        <v>95</v>
      </c>
      <c r="AX376" t="s">
        <v>93</v>
      </c>
      <c r="AY376" t="s">
        <v>95</v>
      </c>
      <c r="AZ376" t="s">
        <v>95</v>
      </c>
      <c r="BA376" t="s">
        <v>93</v>
      </c>
      <c r="BB376" t="s">
        <v>94</v>
      </c>
      <c r="BC376" t="s">
        <v>94</v>
      </c>
      <c r="BD376" t="s">
        <v>92</v>
      </c>
      <c r="BE376" t="s">
        <v>93</v>
      </c>
      <c r="BF376" t="s">
        <v>95</v>
      </c>
      <c r="BG376" t="s">
        <v>95</v>
      </c>
      <c r="BH376" t="s">
        <v>95</v>
      </c>
    </row>
    <row r="377" spans="1:60" x14ac:dyDescent="0.3">
      <c r="A377">
        <v>21</v>
      </c>
      <c r="B377" t="s">
        <v>70</v>
      </c>
      <c r="C377" t="s">
        <v>113</v>
      </c>
      <c r="D377" t="s">
        <v>97</v>
      </c>
      <c r="E377" t="s">
        <v>114</v>
      </c>
      <c r="F377" t="s">
        <v>136</v>
      </c>
      <c r="G377" t="s">
        <v>135</v>
      </c>
      <c r="H377" t="s">
        <v>98</v>
      </c>
      <c r="I377" t="s">
        <v>76</v>
      </c>
      <c r="J377" t="s">
        <v>77</v>
      </c>
      <c r="K377" t="s">
        <v>122</v>
      </c>
      <c r="L377" t="s">
        <v>79</v>
      </c>
      <c r="M377" t="s">
        <v>80</v>
      </c>
      <c r="N377" t="s">
        <v>79</v>
      </c>
      <c r="O377" t="s">
        <v>138</v>
      </c>
      <c r="P377" t="s">
        <v>79</v>
      </c>
      <c r="Q377" t="s">
        <v>118</v>
      </c>
      <c r="R377" t="s">
        <v>79</v>
      </c>
      <c r="S377" t="s">
        <v>276</v>
      </c>
      <c r="T377" t="s">
        <v>124</v>
      </c>
      <c r="U377" t="s">
        <v>79</v>
      </c>
      <c r="V377" t="s">
        <v>86</v>
      </c>
      <c r="W377" t="s">
        <v>120</v>
      </c>
      <c r="X377" t="s">
        <v>112</v>
      </c>
      <c r="Y377" t="s">
        <v>95</v>
      </c>
      <c r="Z377" t="s">
        <v>95</v>
      </c>
      <c r="AA377" t="s">
        <v>94</v>
      </c>
      <c r="AB377" t="s">
        <v>95</v>
      </c>
      <c r="AC377" t="s">
        <v>94</v>
      </c>
      <c r="AD377" t="s">
        <v>94</v>
      </c>
      <c r="AE377" t="s">
        <v>94</v>
      </c>
      <c r="AF377" t="s">
        <v>94</v>
      </c>
      <c r="AG377" t="s">
        <v>94</v>
      </c>
      <c r="AH377" t="s">
        <v>94</v>
      </c>
      <c r="AI377" t="s">
        <v>94</v>
      </c>
      <c r="AJ377" t="s">
        <v>94</v>
      </c>
      <c r="AK377" t="s">
        <v>94</v>
      </c>
      <c r="AL377" t="s">
        <v>94</v>
      </c>
      <c r="AM377" t="s">
        <v>94</v>
      </c>
      <c r="AN377" t="s">
        <v>94</v>
      </c>
      <c r="AO377" t="s">
        <v>94</v>
      </c>
      <c r="AP377" t="s">
        <v>94</v>
      </c>
      <c r="AQ377" t="s">
        <v>94</v>
      </c>
      <c r="AR377" t="s">
        <v>94</v>
      </c>
      <c r="AS377" t="s">
        <v>94</v>
      </c>
      <c r="AT377" t="s">
        <v>94</v>
      </c>
      <c r="AU377" t="s">
        <v>94</v>
      </c>
      <c r="AV377" t="s">
        <v>94</v>
      </c>
      <c r="AW377" t="s">
        <v>94</v>
      </c>
      <c r="AX377" t="s">
        <v>94</v>
      </c>
      <c r="AY377" t="s">
        <v>94</v>
      </c>
      <c r="AZ377" t="s">
        <v>94</v>
      </c>
      <c r="BA377" t="s">
        <v>94</v>
      </c>
      <c r="BB377" t="s">
        <v>94</v>
      </c>
      <c r="BC377" t="s">
        <v>94</v>
      </c>
      <c r="BD377" t="s">
        <v>94</v>
      </c>
      <c r="BE377" t="s">
        <v>94</v>
      </c>
      <c r="BF377" t="s">
        <v>94</v>
      </c>
      <c r="BG377" t="s">
        <v>94</v>
      </c>
      <c r="BH377" t="s">
        <v>94</v>
      </c>
    </row>
    <row r="378" spans="1:60" x14ac:dyDescent="0.3">
      <c r="A378">
        <v>24</v>
      </c>
      <c r="B378" t="s">
        <v>70</v>
      </c>
      <c r="C378" t="s">
        <v>113</v>
      </c>
      <c r="D378" t="s">
        <v>97</v>
      </c>
      <c r="E378" t="s">
        <v>114</v>
      </c>
      <c r="F378" t="s">
        <v>136</v>
      </c>
      <c r="G378" t="s">
        <v>99</v>
      </c>
      <c r="H378" t="s">
        <v>136</v>
      </c>
      <c r="I378" t="s">
        <v>99</v>
      </c>
      <c r="J378" t="s">
        <v>77</v>
      </c>
      <c r="K378" t="s">
        <v>125</v>
      </c>
      <c r="L378" t="s">
        <v>79</v>
      </c>
      <c r="M378" t="s">
        <v>80</v>
      </c>
      <c r="N378" t="s">
        <v>79</v>
      </c>
      <c r="O378" t="s">
        <v>109</v>
      </c>
      <c r="P378" t="s">
        <v>79</v>
      </c>
      <c r="Q378" t="s">
        <v>83</v>
      </c>
      <c r="R378" t="s">
        <v>79</v>
      </c>
      <c r="S378" t="s">
        <v>84</v>
      </c>
      <c r="T378" t="s">
        <v>191</v>
      </c>
      <c r="U378" t="s">
        <v>82</v>
      </c>
      <c r="V378" t="s">
        <v>148</v>
      </c>
      <c r="W378" t="s">
        <v>87</v>
      </c>
      <c r="X378" t="s">
        <v>160</v>
      </c>
      <c r="Y378" t="s">
        <v>94</v>
      </c>
      <c r="Z378" t="s">
        <v>93</v>
      </c>
      <c r="AA378" t="s">
        <v>92</v>
      </c>
      <c r="AB378" t="s">
        <v>92</v>
      </c>
      <c r="AC378" t="s">
        <v>94</v>
      </c>
      <c r="AD378" t="s">
        <v>93</v>
      </c>
      <c r="AE378" t="s">
        <v>92</v>
      </c>
      <c r="AF378" t="s">
        <v>95</v>
      </c>
      <c r="AG378" t="s">
        <v>94</v>
      </c>
      <c r="AH378" t="s">
        <v>93</v>
      </c>
      <c r="AI378" t="s">
        <v>93</v>
      </c>
      <c r="AJ378" t="s">
        <v>92</v>
      </c>
      <c r="AK378" t="s">
        <v>92</v>
      </c>
      <c r="AL378" t="s">
        <v>94</v>
      </c>
      <c r="AM378" t="s">
        <v>92</v>
      </c>
      <c r="AN378" t="s">
        <v>95</v>
      </c>
      <c r="AO378" t="s">
        <v>93</v>
      </c>
      <c r="AP378" t="s">
        <v>93</v>
      </c>
      <c r="AQ378" t="s">
        <v>95</v>
      </c>
      <c r="AR378" t="s">
        <v>94</v>
      </c>
      <c r="AS378" t="s">
        <v>95</v>
      </c>
      <c r="AT378" t="s">
        <v>94</v>
      </c>
      <c r="AU378" t="s">
        <v>95</v>
      </c>
      <c r="AV378" t="s">
        <v>95</v>
      </c>
      <c r="AW378" t="s">
        <v>95</v>
      </c>
      <c r="AX378" t="s">
        <v>93</v>
      </c>
      <c r="AY378" t="s">
        <v>92</v>
      </c>
      <c r="AZ378" t="s">
        <v>94</v>
      </c>
      <c r="BA378" t="s">
        <v>92</v>
      </c>
      <c r="BB378" t="s">
        <v>95</v>
      </c>
      <c r="BC378" t="s">
        <v>92</v>
      </c>
      <c r="BD378" t="s">
        <v>93</v>
      </c>
      <c r="BE378" t="s">
        <v>92</v>
      </c>
      <c r="BF378" t="s">
        <v>95</v>
      </c>
      <c r="BG378" t="s">
        <v>94</v>
      </c>
      <c r="BH378" t="s">
        <v>93</v>
      </c>
    </row>
    <row r="379" spans="1:60" x14ac:dyDescent="0.3">
      <c r="A379">
        <v>31</v>
      </c>
      <c r="B379" t="s">
        <v>70</v>
      </c>
      <c r="C379" t="s">
        <v>153</v>
      </c>
      <c r="D379" t="s">
        <v>97</v>
      </c>
      <c r="E379" t="s">
        <v>108</v>
      </c>
      <c r="F379" t="s">
        <v>136</v>
      </c>
      <c r="G379" t="s">
        <v>135</v>
      </c>
      <c r="H379" t="s">
        <v>98</v>
      </c>
      <c r="I379" t="s">
        <v>76</v>
      </c>
      <c r="J379" t="s">
        <v>101</v>
      </c>
      <c r="K379" t="s">
        <v>131</v>
      </c>
      <c r="L379" t="s">
        <v>79</v>
      </c>
      <c r="M379" t="s">
        <v>132</v>
      </c>
      <c r="N379" t="s">
        <v>79</v>
      </c>
      <c r="O379" t="s">
        <v>117</v>
      </c>
      <c r="P379" t="s">
        <v>79</v>
      </c>
      <c r="Q379" t="s">
        <v>83</v>
      </c>
      <c r="R379" t="s">
        <v>79</v>
      </c>
      <c r="S379" t="s">
        <v>84</v>
      </c>
      <c r="T379" t="s">
        <v>124</v>
      </c>
      <c r="U379" t="s">
        <v>82</v>
      </c>
      <c r="V379" t="s">
        <v>106</v>
      </c>
      <c r="W379" t="s">
        <v>87</v>
      </c>
      <c r="X379" t="s">
        <v>112</v>
      </c>
      <c r="Y379" t="s">
        <v>94</v>
      </c>
      <c r="Z379" t="s">
        <v>94</v>
      </c>
      <c r="AA379" t="s">
        <v>93</v>
      </c>
      <c r="AB379" t="s">
        <v>94</v>
      </c>
      <c r="AC379" t="s">
        <v>94</v>
      </c>
      <c r="AD379" t="s">
        <v>95</v>
      </c>
      <c r="AE379" t="s">
        <v>94</v>
      </c>
      <c r="AF379" t="s">
        <v>94</v>
      </c>
      <c r="AG379" t="s">
        <v>95</v>
      </c>
      <c r="AH379" t="s">
        <v>95</v>
      </c>
      <c r="AI379" t="s">
        <v>95</v>
      </c>
      <c r="AJ379" t="s">
        <v>95</v>
      </c>
      <c r="AK379" t="s">
        <v>94</v>
      </c>
      <c r="AL379" t="s">
        <v>95</v>
      </c>
      <c r="AM379" t="s">
        <v>95</v>
      </c>
      <c r="AN379" t="s">
        <v>93</v>
      </c>
      <c r="AO379" t="s">
        <v>93</v>
      </c>
      <c r="AP379" t="s">
        <v>94</v>
      </c>
      <c r="AQ379" t="s">
        <v>94</v>
      </c>
      <c r="AR379" t="s">
        <v>94</v>
      </c>
      <c r="AS379" t="s">
        <v>94</v>
      </c>
      <c r="AT379" t="s">
        <v>94</v>
      </c>
      <c r="AU379" t="s">
        <v>94</v>
      </c>
      <c r="AV379" t="s">
        <v>94</v>
      </c>
      <c r="AW379" t="s">
        <v>94</v>
      </c>
      <c r="AX379" t="s">
        <v>94</v>
      </c>
      <c r="AY379" t="s">
        <v>93</v>
      </c>
      <c r="AZ379" t="s">
        <v>93</v>
      </c>
      <c r="BA379" t="s">
        <v>93</v>
      </c>
      <c r="BB379" t="s">
        <v>94</v>
      </c>
      <c r="BC379" t="s">
        <v>92</v>
      </c>
      <c r="BD379" t="s">
        <v>94</v>
      </c>
      <c r="BE379" t="s">
        <v>94</v>
      </c>
      <c r="BF379" t="s">
        <v>94</v>
      </c>
      <c r="BG379" t="s">
        <v>94</v>
      </c>
      <c r="BH379" t="s">
        <v>94</v>
      </c>
    </row>
    <row r="380" spans="1:60" x14ac:dyDescent="0.3">
      <c r="A380">
        <v>22</v>
      </c>
      <c r="B380" t="s">
        <v>70</v>
      </c>
      <c r="C380" t="s">
        <v>96</v>
      </c>
      <c r="D380" t="s">
        <v>149</v>
      </c>
      <c r="E380" t="s">
        <v>73</v>
      </c>
      <c r="F380" t="s">
        <v>100</v>
      </c>
      <c r="G380" t="s">
        <v>166</v>
      </c>
      <c r="H380" t="s">
        <v>98</v>
      </c>
      <c r="I380" t="s">
        <v>76</v>
      </c>
      <c r="J380" t="s">
        <v>101</v>
      </c>
      <c r="K380" t="s">
        <v>125</v>
      </c>
      <c r="L380" t="s">
        <v>82</v>
      </c>
      <c r="M380" t="s">
        <v>102</v>
      </c>
      <c r="N380" t="s">
        <v>79</v>
      </c>
      <c r="O380" t="s">
        <v>81</v>
      </c>
      <c r="P380" t="s">
        <v>79</v>
      </c>
      <c r="Q380" t="s">
        <v>83</v>
      </c>
      <c r="R380" t="s">
        <v>79</v>
      </c>
      <c r="S380" t="s">
        <v>84</v>
      </c>
      <c r="T380" t="s">
        <v>152</v>
      </c>
      <c r="U380" t="s">
        <v>82</v>
      </c>
      <c r="V380" t="s">
        <v>106</v>
      </c>
      <c r="W380" t="s">
        <v>141</v>
      </c>
      <c r="X380" t="s">
        <v>112</v>
      </c>
      <c r="Y380" t="s">
        <v>92</v>
      </c>
      <c r="Z380" t="s">
        <v>92</v>
      </c>
      <c r="AA380" t="s">
        <v>93</v>
      </c>
      <c r="AB380" t="s">
        <v>93</v>
      </c>
      <c r="AC380" t="s">
        <v>92</v>
      </c>
      <c r="AD380" t="s">
        <v>92</v>
      </c>
      <c r="AE380" t="s">
        <v>92</v>
      </c>
      <c r="AF380" t="s">
        <v>93</v>
      </c>
      <c r="AG380" t="s">
        <v>93</v>
      </c>
      <c r="AH380" t="s">
        <v>92</v>
      </c>
      <c r="AI380" t="s">
        <v>92</v>
      </c>
      <c r="AJ380" t="s">
        <v>92</v>
      </c>
      <c r="AK380" t="s">
        <v>92</v>
      </c>
      <c r="AL380" t="s">
        <v>92</v>
      </c>
      <c r="AM380" t="s">
        <v>92</v>
      </c>
      <c r="AN380" t="s">
        <v>93</v>
      </c>
      <c r="AO380" t="s">
        <v>93</v>
      </c>
      <c r="AP380" t="s">
        <v>93</v>
      </c>
      <c r="AQ380" t="s">
        <v>93</v>
      </c>
      <c r="AR380" t="s">
        <v>93</v>
      </c>
      <c r="AS380" t="s">
        <v>93</v>
      </c>
      <c r="AT380" t="s">
        <v>93</v>
      </c>
      <c r="AU380" t="s">
        <v>94</v>
      </c>
      <c r="AV380" t="s">
        <v>94</v>
      </c>
      <c r="AW380" t="s">
        <v>92</v>
      </c>
      <c r="AX380" t="s">
        <v>94</v>
      </c>
      <c r="AY380" t="s">
        <v>92</v>
      </c>
      <c r="AZ380" t="s">
        <v>92</v>
      </c>
      <c r="BA380" t="s">
        <v>93</v>
      </c>
      <c r="BB380" t="s">
        <v>93</v>
      </c>
      <c r="BC380" t="s">
        <v>93</v>
      </c>
      <c r="BD380" t="s">
        <v>93</v>
      </c>
      <c r="BE380" t="s">
        <v>93</v>
      </c>
      <c r="BF380" t="s">
        <v>93</v>
      </c>
      <c r="BG380" t="s">
        <v>93</v>
      </c>
      <c r="BH380" t="s">
        <v>93</v>
      </c>
    </row>
    <row r="381" spans="1:60" x14ac:dyDescent="0.3">
      <c r="A381">
        <v>22</v>
      </c>
      <c r="B381" t="s">
        <v>70</v>
      </c>
      <c r="C381" t="s">
        <v>113</v>
      </c>
      <c r="D381" t="s">
        <v>97</v>
      </c>
      <c r="E381" t="s">
        <v>108</v>
      </c>
      <c r="F381" t="s">
        <v>74</v>
      </c>
      <c r="G381" t="s">
        <v>135</v>
      </c>
      <c r="H381" t="s">
        <v>136</v>
      </c>
      <c r="I381" t="s">
        <v>76</v>
      </c>
      <c r="J381" t="s">
        <v>77</v>
      </c>
      <c r="K381" t="s">
        <v>125</v>
      </c>
      <c r="L381" t="s">
        <v>79</v>
      </c>
      <c r="M381" t="s">
        <v>80</v>
      </c>
      <c r="N381" t="s">
        <v>82</v>
      </c>
      <c r="O381" t="s">
        <v>117</v>
      </c>
      <c r="P381" t="s">
        <v>82</v>
      </c>
      <c r="Q381" t="s">
        <v>103</v>
      </c>
      <c r="R381" t="s">
        <v>79</v>
      </c>
      <c r="S381" t="s">
        <v>84</v>
      </c>
      <c r="T381" t="s">
        <v>119</v>
      </c>
      <c r="U381" t="s">
        <v>82</v>
      </c>
      <c r="V381" t="s">
        <v>86</v>
      </c>
      <c r="W381" t="s">
        <v>87</v>
      </c>
      <c r="X381" t="s">
        <v>160</v>
      </c>
      <c r="Y381" t="s">
        <v>94</v>
      </c>
      <c r="Z381" t="s">
        <v>92</v>
      </c>
      <c r="AA381" t="s">
        <v>92</v>
      </c>
      <c r="AB381" t="s">
        <v>92</v>
      </c>
      <c r="AC381" t="s">
        <v>93</v>
      </c>
      <c r="AD381" t="s">
        <v>92</v>
      </c>
      <c r="AE381" t="s">
        <v>94</v>
      </c>
      <c r="AF381" t="s">
        <v>92</v>
      </c>
      <c r="AG381" t="s">
        <v>94</v>
      </c>
      <c r="AH381" t="s">
        <v>93</v>
      </c>
      <c r="AI381" t="s">
        <v>93</v>
      </c>
      <c r="AJ381" t="s">
        <v>92</v>
      </c>
      <c r="AK381" t="s">
        <v>94</v>
      </c>
      <c r="AL381" t="s">
        <v>93</v>
      </c>
      <c r="AM381" t="s">
        <v>93</v>
      </c>
      <c r="AN381" t="s">
        <v>92</v>
      </c>
      <c r="AO381" t="s">
        <v>92</v>
      </c>
      <c r="AP381" t="s">
        <v>93</v>
      </c>
      <c r="AQ381" t="s">
        <v>92</v>
      </c>
      <c r="AR381" t="s">
        <v>95</v>
      </c>
      <c r="AS381" t="s">
        <v>95</v>
      </c>
      <c r="AT381" t="s">
        <v>95</v>
      </c>
      <c r="AU381" t="s">
        <v>94</v>
      </c>
      <c r="AV381" t="s">
        <v>95</v>
      </c>
      <c r="AW381" t="s">
        <v>95</v>
      </c>
      <c r="AX381" t="s">
        <v>93</v>
      </c>
      <c r="AY381" t="s">
        <v>93</v>
      </c>
      <c r="AZ381" t="s">
        <v>95</v>
      </c>
      <c r="BA381" t="s">
        <v>93</v>
      </c>
      <c r="BB381" t="s">
        <v>93</v>
      </c>
      <c r="BC381" t="s">
        <v>93</v>
      </c>
      <c r="BD381" t="s">
        <v>93</v>
      </c>
      <c r="BE381" t="s">
        <v>93</v>
      </c>
      <c r="BF381" t="s">
        <v>93</v>
      </c>
      <c r="BG381" t="s">
        <v>92</v>
      </c>
      <c r="BH381" t="s">
        <v>93</v>
      </c>
    </row>
    <row r="382" spans="1:60" x14ac:dyDescent="0.3">
      <c r="A382">
        <v>18</v>
      </c>
      <c r="B382" t="s">
        <v>70</v>
      </c>
      <c r="C382" t="s">
        <v>96</v>
      </c>
      <c r="D382" t="s">
        <v>97</v>
      </c>
      <c r="E382" t="s">
        <v>108</v>
      </c>
      <c r="F382" t="s">
        <v>98</v>
      </c>
      <c r="G382" t="s">
        <v>75</v>
      </c>
      <c r="H382" t="s">
        <v>74</v>
      </c>
      <c r="I382" t="s">
        <v>76</v>
      </c>
      <c r="J382" t="s">
        <v>77</v>
      </c>
      <c r="K382" t="s">
        <v>125</v>
      </c>
      <c r="L382" t="s">
        <v>82</v>
      </c>
      <c r="M382" t="s">
        <v>132</v>
      </c>
      <c r="N382" t="s">
        <v>79</v>
      </c>
      <c r="O382" t="s">
        <v>117</v>
      </c>
      <c r="P382" t="s">
        <v>82</v>
      </c>
      <c r="Q382" t="s">
        <v>83</v>
      </c>
      <c r="R382" t="s">
        <v>79</v>
      </c>
      <c r="S382" t="s">
        <v>84</v>
      </c>
      <c r="T382" t="s">
        <v>119</v>
      </c>
      <c r="U382" t="s">
        <v>82</v>
      </c>
      <c r="V382" t="s">
        <v>106</v>
      </c>
      <c r="W382" t="s">
        <v>120</v>
      </c>
      <c r="X382" t="s">
        <v>112</v>
      </c>
      <c r="Y382" t="s">
        <v>92</v>
      </c>
      <c r="Z382" t="s">
        <v>93</v>
      </c>
      <c r="AA382" t="s">
        <v>93</v>
      </c>
      <c r="AB382" t="s">
        <v>93</v>
      </c>
      <c r="AC382" t="s">
        <v>93</v>
      </c>
      <c r="AD382" t="s">
        <v>93</v>
      </c>
      <c r="AE382" t="s">
        <v>92</v>
      </c>
      <c r="AF382" t="s">
        <v>93</v>
      </c>
      <c r="AG382" t="s">
        <v>92</v>
      </c>
      <c r="AH382" t="s">
        <v>93</v>
      </c>
      <c r="AI382" t="s">
        <v>93</v>
      </c>
      <c r="AJ382" t="s">
        <v>92</v>
      </c>
      <c r="AK382" t="s">
        <v>92</v>
      </c>
      <c r="AL382" t="s">
        <v>93</v>
      </c>
      <c r="AM382" t="s">
        <v>92</v>
      </c>
      <c r="AN382" t="s">
        <v>93</v>
      </c>
      <c r="AO382" t="s">
        <v>93</v>
      </c>
      <c r="AP382" t="s">
        <v>93</v>
      </c>
      <c r="AQ382" t="s">
        <v>92</v>
      </c>
      <c r="AR382" t="s">
        <v>92</v>
      </c>
      <c r="AS382" t="s">
        <v>95</v>
      </c>
      <c r="AT382" t="s">
        <v>94</v>
      </c>
      <c r="AU382" t="s">
        <v>95</v>
      </c>
      <c r="AV382" t="s">
        <v>95</v>
      </c>
      <c r="AW382" t="s">
        <v>95</v>
      </c>
      <c r="AX382" t="s">
        <v>93</v>
      </c>
      <c r="AY382" t="s">
        <v>92</v>
      </c>
      <c r="AZ382" t="s">
        <v>95</v>
      </c>
      <c r="BA382" t="s">
        <v>95</v>
      </c>
      <c r="BB382" t="s">
        <v>95</v>
      </c>
      <c r="BC382" t="s">
        <v>95</v>
      </c>
      <c r="BD382" t="s">
        <v>95</v>
      </c>
      <c r="BE382" t="s">
        <v>95</v>
      </c>
      <c r="BF382" t="s">
        <v>95</v>
      </c>
      <c r="BG382" t="s">
        <v>95</v>
      </c>
      <c r="BH382" t="s">
        <v>95</v>
      </c>
    </row>
    <row r="383" spans="1:60" x14ac:dyDescent="0.3">
      <c r="A383">
        <v>20</v>
      </c>
      <c r="B383" t="s">
        <v>70</v>
      </c>
      <c r="C383" t="s">
        <v>96</v>
      </c>
      <c r="D383" t="s">
        <v>97</v>
      </c>
      <c r="E383" t="s">
        <v>73</v>
      </c>
      <c r="F383" t="s">
        <v>98</v>
      </c>
      <c r="G383" t="s">
        <v>115</v>
      </c>
      <c r="H383" t="s">
        <v>100</v>
      </c>
      <c r="I383" t="s">
        <v>76</v>
      </c>
      <c r="J383" t="s">
        <v>77</v>
      </c>
      <c r="K383" t="s">
        <v>125</v>
      </c>
      <c r="L383" t="s">
        <v>79</v>
      </c>
      <c r="M383" t="s">
        <v>102</v>
      </c>
      <c r="N383" t="s">
        <v>79</v>
      </c>
      <c r="O383" t="s">
        <v>138</v>
      </c>
      <c r="P383" t="s">
        <v>79</v>
      </c>
      <c r="Q383" t="s">
        <v>83</v>
      </c>
      <c r="R383" t="s">
        <v>79</v>
      </c>
      <c r="S383" t="s">
        <v>126</v>
      </c>
      <c r="T383" t="s">
        <v>119</v>
      </c>
      <c r="U383" t="s">
        <v>82</v>
      </c>
      <c r="V383" t="s">
        <v>86</v>
      </c>
      <c r="W383" t="s">
        <v>141</v>
      </c>
      <c r="X383" t="s">
        <v>112</v>
      </c>
      <c r="Y383" t="s">
        <v>94</v>
      </c>
      <c r="Z383" t="s">
        <v>94</v>
      </c>
      <c r="AA383" t="s">
        <v>94</v>
      </c>
      <c r="AB383" t="s">
        <v>92</v>
      </c>
      <c r="AC383" t="s">
        <v>94</v>
      </c>
      <c r="AD383" t="s">
        <v>94</v>
      </c>
      <c r="AE383" t="s">
        <v>94</v>
      </c>
      <c r="AF383" t="s">
        <v>94</v>
      </c>
      <c r="AG383" t="s">
        <v>94</v>
      </c>
      <c r="AH383" t="s">
        <v>94</v>
      </c>
      <c r="AI383" t="s">
        <v>94</v>
      </c>
      <c r="AJ383" t="s">
        <v>95</v>
      </c>
      <c r="AK383" t="s">
        <v>94</v>
      </c>
      <c r="AL383" t="s">
        <v>95</v>
      </c>
      <c r="AM383" t="s">
        <v>94</v>
      </c>
      <c r="AN383" t="s">
        <v>94</v>
      </c>
      <c r="AO383" t="s">
        <v>94</v>
      </c>
      <c r="AP383" t="s">
        <v>92</v>
      </c>
      <c r="AQ383" t="s">
        <v>94</v>
      </c>
      <c r="AR383" t="s">
        <v>92</v>
      </c>
      <c r="AS383" t="s">
        <v>94</v>
      </c>
      <c r="AT383" t="s">
        <v>92</v>
      </c>
      <c r="AU383" t="s">
        <v>94</v>
      </c>
      <c r="AV383" t="s">
        <v>94</v>
      </c>
      <c r="AW383" t="s">
        <v>92</v>
      </c>
      <c r="AX383" t="s">
        <v>94</v>
      </c>
      <c r="AY383" t="s">
        <v>94</v>
      </c>
      <c r="AZ383" t="s">
        <v>92</v>
      </c>
      <c r="BA383" t="s">
        <v>94</v>
      </c>
      <c r="BB383" t="s">
        <v>94</v>
      </c>
      <c r="BC383" t="s">
        <v>92</v>
      </c>
      <c r="BD383" t="s">
        <v>94</v>
      </c>
      <c r="BE383" t="s">
        <v>92</v>
      </c>
      <c r="BF383" t="s">
        <v>94</v>
      </c>
      <c r="BG383" t="s">
        <v>92</v>
      </c>
      <c r="BH383" t="s">
        <v>94</v>
      </c>
    </row>
    <row r="384" spans="1:60" x14ac:dyDescent="0.3">
      <c r="A384">
        <v>22</v>
      </c>
      <c r="B384" t="s">
        <v>70</v>
      </c>
      <c r="C384" t="s">
        <v>96</v>
      </c>
      <c r="D384" t="s">
        <v>72</v>
      </c>
      <c r="E384" t="s">
        <v>73</v>
      </c>
      <c r="F384" t="s">
        <v>74</v>
      </c>
      <c r="G384" t="s">
        <v>135</v>
      </c>
      <c r="H384" t="s">
        <v>74</v>
      </c>
      <c r="I384" t="s">
        <v>99</v>
      </c>
      <c r="J384" t="s">
        <v>77</v>
      </c>
      <c r="K384" t="s">
        <v>78</v>
      </c>
      <c r="L384" t="s">
        <v>79</v>
      </c>
      <c r="M384" t="s">
        <v>80</v>
      </c>
      <c r="N384" t="s">
        <v>79</v>
      </c>
      <c r="O384" t="s">
        <v>109</v>
      </c>
      <c r="P384" t="s">
        <v>79</v>
      </c>
      <c r="Q384" t="s">
        <v>83</v>
      </c>
      <c r="R384" t="s">
        <v>79</v>
      </c>
      <c r="S384" t="s">
        <v>84</v>
      </c>
      <c r="T384" t="s">
        <v>111</v>
      </c>
      <c r="U384" t="s">
        <v>82</v>
      </c>
      <c r="V384" t="s">
        <v>106</v>
      </c>
      <c r="W384" t="s">
        <v>87</v>
      </c>
      <c r="X384" t="s">
        <v>112</v>
      </c>
      <c r="Y384" t="s">
        <v>92</v>
      </c>
      <c r="Z384" t="s">
        <v>93</v>
      </c>
      <c r="AA384" t="s">
        <v>93</v>
      </c>
      <c r="AB384" t="s">
        <v>93</v>
      </c>
      <c r="AC384" t="s">
        <v>94</v>
      </c>
      <c r="AD384" t="s">
        <v>94</v>
      </c>
      <c r="AE384" t="s">
        <v>94</v>
      </c>
      <c r="AF384" t="s">
        <v>94</v>
      </c>
      <c r="AG384" t="s">
        <v>94</v>
      </c>
      <c r="AH384" t="s">
        <v>92</v>
      </c>
      <c r="AI384" t="s">
        <v>92</v>
      </c>
      <c r="AJ384" t="s">
        <v>93</v>
      </c>
      <c r="AK384" t="s">
        <v>92</v>
      </c>
      <c r="AL384" t="s">
        <v>92</v>
      </c>
      <c r="AM384" t="s">
        <v>92</v>
      </c>
      <c r="AN384" t="s">
        <v>93</v>
      </c>
      <c r="AO384" t="s">
        <v>93</v>
      </c>
      <c r="AP384" t="s">
        <v>93</v>
      </c>
      <c r="AQ384" t="s">
        <v>93</v>
      </c>
      <c r="AR384" t="s">
        <v>95</v>
      </c>
      <c r="AS384" t="s">
        <v>95</v>
      </c>
      <c r="AT384" t="s">
        <v>92</v>
      </c>
      <c r="AU384" t="s">
        <v>94</v>
      </c>
      <c r="AV384" t="s">
        <v>92</v>
      </c>
      <c r="AW384" t="s">
        <v>92</v>
      </c>
      <c r="AX384" t="s">
        <v>92</v>
      </c>
      <c r="AY384" t="s">
        <v>92</v>
      </c>
      <c r="AZ384" t="s">
        <v>92</v>
      </c>
    </row>
    <row r="385" spans="1:60" x14ac:dyDescent="0.3">
      <c r="A385">
        <v>21</v>
      </c>
      <c r="B385" t="s">
        <v>70</v>
      </c>
      <c r="C385" t="s">
        <v>96</v>
      </c>
      <c r="D385" t="s">
        <v>149</v>
      </c>
      <c r="E385" t="s">
        <v>108</v>
      </c>
      <c r="F385" t="s">
        <v>74</v>
      </c>
      <c r="G385" t="s">
        <v>75</v>
      </c>
      <c r="H385" t="s">
        <v>74</v>
      </c>
      <c r="I385" t="s">
        <v>75</v>
      </c>
      <c r="J385" t="s">
        <v>77</v>
      </c>
      <c r="K385" t="s">
        <v>131</v>
      </c>
      <c r="L385" t="s">
        <v>79</v>
      </c>
      <c r="M385" t="s">
        <v>102</v>
      </c>
      <c r="N385" t="s">
        <v>82</v>
      </c>
      <c r="O385" t="s">
        <v>138</v>
      </c>
      <c r="P385" t="s">
        <v>79</v>
      </c>
      <c r="Q385" t="s">
        <v>103</v>
      </c>
      <c r="R385" t="s">
        <v>82</v>
      </c>
      <c r="S385" t="s">
        <v>240</v>
      </c>
      <c r="T385" t="s">
        <v>150</v>
      </c>
      <c r="U385" t="s">
        <v>79</v>
      </c>
      <c r="V385" t="s">
        <v>86</v>
      </c>
      <c r="W385" t="s">
        <v>87</v>
      </c>
      <c r="X385" t="s">
        <v>112</v>
      </c>
      <c r="Y385" t="s">
        <v>92</v>
      </c>
      <c r="Z385" t="s">
        <v>92</v>
      </c>
      <c r="AA385" t="s">
        <v>93</v>
      </c>
      <c r="AB385" t="s">
        <v>93</v>
      </c>
      <c r="AC385" t="s">
        <v>95</v>
      </c>
      <c r="AD385" t="s">
        <v>95</v>
      </c>
      <c r="AE385" t="s">
        <v>95</v>
      </c>
      <c r="AF385" t="s">
        <v>93</v>
      </c>
      <c r="AG385" t="s">
        <v>93</v>
      </c>
      <c r="AH385" t="s">
        <v>93</v>
      </c>
      <c r="AI385" t="s">
        <v>93</v>
      </c>
      <c r="AJ385" t="s">
        <v>93</v>
      </c>
      <c r="AK385" t="s">
        <v>93</v>
      </c>
      <c r="AL385" t="s">
        <v>93</v>
      </c>
      <c r="AM385" t="s">
        <v>93</v>
      </c>
      <c r="AN385" t="s">
        <v>93</v>
      </c>
      <c r="AO385" t="s">
        <v>93</v>
      </c>
      <c r="AP385" t="s">
        <v>93</v>
      </c>
      <c r="AQ385" t="s">
        <v>93</v>
      </c>
      <c r="AR385" t="s">
        <v>95</v>
      </c>
      <c r="AS385" t="s">
        <v>95</v>
      </c>
      <c r="AT385" t="s">
        <v>95</v>
      </c>
      <c r="AU385" t="s">
        <v>93</v>
      </c>
      <c r="AV385" t="s">
        <v>94</v>
      </c>
      <c r="AW385" t="s">
        <v>94</v>
      </c>
      <c r="AX385" t="s">
        <v>94</v>
      </c>
      <c r="AY385" t="s">
        <v>94</v>
      </c>
      <c r="AZ385" t="s">
        <v>94</v>
      </c>
      <c r="BA385" t="s">
        <v>93</v>
      </c>
      <c r="BB385" t="s">
        <v>93</v>
      </c>
      <c r="BC385" t="s">
        <v>93</v>
      </c>
      <c r="BD385" t="s">
        <v>92</v>
      </c>
      <c r="BE385" t="s">
        <v>93</v>
      </c>
      <c r="BF385" t="s">
        <v>93</v>
      </c>
      <c r="BG385" t="s">
        <v>94</v>
      </c>
      <c r="BH385" t="s">
        <v>94</v>
      </c>
    </row>
    <row r="386" spans="1:60" x14ac:dyDescent="0.3">
      <c r="A386">
        <v>21</v>
      </c>
      <c r="B386" t="s">
        <v>70</v>
      </c>
      <c r="C386" t="s">
        <v>96</v>
      </c>
      <c r="D386" t="s">
        <v>97</v>
      </c>
      <c r="E386" t="s">
        <v>73</v>
      </c>
      <c r="F386" t="s">
        <v>136</v>
      </c>
      <c r="G386" t="s">
        <v>135</v>
      </c>
      <c r="H386" t="s">
        <v>136</v>
      </c>
      <c r="I386" t="s">
        <v>115</v>
      </c>
      <c r="J386" t="s">
        <v>77</v>
      </c>
      <c r="K386" t="s">
        <v>78</v>
      </c>
      <c r="L386" t="s">
        <v>82</v>
      </c>
      <c r="M386" t="s">
        <v>80</v>
      </c>
      <c r="N386" t="s">
        <v>79</v>
      </c>
      <c r="O386" t="s">
        <v>109</v>
      </c>
      <c r="P386" t="s">
        <v>79</v>
      </c>
      <c r="Q386" t="s">
        <v>83</v>
      </c>
      <c r="R386" t="s">
        <v>82</v>
      </c>
      <c r="S386" t="s">
        <v>84</v>
      </c>
      <c r="T386" t="s">
        <v>190</v>
      </c>
      <c r="U386" t="s">
        <v>79</v>
      </c>
      <c r="V386" t="s">
        <v>106</v>
      </c>
      <c r="W386" t="s">
        <v>120</v>
      </c>
      <c r="X386" t="s">
        <v>112</v>
      </c>
      <c r="Y386" t="s">
        <v>95</v>
      </c>
      <c r="Z386" t="s">
        <v>94</v>
      </c>
      <c r="AA386" t="s">
        <v>95</v>
      </c>
      <c r="AB386" t="s">
        <v>94</v>
      </c>
      <c r="AC386" t="s">
        <v>94</v>
      </c>
      <c r="AD386" t="s">
        <v>95</v>
      </c>
      <c r="AE386" t="s">
        <v>95</v>
      </c>
      <c r="AF386" t="s">
        <v>95</v>
      </c>
      <c r="AG386" t="s">
        <v>95</v>
      </c>
      <c r="AH386" t="s">
        <v>94</v>
      </c>
      <c r="AI386" t="s">
        <v>94</v>
      </c>
      <c r="AJ386" t="s">
        <v>95</v>
      </c>
      <c r="AK386" t="s">
        <v>94</v>
      </c>
      <c r="AL386" t="s">
        <v>94</v>
      </c>
      <c r="AM386" t="s">
        <v>94</v>
      </c>
      <c r="AN386" t="s">
        <v>94</v>
      </c>
      <c r="AO386" t="s">
        <v>94</v>
      </c>
      <c r="AP386" t="s">
        <v>94</v>
      </c>
      <c r="AQ386" t="s">
        <v>95</v>
      </c>
      <c r="AR386" t="s">
        <v>94</v>
      </c>
      <c r="AS386" t="s">
        <v>94</v>
      </c>
      <c r="AT386" t="s">
        <v>94</v>
      </c>
      <c r="AU386" t="s">
        <v>94</v>
      </c>
      <c r="AV386" t="s">
        <v>94</v>
      </c>
      <c r="AW386" t="s">
        <v>94</v>
      </c>
      <c r="AX386" t="s">
        <v>94</v>
      </c>
      <c r="AY386" t="s">
        <v>94</v>
      </c>
      <c r="AZ386" t="s">
        <v>94</v>
      </c>
      <c r="BA386" t="s">
        <v>95</v>
      </c>
      <c r="BB386" t="s">
        <v>94</v>
      </c>
      <c r="BC386" t="s">
        <v>94</v>
      </c>
      <c r="BD386" t="s">
        <v>95</v>
      </c>
      <c r="BE386" t="s">
        <v>94</v>
      </c>
      <c r="BF386" t="s">
        <v>94</v>
      </c>
      <c r="BG386" t="s">
        <v>94</v>
      </c>
      <c r="BH386" t="s">
        <v>95</v>
      </c>
    </row>
    <row r="387" spans="1:60" x14ac:dyDescent="0.3">
      <c r="A387">
        <v>21</v>
      </c>
      <c r="B387" t="s">
        <v>70</v>
      </c>
      <c r="C387" t="s">
        <v>96</v>
      </c>
      <c r="D387" t="s">
        <v>97</v>
      </c>
      <c r="E387" t="s">
        <v>108</v>
      </c>
      <c r="F387" t="s">
        <v>74</v>
      </c>
      <c r="G387" t="s">
        <v>135</v>
      </c>
      <c r="H387" t="s">
        <v>136</v>
      </c>
      <c r="I387" t="s">
        <v>76</v>
      </c>
      <c r="J387" t="s">
        <v>77</v>
      </c>
      <c r="K387" t="s">
        <v>78</v>
      </c>
      <c r="L387" t="s">
        <v>79</v>
      </c>
      <c r="M387" t="s">
        <v>80</v>
      </c>
      <c r="N387" t="s">
        <v>79</v>
      </c>
      <c r="O387" t="s">
        <v>81</v>
      </c>
      <c r="P387" t="s">
        <v>82</v>
      </c>
      <c r="Q387" t="s">
        <v>103</v>
      </c>
      <c r="R387" t="s">
        <v>82</v>
      </c>
      <c r="S387" t="s">
        <v>110</v>
      </c>
      <c r="T387" t="s">
        <v>159</v>
      </c>
      <c r="U387" t="s">
        <v>82</v>
      </c>
      <c r="V387" t="s">
        <v>106</v>
      </c>
      <c r="W387" t="s">
        <v>120</v>
      </c>
      <c r="X387" t="s">
        <v>112</v>
      </c>
      <c r="Y387" t="s">
        <v>94</v>
      </c>
      <c r="Z387" t="s">
        <v>94</v>
      </c>
      <c r="AA387" t="s">
        <v>94</v>
      </c>
      <c r="AB387" t="s">
        <v>94</v>
      </c>
      <c r="AC387" t="s">
        <v>94</v>
      </c>
      <c r="AD387" t="s">
        <v>94</v>
      </c>
      <c r="AE387" t="s">
        <v>94</v>
      </c>
      <c r="AF387" t="s">
        <v>94</v>
      </c>
      <c r="AG387" t="s">
        <v>94</v>
      </c>
      <c r="AH387" t="s">
        <v>94</v>
      </c>
      <c r="AI387" t="s">
        <v>94</v>
      </c>
      <c r="AJ387" t="s">
        <v>94</v>
      </c>
      <c r="AK387" t="s">
        <v>94</v>
      </c>
      <c r="AL387" t="s">
        <v>94</v>
      </c>
      <c r="AM387" t="s">
        <v>94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94</v>
      </c>
      <c r="AU387" t="s">
        <v>94</v>
      </c>
      <c r="AV387" t="s">
        <v>93</v>
      </c>
      <c r="AW387" t="s">
        <v>92</v>
      </c>
      <c r="AX387" t="s">
        <v>92</v>
      </c>
      <c r="AY387" t="s">
        <v>92</v>
      </c>
      <c r="AZ387" t="s">
        <v>92</v>
      </c>
      <c r="BA387" t="s">
        <v>92</v>
      </c>
      <c r="BB387" t="s">
        <v>92</v>
      </c>
      <c r="BC387" t="s">
        <v>92</v>
      </c>
      <c r="BD387" t="s">
        <v>92</v>
      </c>
      <c r="BE387" t="s">
        <v>92</v>
      </c>
      <c r="BF387" t="s">
        <v>92</v>
      </c>
      <c r="BG387" t="s">
        <v>92</v>
      </c>
      <c r="BH387" t="s">
        <v>92</v>
      </c>
    </row>
    <row r="388" spans="1:60" x14ac:dyDescent="0.3">
      <c r="A388">
        <v>25</v>
      </c>
      <c r="B388" t="s">
        <v>70</v>
      </c>
      <c r="C388" t="s">
        <v>153</v>
      </c>
      <c r="D388" t="s">
        <v>72</v>
      </c>
      <c r="E388" t="s">
        <v>73</v>
      </c>
      <c r="F388" t="s">
        <v>136</v>
      </c>
      <c r="G388" t="s">
        <v>75</v>
      </c>
      <c r="H388" t="s">
        <v>100</v>
      </c>
      <c r="I388" t="s">
        <v>76</v>
      </c>
      <c r="J388" t="s">
        <v>77</v>
      </c>
      <c r="K388" t="s">
        <v>125</v>
      </c>
      <c r="L388" t="s">
        <v>82</v>
      </c>
      <c r="M388" t="s">
        <v>102</v>
      </c>
      <c r="N388" t="s">
        <v>82</v>
      </c>
      <c r="O388" t="s">
        <v>117</v>
      </c>
      <c r="P388" t="s">
        <v>82</v>
      </c>
      <c r="Q388" t="s">
        <v>118</v>
      </c>
      <c r="R388" t="s">
        <v>79</v>
      </c>
      <c r="S388" t="s">
        <v>277</v>
      </c>
      <c r="T388" t="s">
        <v>175</v>
      </c>
      <c r="U388" t="s">
        <v>82</v>
      </c>
      <c r="V388" t="s">
        <v>106</v>
      </c>
      <c r="W388" t="s">
        <v>87</v>
      </c>
      <c r="Y388" t="s">
        <v>92</v>
      </c>
      <c r="Z388" t="s">
        <v>92</v>
      </c>
      <c r="AA388" t="s">
        <v>92</v>
      </c>
      <c r="AB388" t="s">
        <v>92</v>
      </c>
      <c r="AC388" t="s">
        <v>92</v>
      </c>
      <c r="AD388" t="s">
        <v>92</v>
      </c>
      <c r="AE388" t="s">
        <v>92</v>
      </c>
      <c r="AF388" t="s">
        <v>92</v>
      </c>
      <c r="AG388" t="s">
        <v>92</v>
      </c>
      <c r="AH388" t="s">
        <v>92</v>
      </c>
      <c r="AI388" t="s">
        <v>92</v>
      </c>
      <c r="AJ388" t="s">
        <v>92</v>
      </c>
      <c r="AK388" t="s">
        <v>92</v>
      </c>
      <c r="AL388" t="s">
        <v>92</v>
      </c>
      <c r="AM388" t="s">
        <v>92</v>
      </c>
      <c r="AN388" t="s">
        <v>92</v>
      </c>
      <c r="AO388" t="s">
        <v>92</v>
      </c>
      <c r="AP388" t="s">
        <v>92</v>
      </c>
      <c r="AQ388" t="s">
        <v>92</v>
      </c>
      <c r="AR388" t="s">
        <v>92</v>
      </c>
      <c r="AS388" t="s">
        <v>92</v>
      </c>
      <c r="AT388" t="s">
        <v>92</v>
      </c>
      <c r="AU388" t="s">
        <v>92</v>
      </c>
      <c r="AV388" t="s">
        <v>92</v>
      </c>
      <c r="AW388" t="s">
        <v>92</v>
      </c>
      <c r="AX388" t="s">
        <v>92</v>
      </c>
      <c r="AY388" t="s">
        <v>92</v>
      </c>
      <c r="AZ388" t="s">
        <v>92</v>
      </c>
      <c r="BA388" t="s">
        <v>92</v>
      </c>
      <c r="BB388" t="s">
        <v>92</v>
      </c>
      <c r="BC388" t="s">
        <v>92</v>
      </c>
      <c r="BD388" t="s">
        <v>92</v>
      </c>
      <c r="BE388" t="s">
        <v>92</v>
      </c>
      <c r="BF388" t="s">
        <v>92</v>
      </c>
      <c r="BG388" t="s">
        <v>92</v>
      </c>
      <c r="BH388" t="s">
        <v>92</v>
      </c>
    </row>
    <row r="389" spans="1:60" x14ac:dyDescent="0.3">
      <c r="A389">
        <v>21</v>
      </c>
      <c r="B389" t="s">
        <v>70</v>
      </c>
      <c r="C389" t="s">
        <v>96</v>
      </c>
      <c r="D389" t="s">
        <v>72</v>
      </c>
      <c r="E389" t="s">
        <v>108</v>
      </c>
      <c r="F389" t="s">
        <v>74</v>
      </c>
      <c r="G389" t="s">
        <v>99</v>
      </c>
      <c r="H389" t="s">
        <v>74</v>
      </c>
      <c r="I389" t="s">
        <v>75</v>
      </c>
      <c r="J389" t="s">
        <v>77</v>
      </c>
      <c r="K389" t="s">
        <v>122</v>
      </c>
      <c r="L389" t="s">
        <v>79</v>
      </c>
      <c r="M389" t="s">
        <v>80</v>
      </c>
      <c r="N389" t="s">
        <v>79</v>
      </c>
      <c r="O389" t="s">
        <v>81</v>
      </c>
      <c r="P389" t="s">
        <v>82</v>
      </c>
      <c r="Q389" t="s">
        <v>83</v>
      </c>
      <c r="R389" t="s">
        <v>79</v>
      </c>
      <c r="S389" t="s">
        <v>84</v>
      </c>
      <c r="T389" t="s">
        <v>175</v>
      </c>
      <c r="U389" t="s">
        <v>82</v>
      </c>
      <c r="V389" t="s">
        <v>106</v>
      </c>
      <c r="W389" t="s">
        <v>141</v>
      </c>
      <c r="X389" t="s">
        <v>127</v>
      </c>
      <c r="Y389" t="s">
        <v>92</v>
      </c>
      <c r="Z389" t="s">
        <v>92</v>
      </c>
      <c r="AA389" t="s">
        <v>92</v>
      </c>
      <c r="AB389" t="s">
        <v>92</v>
      </c>
      <c r="AC389" t="s">
        <v>92</v>
      </c>
      <c r="AD389" t="s">
        <v>92</v>
      </c>
      <c r="AE389" t="s">
        <v>92</v>
      </c>
      <c r="AF389" t="s">
        <v>92</v>
      </c>
      <c r="AG389" t="s">
        <v>92</v>
      </c>
      <c r="AH389" t="s">
        <v>92</v>
      </c>
      <c r="AI389" t="s">
        <v>92</v>
      </c>
      <c r="AJ389" t="s">
        <v>92</v>
      </c>
      <c r="AK389" t="s">
        <v>92</v>
      </c>
      <c r="AL389" t="s">
        <v>92</v>
      </c>
      <c r="AM389" t="s">
        <v>92</v>
      </c>
      <c r="AN389" t="s">
        <v>92</v>
      </c>
      <c r="AO389" t="s">
        <v>92</v>
      </c>
      <c r="AP389" t="s">
        <v>92</v>
      </c>
      <c r="AQ389" t="s">
        <v>92</v>
      </c>
      <c r="AR389" t="s">
        <v>92</v>
      </c>
      <c r="AS389" t="s">
        <v>92</v>
      </c>
      <c r="AT389" t="s">
        <v>92</v>
      </c>
      <c r="AU389" t="s">
        <v>92</v>
      </c>
      <c r="AV389" t="s">
        <v>92</v>
      </c>
      <c r="AW389" t="s">
        <v>92</v>
      </c>
      <c r="AX389" t="s">
        <v>92</v>
      </c>
      <c r="AY389" t="s">
        <v>92</v>
      </c>
      <c r="AZ389" t="s">
        <v>92</v>
      </c>
      <c r="BA389" t="s">
        <v>92</v>
      </c>
      <c r="BB389" t="s">
        <v>92</v>
      </c>
      <c r="BC389" t="s">
        <v>92</v>
      </c>
      <c r="BD389" t="s">
        <v>92</v>
      </c>
      <c r="BE389" t="s">
        <v>92</v>
      </c>
      <c r="BF389" t="s">
        <v>92</v>
      </c>
      <c r="BG389" t="s">
        <v>92</v>
      </c>
      <c r="BH389" t="s">
        <v>92</v>
      </c>
    </row>
    <row r="390" spans="1:60" x14ac:dyDescent="0.3">
      <c r="A390">
        <v>21</v>
      </c>
      <c r="B390" t="s">
        <v>128</v>
      </c>
      <c r="C390" t="s">
        <v>96</v>
      </c>
      <c r="D390" t="s">
        <v>72</v>
      </c>
      <c r="E390" t="s">
        <v>114</v>
      </c>
      <c r="F390" t="s">
        <v>74</v>
      </c>
      <c r="G390" t="s">
        <v>115</v>
      </c>
      <c r="H390" t="s">
        <v>136</v>
      </c>
      <c r="I390" t="s">
        <v>76</v>
      </c>
      <c r="J390" t="s">
        <v>77</v>
      </c>
      <c r="K390" t="s">
        <v>125</v>
      </c>
      <c r="L390" t="s">
        <v>79</v>
      </c>
      <c r="M390" t="s">
        <v>80</v>
      </c>
      <c r="N390" t="s">
        <v>79</v>
      </c>
      <c r="O390" t="s">
        <v>109</v>
      </c>
      <c r="P390" t="s">
        <v>79</v>
      </c>
      <c r="Q390" t="s">
        <v>83</v>
      </c>
      <c r="R390" t="s">
        <v>79</v>
      </c>
      <c r="S390" t="s">
        <v>278</v>
      </c>
      <c r="T390" t="s">
        <v>151</v>
      </c>
      <c r="U390" t="s">
        <v>79</v>
      </c>
      <c r="V390" t="s">
        <v>106</v>
      </c>
      <c r="W390" t="s">
        <v>87</v>
      </c>
      <c r="X390" t="s">
        <v>88</v>
      </c>
      <c r="Y390" t="s">
        <v>95</v>
      </c>
      <c r="Z390" t="s">
        <v>95</v>
      </c>
      <c r="AA390" t="s">
        <v>94</v>
      </c>
      <c r="AB390" t="s">
        <v>95</v>
      </c>
      <c r="AC390" t="s">
        <v>95</v>
      </c>
      <c r="AD390" t="s">
        <v>95</v>
      </c>
      <c r="AE390" t="s">
        <v>95</v>
      </c>
      <c r="AF390" t="s">
        <v>94</v>
      </c>
      <c r="AG390" t="s">
        <v>95</v>
      </c>
      <c r="AH390" t="s">
        <v>95</v>
      </c>
      <c r="AI390" t="s">
        <v>95</v>
      </c>
      <c r="AJ390" t="s">
        <v>94</v>
      </c>
      <c r="AK390" t="s">
        <v>95</v>
      </c>
      <c r="AL390" t="s">
        <v>95</v>
      </c>
      <c r="AM390" t="s">
        <v>95</v>
      </c>
      <c r="AN390" t="s">
        <v>94</v>
      </c>
      <c r="AO390" t="s">
        <v>95</v>
      </c>
      <c r="AP390" t="s">
        <v>95</v>
      </c>
      <c r="AQ390" t="s">
        <v>95</v>
      </c>
      <c r="AR390" t="s">
        <v>94</v>
      </c>
      <c r="AS390" t="s">
        <v>95</v>
      </c>
      <c r="AT390" t="s">
        <v>95</v>
      </c>
      <c r="AU390" t="s">
        <v>94</v>
      </c>
      <c r="AV390" t="s">
        <v>94</v>
      </c>
      <c r="AW390" t="s">
        <v>94</v>
      </c>
      <c r="AX390" t="s">
        <v>95</v>
      </c>
      <c r="AY390" t="s">
        <v>94</v>
      </c>
      <c r="AZ390" t="s">
        <v>94</v>
      </c>
      <c r="BA390" t="s">
        <v>95</v>
      </c>
      <c r="BB390" t="s">
        <v>94</v>
      </c>
      <c r="BC390" t="s">
        <v>95</v>
      </c>
      <c r="BD390" t="s">
        <v>94</v>
      </c>
      <c r="BE390" t="s">
        <v>94</v>
      </c>
      <c r="BF390" t="s">
        <v>94</v>
      </c>
      <c r="BG390" t="s">
        <v>95</v>
      </c>
      <c r="BH390" t="s">
        <v>94</v>
      </c>
    </row>
    <row r="391" spans="1:60" x14ac:dyDescent="0.3">
      <c r="A391" t="s">
        <v>279</v>
      </c>
      <c r="B391" t="s">
        <v>128</v>
      </c>
      <c r="C391" t="s">
        <v>113</v>
      </c>
      <c r="D391" t="s">
        <v>72</v>
      </c>
      <c r="E391" t="s">
        <v>114</v>
      </c>
      <c r="F391" t="s">
        <v>136</v>
      </c>
      <c r="G391" t="s">
        <v>75</v>
      </c>
      <c r="H391" t="s">
        <v>74</v>
      </c>
      <c r="I391" t="s">
        <v>115</v>
      </c>
      <c r="J391" t="s">
        <v>77</v>
      </c>
      <c r="K391" t="s">
        <v>122</v>
      </c>
      <c r="L391" t="s">
        <v>79</v>
      </c>
      <c r="M391" t="s">
        <v>80</v>
      </c>
      <c r="N391" t="s">
        <v>79</v>
      </c>
      <c r="O391" t="s">
        <v>138</v>
      </c>
      <c r="P391" t="s">
        <v>79</v>
      </c>
      <c r="Q391" t="s">
        <v>83</v>
      </c>
      <c r="R391" t="s">
        <v>79</v>
      </c>
      <c r="S391" t="s">
        <v>145</v>
      </c>
      <c r="T391" t="s">
        <v>191</v>
      </c>
      <c r="U391" t="s">
        <v>82</v>
      </c>
      <c r="V391" t="s">
        <v>148</v>
      </c>
      <c r="W391" t="s">
        <v>120</v>
      </c>
      <c r="X391" t="s">
        <v>112</v>
      </c>
      <c r="Y391" t="s">
        <v>92</v>
      </c>
      <c r="Z391" t="s">
        <v>93</v>
      </c>
      <c r="AA391" t="s">
        <v>92</v>
      </c>
      <c r="AB391" t="s">
        <v>93</v>
      </c>
      <c r="AC391" t="s">
        <v>93</v>
      </c>
      <c r="AD391" t="s">
        <v>92</v>
      </c>
      <c r="AE391" t="s">
        <v>94</v>
      </c>
      <c r="AF391" t="s">
        <v>93</v>
      </c>
      <c r="AG391" t="s">
        <v>93</v>
      </c>
      <c r="AH391" t="s">
        <v>95</v>
      </c>
      <c r="AI391" t="s">
        <v>93</v>
      </c>
      <c r="AJ391" t="s">
        <v>93</v>
      </c>
      <c r="AK391" t="s">
        <v>93</v>
      </c>
      <c r="AL391" t="s">
        <v>93</v>
      </c>
      <c r="AM391" t="s">
        <v>93</v>
      </c>
      <c r="AN391" t="s">
        <v>93</v>
      </c>
      <c r="AO391" t="s">
        <v>93</v>
      </c>
      <c r="AP391" t="s">
        <v>93</v>
      </c>
      <c r="AQ391" t="s">
        <v>95</v>
      </c>
      <c r="AR391" t="s">
        <v>95</v>
      </c>
      <c r="AS391" t="s">
        <v>95</v>
      </c>
      <c r="AT391" t="s">
        <v>92</v>
      </c>
      <c r="AU391" t="s">
        <v>93</v>
      </c>
      <c r="AV391" t="s">
        <v>92</v>
      </c>
      <c r="AW391" t="s">
        <v>95</v>
      </c>
      <c r="AX391" t="s">
        <v>93</v>
      </c>
      <c r="AY391" t="s">
        <v>92</v>
      </c>
      <c r="AZ391" t="s">
        <v>93</v>
      </c>
      <c r="BA391" t="s">
        <v>93</v>
      </c>
      <c r="BB391" t="s">
        <v>93</v>
      </c>
      <c r="BC391" t="s">
        <v>93</v>
      </c>
      <c r="BD391" t="s">
        <v>93</v>
      </c>
      <c r="BE391" t="s">
        <v>93</v>
      </c>
      <c r="BF391" t="s">
        <v>95</v>
      </c>
      <c r="BG391" t="s">
        <v>95</v>
      </c>
      <c r="BH391" t="s">
        <v>95</v>
      </c>
    </row>
    <row r="392" spans="1:60" x14ac:dyDescent="0.3">
      <c r="A392">
        <v>22</v>
      </c>
      <c r="B392" t="s">
        <v>70</v>
      </c>
      <c r="C392" t="s">
        <v>96</v>
      </c>
      <c r="D392" t="s">
        <v>97</v>
      </c>
      <c r="E392" t="s">
        <v>108</v>
      </c>
      <c r="F392" t="s">
        <v>74</v>
      </c>
      <c r="G392" t="s">
        <v>115</v>
      </c>
      <c r="H392" t="s">
        <v>74</v>
      </c>
      <c r="I392" t="s">
        <v>76</v>
      </c>
      <c r="J392" t="s">
        <v>101</v>
      </c>
      <c r="K392" t="s">
        <v>122</v>
      </c>
      <c r="L392" t="s">
        <v>79</v>
      </c>
      <c r="M392" t="s">
        <v>102</v>
      </c>
      <c r="N392" t="s">
        <v>79</v>
      </c>
      <c r="O392" t="s">
        <v>117</v>
      </c>
      <c r="P392" t="s">
        <v>79</v>
      </c>
      <c r="Q392" t="s">
        <v>83</v>
      </c>
      <c r="R392" t="s">
        <v>79</v>
      </c>
      <c r="S392" t="s">
        <v>84</v>
      </c>
      <c r="T392" t="s">
        <v>159</v>
      </c>
      <c r="U392" t="s">
        <v>79</v>
      </c>
      <c r="V392" t="s">
        <v>106</v>
      </c>
      <c r="W392" t="s">
        <v>141</v>
      </c>
      <c r="X392" t="s">
        <v>127</v>
      </c>
      <c r="Y392" t="s">
        <v>94</v>
      </c>
      <c r="Z392" t="s">
        <v>92</v>
      </c>
      <c r="AA392" t="s">
        <v>94</v>
      </c>
      <c r="AB392" t="s">
        <v>95</v>
      </c>
      <c r="AC392" t="s">
        <v>93</v>
      </c>
      <c r="AD392" t="s">
        <v>94</v>
      </c>
      <c r="AE392" t="s">
        <v>94</v>
      </c>
      <c r="AF392" t="s">
        <v>92</v>
      </c>
      <c r="AG392" t="s">
        <v>93</v>
      </c>
      <c r="AH392" t="s">
        <v>94</v>
      </c>
      <c r="AI392" t="s">
        <v>92</v>
      </c>
      <c r="AJ392" t="s">
        <v>95</v>
      </c>
      <c r="AK392" t="s">
        <v>92</v>
      </c>
      <c r="AL392" t="s">
        <v>94</v>
      </c>
      <c r="AM392" t="s">
        <v>92</v>
      </c>
      <c r="AN392" t="s">
        <v>94</v>
      </c>
      <c r="AO392" t="s">
        <v>92</v>
      </c>
      <c r="AP392" t="s">
        <v>94</v>
      </c>
      <c r="AQ392" t="s">
        <v>92</v>
      </c>
      <c r="AR392" t="s">
        <v>95</v>
      </c>
      <c r="AS392" t="s">
        <v>92</v>
      </c>
      <c r="AT392" t="s">
        <v>95</v>
      </c>
      <c r="AU392" t="s">
        <v>94</v>
      </c>
      <c r="AV392" t="s">
        <v>92</v>
      </c>
      <c r="AW392" t="s">
        <v>94</v>
      </c>
      <c r="AX392" t="s">
        <v>94</v>
      </c>
      <c r="AY392" t="s">
        <v>92</v>
      </c>
      <c r="AZ392" t="s">
        <v>94</v>
      </c>
      <c r="BA392" t="s">
        <v>94</v>
      </c>
      <c r="BB392" t="s">
        <v>92</v>
      </c>
      <c r="BC392" t="s">
        <v>94</v>
      </c>
      <c r="BD392" t="s">
        <v>94</v>
      </c>
      <c r="BE392" t="s">
        <v>92</v>
      </c>
      <c r="BF392" t="s">
        <v>95</v>
      </c>
      <c r="BG392" t="s">
        <v>92</v>
      </c>
      <c r="BH392" t="s">
        <v>95</v>
      </c>
    </row>
    <row r="393" spans="1:60" x14ac:dyDescent="0.3">
      <c r="A393">
        <v>20</v>
      </c>
      <c r="B393" t="s">
        <v>70</v>
      </c>
      <c r="C393" t="s">
        <v>96</v>
      </c>
      <c r="D393" t="s">
        <v>72</v>
      </c>
      <c r="E393" t="s">
        <v>108</v>
      </c>
      <c r="F393" t="s">
        <v>74</v>
      </c>
      <c r="G393" t="s">
        <v>135</v>
      </c>
      <c r="H393" t="s">
        <v>136</v>
      </c>
      <c r="I393" t="s">
        <v>76</v>
      </c>
      <c r="J393" t="s">
        <v>77</v>
      </c>
      <c r="K393" t="s">
        <v>122</v>
      </c>
      <c r="L393" t="s">
        <v>82</v>
      </c>
      <c r="M393" t="s">
        <v>80</v>
      </c>
      <c r="N393" t="s">
        <v>79</v>
      </c>
      <c r="O393" t="s">
        <v>109</v>
      </c>
      <c r="P393" t="s">
        <v>79</v>
      </c>
      <c r="Q393" t="s">
        <v>83</v>
      </c>
      <c r="R393" t="s">
        <v>79</v>
      </c>
      <c r="S393" t="s">
        <v>84</v>
      </c>
      <c r="T393" t="s">
        <v>155</v>
      </c>
      <c r="U393" t="s">
        <v>79</v>
      </c>
      <c r="V393" t="s">
        <v>148</v>
      </c>
      <c r="W393" t="s">
        <v>120</v>
      </c>
      <c r="Y393" t="s">
        <v>94</v>
      </c>
      <c r="Z393" t="s">
        <v>94</v>
      </c>
      <c r="AA393" t="s">
        <v>94</v>
      </c>
      <c r="AB393" t="s">
        <v>94</v>
      </c>
      <c r="AC393" t="s">
        <v>94</v>
      </c>
      <c r="AD393" t="s">
        <v>94</v>
      </c>
      <c r="AE393" t="s">
        <v>94</v>
      </c>
      <c r="AF393" t="s">
        <v>94</v>
      </c>
      <c r="AG393" t="s">
        <v>94</v>
      </c>
      <c r="AH393" t="s">
        <v>94</v>
      </c>
      <c r="AI393" t="s">
        <v>94</v>
      </c>
      <c r="AJ393" t="s">
        <v>94</v>
      </c>
      <c r="AK393" t="s">
        <v>94</v>
      </c>
      <c r="AL393" t="s">
        <v>94</v>
      </c>
      <c r="AM393" t="s">
        <v>94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94</v>
      </c>
      <c r="AV393" t="s">
        <v>94</v>
      </c>
      <c r="AW393" t="s">
        <v>94</v>
      </c>
      <c r="AX393" t="s">
        <v>94</v>
      </c>
      <c r="AY393" t="s">
        <v>94</v>
      </c>
      <c r="AZ393" t="s">
        <v>94</v>
      </c>
      <c r="BA393" t="s">
        <v>94</v>
      </c>
      <c r="BB393" t="s">
        <v>94</v>
      </c>
      <c r="BC393" t="s">
        <v>94</v>
      </c>
      <c r="BD393" t="s">
        <v>94</v>
      </c>
      <c r="BE393" t="s">
        <v>94</v>
      </c>
      <c r="BF393" t="s">
        <v>94</v>
      </c>
      <c r="BG393" t="s">
        <v>94</v>
      </c>
      <c r="BH393" t="s">
        <v>94</v>
      </c>
    </row>
    <row r="394" spans="1:60" x14ac:dyDescent="0.3">
      <c r="A394">
        <v>31</v>
      </c>
      <c r="B394" t="s">
        <v>70</v>
      </c>
      <c r="C394" t="s">
        <v>153</v>
      </c>
      <c r="D394" t="s">
        <v>97</v>
      </c>
      <c r="E394" t="s">
        <v>108</v>
      </c>
      <c r="F394" t="s">
        <v>136</v>
      </c>
      <c r="G394" t="s">
        <v>135</v>
      </c>
      <c r="H394" t="s">
        <v>74</v>
      </c>
      <c r="I394" t="s">
        <v>76</v>
      </c>
      <c r="J394" t="s">
        <v>77</v>
      </c>
      <c r="K394" t="s">
        <v>78</v>
      </c>
      <c r="L394" t="s">
        <v>82</v>
      </c>
      <c r="M394" t="s">
        <v>80</v>
      </c>
      <c r="N394" t="s">
        <v>79</v>
      </c>
      <c r="O394" t="s">
        <v>109</v>
      </c>
      <c r="P394" t="s">
        <v>79</v>
      </c>
      <c r="Q394" t="s">
        <v>103</v>
      </c>
      <c r="R394" t="s">
        <v>79</v>
      </c>
      <c r="S394" t="s">
        <v>84</v>
      </c>
      <c r="T394" t="s">
        <v>232</v>
      </c>
      <c r="U394" t="s">
        <v>79</v>
      </c>
      <c r="V394" t="s">
        <v>86</v>
      </c>
      <c r="W394" t="s">
        <v>141</v>
      </c>
      <c r="X394" t="s">
        <v>127</v>
      </c>
      <c r="Y394" t="s">
        <v>93</v>
      </c>
      <c r="Z394" t="s">
        <v>93</v>
      </c>
      <c r="AA394" t="s">
        <v>93</v>
      </c>
      <c r="AB394" t="s">
        <v>93</v>
      </c>
      <c r="AC394" t="s">
        <v>93</v>
      </c>
      <c r="AD394" t="s">
        <v>92</v>
      </c>
      <c r="AE394" t="s">
        <v>92</v>
      </c>
      <c r="AF394" t="s">
        <v>94</v>
      </c>
      <c r="AG394" t="s">
        <v>93</v>
      </c>
      <c r="AH394" t="s">
        <v>93</v>
      </c>
      <c r="AI394" t="s">
        <v>93</v>
      </c>
      <c r="AJ394" t="s">
        <v>93</v>
      </c>
      <c r="AK394" t="s">
        <v>93</v>
      </c>
      <c r="AL394" t="s">
        <v>92</v>
      </c>
      <c r="AM394" t="s">
        <v>93</v>
      </c>
      <c r="AN394" t="s">
        <v>93</v>
      </c>
      <c r="AO394" t="s">
        <v>93</v>
      </c>
      <c r="AP394" t="s">
        <v>93</v>
      </c>
      <c r="AQ394" t="s">
        <v>93</v>
      </c>
      <c r="AR394" t="s">
        <v>94</v>
      </c>
      <c r="AS394" t="s">
        <v>93</v>
      </c>
      <c r="AT394" t="s">
        <v>94</v>
      </c>
      <c r="AU394" t="s">
        <v>92</v>
      </c>
      <c r="AV394" t="s">
        <v>93</v>
      </c>
      <c r="AW394" t="s">
        <v>93</v>
      </c>
      <c r="AX394" t="s">
        <v>92</v>
      </c>
      <c r="AY394" t="s">
        <v>94</v>
      </c>
      <c r="AZ394" t="s">
        <v>94</v>
      </c>
      <c r="BA394" t="s">
        <v>93</v>
      </c>
      <c r="BB394" t="s">
        <v>93</v>
      </c>
      <c r="BC394" t="s">
        <v>93</v>
      </c>
      <c r="BD394" t="s">
        <v>93</v>
      </c>
      <c r="BE394" t="s">
        <v>93</v>
      </c>
      <c r="BF394" t="s">
        <v>92</v>
      </c>
      <c r="BG394" t="s">
        <v>94</v>
      </c>
      <c r="BH394" t="s">
        <v>92</v>
      </c>
    </row>
    <row r="395" spans="1:60" x14ac:dyDescent="0.3">
      <c r="A395">
        <v>20</v>
      </c>
      <c r="B395" t="s">
        <v>70</v>
      </c>
      <c r="C395" t="s">
        <v>157</v>
      </c>
      <c r="D395" t="s">
        <v>97</v>
      </c>
      <c r="E395" t="s">
        <v>108</v>
      </c>
      <c r="F395" t="s">
        <v>74</v>
      </c>
      <c r="G395" t="s">
        <v>135</v>
      </c>
      <c r="H395" t="s">
        <v>74</v>
      </c>
      <c r="I395" t="s">
        <v>76</v>
      </c>
      <c r="J395" t="s">
        <v>101</v>
      </c>
      <c r="K395" t="s">
        <v>122</v>
      </c>
      <c r="L395" t="s">
        <v>79</v>
      </c>
      <c r="M395" t="s">
        <v>80</v>
      </c>
      <c r="N395" t="s">
        <v>79</v>
      </c>
      <c r="O395" t="s">
        <v>179</v>
      </c>
      <c r="P395" t="s">
        <v>82</v>
      </c>
      <c r="Q395" t="s">
        <v>83</v>
      </c>
      <c r="R395" t="s">
        <v>79</v>
      </c>
      <c r="S395" t="s">
        <v>280</v>
      </c>
      <c r="T395" t="s">
        <v>281</v>
      </c>
      <c r="U395" t="s">
        <v>82</v>
      </c>
      <c r="V395" t="s">
        <v>106</v>
      </c>
      <c r="W395" t="s">
        <v>141</v>
      </c>
      <c r="X395" t="s">
        <v>282</v>
      </c>
      <c r="Y395" t="s">
        <v>94</v>
      </c>
      <c r="Z395" t="s">
        <v>92</v>
      </c>
      <c r="AA395" t="s">
        <v>94</v>
      </c>
      <c r="AB395" t="s">
        <v>94</v>
      </c>
      <c r="AC395" t="s">
        <v>95</v>
      </c>
      <c r="AD395" t="s">
        <v>94</v>
      </c>
      <c r="AE395" t="s">
        <v>92</v>
      </c>
      <c r="AF395" t="s">
        <v>95</v>
      </c>
      <c r="AG395" t="s">
        <v>92</v>
      </c>
      <c r="AH395" t="s">
        <v>95</v>
      </c>
      <c r="AI395" t="s">
        <v>92</v>
      </c>
      <c r="AJ395" t="s">
        <v>92</v>
      </c>
      <c r="AK395" t="s">
        <v>95</v>
      </c>
      <c r="AL395" t="s">
        <v>92</v>
      </c>
      <c r="AM395" t="s">
        <v>94</v>
      </c>
      <c r="AN395" t="s">
        <v>94</v>
      </c>
      <c r="AO395" t="s">
        <v>93</v>
      </c>
      <c r="AP395" t="s">
        <v>94</v>
      </c>
      <c r="AQ395" t="s">
        <v>93</v>
      </c>
      <c r="AR395" t="s">
        <v>94</v>
      </c>
      <c r="AS395" t="s">
        <v>94</v>
      </c>
      <c r="AT395" t="s">
        <v>94</v>
      </c>
      <c r="AU395" t="s">
        <v>94</v>
      </c>
      <c r="AV395" t="s">
        <v>94</v>
      </c>
      <c r="AW395" t="s">
        <v>94</v>
      </c>
      <c r="AX395" t="s">
        <v>94</v>
      </c>
      <c r="AY395" t="s">
        <v>94</v>
      </c>
      <c r="AZ395" t="s">
        <v>94</v>
      </c>
      <c r="BA395" t="s">
        <v>95</v>
      </c>
      <c r="BB395" t="s">
        <v>95</v>
      </c>
      <c r="BC395" t="s">
        <v>95</v>
      </c>
      <c r="BD395" t="s">
        <v>94</v>
      </c>
      <c r="BE395" t="s">
        <v>94</v>
      </c>
      <c r="BF395" t="s">
        <v>94</v>
      </c>
      <c r="BG395" t="s">
        <v>95</v>
      </c>
      <c r="BH395" t="s">
        <v>95</v>
      </c>
    </row>
    <row r="396" spans="1:60" x14ac:dyDescent="0.3">
      <c r="A396">
        <v>22</v>
      </c>
      <c r="B396" t="s">
        <v>70</v>
      </c>
      <c r="C396" t="s">
        <v>71</v>
      </c>
      <c r="D396" t="s">
        <v>97</v>
      </c>
      <c r="E396" t="s">
        <v>108</v>
      </c>
      <c r="F396" t="s">
        <v>74</v>
      </c>
      <c r="G396" t="s">
        <v>75</v>
      </c>
      <c r="H396" t="s">
        <v>136</v>
      </c>
      <c r="I396" t="s">
        <v>76</v>
      </c>
      <c r="J396" t="s">
        <v>77</v>
      </c>
      <c r="K396" t="s">
        <v>131</v>
      </c>
      <c r="L396" t="s">
        <v>79</v>
      </c>
      <c r="M396" t="s">
        <v>80</v>
      </c>
      <c r="N396" t="s">
        <v>79</v>
      </c>
      <c r="O396" t="s">
        <v>138</v>
      </c>
      <c r="P396" t="s">
        <v>79</v>
      </c>
      <c r="Q396" t="s">
        <v>103</v>
      </c>
      <c r="R396" t="s">
        <v>82</v>
      </c>
      <c r="S396" t="s">
        <v>84</v>
      </c>
      <c r="T396" t="s">
        <v>124</v>
      </c>
      <c r="U396" t="s">
        <v>82</v>
      </c>
      <c r="V396" t="s">
        <v>106</v>
      </c>
      <c r="W396" t="s">
        <v>87</v>
      </c>
      <c r="X396" t="s">
        <v>112</v>
      </c>
      <c r="Y396" t="s">
        <v>92</v>
      </c>
      <c r="Z396" t="s">
        <v>93</v>
      </c>
      <c r="AA396" t="s">
        <v>93</v>
      </c>
      <c r="AB396" t="s">
        <v>93</v>
      </c>
      <c r="AC396" t="s">
        <v>92</v>
      </c>
      <c r="AD396" t="s">
        <v>92</v>
      </c>
      <c r="AE396" t="s">
        <v>92</v>
      </c>
      <c r="AF396" t="s">
        <v>93</v>
      </c>
      <c r="AG396" t="s">
        <v>93</v>
      </c>
      <c r="AH396" t="s">
        <v>93</v>
      </c>
      <c r="AI396" t="s">
        <v>93</v>
      </c>
      <c r="AJ396" t="s">
        <v>93</v>
      </c>
      <c r="AK396" t="s">
        <v>93</v>
      </c>
      <c r="AL396" t="s">
        <v>95</v>
      </c>
      <c r="AM396" t="s">
        <v>95</v>
      </c>
      <c r="AN396" t="s">
        <v>93</v>
      </c>
      <c r="AO396" t="s">
        <v>93</v>
      </c>
      <c r="AP396" t="s">
        <v>93</v>
      </c>
      <c r="AQ396" t="s">
        <v>92</v>
      </c>
      <c r="AR396" t="s">
        <v>95</v>
      </c>
      <c r="AS396" t="s">
        <v>95</v>
      </c>
      <c r="AT396" t="s">
        <v>95</v>
      </c>
      <c r="AU396" t="s">
        <v>93</v>
      </c>
      <c r="AV396" t="s">
        <v>92</v>
      </c>
      <c r="AW396" t="s">
        <v>92</v>
      </c>
      <c r="AX396" t="s">
        <v>92</v>
      </c>
      <c r="AY396" t="s">
        <v>92</v>
      </c>
      <c r="AZ396" t="s">
        <v>92</v>
      </c>
      <c r="BA396" t="s">
        <v>93</v>
      </c>
      <c r="BB396" t="s">
        <v>93</v>
      </c>
      <c r="BC396" t="s">
        <v>93</v>
      </c>
      <c r="BD396" t="s">
        <v>93</v>
      </c>
      <c r="BE396" t="s">
        <v>93</v>
      </c>
      <c r="BF396" t="s">
        <v>93</v>
      </c>
      <c r="BG396" t="s">
        <v>92</v>
      </c>
      <c r="BH396" t="s">
        <v>94</v>
      </c>
    </row>
    <row r="397" spans="1:60" x14ac:dyDescent="0.3">
      <c r="A397">
        <v>21</v>
      </c>
      <c r="B397" t="s">
        <v>128</v>
      </c>
      <c r="C397" t="s">
        <v>96</v>
      </c>
      <c r="D397" t="s">
        <v>72</v>
      </c>
      <c r="E397" t="s">
        <v>108</v>
      </c>
      <c r="F397" t="s">
        <v>74</v>
      </c>
      <c r="G397" t="s">
        <v>224</v>
      </c>
      <c r="H397" t="s">
        <v>74</v>
      </c>
      <c r="I397" t="s">
        <v>76</v>
      </c>
      <c r="J397" t="s">
        <v>77</v>
      </c>
      <c r="K397" t="s">
        <v>122</v>
      </c>
      <c r="L397" t="s">
        <v>79</v>
      </c>
      <c r="M397" t="s">
        <v>80</v>
      </c>
      <c r="N397" t="s">
        <v>79</v>
      </c>
      <c r="O397" t="s">
        <v>179</v>
      </c>
      <c r="P397" t="s">
        <v>79</v>
      </c>
      <c r="Q397" t="s">
        <v>83</v>
      </c>
      <c r="R397" t="s">
        <v>82</v>
      </c>
      <c r="S397" t="s">
        <v>204</v>
      </c>
      <c r="T397" t="s">
        <v>130</v>
      </c>
      <c r="U397" t="s">
        <v>82</v>
      </c>
      <c r="V397" t="s">
        <v>86</v>
      </c>
      <c r="W397" t="s">
        <v>120</v>
      </c>
      <c r="X397" t="s">
        <v>112</v>
      </c>
      <c r="Y397" t="s">
        <v>94</v>
      </c>
      <c r="Z397" t="s">
        <v>92</v>
      </c>
      <c r="AA397" t="s">
        <v>92</v>
      </c>
      <c r="AB397" t="s">
        <v>92</v>
      </c>
      <c r="AC397" t="s">
        <v>93</v>
      </c>
      <c r="AD397" t="s">
        <v>92</v>
      </c>
      <c r="AE397" t="s">
        <v>92</v>
      </c>
      <c r="AF397" t="s">
        <v>92</v>
      </c>
      <c r="AG397" t="s">
        <v>92</v>
      </c>
      <c r="AH397" t="s">
        <v>92</v>
      </c>
      <c r="AI397" t="s">
        <v>92</v>
      </c>
      <c r="AJ397" t="s">
        <v>92</v>
      </c>
      <c r="AK397" t="s">
        <v>92</v>
      </c>
      <c r="AL397" t="s">
        <v>92</v>
      </c>
      <c r="AM397" t="s">
        <v>93</v>
      </c>
      <c r="AN397" t="s">
        <v>94</v>
      </c>
      <c r="AO397" t="s">
        <v>94</v>
      </c>
      <c r="AP397" t="s">
        <v>94</v>
      </c>
      <c r="AQ397" t="s">
        <v>93</v>
      </c>
      <c r="AR397" t="s">
        <v>92</v>
      </c>
      <c r="AS397" t="s">
        <v>92</v>
      </c>
      <c r="AT397" t="s">
        <v>92</v>
      </c>
      <c r="AU397" t="s">
        <v>92</v>
      </c>
      <c r="AV397" t="s">
        <v>94</v>
      </c>
      <c r="AW397" t="s">
        <v>95</v>
      </c>
      <c r="AX397" t="s">
        <v>95</v>
      </c>
      <c r="AY397" t="s">
        <v>94</v>
      </c>
      <c r="AZ397" t="s">
        <v>94</v>
      </c>
      <c r="BA397" t="s">
        <v>94</v>
      </c>
      <c r="BB397" t="s">
        <v>92</v>
      </c>
      <c r="BC397" t="s">
        <v>92</v>
      </c>
      <c r="BD397" t="s">
        <v>94</v>
      </c>
      <c r="BE397" t="s">
        <v>92</v>
      </c>
      <c r="BF397" t="s">
        <v>92</v>
      </c>
      <c r="BG397" t="s">
        <v>94</v>
      </c>
      <c r="BH397" t="s">
        <v>92</v>
      </c>
    </row>
    <row r="398" spans="1:60" x14ac:dyDescent="0.3">
      <c r="A398">
        <v>23</v>
      </c>
      <c r="B398" t="s">
        <v>70</v>
      </c>
      <c r="C398" t="s">
        <v>96</v>
      </c>
      <c r="D398" t="s">
        <v>97</v>
      </c>
      <c r="E398" t="s">
        <v>108</v>
      </c>
      <c r="F398" t="s">
        <v>136</v>
      </c>
      <c r="G398" t="s">
        <v>99</v>
      </c>
      <c r="H398" t="s">
        <v>136</v>
      </c>
      <c r="I398" t="s">
        <v>76</v>
      </c>
      <c r="J398" t="s">
        <v>77</v>
      </c>
      <c r="K398" t="s">
        <v>122</v>
      </c>
      <c r="L398" t="s">
        <v>79</v>
      </c>
      <c r="M398" t="s">
        <v>80</v>
      </c>
      <c r="N398" t="s">
        <v>79</v>
      </c>
      <c r="O398" t="s">
        <v>81</v>
      </c>
      <c r="P398" t="s">
        <v>82</v>
      </c>
      <c r="Q398" t="s">
        <v>118</v>
      </c>
      <c r="R398" t="s">
        <v>79</v>
      </c>
      <c r="S398" t="s">
        <v>211</v>
      </c>
      <c r="T398" t="s">
        <v>152</v>
      </c>
      <c r="U398" t="s">
        <v>82</v>
      </c>
      <c r="V398" t="s">
        <v>106</v>
      </c>
      <c r="W398" t="s">
        <v>141</v>
      </c>
      <c r="X398" t="s">
        <v>112</v>
      </c>
      <c r="Y398" t="s">
        <v>94</v>
      </c>
      <c r="Z398" t="s">
        <v>93</v>
      </c>
      <c r="AA398" t="s">
        <v>93</v>
      </c>
      <c r="AB398" t="s">
        <v>93</v>
      </c>
      <c r="AC398" t="s">
        <v>94</v>
      </c>
      <c r="AD398" t="s">
        <v>92</v>
      </c>
      <c r="AE398" t="s">
        <v>94</v>
      </c>
      <c r="AF398" t="s">
        <v>93</v>
      </c>
      <c r="AG398" t="s">
        <v>94</v>
      </c>
      <c r="AH398" t="s">
        <v>95</v>
      </c>
      <c r="AI398" t="s">
        <v>94</v>
      </c>
      <c r="AJ398" t="s">
        <v>94</v>
      </c>
      <c r="AK398" t="s">
        <v>95</v>
      </c>
      <c r="AL398" t="s">
        <v>93</v>
      </c>
      <c r="AM398" t="s">
        <v>93</v>
      </c>
      <c r="AN398" t="s">
        <v>93</v>
      </c>
      <c r="AO398" t="s">
        <v>93</v>
      </c>
      <c r="AP398" t="s">
        <v>93</v>
      </c>
      <c r="AQ398" t="s">
        <v>93</v>
      </c>
      <c r="AR398" t="s">
        <v>95</v>
      </c>
      <c r="AS398" t="s">
        <v>95</v>
      </c>
      <c r="AT398" t="s">
        <v>94</v>
      </c>
      <c r="AU398" t="s">
        <v>94</v>
      </c>
      <c r="AV398" t="s">
        <v>95</v>
      </c>
      <c r="AW398" t="s">
        <v>95</v>
      </c>
      <c r="AX398" t="s">
        <v>93</v>
      </c>
      <c r="AY398" t="s">
        <v>94</v>
      </c>
      <c r="AZ398" t="s">
        <v>94</v>
      </c>
      <c r="BA398" t="s">
        <v>93</v>
      </c>
      <c r="BB398" t="s">
        <v>93</v>
      </c>
      <c r="BC398" t="s">
        <v>93</v>
      </c>
      <c r="BD398" t="s">
        <v>94</v>
      </c>
      <c r="BE398" t="s">
        <v>94</v>
      </c>
      <c r="BF398" t="s">
        <v>94</v>
      </c>
      <c r="BG398" t="s">
        <v>94</v>
      </c>
      <c r="BH398" t="s">
        <v>93</v>
      </c>
    </row>
    <row r="399" spans="1:60" x14ac:dyDescent="0.3">
      <c r="A399">
        <v>22</v>
      </c>
      <c r="B399" t="s">
        <v>128</v>
      </c>
      <c r="C399" t="s">
        <v>96</v>
      </c>
      <c r="D399" t="s">
        <v>149</v>
      </c>
      <c r="E399" t="s">
        <v>114</v>
      </c>
      <c r="F399" t="s">
        <v>98</v>
      </c>
      <c r="G399" t="s">
        <v>75</v>
      </c>
      <c r="H399" t="s">
        <v>100</v>
      </c>
      <c r="I399" t="s">
        <v>76</v>
      </c>
      <c r="J399" t="s">
        <v>77</v>
      </c>
      <c r="K399" t="s">
        <v>125</v>
      </c>
      <c r="L399" t="s">
        <v>79</v>
      </c>
      <c r="M399" t="s">
        <v>80</v>
      </c>
      <c r="N399" t="s">
        <v>79</v>
      </c>
      <c r="O399" t="s">
        <v>179</v>
      </c>
      <c r="P399" t="s">
        <v>82</v>
      </c>
      <c r="Q399" t="s">
        <v>83</v>
      </c>
      <c r="R399" t="s">
        <v>79</v>
      </c>
      <c r="S399" t="s">
        <v>277</v>
      </c>
      <c r="T399" t="s">
        <v>158</v>
      </c>
      <c r="U399" t="s">
        <v>79</v>
      </c>
      <c r="V399" t="s">
        <v>106</v>
      </c>
      <c r="W399" t="s">
        <v>141</v>
      </c>
      <c r="Y399" t="s">
        <v>92</v>
      </c>
      <c r="Z399" t="s">
        <v>92</v>
      </c>
      <c r="AA399" t="s">
        <v>92</v>
      </c>
      <c r="AB399" t="s">
        <v>92</v>
      </c>
      <c r="AC399" t="s">
        <v>92</v>
      </c>
      <c r="AD399" t="s">
        <v>92</v>
      </c>
      <c r="AE399" t="s">
        <v>92</v>
      </c>
      <c r="AF399" t="s">
        <v>92</v>
      </c>
      <c r="AG399" t="s">
        <v>92</v>
      </c>
      <c r="AH399" t="s">
        <v>92</v>
      </c>
      <c r="AI399" t="s">
        <v>92</v>
      </c>
      <c r="AJ399" t="s">
        <v>92</v>
      </c>
      <c r="AK399" t="s">
        <v>92</v>
      </c>
      <c r="AL399" t="s">
        <v>92</v>
      </c>
      <c r="AM399" t="s">
        <v>92</v>
      </c>
      <c r="AN399" t="s">
        <v>94</v>
      </c>
      <c r="AO399" t="s">
        <v>94</v>
      </c>
      <c r="AP399" t="s">
        <v>92</v>
      </c>
      <c r="AQ399" t="s">
        <v>94</v>
      </c>
      <c r="AR399" t="s">
        <v>94</v>
      </c>
      <c r="AS399" t="s">
        <v>92</v>
      </c>
      <c r="AT399" t="s">
        <v>92</v>
      </c>
      <c r="AU399" t="s">
        <v>94</v>
      </c>
      <c r="AV399" t="s">
        <v>93</v>
      </c>
      <c r="AW399" t="s">
        <v>93</v>
      </c>
      <c r="AX399" t="s">
        <v>93</v>
      </c>
      <c r="AY399" t="s">
        <v>93</v>
      </c>
      <c r="AZ399" t="s">
        <v>93</v>
      </c>
    </row>
    <row r="400" spans="1:60" x14ac:dyDescent="0.3">
      <c r="A400">
        <v>23</v>
      </c>
      <c r="B400" t="s">
        <v>70</v>
      </c>
      <c r="C400" t="s">
        <v>113</v>
      </c>
      <c r="D400" t="s">
        <v>97</v>
      </c>
      <c r="E400" t="s">
        <v>108</v>
      </c>
      <c r="F400" t="s">
        <v>74</v>
      </c>
      <c r="G400" t="s">
        <v>135</v>
      </c>
      <c r="H400" t="s">
        <v>74</v>
      </c>
      <c r="I400" t="s">
        <v>76</v>
      </c>
      <c r="J400" t="s">
        <v>101</v>
      </c>
      <c r="K400" t="s">
        <v>131</v>
      </c>
      <c r="L400" t="s">
        <v>79</v>
      </c>
      <c r="M400" t="s">
        <v>80</v>
      </c>
      <c r="N400" t="s">
        <v>79</v>
      </c>
      <c r="O400" t="s">
        <v>81</v>
      </c>
      <c r="P400" t="s">
        <v>79</v>
      </c>
      <c r="Q400" t="s">
        <v>83</v>
      </c>
      <c r="R400" t="s">
        <v>79</v>
      </c>
      <c r="S400" t="s">
        <v>126</v>
      </c>
      <c r="T400" t="s">
        <v>119</v>
      </c>
      <c r="U400" t="s">
        <v>79</v>
      </c>
      <c r="V400" t="s">
        <v>106</v>
      </c>
      <c r="W400" t="s">
        <v>141</v>
      </c>
      <c r="Y400" t="s">
        <v>93</v>
      </c>
      <c r="Z400" t="s">
        <v>93</v>
      </c>
      <c r="AA400" t="s">
        <v>93</v>
      </c>
      <c r="AB400" t="s">
        <v>92</v>
      </c>
      <c r="AC400" t="s">
        <v>94</v>
      </c>
      <c r="AD400" t="s">
        <v>94</v>
      </c>
      <c r="AE400" t="s">
        <v>92</v>
      </c>
      <c r="AF400" t="s">
        <v>93</v>
      </c>
      <c r="AG400" t="s">
        <v>93</v>
      </c>
      <c r="AH400" t="s">
        <v>93</v>
      </c>
      <c r="AI400" t="s">
        <v>93</v>
      </c>
      <c r="AJ400" t="s">
        <v>93</v>
      </c>
      <c r="AK400" t="s">
        <v>93</v>
      </c>
      <c r="AL400" t="s">
        <v>93</v>
      </c>
      <c r="AM400" t="s">
        <v>92</v>
      </c>
      <c r="AN400" t="s">
        <v>93</v>
      </c>
      <c r="AO400" t="s">
        <v>93</v>
      </c>
      <c r="AP400" t="s">
        <v>93</v>
      </c>
      <c r="AQ400" t="s">
        <v>95</v>
      </c>
      <c r="AR400" t="s">
        <v>95</v>
      </c>
      <c r="AS400" t="s">
        <v>95</v>
      </c>
      <c r="AT400" t="s">
        <v>94</v>
      </c>
      <c r="AU400" t="s">
        <v>94</v>
      </c>
      <c r="AV400" t="s">
        <v>95</v>
      </c>
      <c r="AW400" t="s">
        <v>92</v>
      </c>
      <c r="AX400" t="s">
        <v>94</v>
      </c>
      <c r="AY400" t="s">
        <v>93</v>
      </c>
      <c r="AZ400" t="s">
        <v>92</v>
      </c>
      <c r="BA400" t="s">
        <v>92</v>
      </c>
      <c r="BB400" t="s">
        <v>92</v>
      </c>
      <c r="BC400" t="s">
        <v>93</v>
      </c>
      <c r="BD400" t="s">
        <v>93</v>
      </c>
      <c r="BE400" t="s">
        <v>93</v>
      </c>
      <c r="BF400" t="s">
        <v>92</v>
      </c>
      <c r="BG400" t="s">
        <v>92</v>
      </c>
      <c r="BH400" t="s">
        <v>92</v>
      </c>
    </row>
    <row r="401" spans="1:60" x14ac:dyDescent="0.3">
      <c r="A401">
        <v>26</v>
      </c>
      <c r="B401" t="s">
        <v>70</v>
      </c>
      <c r="C401" t="s">
        <v>153</v>
      </c>
      <c r="D401" t="s">
        <v>72</v>
      </c>
      <c r="E401" t="s">
        <v>73</v>
      </c>
      <c r="F401" t="s">
        <v>74</v>
      </c>
      <c r="G401" t="s">
        <v>115</v>
      </c>
      <c r="H401" t="s">
        <v>74</v>
      </c>
      <c r="I401" t="s">
        <v>75</v>
      </c>
      <c r="J401" t="s">
        <v>77</v>
      </c>
      <c r="K401" t="s">
        <v>78</v>
      </c>
      <c r="L401" t="s">
        <v>79</v>
      </c>
      <c r="M401" t="s">
        <v>80</v>
      </c>
      <c r="N401" t="s">
        <v>79</v>
      </c>
      <c r="O401" t="s">
        <v>117</v>
      </c>
      <c r="P401" t="s">
        <v>82</v>
      </c>
      <c r="Q401" t="s">
        <v>103</v>
      </c>
      <c r="R401" t="s">
        <v>79</v>
      </c>
      <c r="S401" t="s">
        <v>126</v>
      </c>
      <c r="T401" t="s">
        <v>156</v>
      </c>
      <c r="U401" t="s">
        <v>79</v>
      </c>
      <c r="V401" t="s">
        <v>86</v>
      </c>
      <c r="W401" t="s">
        <v>120</v>
      </c>
      <c r="Y401" t="s">
        <v>95</v>
      </c>
      <c r="Z401" t="s">
        <v>92</v>
      </c>
      <c r="AA401" t="s">
        <v>92</v>
      </c>
      <c r="AB401" t="s">
        <v>92</v>
      </c>
      <c r="AC401" t="s">
        <v>92</v>
      </c>
      <c r="AD401" t="s">
        <v>94</v>
      </c>
      <c r="AE401" t="s">
        <v>94</v>
      </c>
      <c r="AF401" t="s">
        <v>92</v>
      </c>
      <c r="AG401" t="s">
        <v>93</v>
      </c>
      <c r="AH401" t="s">
        <v>93</v>
      </c>
      <c r="AI401" t="s">
        <v>93</v>
      </c>
      <c r="AJ401" t="s">
        <v>94</v>
      </c>
      <c r="AK401" t="s">
        <v>93</v>
      </c>
      <c r="AL401" t="s">
        <v>95</v>
      </c>
      <c r="AM401" t="s">
        <v>93</v>
      </c>
      <c r="AN401" t="s">
        <v>95</v>
      </c>
      <c r="AO401" t="s">
        <v>94</v>
      </c>
      <c r="AP401" t="s">
        <v>92</v>
      </c>
      <c r="AQ401" t="s">
        <v>93</v>
      </c>
      <c r="AR401" t="s">
        <v>95</v>
      </c>
      <c r="AS401" t="s">
        <v>94</v>
      </c>
      <c r="AT401" t="s">
        <v>92</v>
      </c>
      <c r="AU401" t="s">
        <v>93</v>
      </c>
      <c r="AV401" t="s">
        <v>95</v>
      </c>
      <c r="AW401" t="s">
        <v>94</v>
      </c>
      <c r="AX401" t="s">
        <v>92</v>
      </c>
      <c r="AY401" t="s">
        <v>93</v>
      </c>
      <c r="AZ401" t="s">
        <v>95</v>
      </c>
      <c r="BA401" t="s">
        <v>94</v>
      </c>
      <c r="BB401" t="s">
        <v>92</v>
      </c>
      <c r="BC401" t="s">
        <v>93</v>
      </c>
      <c r="BD401" t="s">
        <v>95</v>
      </c>
      <c r="BE401" t="s">
        <v>94</v>
      </c>
      <c r="BF401" t="s">
        <v>94</v>
      </c>
      <c r="BG401" t="s">
        <v>92</v>
      </c>
      <c r="BH401" t="s">
        <v>92</v>
      </c>
    </row>
    <row r="402" spans="1:60" x14ac:dyDescent="0.3">
      <c r="A402">
        <v>22</v>
      </c>
      <c r="B402" t="s">
        <v>70</v>
      </c>
      <c r="C402" t="s">
        <v>96</v>
      </c>
      <c r="D402" t="s">
        <v>97</v>
      </c>
      <c r="E402" t="s">
        <v>108</v>
      </c>
      <c r="F402" t="s">
        <v>136</v>
      </c>
      <c r="G402" t="s">
        <v>135</v>
      </c>
      <c r="H402" t="s">
        <v>98</v>
      </c>
      <c r="I402" t="s">
        <v>76</v>
      </c>
      <c r="J402" t="s">
        <v>77</v>
      </c>
      <c r="K402" t="s">
        <v>122</v>
      </c>
      <c r="L402" t="s">
        <v>79</v>
      </c>
      <c r="M402" t="s">
        <v>132</v>
      </c>
      <c r="N402" t="s">
        <v>79</v>
      </c>
      <c r="O402" t="s">
        <v>179</v>
      </c>
      <c r="P402" t="s">
        <v>79</v>
      </c>
      <c r="Q402" t="s">
        <v>103</v>
      </c>
      <c r="R402" t="s">
        <v>79</v>
      </c>
      <c r="S402" t="s">
        <v>283</v>
      </c>
      <c r="T402" t="s">
        <v>191</v>
      </c>
      <c r="U402" t="s">
        <v>82</v>
      </c>
      <c r="V402" t="s">
        <v>106</v>
      </c>
      <c r="W402" t="s">
        <v>87</v>
      </c>
      <c r="Y402" t="s">
        <v>92</v>
      </c>
      <c r="Z402" t="s">
        <v>92</v>
      </c>
      <c r="AA402" t="s">
        <v>92</v>
      </c>
      <c r="AB402" t="s">
        <v>94</v>
      </c>
      <c r="AC402" t="s">
        <v>92</v>
      </c>
      <c r="AD402" t="s">
        <v>92</v>
      </c>
      <c r="AE402" t="s">
        <v>92</v>
      </c>
      <c r="AF402" t="s">
        <v>95</v>
      </c>
      <c r="AG402" t="s">
        <v>94</v>
      </c>
      <c r="AH402" t="s">
        <v>94</v>
      </c>
      <c r="AI402" t="s">
        <v>94</v>
      </c>
      <c r="AJ402" t="s">
        <v>93</v>
      </c>
      <c r="AK402" t="s">
        <v>93</v>
      </c>
      <c r="AL402" t="s">
        <v>93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92</v>
      </c>
      <c r="AS402" t="s">
        <v>93</v>
      </c>
      <c r="AT402" t="s">
        <v>93</v>
      </c>
      <c r="AU402" t="s">
        <v>94</v>
      </c>
      <c r="AV402" t="s">
        <v>95</v>
      </c>
      <c r="AW402" t="s">
        <v>95</v>
      </c>
      <c r="AX402" t="s">
        <v>94</v>
      </c>
      <c r="AY402" t="s">
        <v>93</v>
      </c>
      <c r="AZ402" t="s">
        <v>93</v>
      </c>
      <c r="BA402" t="s">
        <v>92</v>
      </c>
      <c r="BB402" t="s">
        <v>92</v>
      </c>
      <c r="BC402" t="s">
        <v>92</v>
      </c>
      <c r="BD402" t="s">
        <v>92</v>
      </c>
      <c r="BE402" t="s">
        <v>92</v>
      </c>
      <c r="BF402" t="s">
        <v>92</v>
      </c>
      <c r="BG402" t="s">
        <v>92</v>
      </c>
      <c r="BH402" t="s">
        <v>92</v>
      </c>
    </row>
    <row r="403" spans="1:60" x14ac:dyDescent="0.3">
      <c r="A403">
        <v>20</v>
      </c>
      <c r="B403" t="s">
        <v>70</v>
      </c>
      <c r="C403" t="s">
        <v>157</v>
      </c>
      <c r="D403" t="s">
        <v>72</v>
      </c>
      <c r="E403" t="s">
        <v>114</v>
      </c>
      <c r="F403" t="s">
        <v>74</v>
      </c>
      <c r="G403" t="s">
        <v>115</v>
      </c>
      <c r="H403" t="s">
        <v>74</v>
      </c>
      <c r="I403" t="s">
        <v>115</v>
      </c>
      <c r="J403" t="s">
        <v>77</v>
      </c>
      <c r="K403" t="s">
        <v>78</v>
      </c>
      <c r="L403" t="s">
        <v>79</v>
      </c>
      <c r="M403" t="s">
        <v>132</v>
      </c>
      <c r="N403" t="s">
        <v>79</v>
      </c>
      <c r="O403" t="s">
        <v>81</v>
      </c>
      <c r="P403" t="s">
        <v>79</v>
      </c>
      <c r="Q403" t="s">
        <v>83</v>
      </c>
      <c r="R403" t="s">
        <v>79</v>
      </c>
      <c r="S403" t="s">
        <v>256</v>
      </c>
      <c r="T403" t="s">
        <v>150</v>
      </c>
      <c r="U403" t="s">
        <v>79</v>
      </c>
      <c r="V403" t="s">
        <v>148</v>
      </c>
      <c r="W403" t="s">
        <v>141</v>
      </c>
      <c r="Y403" t="s">
        <v>95</v>
      </c>
      <c r="Z403" t="s">
        <v>94</v>
      </c>
      <c r="AA403" t="s">
        <v>94</v>
      </c>
      <c r="AB403" t="s">
        <v>92</v>
      </c>
      <c r="AC403" t="s">
        <v>93</v>
      </c>
      <c r="AD403" t="s">
        <v>93</v>
      </c>
      <c r="AE403" t="s">
        <v>93</v>
      </c>
      <c r="AF403" t="s">
        <v>93</v>
      </c>
      <c r="AG403" t="s">
        <v>93</v>
      </c>
      <c r="AH403" t="s">
        <v>93</v>
      </c>
      <c r="AI403" t="s">
        <v>94</v>
      </c>
      <c r="AJ403" t="s">
        <v>92</v>
      </c>
      <c r="AK403" t="s">
        <v>92</v>
      </c>
      <c r="AL403" t="s">
        <v>92</v>
      </c>
      <c r="AM403" t="s">
        <v>94</v>
      </c>
      <c r="AN403" t="s">
        <v>93</v>
      </c>
      <c r="AO403" t="s">
        <v>93</v>
      </c>
      <c r="AP403" t="s">
        <v>92</v>
      </c>
      <c r="AQ403" t="s">
        <v>93</v>
      </c>
      <c r="AR403" t="s">
        <v>92</v>
      </c>
      <c r="AS403" t="s">
        <v>92</v>
      </c>
      <c r="AT403" t="s">
        <v>92</v>
      </c>
      <c r="AU403" t="s">
        <v>95</v>
      </c>
      <c r="AV403" t="s">
        <v>95</v>
      </c>
      <c r="AW403" t="s">
        <v>95</v>
      </c>
      <c r="AX403" t="s">
        <v>95</v>
      </c>
      <c r="AY403" t="s">
        <v>95</v>
      </c>
      <c r="AZ403" t="s">
        <v>95</v>
      </c>
      <c r="BA403" t="s">
        <v>92</v>
      </c>
      <c r="BB403" t="s">
        <v>92</v>
      </c>
      <c r="BC403" t="s">
        <v>92</v>
      </c>
      <c r="BD403" t="s">
        <v>92</v>
      </c>
      <c r="BE403" t="s">
        <v>93</v>
      </c>
      <c r="BF403" t="s">
        <v>93</v>
      </c>
      <c r="BG403" t="s">
        <v>93</v>
      </c>
      <c r="BH403" t="s">
        <v>93</v>
      </c>
    </row>
    <row r="404" spans="1:60" x14ac:dyDescent="0.3">
      <c r="A404">
        <v>22</v>
      </c>
      <c r="B404" t="s">
        <v>70</v>
      </c>
      <c r="C404" t="s">
        <v>113</v>
      </c>
      <c r="D404" t="s">
        <v>97</v>
      </c>
      <c r="E404" t="s">
        <v>108</v>
      </c>
      <c r="F404" t="s">
        <v>74</v>
      </c>
      <c r="G404" t="s">
        <v>115</v>
      </c>
      <c r="H404" t="s">
        <v>100</v>
      </c>
      <c r="I404" t="s">
        <v>76</v>
      </c>
      <c r="J404" t="s">
        <v>77</v>
      </c>
      <c r="K404" t="s">
        <v>78</v>
      </c>
      <c r="L404" t="s">
        <v>79</v>
      </c>
      <c r="M404" t="s">
        <v>80</v>
      </c>
      <c r="N404" t="s">
        <v>79</v>
      </c>
      <c r="O404" t="s">
        <v>81</v>
      </c>
      <c r="P404" t="s">
        <v>79</v>
      </c>
      <c r="Q404" t="s">
        <v>118</v>
      </c>
      <c r="R404" t="s">
        <v>82</v>
      </c>
      <c r="S404" t="s">
        <v>84</v>
      </c>
      <c r="T404" t="s">
        <v>186</v>
      </c>
      <c r="U404" t="s">
        <v>79</v>
      </c>
      <c r="V404" t="s">
        <v>106</v>
      </c>
      <c r="W404" t="s">
        <v>120</v>
      </c>
      <c r="X404" t="s">
        <v>88</v>
      </c>
      <c r="Y404" t="s">
        <v>94</v>
      </c>
      <c r="Z404" t="s">
        <v>92</v>
      </c>
      <c r="AA404" t="s">
        <v>92</v>
      </c>
      <c r="AB404" t="s">
        <v>94</v>
      </c>
      <c r="AC404" t="s">
        <v>92</v>
      </c>
      <c r="AD404" t="s">
        <v>94</v>
      </c>
      <c r="AE404" t="s">
        <v>92</v>
      </c>
      <c r="AF404" t="s">
        <v>94</v>
      </c>
      <c r="AG404" t="s">
        <v>92</v>
      </c>
      <c r="AH404" t="s">
        <v>94</v>
      </c>
      <c r="AI404" t="s">
        <v>92</v>
      </c>
      <c r="AJ404" t="s">
        <v>94</v>
      </c>
      <c r="AK404" t="s">
        <v>92</v>
      </c>
      <c r="AL404" t="s">
        <v>92</v>
      </c>
      <c r="AM404" t="s">
        <v>92</v>
      </c>
      <c r="AN404" t="s">
        <v>95</v>
      </c>
      <c r="AO404" t="s">
        <v>95</v>
      </c>
      <c r="AP404" t="s">
        <v>95</v>
      </c>
      <c r="AQ404" t="s">
        <v>95</v>
      </c>
      <c r="AR404" t="s">
        <v>94</v>
      </c>
      <c r="AS404" t="s">
        <v>95</v>
      </c>
      <c r="AT404" t="s">
        <v>95</v>
      </c>
      <c r="AU404" t="s">
        <v>94</v>
      </c>
      <c r="AV404" t="s">
        <v>94</v>
      </c>
      <c r="AW404" t="s">
        <v>95</v>
      </c>
      <c r="AX404" t="s">
        <v>94</v>
      </c>
      <c r="AY404" t="s">
        <v>94</v>
      </c>
      <c r="AZ404" t="s">
        <v>94</v>
      </c>
      <c r="BA404" t="s">
        <v>94</v>
      </c>
      <c r="BB404" t="s">
        <v>95</v>
      </c>
      <c r="BC404" t="s">
        <v>94</v>
      </c>
      <c r="BD404" t="s">
        <v>94</v>
      </c>
      <c r="BE404" t="s">
        <v>94</v>
      </c>
      <c r="BF404" t="s">
        <v>94</v>
      </c>
      <c r="BG404" t="s">
        <v>94</v>
      </c>
      <c r="BH404" t="s">
        <v>94</v>
      </c>
    </row>
    <row r="405" spans="1:60" x14ac:dyDescent="0.3">
      <c r="A405">
        <v>25</v>
      </c>
      <c r="B405" t="s">
        <v>70</v>
      </c>
      <c r="C405" t="s">
        <v>153</v>
      </c>
      <c r="D405" t="s">
        <v>149</v>
      </c>
      <c r="E405" t="s">
        <v>73</v>
      </c>
      <c r="F405" t="s">
        <v>74</v>
      </c>
      <c r="G405" t="s">
        <v>75</v>
      </c>
      <c r="H405" t="s">
        <v>98</v>
      </c>
      <c r="I405" t="s">
        <v>76</v>
      </c>
      <c r="J405" t="s">
        <v>77</v>
      </c>
      <c r="K405" t="s">
        <v>122</v>
      </c>
      <c r="L405" t="s">
        <v>79</v>
      </c>
      <c r="M405" t="s">
        <v>102</v>
      </c>
      <c r="N405" t="s">
        <v>82</v>
      </c>
      <c r="O405" t="s">
        <v>138</v>
      </c>
      <c r="P405" t="s">
        <v>82</v>
      </c>
      <c r="Q405" t="s">
        <v>103</v>
      </c>
      <c r="R405" t="s">
        <v>79</v>
      </c>
      <c r="S405" t="s">
        <v>284</v>
      </c>
      <c r="T405" t="s">
        <v>152</v>
      </c>
      <c r="U405" t="s">
        <v>79</v>
      </c>
      <c r="V405" t="s">
        <v>86</v>
      </c>
      <c r="W405" t="s">
        <v>87</v>
      </c>
      <c r="Y405" t="s">
        <v>93</v>
      </c>
      <c r="Z405" t="s">
        <v>92</v>
      </c>
      <c r="AA405" t="s">
        <v>93</v>
      </c>
      <c r="AB405" t="s">
        <v>94</v>
      </c>
      <c r="AC405" t="s">
        <v>93</v>
      </c>
      <c r="AD405" t="s">
        <v>93</v>
      </c>
      <c r="AE405" t="s">
        <v>93</v>
      </c>
      <c r="AF405" t="s">
        <v>93</v>
      </c>
      <c r="AG405" t="s">
        <v>93</v>
      </c>
      <c r="AH405" t="s">
        <v>93</v>
      </c>
      <c r="AI405" t="s">
        <v>94</v>
      </c>
      <c r="AJ405" t="s">
        <v>94</v>
      </c>
      <c r="AK405" t="s">
        <v>92</v>
      </c>
      <c r="AL405" t="s">
        <v>93</v>
      </c>
      <c r="AM405" t="s">
        <v>93</v>
      </c>
      <c r="AN405" t="s">
        <v>93</v>
      </c>
      <c r="AO405" t="s">
        <v>93</v>
      </c>
      <c r="AP405" t="s">
        <v>93</v>
      </c>
      <c r="AQ405" t="s">
        <v>93</v>
      </c>
      <c r="AR405" t="s">
        <v>93</v>
      </c>
      <c r="AS405" t="s">
        <v>93</v>
      </c>
      <c r="AT405" t="s">
        <v>93</v>
      </c>
      <c r="AU405" t="s">
        <v>94</v>
      </c>
      <c r="AV405" t="s">
        <v>95</v>
      </c>
      <c r="AW405" t="s">
        <v>95</v>
      </c>
      <c r="AX405" t="s">
        <v>93</v>
      </c>
      <c r="AY405" t="s">
        <v>93</v>
      </c>
      <c r="AZ405" t="s">
        <v>93</v>
      </c>
      <c r="BA405" t="s">
        <v>92</v>
      </c>
      <c r="BB405" t="s">
        <v>92</v>
      </c>
      <c r="BC405" t="s">
        <v>94</v>
      </c>
      <c r="BD405" t="s">
        <v>92</v>
      </c>
      <c r="BE405" t="s">
        <v>94</v>
      </c>
      <c r="BF405" t="s">
        <v>94</v>
      </c>
      <c r="BG405" t="s">
        <v>92</v>
      </c>
      <c r="BH405" t="s">
        <v>92</v>
      </c>
    </row>
    <row r="406" spans="1:60" x14ac:dyDescent="0.3">
      <c r="A406">
        <v>25</v>
      </c>
      <c r="B406" t="s">
        <v>70</v>
      </c>
      <c r="C406" t="s">
        <v>153</v>
      </c>
      <c r="D406" t="s">
        <v>149</v>
      </c>
      <c r="E406" t="s">
        <v>73</v>
      </c>
      <c r="F406" t="s">
        <v>74</v>
      </c>
      <c r="G406" t="s">
        <v>75</v>
      </c>
      <c r="H406" t="s">
        <v>98</v>
      </c>
      <c r="I406" t="s">
        <v>76</v>
      </c>
      <c r="J406" t="s">
        <v>77</v>
      </c>
      <c r="K406" t="s">
        <v>122</v>
      </c>
      <c r="L406" t="s">
        <v>79</v>
      </c>
      <c r="M406" t="s">
        <v>102</v>
      </c>
      <c r="N406" t="s">
        <v>82</v>
      </c>
      <c r="O406" t="s">
        <v>138</v>
      </c>
      <c r="P406" t="s">
        <v>82</v>
      </c>
      <c r="Q406" t="s">
        <v>103</v>
      </c>
      <c r="R406" t="s">
        <v>79</v>
      </c>
      <c r="S406" t="s">
        <v>284</v>
      </c>
      <c r="T406" t="s">
        <v>152</v>
      </c>
      <c r="U406" t="s">
        <v>79</v>
      </c>
      <c r="V406" t="s">
        <v>86</v>
      </c>
      <c r="W406" t="s">
        <v>87</v>
      </c>
      <c r="Y406" t="s">
        <v>93</v>
      </c>
      <c r="Z406" t="s">
        <v>92</v>
      </c>
      <c r="AA406" t="s">
        <v>93</v>
      </c>
      <c r="AB406" t="s">
        <v>94</v>
      </c>
      <c r="AC406" t="s">
        <v>93</v>
      </c>
      <c r="AD406" t="s">
        <v>93</v>
      </c>
      <c r="AE406" t="s">
        <v>93</v>
      </c>
      <c r="AF406" t="s">
        <v>93</v>
      </c>
      <c r="AG406" t="s">
        <v>93</v>
      </c>
      <c r="AH406" t="s">
        <v>93</v>
      </c>
      <c r="AI406" t="s">
        <v>94</v>
      </c>
      <c r="AJ406" t="s">
        <v>94</v>
      </c>
      <c r="AK406" t="s">
        <v>92</v>
      </c>
      <c r="AL406" t="s">
        <v>93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93</v>
      </c>
      <c r="AS406" t="s">
        <v>93</v>
      </c>
      <c r="AT406" t="s">
        <v>93</v>
      </c>
      <c r="AU406" t="s">
        <v>94</v>
      </c>
      <c r="AV406" t="s">
        <v>95</v>
      </c>
      <c r="AW406" t="s">
        <v>95</v>
      </c>
      <c r="AX406" t="s">
        <v>93</v>
      </c>
      <c r="AY406" t="s">
        <v>93</v>
      </c>
      <c r="AZ406" t="s">
        <v>93</v>
      </c>
      <c r="BA406" t="s">
        <v>92</v>
      </c>
      <c r="BB406" t="s">
        <v>92</v>
      </c>
      <c r="BC406" t="s">
        <v>94</v>
      </c>
      <c r="BD406" t="s">
        <v>92</v>
      </c>
      <c r="BE406" t="s">
        <v>94</v>
      </c>
      <c r="BF406" t="s">
        <v>94</v>
      </c>
      <c r="BG406" t="s">
        <v>92</v>
      </c>
      <c r="BH406" t="s">
        <v>92</v>
      </c>
    </row>
    <row r="407" spans="1:60" x14ac:dyDescent="0.3">
      <c r="A407">
        <v>25</v>
      </c>
      <c r="B407" t="s">
        <v>70</v>
      </c>
      <c r="C407" t="s">
        <v>153</v>
      </c>
      <c r="D407" t="s">
        <v>149</v>
      </c>
      <c r="E407" t="s">
        <v>73</v>
      </c>
      <c r="F407" t="s">
        <v>74</v>
      </c>
      <c r="G407" t="s">
        <v>75</v>
      </c>
      <c r="H407" t="s">
        <v>98</v>
      </c>
      <c r="I407" t="s">
        <v>76</v>
      </c>
      <c r="J407" t="s">
        <v>77</v>
      </c>
      <c r="K407" t="s">
        <v>122</v>
      </c>
      <c r="L407" t="s">
        <v>79</v>
      </c>
      <c r="M407" t="s">
        <v>102</v>
      </c>
      <c r="N407" t="s">
        <v>82</v>
      </c>
      <c r="O407" t="s">
        <v>138</v>
      </c>
      <c r="P407" t="s">
        <v>82</v>
      </c>
      <c r="Q407" t="s">
        <v>103</v>
      </c>
      <c r="R407" t="s">
        <v>79</v>
      </c>
      <c r="S407" t="s">
        <v>284</v>
      </c>
      <c r="T407" t="s">
        <v>152</v>
      </c>
      <c r="U407" t="s">
        <v>79</v>
      </c>
      <c r="V407" t="s">
        <v>86</v>
      </c>
      <c r="W407" t="s">
        <v>87</v>
      </c>
      <c r="Y407" t="s">
        <v>93</v>
      </c>
      <c r="Z407" t="s">
        <v>92</v>
      </c>
      <c r="AA407" t="s">
        <v>93</v>
      </c>
      <c r="AB407" t="s">
        <v>94</v>
      </c>
      <c r="AC407" t="s">
        <v>93</v>
      </c>
      <c r="AD407" t="s">
        <v>93</v>
      </c>
      <c r="AE407" t="s">
        <v>93</v>
      </c>
      <c r="AF407" t="s">
        <v>93</v>
      </c>
      <c r="AG407" t="s">
        <v>93</v>
      </c>
      <c r="AH407" t="s">
        <v>93</v>
      </c>
      <c r="AI407" t="s">
        <v>94</v>
      </c>
      <c r="AJ407" t="s">
        <v>94</v>
      </c>
      <c r="AK407" t="s">
        <v>92</v>
      </c>
      <c r="AL407" t="s">
        <v>93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93</v>
      </c>
      <c r="AS407" t="s">
        <v>93</v>
      </c>
      <c r="AT407" t="s">
        <v>93</v>
      </c>
      <c r="AU407" t="s">
        <v>94</v>
      </c>
      <c r="AV407" t="s">
        <v>95</v>
      </c>
      <c r="AW407" t="s">
        <v>95</v>
      </c>
      <c r="AX407" t="s">
        <v>93</v>
      </c>
      <c r="AY407" t="s">
        <v>93</v>
      </c>
      <c r="AZ407" t="s">
        <v>93</v>
      </c>
      <c r="BA407" t="s">
        <v>92</v>
      </c>
      <c r="BB407" t="s">
        <v>92</v>
      </c>
      <c r="BC407" t="s">
        <v>94</v>
      </c>
      <c r="BD407" t="s">
        <v>92</v>
      </c>
      <c r="BE407" t="s">
        <v>94</v>
      </c>
      <c r="BF407" t="s">
        <v>94</v>
      </c>
      <c r="BG407" t="s">
        <v>92</v>
      </c>
      <c r="BH407" t="s">
        <v>92</v>
      </c>
    </row>
    <row r="408" spans="1:60" x14ac:dyDescent="0.3">
      <c r="A408">
        <v>22</v>
      </c>
      <c r="B408" t="s">
        <v>70</v>
      </c>
      <c r="C408" t="s">
        <v>113</v>
      </c>
      <c r="D408" t="s">
        <v>72</v>
      </c>
      <c r="E408" t="s">
        <v>114</v>
      </c>
      <c r="F408" t="s">
        <v>100</v>
      </c>
      <c r="G408" t="s">
        <v>135</v>
      </c>
      <c r="H408" t="s">
        <v>165</v>
      </c>
      <c r="I408" t="s">
        <v>76</v>
      </c>
      <c r="J408" t="s">
        <v>77</v>
      </c>
      <c r="K408" t="s">
        <v>125</v>
      </c>
      <c r="L408" t="s">
        <v>79</v>
      </c>
      <c r="M408" t="s">
        <v>201</v>
      </c>
      <c r="N408" t="s">
        <v>79</v>
      </c>
      <c r="O408" t="s">
        <v>81</v>
      </c>
      <c r="P408" t="s">
        <v>82</v>
      </c>
      <c r="Q408" t="s">
        <v>83</v>
      </c>
      <c r="R408" t="s">
        <v>79</v>
      </c>
      <c r="S408" t="s">
        <v>277</v>
      </c>
      <c r="T408" t="s">
        <v>150</v>
      </c>
      <c r="U408" t="s">
        <v>82</v>
      </c>
      <c r="V408" t="s">
        <v>106</v>
      </c>
      <c r="W408" t="s">
        <v>141</v>
      </c>
      <c r="Y408" t="s">
        <v>94</v>
      </c>
      <c r="Z408" t="s">
        <v>94</v>
      </c>
      <c r="AA408" t="s">
        <v>95</v>
      </c>
      <c r="AB408" t="s">
        <v>95</v>
      </c>
      <c r="AC408" t="s">
        <v>93</v>
      </c>
      <c r="AD408" t="s">
        <v>93</v>
      </c>
      <c r="AE408" t="s">
        <v>93</v>
      </c>
      <c r="AF408" t="s">
        <v>95</v>
      </c>
      <c r="AG408" t="s">
        <v>95</v>
      </c>
      <c r="AH408" t="s">
        <v>95</v>
      </c>
      <c r="AI408" t="s">
        <v>94</v>
      </c>
      <c r="AJ408" t="s">
        <v>94</v>
      </c>
      <c r="AK408" t="s">
        <v>94</v>
      </c>
      <c r="AL408" t="s">
        <v>93</v>
      </c>
      <c r="AM408" t="s">
        <v>93</v>
      </c>
      <c r="AN408" t="s">
        <v>93</v>
      </c>
      <c r="AO408" t="s">
        <v>93</v>
      </c>
      <c r="AP408" t="s">
        <v>93</v>
      </c>
      <c r="AQ408" t="s">
        <v>94</v>
      </c>
      <c r="AR408" t="s">
        <v>95</v>
      </c>
      <c r="AS408" t="s">
        <v>95</v>
      </c>
      <c r="AT408" t="s">
        <v>93</v>
      </c>
      <c r="AU408" t="s">
        <v>95</v>
      </c>
      <c r="AV408" t="s">
        <v>95</v>
      </c>
      <c r="AW408" t="s">
        <v>94</v>
      </c>
      <c r="AX408" t="s">
        <v>93</v>
      </c>
      <c r="AY408" t="s">
        <v>93</v>
      </c>
      <c r="AZ408" t="s">
        <v>93</v>
      </c>
      <c r="BA408" t="s">
        <v>94</v>
      </c>
      <c r="BB408" t="s">
        <v>94</v>
      </c>
      <c r="BC408" t="s">
        <v>94</v>
      </c>
      <c r="BD408" t="s">
        <v>94</v>
      </c>
      <c r="BE408" t="s">
        <v>94</v>
      </c>
      <c r="BF408" t="s">
        <v>93</v>
      </c>
      <c r="BG408" t="s">
        <v>93</v>
      </c>
      <c r="BH408" t="s">
        <v>93</v>
      </c>
    </row>
    <row r="409" spans="1:60" x14ac:dyDescent="0.3">
      <c r="A409">
        <v>22</v>
      </c>
      <c r="B409" t="s">
        <v>70</v>
      </c>
      <c r="C409" t="s">
        <v>113</v>
      </c>
      <c r="D409" t="s">
        <v>72</v>
      </c>
      <c r="E409" t="s">
        <v>114</v>
      </c>
      <c r="F409" t="s">
        <v>100</v>
      </c>
      <c r="G409" t="s">
        <v>135</v>
      </c>
      <c r="H409" t="s">
        <v>165</v>
      </c>
      <c r="I409" t="s">
        <v>76</v>
      </c>
      <c r="J409" t="s">
        <v>77</v>
      </c>
      <c r="K409" t="s">
        <v>125</v>
      </c>
      <c r="L409" t="s">
        <v>79</v>
      </c>
      <c r="M409" t="s">
        <v>201</v>
      </c>
      <c r="N409" t="s">
        <v>79</v>
      </c>
      <c r="O409" t="s">
        <v>81</v>
      </c>
      <c r="P409" t="s">
        <v>82</v>
      </c>
      <c r="Q409" t="s">
        <v>83</v>
      </c>
      <c r="R409" t="s">
        <v>79</v>
      </c>
      <c r="S409" t="s">
        <v>277</v>
      </c>
      <c r="T409" t="s">
        <v>150</v>
      </c>
      <c r="U409" t="s">
        <v>82</v>
      </c>
      <c r="V409" t="s">
        <v>106</v>
      </c>
      <c r="W409" t="s">
        <v>141</v>
      </c>
      <c r="Y409" t="s">
        <v>94</v>
      </c>
      <c r="Z409" t="s">
        <v>94</v>
      </c>
      <c r="AA409" t="s">
        <v>95</v>
      </c>
      <c r="AB409" t="s">
        <v>95</v>
      </c>
      <c r="AC409" t="s">
        <v>93</v>
      </c>
      <c r="AD409" t="s">
        <v>93</v>
      </c>
      <c r="AE409" t="s">
        <v>93</v>
      </c>
      <c r="AF409" t="s">
        <v>95</v>
      </c>
      <c r="AG409" t="s">
        <v>95</v>
      </c>
      <c r="AH409" t="s">
        <v>95</v>
      </c>
      <c r="AI409" t="s">
        <v>94</v>
      </c>
      <c r="AJ409" t="s">
        <v>94</v>
      </c>
      <c r="AK409" t="s">
        <v>94</v>
      </c>
      <c r="AL409" t="s">
        <v>93</v>
      </c>
      <c r="AM409" t="s">
        <v>93</v>
      </c>
      <c r="AN409" t="s">
        <v>93</v>
      </c>
      <c r="AO409" t="s">
        <v>93</v>
      </c>
      <c r="AP409" t="s">
        <v>93</v>
      </c>
      <c r="AQ409" t="s">
        <v>94</v>
      </c>
      <c r="AR409" t="s">
        <v>95</v>
      </c>
      <c r="AS409" t="s">
        <v>95</v>
      </c>
      <c r="AT409" t="s">
        <v>93</v>
      </c>
      <c r="AU409" t="s">
        <v>95</v>
      </c>
      <c r="AV409" t="s">
        <v>95</v>
      </c>
      <c r="AW409" t="s">
        <v>94</v>
      </c>
      <c r="AX409" t="s">
        <v>93</v>
      </c>
      <c r="AY409" t="s">
        <v>93</v>
      </c>
      <c r="AZ409" t="s">
        <v>93</v>
      </c>
      <c r="BA409" t="s">
        <v>94</v>
      </c>
      <c r="BB409" t="s">
        <v>94</v>
      </c>
      <c r="BC409" t="s">
        <v>94</v>
      </c>
      <c r="BD409" t="s">
        <v>94</v>
      </c>
      <c r="BE409" t="s">
        <v>94</v>
      </c>
      <c r="BF409" t="s">
        <v>93</v>
      </c>
      <c r="BG409" t="s">
        <v>93</v>
      </c>
      <c r="BH409" t="s">
        <v>93</v>
      </c>
    </row>
    <row r="410" spans="1:60" x14ac:dyDescent="0.3">
      <c r="A410">
        <v>24</v>
      </c>
      <c r="B410" t="s">
        <v>70</v>
      </c>
      <c r="C410" t="s">
        <v>71</v>
      </c>
      <c r="D410" t="s">
        <v>72</v>
      </c>
      <c r="E410" t="s">
        <v>114</v>
      </c>
      <c r="F410" t="s">
        <v>98</v>
      </c>
      <c r="G410" t="s">
        <v>135</v>
      </c>
      <c r="H410" t="s">
        <v>165</v>
      </c>
      <c r="I410" t="s">
        <v>76</v>
      </c>
      <c r="J410" t="s">
        <v>77</v>
      </c>
      <c r="K410" t="s">
        <v>125</v>
      </c>
      <c r="L410" t="s">
        <v>79</v>
      </c>
      <c r="M410" t="s">
        <v>102</v>
      </c>
      <c r="N410" t="s">
        <v>82</v>
      </c>
      <c r="O410" t="s">
        <v>179</v>
      </c>
      <c r="P410" t="s">
        <v>79</v>
      </c>
      <c r="Q410" t="s">
        <v>103</v>
      </c>
      <c r="R410" t="s">
        <v>79</v>
      </c>
      <c r="S410" t="s">
        <v>199</v>
      </c>
      <c r="T410" t="s">
        <v>119</v>
      </c>
      <c r="U410" t="s">
        <v>82</v>
      </c>
      <c r="V410" t="s">
        <v>106</v>
      </c>
      <c r="W410" t="s">
        <v>141</v>
      </c>
      <c r="Y410" t="s">
        <v>93</v>
      </c>
      <c r="Z410" t="s">
        <v>92</v>
      </c>
      <c r="AA410" t="s">
        <v>92</v>
      </c>
      <c r="AB410" t="s">
        <v>92</v>
      </c>
      <c r="AC410" t="s">
        <v>92</v>
      </c>
      <c r="AD410" t="s">
        <v>92</v>
      </c>
      <c r="AE410" t="s">
        <v>92</v>
      </c>
      <c r="AF410" t="s">
        <v>92</v>
      </c>
      <c r="AG410" t="s">
        <v>92</v>
      </c>
      <c r="AH410" t="s">
        <v>92</v>
      </c>
      <c r="AI410" t="s">
        <v>92</v>
      </c>
      <c r="AJ410" t="s">
        <v>92</v>
      </c>
      <c r="AK410" t="s">
        <v>92</v>
      </c>
      <c r="AL410" t="s">
        <v>92</v>
      </c>
      <c r="AM410" t="s">
        <v>92</v>
      </c>
      <c r="AN410" t="s">
        <v>93</v>
      </c>
      <c r="AO410" t="s">
        <v>93</v>
      </c>
      <c r="AP410" t="s">
        <v>93</v>
      </c>
      <c r="AQ410" t="s">
        <v>93</v>
      </c>
      <c r="AR410" t="s">
        <v>93</v>
      </c>
      <c r="AS410" t="s">
        <v>93</v>
      </c>
      <c r="AT410" t="s">
        <v>93</v>
      </c>
      <c r="AU410" t="s">
        <v>95</v>
      </c>
      <c r="AV410" t="s">
        <v>95</v>
      </c>
      <c r="AW410" t="s">
        <v>95</v>
      </c>
      <c r="AX410" t="s">
        <v>95</v>
      </c>
      <c r="AY410" t="s">
        <v>95</v>
      </c>
      <c r="AZ410" t="s">
        <v>95</v>
      </c>
      <c r="BA410" t="s">
        <v>92</v>
      </c>
      <c r="BB410" t="s">
        <v>92</v>
      </c>
      <c r="BC410" t="s">
        <v>93</v>
      </c>
      <c r="BD410" t="s">
        <v>93</v>
      </c>
      <c r="BE410" t="s">
        <v>93</v>
      </c>
      <c r="BF410" t="s">
        <v>93</v>
      </c>
      <c r="BG410" t="s">
        <v>92</v>
      </c>
      <c r="BH410" t="s">
        <v>92</v>
      </c>
    </row>
    <row r="411" spans="1:60" x14ac:dyDescent="0.3">
      <c r="A411">
        <v>24</v>
      </c>
      <c r="B411" t="s">
        <v>70</v>
      </c>
      <c r="C411" t="s">
        <v>71</v>
      </c>
      <c r="D411" t="s">
        <v>72</v>
      </c>
      <c r="E411" t="s">
        <v>114</v>
      </c>
      <c r="F411" t="s">
        <v>98</v>
      </c>
      <c r="G411" t="s">
        <v>135</v>
      </c>
      <c r="H411" t="s">
        <v>165</v>
      </c>
      <c r="I411" t="s">
        <v>76</v>
      </c>
      <c r="J411" t="s">
        <v>77</v>
      </c>
      <c r="K411" t="s">
        <v>125</v>
      </c>
      <c r="L411" t="s">
        <v>79</v>
      </c>
      <c r="M411" t="s">
        <v>102</v>
      </c>
      <c r="N411" t="s">
        <v>82</v>
      </c>
      <c r="O411" t="s">
        <v>179</v>
      </c>
      <c r="P411" t="s">
        <v>79</v>
      </c>
      <c r="Q411" t="s">
        <v>103</v>
      </c>
      <c r="R411" t="s">
        <v>79</v>
      </c>
      <c r="S411" t="s">
        <v>199</v>
      </c>
      <c r="T411" t="s">
        <v>119</v>
      </c>
      <c r="U411" t="s">
        <v>82</v>
      </c>
      <c r="V411" t="s">
        <v>106</v>
      </c>
      <c r="W411" t="s">
        <v>141</v>
      </c>
      <c r="Y411" t="s">
        <v>93</v>
      </c>
      <c r="Z411" t="s">
        <v>92</v>
      </c>
      <c r="AA411" t="s">
        <v>92</v>
      </c>
      <c r="AB411" t="s">
        <v>92</v>
      </c>
      <c r="AC411" t="s">
        <v>92</v>
      </c>
      <c r="AD411" t="s">
        <v>92</v>
      </c>
      <c r="AE411" t="s">
        <v>92</v>
      </c>
      <c r="AF411" t="s">
        <v>92</v>
      </c>
      <c r="AG411" t="s">
        <v>92</v>
      </c>
      <c r="AH411" t="s">
        <v>92</v>
      </c>
      <c r="AI411" t="s">
        <v>92</v>
      </c>
      <c r="AJ411" t="s">
        <v>92</v>
      </c>
      <c r="AK411" t="s">
        <v>92</v>
      </c>
      <c r="AL411" t="s">
        <v>92</v>
      </c>
      <c r="AM411" t="s">
        <v>92</v>
      </c>
      <c r="AN411" t="s">
        <v>93</v>
      </c>
      <c r="AO411" t="s">
        <v>93</v>
      </c>
      <c r="AP411" t="s">
        <v>93</v>
      </c>
      <c r="AQ411" t="s">
        <v>93</v>
      </c>
      <c r="AR411" t="s">
        <v>93</v>
      </c>
      <c r="AS411" t="s">
        <v>93</v>
      </c>
      <c r="AT411" t="s">
        <v>93</v>
      </c>
      <c r="AU411" t="s">
        <v>95</v>
      </c>
      <c r="AV411" t="s">
        <v>95</v>
      </c>
      <c r="AW411" t="s">
        <v>95</v>
      </c>
      <c r="AX411" t="s">
        <v>95</v>
      </c>
      <c r="AY411" t="s">
        <v>95</v>
      </c>
      <c r="AZ411" t="s">
        <v>95</v>
      </c>
      <c r="BA411" t="s">
        <v>92</v>
      </c>
      <c r="BB411" t="s">
        <v>92</v>
      </c>
      <c r="BC411" t="s">
        <v>93</v>
      </c>
      <c r="BD411" t="s">
        <v>93</v>
      </c>
      <c r="BE411" t="s">
        <v>93</v>
      </c>
      <c r="BF411" t="s">
        <v>93</v>
      </c>
      <c r="BG411" t="s">
        <v>92</v>
      </c>
      <c r="BH411" t="s">
        <v>92</v>
      </c>
    </row>
    <row r="412" spans="1:60" x14ac:dyDescent="0.3">
      <c r="A412">
        <v>24</v>
      </c>
      <c r="B412" t="s">
        <v>70</v>
      </c>
      <c r="C412" t="s">
        <v>71</v>
      </c>
      <c r="D412" t="s">
        <v>72</v>
      </c>
      <c r="E412" t="s">
        <v>114</v>
      </c>
      <c r="F412" t="s">
        <v>98</v>
      </c>
      <c r="G412" t="s">
        <v>135</v>
      </c>
      <c r="H412" t="s">
        <v>165</v>
      </c>
      <c r="I412" t="s">
        <v>76</v>
      </c>
      <c r="J412" t="s">
        <v>77</v>
      </c>
      <c r="K412" t="s">
        <v>125</v>
      </c>
      <c r="L412" t="s">
        <v>79</v>
      </c>
      <c r="M412" t="s">
        <v>102</v>
      </c>
      <c r="N412" t="s">
        <v>82</v>
      </c>
      <c r="O412" t="s">
        <v>179</v>
      </c>
      <c r="P412" t="s">
        <v>79</v>
      </c>
      <c r="Q412" t="s">
        <v>103</v>
      </c>
      <c r="R412" t="s">
        <v>79</v>
      </c>
      <c r="S412" t="s">
        <v>199</v>
      </c>
      <c r="T412" t="s">
        <v>119</v>
      </c>
      <c r="U412" t="s">
        <v>82</v>
      </c>
      <c r="V412" t="s">
        <v>106</v>
      </c>
      <c r="W412" t="s">
        <v>141</v>
      </c>
      <c r="Y412" t="s">
        <v>93</v>
      </c>
      <c r="Z412" t="s">
        <v>92</v>
      </c>
      <c r="AA412" t="s">
        <v>92</v>
      </c>
      <c r="AB412" t="s">
        <v>92</v>
      </c>
      <c r="AC412" t="s">
        <v>92</v>
      </c>
      <c r="AD412" t="s">
        <v>92</v>
      </c>
      <c r="AE412" t="s">
        <v>92</v>
      </c>
      <c r="AF412" t="s">
        <v>92</v>
      </c>
      <c r="AG412" t="s">
        <v>92</v>
      </c>
      <c r="AH412" t="s">
        <v>92</v>
      </c>
      <c r="AI412" t="s">
        <v>92</v>
      </c>
      <c r="AJ412" t="s">
        <v>92</v>
      </c>
      <c r="AK412" t="s">
        <v>92</v>
      </c>
      <c r="AL412" t="s">
        <v>92</v>
      </c>
      <c r="AM412" t="s">
        <v>92</v>
      </c>
      <c r="AN412" t="s">
        <v>93</v>
      </c>
      <c r="AO412" t="s">
        <v>93</v>
      </c>
      <c r="AP412" t="s">
        <v>93</v>
      </c>
      <c r="AQ412" t="s">
        <v>93</v>
      </c>
      <c r="AR412" t="s">
        <v>93</v>
      </c>
      <c r="AS412" t="s">
        <v>93</v>
      </c>
      <c r="AT412" t="s">
        <v>93</v>
      </c>
      <c r="AU412" t="s">
        <v>95</v>
      </c>
      <c r="AV412" t="s">
        <v>95</v>
      </c>
      <c r="AW412" t="s">
        <v>95</v>
      </c>
      <c r="AX412" t="s">
        <v>95</v>
      </c>
      <c r="AY412" t="s">
        <v>95</v>
      </c>
      <c r="AZ412" t="s">
        <v>95</v>
      </c>
      <c r="BA412" t="s">
        <v>92</v>
      </c>
      <c r="BB412" t="s">
        <v>92</v>
      </c>
      <c r="BC412" t="s">
        <v>93</v>
      </c>
      <c r="BD412" t="s">
        <v>93</v>
      </c>
      <c r="BE412" t="s">
        <v>93</v>
      </c>
      <c r="BF412" t="s">
        <v>93</v>
      </c>
      <c r="BG412" t="s">
        <v>92</v>
      </c>
      <c r="BH412" t="s">
        <v>92</v>
      </c>
    </row>
    <row r="413" spans="1:60" x14ac:dyDescent="0.3">
      <c r="A413">
        <v>24</v>
      </c>
      <c r="B413" t="s">
        <v>70</v>
      </c>
      <c r="C413" t="s">
        <v>71</v>
      </c>
      <c r="D413" t="s">
        <v>72</v>
      </c>
      <c r="E413" t="s">
        <v>114</v>
      </c>
      <c r="F413" t="s">
        <v>98</v>
      </c>
      <c r="G413" t="s">
        <v>135</v>
      </c>
      <c r="H413" t="s">
        <v>165</v>
      </c>
      <c r="I413" t="s">
        <v>76</v>
      </c>
      <c r="J413" t="s">
        <v>77</v>
      </c>
      <c r="K413" t="s">
        <v>125</v>
      </c>
      <c r="L413" t="s">
        <v>79</v>
      </c>
      <c r="M413" t="s">
        <v>102</v>
      </c>
      <c r="N413" t="s">
        <v>82</v>
      </c>
      <c r="O413" t="s">
        <v>179</v>
      </c>
      <c r="P413" t="s">
        <v>79</v>
      </c>
      <c r="Q413" t="s">
        <v>103</v>
      </c>
      <c r="R413" t="s">
        <v>79</v>
      </c>
      <c r="S413" t="s">
        <v>199</v>
      </c>
      <c r="T413" t="s">
        <v>119</v>
      </c>
      <c r="U413" t="s">
        <v>82</v>
      </c>
      <c r="V413" t="s">
        <v>106</v>
      </c>
      <c r="W413" t="s">
        <v>141</v>
      </c>
      <c r="Y413" t="s">
        <v>93</v>
      </c>
      <c r="Z413" t="s">
        <v>92</v>
      </c>
      <c r="AA413" t="s">
        <v>92</v>
      </c>
      <c r="AB413" t="s">
        <v>92</v>
      </c>
      <c r="AC413" t="s">
        <v>92</v>
      </c>
      <c r="AD413" t="s">
        <v>92</v>
      </c>
      <c r="AE413" t="s">
        <v>92</v>
      </c>
      <c r="AF413" t="s">
        <v>92</v>
      </c>
      <c r="AG413" t="s">
        <v>92</v>
      </c>
      <c r="AH413" t="s">
        <v>92</v>
      </c>
      <c r="AI413" t="s">
        <v>92</v>
      </c>
      <c r="AJ413" t="s">
        <v>92</v>
      </c>
      <c r="AK413" t="s">
        <v>92</v>
      </c>
      <c r="AL413" t="s">
        <v>92</v>
      </c>
      <c r="AM413" t="s">
        <v>92</v>
      </c>
      <c r="AN413" t="s">
        <v>93</v>
      </c>
      <c r="AO413" t="s">
        <v>93</v>
      </c>
      <c r="AP413" t="s">
        <v>93</v>
      </c>
      <c r="AQ413" t="s">
        <v>93</v>
      </c>
      <c r="AR413" t="s">
        <v>93</v>
      </c>
      <c r="AS413" t="s">
        <v>93</v>
      </c>
      <c r="AT413" t="s">
        <v>93</v>
      </c>
      <c r="AU413" t="s">
        <v>95</v>
      </c>
      <c r="AV413" t="s">
        <v>95</v>
      </c>
      <c r="AW413" t="s">
        <v>95</v>
      </c>
      <c r="AX413" t="s">
        <v>95</v>
      </c>
      <c r="AY413" t="s">
        <v>95</v>
      </c>
      <c r="AZ413" t="s">
        <v>95</v>
      </c>
      <c r="BA413" t="s">
        <v>92</v>
      </c>
      <c r="BB413" t="s">
        <v>92</v>
      </c>
      <c r="BC413" t="s">
        <v>93</v>
      </c>
      <c r="BD413" t="s">
        <v>93</v>
      </c>
      <c r="BE413" t="s">
        <v>93</v>
      </c>
      <c r="BF413" t="s">
        <v>93</v>
      </c>
      <c r="BG413" t="s">
        <v>92</v>
      </c>
      <c r="BH413" t="s">
        <v>92</v>
      </c>
    </row>
    <row r="414" spans="1:60" x14ac:dyDescent="0.3">
      <c r="A414">
        <v>24</v>
      </c>
      <c r="B414" t="s">
        <v>70</v>
      </c>
      <c r="C414" t="s">
        <v>71</v>
      </c>
      <c r="D414" t="s">
        <v>72</v>
      </c>
      <c r="E414" t="s">
        <v>114</v>
      </c>
      <c r="F414" t="s">
        <v>98</v>
      </c>
      <c r="G414" t="s">
        <v>135</v>
      </c>
      <c r="H414" t="s">
        <v>165</v>
      </c>
      <c r="I414" t="s">
        <v>76</v>
      </c>
      <c r="J414" t="s">
        <v>77</v>
      </c>
      <c r="K414" t="s">
        <v>125</v>
      </c>
      <c r="L414" t="s">
        <v>79</v>
      </c>
      <c r="M414" t="s">
        <v>102</v>
      </c>
      <c r="N414" t="s">
        <v>82</v>
      </c>
      <c r="O414" t="s">
        <v>179</v>
      </c>
      <c r="P414" t="s">
        <v>79</v>
      </c>
      <c r="Q414" t="s">
        <v>103</v>
      </c>
      <c r="R414" t="s">
        <v>79</v>
      </c>
      <c r="S414" t="s">
        <v>199</v>
      </c>
      <c r="T414" t="s">
        <v>119</v>
      </c>
      <c r="U414" t="s">
        <v>82</v>
      </c>
      <c r="V414" t="s">
        <v>106</v>
      </c>
      <c r="W414" t="s">
        <v>141</v>
      </c>
      <c r="Y414" t="s">
        <v>93</v>
      </c>
      <c r="Z414" t="s">
        <v>92</v>
      </c>
      <c r="AA414" t="s">
        <v>92</v>
      </c>
      <c r="AB414" t="s">
        <v>92</v>
      </c>
      <c r="AC414" t="s">
        <v>92</v>
      </c>
      <c r="AD414" t="s">
        <v>92</v>
      </c>
      <c r="AE414" t="s">
        <v>92</v>
      </c>
      <c r="AF414" t="s">
        <v>92</v>
      </c>
      <c r="AG414" t="s">
        <v>92</v>
      </c>
      <c r="AH414" t="s">
        <v>92</v>
      </c>
      <c r="AI414" t="s">
        <v>92</v>
      </c>
      <c r="AJ414" t="s">
        <v>92</v>
      </c>
      <c r="AK414" t="s">
        <v>92</v>
      </c>
      <c r="AL414" t="s">
        <v>92</v>
      </c>
      <c r="AM414" t="s">
        <v>92</v>
      </c>
      <c r="AN414" t="s">
        <v>93</v>
      </c>
      <c r="AO414" t="s">
        <v>93</v>
      </c>
      <c r="AP414" t="s">
        <v>93</v>
      </c>
      <c r="AQ414" t="s">
        <v>93</v>
      </c>
      <c r="AR414" t="s">
        <v>93</v>
      </c>
      <c r="AS414" t="s">
        <v>93</v>
      </c>
      <c r="AT414" t="s">
        <v>93</v>
      </c>
      <c r="AU414" t="s">
        <v>95</v>
      </c>
      <c r="AV414" t="s">
        <v>95</v>
      </c>
      <c r="AW414" t="s">
        <v>95</v>
      </c>
      <c r="AX414" t="s">
        <v>95</v>
      </c>
      <c r="AY414" t="s">
        <v>95</v>
      </c>
      <c r="AZ414" t="s">
        <v>95</v>
      </c>
      <c r="BA414" t="s">
        <v>92</v>
      </c>
      <c r="BB414" t="s">
        <v>92</v>
      </c>
      <c r="BC414" t="s">
        <v>93</v>
      </c>
      <c r="BD414" t="s">
        <v>93</v>
      </c>
      <c r="BE414" t="s">
        <v>93</v>
      </c>
      <c r="BF414" t="s">
        <v>93</v>
      </c>
      <c r="BG414" t="s">
        <v>92</v>
      </c>
      <c r="BH414" t="s">
        <v>92</v>
      </c>
    </row>
    <row r="415" spans="1:60" x14ac:dyDescent="0.3">
      <c r="A415">
        <v>24</v>
      </c>
      <c r="B415" t="s">
        <v>70</v>
      </c>
      <c r="C415" t="s">
        <v>71</v>
      </c>
      <c r="D415" t="s">
        <v>72</v>
      </c>
      <c r="E415" t="s">
        <v>114</v>
      </c>
      <c r="F415" t="s">
        <v>98</v>
      </c>
      <c r="G415" t="s">
        <v>135</v>
      </c>
      <c r="H415" t="s">
        <v>165</v>
      </c>
      <c r="I415" t="s">
        <v>76</v>
      </c>
      <c r="J415" t="s">
        <v>77</v>
      </c>
      <c r="K415" t="s">
        <v>125</v>
      </c>
      <c r="L415" t="s">
        <v>79</v>
      </c>
      <c r="M415" t="s">
        <v>102</v>
      </c>
      <c r="N415" t="s">
        <v>82</v>
      </c>
      <c r="O415" t="s">
        <v>179</v>
      </c>
      <c r="P415" t="s">
        <v>79</v>
      </c>
      <c r="Q415" t="s">
        <v>103</v>
      </c>
      <c r="R415" t="s">
        <v>79</v>
      </c>
      <c r="S415" t="s">
        <v>199</v>
      </c>
      <c r="T415" t="s">
        <v>119</v>
      </c>
      <c r="U415" t="s">
        <v>82</v>
      </c>
      <c r="V415" t="s">
        <v>106</v>
      </c>
      <c r="W415" t="s">
        <v>141</v>
      </c>
      <c r="Y415" t="s">
        <v>93</v>
      </c>
      <c r="Z415" t="s">
        <v>92</v>
      </c>
      <c r="AA415" t="s">
        <v>92</v>
      </c>
      <c r="AB415" t="s">
        <v>92</v>
      </c>
      <c r="AC415" t="s">
        <v>92</v>
      </c>
      <c r="AD415" t="s">
        <v>92</v>
      </c>
      <c r="AE415" t="s">
        <v>92</v>
      </c>
      <c r="AF415" t="s">
        <v>92</v>
      </c>
      <c r="AG415" t="s">
        <v>92</v>
      </c>
      <c r="AH415" t="s">
        <v>92</v>
      </c>
      <c r="AI415" t="s">
        <v>92</v>
      </c>
      <c r="AJ415" t="s">
        <v>92</v>
      </c>
      <c r="AK415" t="s">
        <v>92</v>
      </c>
      <c r="AL415" t="s">
        <v>92</v>
      </c>
      <c r="AM415" t="s">
        <v>92</v>
      </c>
      <c r="AN415" t="s">
        <v>93</v>
      </c>
      <c r="AO415" t="s">
        <v>93</v>
      </c>
      <c r="AP415" t="s">
        <v>93</v>
      </c>
      <c r="AQ415" t="s">
        <v>93</v>
      </c>
      <c r="AR415" t="s">
        <v>93</v>
      </c>
      <c r="AS415" t="s">
        <v>93</v>
      </c>
      <c r="AT415" t="s">
        <v>93</v>
      </c>
      <c r="AU415" t="s">
        <v>95</v>
      </c>
      <c r="AV415" t="s">
        <v>95</v>
      </c>
      <c r="AW415" t="s">
        <v>95</v>
      </c>
      <c r="AX415" t="s">
        <v>95</v>
      </c>
      <c r="AY415" t="s">
        <v>95</v>
      </c>
      <c r="AZ415" t="s">
        <v>95</v>
      </c>
      <c r="BA415" t="s">
        <v>92</v>
      </c>
      <c r="BB415" t="s">
        <v>92</v>
      </c>
      <c r="BC415" t="s">
        <v>93</v>
      </c>
      <c r="BD415" t="s">
        <v>93</v>
      </c>
      <c r="BE415" t="s">
        <v>93</v>
      </c>
      <c r="BF415" t="s">
        <v>93</v>
      </c>
      <c r="BG415" t="s">
        <v>92</v>
      </c>
      <c r="BH415" t="s">
        <v>92</v>
      </c>
    </row>
    <row r="416" spans="1:60" x14ac:dyDescent="0.3">
      <c r="A416">
        <v>24</v>
      </c>
      <c r="B416" t="s">
        <v>70</v>
      </c>
      <c r="C416" t="s">
        <v>71</v>
      </c>
      <c r="D416" t="s">
        <v>72</v>
      </c>
      <c r="E416" t="s">
        <v>114</v>
      </c>
      <c r="F416" t="s">
        <v>98</v>
      </c>
      <c r="G416" t="s">
        <v>135</v>
      </c>
      <c r="H416" t="s">
        <v>165</v>
      </c>
      <c r="I416" t="s">
        <v>76</v>
      </c>
      <c r="J416" t="s">
        <v>77</v>
      </c>
      <c r="K416" t="s">
        <v>125</v>
      </c>
      <c r="L416" t="s">
        <v>79</v>
      </c>
      <c r="M416" t="s">
        <v>102</v>
      </c>
      <c r="N416" t="s">
        <v>82</v>
      </c>
      <c r="O416" t="s">
        <v>179</v>
      </c>
      <c r="P416" t="s">
        <v>79</v>
      </c>
      <c r="Q416" t="s">
        <v>103</v>
      </c>
      <c r="R416" t="s">
        <v>79</v>
      </c>
      <c r="S416" t="s">
        <v>199</v>
      </c>
      <c r="T416" t="s">
        <v>119</v>
      </c>
      <c r="U416" t="s">
        <v>82</v>
      </c>
      <c r="V416" t="s">
        <v>106</v>
      </c>
      <c r="W416" t="s">
        <v>141</v>
      </c>
      <c r="Y416" t="s">
        <v>93</v>
      </c>
      <c r="Z416" t="s">
        <v>92</v>
      </c>
      <c r="AA416" t="s">
        <v>92</v>
      </c>
      <c r="AB416" t="s">
        <v>92</v>
      </c>
      <c r="AC416" t="s">
        <v>92</v>
      </c>
      <c r="AD416" t="s">
        <v>92</v>
      </c>
      <c r="AE416" t="s">
        <v>92</v>
      </c>
      <c r="AF416" t="s">
        <v>92</v>
      </c>
      <c r="AG416" t="s">
        <v>92</v>
      </c>
      <c r="AH416" t="s">
        <v>92</v>
      </c>
      <c r="AI416" t="s">
        <v>92</v>
      </c>
      <c r="AJ416" t="s">
        <v>92</v>
      </c>
      <c r="AK416" t="s">
        <v>92</v>
      </c>
      <c r="AL416" t="s">
        <v>92</v>
      </c>
      <c r="AM416" t="s">
        <v>92</v>
      </c>
      <c r="AN416" t="s">
        <v>93</v>
      </c>
      <c r="AO416" t="s">
        <v>93</v>
      </c>
      <c r="AP416" t="s">
        <v>93</v>
      </c>
      <c r="AQ416" t="s">
        <v>93</v>
      </c>
      <c r="AR416" t="s">
        <v>93</v>
      </c>
      <c r="AS416" t="s">
        <v>93</v>
      </c>
      <c r="AT416" t="s">
        <v>93</v>
      </c>
      <c r="AU416" t="s">
        <v>95</v>
      </c>
      <c r="AV416" t="s">
        <v>95</v>
      </c>
      <c r="AW416" t="s">
        <v>95</v>
      </c>
      <c r="AX416" t="s">
        <v>95</v>
      </c>
      <c r="AY416" t="s">
        <v>95</v>
      </c>
      <c r="AZ416" t="s">
        <v>95</v>
      </c>
      <c r="BA416" t="s">
        <v>92</v>
      </c>
      <c r="BB416" t="s">
        <v>92</v>
      </c>
      <c r="BC416" t="s">
        <v>93</v>
      </c>
      <c r="BD416" t="s">
        <v>93</v>
      </c>
      <c r="BE416" t="s">
        <v>93</v>
      </c>
      <c r="BF416" t="s">
        <v>93</v>
      </c>
      <c r="BG416" t="s">
        <v>92</v>
      </c>
      <c r="BH416" t="s">
        <v>92</v>
      </c>
    </row>
    <row r="417" spans="1:60" x14ac:dyDescent="0.3">
      <c r="A417">
        <v>24</v>
      </c>
      <c r="B417" t="s">
        <v>70</v>
      </c>
      <c r="C417" t="s">
        <v>71</v>
      </c>
      <c r="D417" t="s">
        <v>72</v>
      </c>
      <c r="E417" t="s">
        <v>114</v>
      </c>
      <c r="F417" t="s">
        <v>98</v>
      </c>
      <c r="G417" t="s">
        <v>135</v>
      </c>
      <c r="H417" t="s">
        <v>165</v>
      </c>
      <c r="I417" t="s">
        <v>76</v>
      </c>
      <c r="J417" t="s">
        <v>77</v>
      </c>
      <c r="K417" t="s">
        <v>125</v>
      </c>
      <c r="L417" t="s">
        <v>79</v>
      </c>
      <c r="M417" t="s">
        <v>102</v>
      </c>
      <c r="N417" t="s">
        <v>82</v>
      </c>
      <c r="O417" t="s">
        <v>179</v>
      </c>
      <c r="P417" t="s">
        <v>79</v>
      </c>
      <c r="Q417" t="s">
        <v>103</v>
      </c>
      <c r="R417" t="s">
        <v>79</v>
      </c>
      <c r="S417" t="s">
        <v>199</v>
      </c>
      <c r="T417" t="s">
        <v>119</v>
      </c>
      <c r="U417" t="s">
        <v>82</v>
      </c>
      <c r="V417" t="s">
        <v>106</v>
      </c>
      <c r="W417" t="s">
        <v>141</v>
      </c>
      <c r="Y417" t="s">
        <v>93</v>
      </c>
      <c r="Z417" t="s">
        <v>92</v>
      </c>
      <c r="AA417" t="s">
        <v>92</v>
      </c>
      <c r="AB417" t="s">
        <v>92</v>
      </c>
      <c r="AC417" t="s">
        <v>92</v>
      </c>
      <c r="AD417" t="s">
        <v>92</v>
      </c>
      <c r="AE417" t="s">
        <v>92</v>
      </c>
      <c r="AF417" t="s">
        <v>92</v>
      </c>
      <c r="AG417" t="s">
        <v>92</v>
      </c>
      <c r="AH417" t="s">
        <v>92</v>
      </c>
      <c r="AI417" t="s">
        <v>92</v>
      </c>
      <c r="AJ417" t="s">
        <v>92</v>
      </c>
      <c r="AK417" t="s">
        <v>92</v>
      </c>
      <c r="AL417" t="s">
        <v>92</v>
      </c>
      <c r="AM417" t="s">
        <v>92</v>
      </c>
      <c r="AN417" t="s">
        <v>93</v>
      </c>
      <c r="AO417" t="s">
        <v>93</v>
      </c>
      <c r="AP417" t="s">
        <v>93</v>
      </c>
      <c r="AQ417" t="s">
        <v>93</v>
      </c>
      <c r="AR417" t="s">
        <v>93</v>
      </c>
      <c r="AS417" t="s">
        <v>93</v>
      </c>
      <c r="AT417" t="s">
        <v>93</v>
      </c>
      <c r="AU417" t="s">
        <v>95</v>
      </c>
      <c r="AV417" t="s">
        <v>95</v>
      </c>
      <c r="AW417" t="s">
        <v>95</v>
      </c>
      <c r="AX417" t="s">
        <v>95</v>
      </c>
      <c r="AY417" t="s">
        <v>95</v>
      </c>
      <c r="AZ417" t="s">
        <v>95</v>
      </c>
      <c r="BA417" t="s">
        <v>92</v>
      </c>
      <c r="BB417" t="s">
        <v>92</v>
      </c>
      <c r="BC417" t="s">
        <v>93</v>
      </c>
      <c r="BD417" t="s">
        <v>93</v>
      </c>
      <c r="BE417" t="s">
        <v>93</v>
      </c>
      <c r="BF417" t="s">
        <v>93</v>
      </c>
      <c r="BG417" t="s">
        <v>92</v>
      </c>
      <c r="BH417" t="s">
        <v>92</v>
      </c>
    </row>
    <row r="418" spans="1:60" x14ac:dyDescent="0.3">
      <c r="A418">
        <v>24</v>
      </c>
      <c r="B418" t="s">
        <v>70</v>
      </c>
      <c r="C418" t="s">
        <v>71</v>
      </c>
      <c r="D418" t="s">
        <v>72</v>
      </c>
      <c r="E418" t="s">
        <v>114</v>
      </c>
      <c r="F418" t="s">
        <v>98</v>
      </c>
      <c r="G418" t="s">
        <v>135</v>
      </c>
      <c r="H418" t="s">
        <v>165</v>
      </c>
      <c r="I418" t="s">
        <v>76</v>
      </c>
      <c r="J418" t="s">
        <v>77</v>
      </c>
      <c r="K418" t="s">
        <v>125</v>
      </c>
      <c r="L418" t="s">
        <v>79</v>
      </c>
      <c r="M418" t="s">
        <v>102</v>
      </c>
      <c r="N418" t="s">
        <v>82</v>
      </c>
      <c r="O418" t="s">
        <v>179</v>
      </c>
      <c r="P418" t="s">
        <v>79</v>
      </c>
      <c r="Q418" t="s">
        <v>103</v>
      </c>
      <c r="R418" t="s">
        <v>79</v>
      </c>
      <c r="S418" t="s">
        <v>199</v>
      </c>
      <c r="T418" t="s">
        <v>119</v>
      </c>
      <c r="U418" t="s">
        <v>82</v>
      </c>
      <c r="V418" t="s">
        <v>106</v>
      </c>
      <c r="W418" t="s">
        <v>141</v>
      </c>
      <c r="Y418" t="s">
        <v>93</v>
      </c>
      <c r="Z418" t="s">
        <v>92</v>
      </c>
      <c r="AA418" t="s">
        <v>92</v>
      </c>
      <c r="AB418" t="s">
        <v>92</v>
      </c>
      <c r="AC418" t="s">
        <v>92</v>
      </c>
      <c r="AD418" t="s">
        <v>92</v>
      </c>
      <c r="AE418" t="s">
        <v>92</v>
      </c>
      <c r="AF418" t="s">
        <v>92</v>
      </c>
      <c r="AG418" t="s">
        <v>92</v>
      </c>
      <c r="AH418" t="s">
        <v>92</v>
      </c>
      <c r="AI418" t="s">
        <v>92</v>
      </c>
      <c r="AJ418" t="s">
        <v>92</v>
      </c>
      <c r="AK418" t="s">
        <v>92</v>
      </c>
      <c r="AL418" t="s">
        <v>92</v>
      </c>
      <c r="AM418" t="s">
        <v>92</v>
      </c>
      <c r="AN418" t="s">
        <v>93</v>
      </c>
      <c r="AO418" t="s">
        <v>93</v>
      </c>
      <c r="AP418" t="s">
        <v>93</v>
      </c>
      <c r="AQ418" t="s">
        <v>93</v>
      </c>
      <c r="AR418" t="s">
        <v>93</v>
      </c>
      <c r="AS418" t="s">
        <v>93</v>
      </c>
      <c r="AT418" t="s">
        <v>93</v>
      </c>
      <c r="AU418" t="s">
        <v>95</v>
      </c>
      <c r="AV418" t="s">
        <v>95</v>
      </c>
      <c r="AW418" t="s">
        <v>95</v>
      </c>
      <c r="AX418" t="s">
        <v>95</v>
      </c>
      <c r="AY418" t="s">
        <v>95</v>
      </c>
      <c r="AZ418" t="s">
        <v>95</v>
      </c>
      <c r="BA418" t="s">
        <v>92</v>
      </c>
      <c r="BB418" t="s">
        <v>92</v>
      </c>
      <c r="BC418" t="s">
        <v>93</v>
      </c>
      <c r="BD418" t="s">
        <v>93</v>
      </c>
      <c r="BE418" t="s">
        <v>93</v>
      </c>
      <c r="BF418" t="s">
        <v>93</v>
      </c>
      <c r="BG418" t="s">
        <v>92</v>
      </c>
      <c r="BH418" t="s">
        <v>92</v>
      </c>
    </row>
    <row r="419" spans="1:60" x14ac:dyDescent="0.3">
      <c r="A419">
        <v>24</v>
      </c>
      <c r="B419" t="s">
        <v>70</v>
      </c>
      <c r="C419" t="s">
        <v>71</v>
      </c>
      <c r="D419" t="s">
        <v>72</v>
      </c>
      <c r="E419" t="s">
        <v>114</v>
      </c>
      <c r="F419" t="s">
        <v>98</v>
      </c>
      <c r="G419" t="s">
        <v>135</v>
      </c>
      <c r="H419" t="s">
        <v>165</v>
      </c>
      <c r="I419" t="s">
        <v>76</v>
      </c>
      <c r="J419" t="s">
        <v>77</v>
      </c>
      <c r="K419" t="s">
        <v>125</v>
      </c>
      <c r="L419" t="s">
        <v>79</v>
      </c>
      <c r="M419" t="s">
        <v>102</v>
      </c>
      <c r="N419" t="s">
        <v>82</v>
      </c>
      <c r="O419" t="s">
        <v>179</v>
      </c>
      <c r="P419" t="s">
        <v>79</v>
      </c>
      <c r="Q419" t="s">
        <v>103</v>
      </c>
      <c r="R419" t="s">
        <v>79</v>
      </c>
      <c r="S419" t="s">
        <v>199</v>
      </c>
      <c r="T419" t="s">
        <v>119</v>
      </c>
      <c r="U419" t="s">
        <v>82</v>
      </c>
      <c r="V419" t="s">
        <v>106</v>
      </c>
      <c r="W419" t="s">
        <v>141</v>
      </c>
      <c r="Y419" t="s">
        <v>93</v>
      </c>
      <c r="Z419" t="s">
        <v>92</v>
      </c>
      <c r="AA419" t="s">
        <v>92</v>
      </c>
      <c r="AB419" t="s">
        <v>92</v>
      </c>
      <c r="AC419" t="s">
        <v>92</v>
      </c>
      <c r="AD419" t="s">
        <v>92</v>
      </c>
      <c r="AE419" t="s">
        <v>92</v>
      </c>
      <c r="AF419" t="s">
        <v>92</v>
      </c>
      <c r="AG419" t="s">
        <v>92</v>
      </c>
      <c r="AH419" t="s">
        <v>92</v>
      </c>
      <c r="AI419" t="s">
        <v>92</v>
      </c>
      <c r="AJ419" t="s">
        <v>92</v>
      </c>
      <c r="AK419" t="s">
        <v>92</v>
      </c>
      <c r="AL419" t="s">
        <v>92</v>
      </c>
      <c r="AM419" t="s">
        <v>92</v>
      </c>
      <c r="AN419" t="s">
        <v>93</v>
      </c>
      <c r="AO419" t="s">
        <v>93</v>
      </c>
      <c r="AP419" t="s">
        <v>93</v>
      </c>
      <c r="AQ419" t="s">
        <v>93</v>
      </c>
      <c r="AR419" t="s">
        <v>93</v>
      </c>
      <c r="AS419" t="s">
        <v>93</v>
      </c>
      <c r="AT419" t="s">
        <v>93</v>
      </c>
      <c r="AU419" t="s">
        <v>95</v>
      </c>
      <c r="AV419" t="s">
        <v>95</v>
      </c>
      <c r="AW419" t="s">
        <v>95</v>
      </c>
      <c r="AX419" t="s">
        <v>95</v>
      </c>
      <c r="AY419" t="s">
        <v>95</v>
      </c>
      <c r="AZ419" t="s">
        <v>95</v>
      </c>
      <c r="BA419" t="s">
        <v>92</v>
      </c>
      <c r="BB419" t="s">
        <v>92</v>
      </c>
      <c r="BC419" t="s">
        <v>93</v>
      </c>
      <c r="BD419" t="s">
        <v>93</v>
      </c>
      <c r="BE419" t="s">
        <v>93</v>
      </c>
      <c r="BF419" t="s">
        <v>93</v>
      </c>
      <c r="BG419" t="s">
        <v>92</v>
      </c>
      <c r="BH419" t="s">
        <v>92</v>
      </c>
    </row>
    <row r="420" spans="1:60" x14ac:dyDescent="0.3">
      <c r="A420">
        <v>24</v>
      </c>
      <c r="B420" t="s">
        <v>70</v>
      </c>
      <c r="C420" t="s">
        <v>71</v>
      </c>
      <c r="D420" t="s">
        <v>72</v>
      </c>
      <c r="E420" t="s">
        <v>114</v>
      </c>
      <c r="F420" t="s">
        <v>98</v>
      </c>
      <c r="G420" t="s">
        <v>135</v>
      </c>
      <c r="H420" t="s">
        <v>165</v>
      </c>
      <c r="I420" t="s">
        <v>76</v>
      </c>
      <c r="J420" t="s">
        <v>77</v>
      </c>
      <c r="K420" t="s">
        <v>125</v>
      </c>
      <c r="L420" t="s">
        <v>79</v>
      </c>
      <c r="M420" t="s">
        <v>102</v>
      </c>
      <c r="N420" t="s">
        <v>82</v>
      </c>
      <c r="O420" t="s">
        <v>179</v>
      </c>
      <c r="P420" t="s">
        <v>79</v>
      </c>
      <c r="Q420" t="s">
        <v>103</v>
      </c>
      <c r="R420" t="s">
        <v>79</v>
      </c>
      <c r="S420" t="s">
        <v>199</v>
      </c>
      <c r="T420" t="s">
        <v>119</v>
      </c>
      <c r="U420" t="s">
        <v>82</v>
      </c>
      <c r="V420" t="s">
        <v>106</v>
      </c>
      <c r="W420" t="s">
        <v>141</v>
      </c>
      <c r="Y420" t="s">
        <v>93</v>
      </c>
      <c r="Z420" t="s">
        <v>92</v>
      </c>
      <c r="AA420" t="s">
        <v>92</v>
      </c>
      <c r="AB420" t="s">
        <v>92</v>
      </c>
      <c r="AC420" t="s">
        <v>92</v>
      </c>
      <c r="AD420" t="s">
        <v>92</v>
      </c>
      <c r="AE420" t="s">
        <v>92</v>
      </c>
      <c r="AF420" t="s">
        <v>92</v>
      </c>
      <c r="AG420" t="s">
        <v>92</v>
      </c>
      <c r="AH420" t="s">
        <v>92</v>
      </c>
      <c r="AI420" t="s">
        <v>92</v>
      </c>
      <c r="AJ420" t="s">
        <v>92</v>
      </c>
      <c r="AK420" t="s">
        <v>92</v>
      </c>
      <c r="AL420" t="s">
        <v>92</v>
      </c>
      <c r="AM420" t="s">
        <v>92</v>
      </c>
      <c r="AN420" t="s">
        <v>93</v>
      </c>
      <c r="AO420" t="s">
        <v>93</v>
      </c>
      <c r="AP420" t="s">
        <v>93</v>
      </c>
      <c r="AQ420" t="s">
        <v>93</v>
      </c>
      <c r="AR420" t="s">
        <v>93</v>
      </c>
      <c r="AS420" t="s">
        <v>93</v>
      </c>
      <c r="AT420" t="s">
        <v>93</v>
      </c>
      <c r="AU420" t="s">
        <v>95</v>
      </c>
      <c r="AV420" t="s">
        <v>95</v>
      </c>
      <c r="AW420" t="s">
        <v>95</v>
      </c>
      <c r="AX420" t="s">
        <v>95</v>
      </c>
      <c r="AY420" t="s">
        <v>95</v>
      </c>
      <c r="AZ420" t="s">
        <v>95</v>
      </c>
      <c r="BA420" t="s">
        <v>92</v>
      </c>
      <c r="BB420" t="s">
        <v>92</v>
      </c>
      <c r="BC420" t="s">
        <v>93</v>
      </c>
      <c r="BD420" t="s">
        <v>93</v>
      </c>
      <c r="BE420" t="s">
        <v>93</v>
      </c>
      <c r="BF420" t="s">
        <v>93</v>
      </c>
      <c r="BG420" t="s">
        <v>92</v>
      </c>
      <c r="BH420" t="s">
        <v>92</v>
      </c>
    </row>
    <row r="421" spans="1:60" x14ac:dyDescent="0.3">
      <c r="A421">
        <v>24</v>
      </c>
      <c r="B421" t="s">
        <v>70</v>
      </c>
      <c r="C421" t="s">
        <v>71</v>
      </c>
      <c r="D421" t="s">
        <v>72</v>
      </c>
      <c r="E421" t="s">
        <v>114</v>
      </c>
      <c r="F421" t="s">
        <v>98</v>
      </c>
      <c r="G421" t="s">
        <v>135</v>
      </c>
      <c r="H421" t="s">
        <v>165</v>
      </c>
      <c r="I421" t="s">
        <v>76</v>
      </c>
      <c r="J421" t="s">
        <v>77</v>
      </c>
      <c r="K421" t="s">
        <v>125</v>
      </c>
      <c r="L421" t="s">
        <v>79</v>
      </c>
      <c r="M421" t="s">
        <v>102</v>
      </c>
      <c r="N421" t="s">
        <v>82</v>
      </c>
      <c r="O421" t="s">
        <v>179</v>
      </c>
      <c r="P421" t="s">
        <v>79</v>
      </c>
      <c r="Q421" t="s">
        <v>103</v>
      </c>
      <c r="R421" t="s">
        <v>79</v>
      </c>
      <c r="S421" t="s">
        <v>199</v>
      </c>
      <c r="T421" t="s">
        <v>119</v>
      </c>
      <c r="U421" t="s">
        <v>82</v>
      </c>
      <c r="V421" t="s">
        <v>106</v>
      </c>
      <c r="W421" t="s">
        <v>141</v>
      </c>
      <c r="Y421" t="s">
        <v>93</v>
      </c>
      <c r="Z421" t="s">
        <v>92</v>
      </c>
      <c r="AA421" t="s">
        <v>92</v>
      </c>
      <c r="AB421" t="s">
        <v>92</v>
      </c>
      <c r="AC421" t="s">
        <v>92</v>
      </c>
      <c r="AD421" t="s">
        <v>92</v>
      </c>
      <c r="AE421" t="s">
        <v>92</v>
      </c>
      <c r="AF421" t="s">
        <v>92</v>
      </c>
      <c r="AG421" t="s">
        <v>92</v>
      </c>
      <c r="AH421" t="s">
        <v>92</v>
      </c>
      <c r="AI421" t="s">
        <v>92</v>
      </c>
      <c r="AJ421" t="s">
        <v>92</v>
      </c>
      <c r="AK421" t="s">
        <v>92</v>
      </c>
      <c r="AL421" t="s">
        <v>92</v>
      </c>
      <c r="AM421" t="s">
        <v>92</v>
      </c>
      <c r="AN421" t="s">
        <v>93</v>
      </c>
      <c r="AO421" t="s">
        <v>93</v>
      </c>
      <c r="AP421" t="s">
        <v>93</v>
      </c>
      <c r="AQ421" t="s">
        <v>93</v>
      </c>
      <c r="AR421" t="s">
        <v>93</v>
      </c>
      <c r="AS421" t="s">
        <v>93</v>
      </c>
      <c r="AT421" t="s">
        <v>93</v>
      </c>
      <c r="AU421" t="s">
        <v>95</v>
      </c>
      <c r="AV421" t="s">
        <v>95</v>
      </c>
      <c r="AW421" t="s">
        <v>95</v>
      </c>
      <c r="AX421" t="s">
        <v>95</v>
      </c>
      <c r="AY421" t="s">
        <v>95</v>
      </c>
      <c r="AZ421" t="s">
        <v>95</v>
      </c>
      <c r="BA421" t="s">
        <v>92</v>
      </c>
      <c r="BB421" t="s">
        <v>92</v>
      </c>
      <c r="BC421" t="s">
        <v>93</v>
      </c>
      <c r="BD421" t="s">
        <v>93</v>
      </c>
      <c r="BE421" t="s">
        <v>93</v>
      </c>
      <c r="BF421" t="s">
        <v>93</v>
      </c>
      <c r="BG421" t="s">
        <v>92</v>
      </c>
      <c r="BH421" t="s">
        <v>92</v>
      </c>
    </row>
    <row r="422" spans="1:60" x14ac:dyDescent="0.3">
      <c r="A422">
        <v>24</v>
      </c>
      <c r="B422" t="s">
        <v>70</v>
      </c>
      <c r="C422" t="s">
        <v>71</v>
      </c>
      <c r="D422" t="s">
        <v>72</v>
      </c>
      <c r="E422" t="s">
        <v>114</v>
      </c>
      <c r="F422" t="s">
        <v>98</v>
      </c>
      <c r="G422" t="s">
        <v>135</v>
      </c>
      <c r="H422" t="s">
        <v>165</v>
      </c>
      <c r="I422" t="s">
        <v>76</v>
      </c>
      <c r="J422" t="s">
        <v>77</v>
      </c>
      <c r="K422" t="s">
        <v>125</v>
      </c>
      <c r="L422" t="s">
        <v>79</v>
      </c>
      <c r="M422" t="s">
        <v>102</v>
      </c>
      <c r="N422" t="s">
        <v>82</v>
      </c>
      <c r="O422" t="s">
        <v>179</v>
      </c>
      <c r="P422" t="s">
        <v>79</v>
      </c>
      <c r="Q422" t="s">
        <v>103</v>
      </c>
      <c r="R422" t="s">
        <v>79</v>
      </c>
      <c r="S422" t="s">
        <v>199</v>
      </c>
      <c r="T422" t="s">
        <v>119</v>
      </c>
      <c r="U422" t="s">
        <v>82</v>
      </c>
      <c r="V422" t="s">
        <v>106</v>
      </c>
      <c r="W422" t="s">
        <v>141</v>
      </c>
      <c r="Y422" t="s">
        <v>93</v>
      </c>
      <c r="Z422" t="s">
        <v>92</v>
      </c>
      <c r="AA422" t="s">
        <v>92</v>
      </c>
      <c r="AB422" t="s">
        <v>92</v>
      </c>
      <c r="AC422" t="s">
        <v>92</v>
      </c>
      <c r="AD422" t="s">
        <v>92</v>
      </c>
      <c r="AE422" t="s">
        <v>92</v>
      </c>
      <c r="AF422" t="s">
        <v>92</v>
      </c>
      <c r="AG422" t="s">
        <v>92</v>
      </c>
      <c r="AH422" t="s">
        <v>92</v>
      </c>
      <c r="AI422" t="s">
        <v>92</v>
      </c>
      <c r="AJ422" t="s">
        <v>92</v>
      </c>
      <c r="AK422" t="s">
        <v>92</v>
      </c>
      <c r="AL422" t="s">
        <v>92</v>
      </c>
      <c r="AM422" t="s">
        <v>92</v>
      </c>
      <c r="AN422" t="s">
        <v>93</v>
      </c>
      <c r="AO422" t="s">
        <v>93</v>
      </c>
      <c r="AP422" t="s">
        <v>93</v>
      </c>
      <c r="AQ422" t="s">
        <v>93</v>
      </c>
      <c r="AR422" t="s">
        <v>93</v>
      </c>
      <c r="AS422" t="s">
        <v>93</v>
      </c>
      <c r="AT422" t="s">
        <v>93</v>
      </c>
      <c r="AU422" t="s">
        <v>95</v>
      </c>
      <c r="AV422" t="s">
        <v>95</v>
      </c>
      <c r="AW422" t="s">
        <v>95</v>
      </c>
      <c r="AX422" t="s">
        <v>95</v>
      </c>
      <c r="AY422" t="s">
        <v>95</v>
      </c>
      <c r="AZ422" t="s">
        <v>95</v>
      </c>
      <c r="BA422" t="s">
        <v>92</v>
      </c>
      <c r="BB422" t="s">
        <v>92</v>
      </c>
      <c r="BC422" t="s">
        <v>93</v>
      </c>
      <c r="BD422" t="s">
        <v>93</v>
      </c>
      <c r="BE422" t="s">
        <v>93</v>
      </c>
      <c r="BF422" t="s">
        <v>93</v>
      </c>
      <c r="BG422" t="s">
        <v>92</v>
      </c>
      <c r="BH422" t="s">
        <v>92</v>
      </c>
    </row>
    <row r="423" spans="1:60" x14ac:dyDescent="0.3">
      <c r="A423">
        <v>22</v>
      </c>
      <c r="B423" t="s">
        <v>128</v>
      </c>
      <c r="C423" t="s">
        <v>113</v>
      </c>
      <c r="D423" t="s">
        <v>72</v>
      </c>
      <c r="E423" t="s">
        <v>73</v>
      </c>
      <c r="F423" t="s">
        <v>98</v>
      </c>
      <c r="G423" t="s">
        <v>135</v>
      </c>
      <c r="H423" t="s">
        <v>165</v>
      </c>
      <c r="I423" t="s">
        <v>76</v>
      </c>
      <c r="J423" t="s">
        <v>77</v>
      </c>
      <c r="K423" t="s">
        <v>122</v>
      </c>
      <c r="L423" t="s">
        <v>79</v>
      </c>
      <c r="M423" t="s">
        <v>102</v>
      </c>
      <c r="N423" t="s">
        <v>79</v>
      </c>
      <c r="O423" t="s">
        <v>117</v>
      </c>
      <c r="P423" t="s">
        <v>79</v>
      </c>
      <c r="Q423" t="s">
        <v>103</v>
      </c>
      <c r="R423" t="s">
        <v>79</v>
      </c>
      <c r="S423" t="s">
        <v>285</v>
      </c>
      <c r="T423" t="s">
        <v>175</v>
      </c>
      <c r="U423" t="s">
        <v>79</v>
      </c>
      <c r="V423" t="s">
        <v>106</v>
      </c>
      <c r="W423" t="s">
        <v>87</v>
      </c>
      <c r="Y423" t="s">
        <v>94</v>
      </c>
      <c r="Z423" t="s">
        <v>94</v>
      </c>
      <c r="AA423" t="s">
        <v>94</v>
      </c>
      <c r="AB423" t="s">
        <v>92</v>
      </c>
      <c r="AC423" t="s">
        <v>93</v>
      </c>
      <c r="AD423" t="s">
        <v>93</v>
      </c>
      <c r="AE423" t="s">
        <v>93</v>
      </c>
      <c r="AF423" t="s">
        <v>93</v>
      </c>
      <c r="AG423" t="s">
        <v>93</v>
      </c>
      <c r="AH423" t="s">
        <v>92</v>
      </c>
      <c r="AI423" t="s">
        <v>92</v>
      </c>
      <c r="AJ423" t="s">
        <v>92</v>
      </c>
      <c r="AK423" t="s">
        <v>94</v>
      </c>
      <c r="AL423" t="s">
        <v>92</v>
      </c>
      <c r="AM423" t="s">
        <v>94</v>
      </c>
      <c r="AN423" t="s">
        <v>93</v>
      </c>
      <c r="AO423" t="s">
        <v>93</v>
      </c>
      <c r="AP423" t="s">
        <v>93</v>
      </c>
      <c r="AQ423" t="s">
        <v>95</v>
      </c>
      <c r="AR423" t="s">
        <v>95</v>
      </c>
      <c r="AS423" t="s">
        <v>95</v>
      </c>
      <c r="AT423" t="s">
        <v>93</v>
      </c>
      <c r="AU423" t="s">
        <v>94</v>
      </c>
      <c r="AV423" t="s">
        <v>95</v>
      </c>
      <c r="AW423" t="s">
        <v>92</v>
      </c>
      <c r="AX423" t="s">
        <v>94</v>
      </c>
      <c r="AY423" t="s">
        <v>93</v>
      </c>
      <c r="AZ423" t="s">
        <v>93</v>
      </c>
      <c r="BA423" t="s">
        <v>94</v>
      </c>
      <c r="BB423" t="s">
        <v>94</v>
      </c>
      <c r="BC423" t="s">
        <v>92</v>
      </c>
      <c r="BD423" t="s">
        <v>94</v>
      </c>
      <c r="BE423" t="s">
        <v>92</v>
      </c>
      <c r="BF423" t="s">
        <v>92</v>
      </c>
      <c r="BG423" t="s">
        <v>92</v>
      </c>
      <c r="BH423" t="s">
        <v>94</v>
      </c>
    </row>
    <row r="424" spans="1:60" x14ac:dyDescent="0.3">
      <c r="A424">
        <v>22</v>
      </c>
      <c r="B424" t="s">
        <v>128</v>
      </c>
      <c r="C424" t="s">
        <v>113</v>
      </c>
      <c r="D424" t="s">
        <v>72</v>
      </c>
      <c r="E424" t="s">
        <v>73</v>
      </c>
      <c r="F424" t="s">
        <v>98</v>
      </c>
      <c r="G424" t="s">
        <v>135</v>
      </c>
      <c r="H424" t="s">
        <v>165</v>
      </c>
      <c r="I424" t="s">
        <v>76</v>
      </c>
      <c r="J424" t="s">
        <v>77</v>
      </c>
      <c r="K424" t="s">
        <v>122</v>
      </c>
      <c r="L424" t="s">
        <v>79</v>
      </c>
      <c r="M424" t="s">
        <v>102</v>
      </c>
      <c r="N424" t="s">
        <v>79</v>
      </c>
      <c r="O424" t="s">
        <v>117</v>
      </c>
      <c r="P424" t="s">
        <v>79</v>
      </c>
      <c r="Q424" t="s">
        <v>103</v>
      </c>
      <c r="R424" t="s">
        <v>79</v>
      </c>
      <c r="S424" t="s">
        <v>285</v>
      </c>
      <c r="T424" t="s">
        <v>175</v>
      </c>
      <c r="U424" t="s">
        <v>79</v>
      </c>
      <c r="V424" t="s">
        <v>106</v>
      </c>
      <c r="W424" t="s">
        <v>87</v>
      </c>
      <c r="Y424" t="s">
        <v>94</v>
      </c>
      <c r="Z424" t="s">
        <v>94</v>
      </c>
      <c r="AA424" t="s">
        <v>94</v>
      </c>
      <c r="AB424" t="s">
        <v>92</v>
      </c>
      <c r="AC424" t="s">
        <v>93</v>
      </c>
      <c r="AD424" t="s">
        <v>93</v>
      </c>
      <c r="AE424" t="s">
        <v>93</v>
      </c>
      <c r="AF424" t="s">
        <v>93</v>
      </c>
      <c r="AG424" t="s">
        <v>93</v>
      </c>
      <c r="AH424" t="s">
        <v>92</v>
      </c>
      <c r="AI424" t="s">
        <v>92</v>
      </c>
      <c r="AJ424" t="s">
        <v>92</v>
      </c>
      <c r="AK424" t="s">
        <v>94</v>
      </c>
      <c r="AL424" t="s">
        <v>92</v>
      </c>
      <c r="AM424" t="s">
        <v>94</v>
      </c>
      <c r="AN424" t="s">
        <v>93</v>
      </c>
      <c r="AO424" t="s">
        <v>93</v>
      </c>
      <c r="AP424" t="s">
        <v>93</v>
      </c>
      <c r="AQ424" t="s">
        <v>95</v>
      </c>
      <c r="AR424" t="s">
        <v>95</v>
      </c>
      <c r="AS424" t="s">
        <v>95</v>
      </c>
      <c r="AT424" t="s">
        <v>93</v>
      </c>
      <c r="AU424" t="s">
        <v>94</v>
      </c>
      <c r="AV424" t="s">
        <v>95</v>
      </c>
      <c r="AW424" t="s">
        <v>92</v>
      </c>
      <c r="AX424" t="s">
        <v>94</v>
      </c>
      <c r="AY424" t="s">
        <v>93</v>
      </c>
      <c r="AZ424" t="s">
        <v>93</v>
      </c>
      <c r="BA424" t="s">
        <v>94</v>
      </c>
      <c r="BB424" t="s">
        <v>94</v>
      </c>
      <c r="BC424" t="s">
        <v>92</v>
      </c>
      <c r="BD424" t="s">
        <v>94</v>
      </c>
      <c r="BE424" t="s">
        <v>92</v>
      </c>
      <c r="BF424" t="s">
        <v>92</v>
      </c>
      <c r="BG424" t="s">
        <v>92</v>
      </c>
      <c r="BH424" t="s">
        <v>94</v>
      </c>
    </row>
    <row r="425" spans="1:60" x14ac:dyDescent="0.3">
      <c r="A425">
        <v>22</v>
      </c>
      <c r="B425" t="s">
        <v>128</v>
      </c>
      <c r="C425" t="s">
        <v>113</v>
      </c>
      <c r="D425" t="s">
        <v>72</v>
      </c>
      <c r="E425" t="s">
        <v>73</v>
      </c>
      <c r="F425" t="s">
        <v>98</v>
      </c>
      <c r="G425" t="s">
        <v>135</v>
      </c>
      <c r="H425" t="s">
        <v>165</v>
      </c>
      <c r="I425" t="s">
        <v>76</v>
      </c>
      <c r="J425" t="s">
        <v>77</v>
      </c>
      <c r="K425" t="s">
        <v>122</v>
      </c>
      <c r="L425" t="s">
        <v>79</v>
      </c>
      <c r="M425" t="s">
        <v>102</v>
      </c>
      <c r="N425" t="s">
        <v>79</v>
      </c>
      <c r="O425" t="s">
        <v>117</v>
      </c>
      <c r="P425" t="s">
        <v>79</v>
      </c>
      <c r="Q425" t="s">
        <v>103</v>
      </c>
      <c r="R425" t="s">
        <v>79</v>
      </c>
      <c r="S425" t="s">
        <v>285</v>
      </c>
      <c r="T425" t="s">
        <v>175</v>
      </c>
      <c r="U425" t="s">
        <v>79</v>
      </c>
      <c r="V425" t="s">
        <v>106</v>
      </c>
      <c r="W425" t="s">
        <v>87</v>
      </c>
      <c r="Y425" t="s">
        <v>94</v>
      </c>
      <c r="Z425" t="s">
        <v>94</v>
      </c>
      <c r="AA425" t="s">
        <v>94</v>
      </c>
      <c r="AB425" t="s">
        <v>92</v>
      </c>
      <c r="AC425" t="s">
        <v>93</v>
      </c>
      <c r="AD425" t="s">
        <v>93</v>
      </c>
      <c r="AE425" t="s">
        <v>93</v>
      </c>
      <c r="AF425" t="s">
        <v>93</v>
      </c>
      <c r="AG425" t="s">
        <v>93</v>
      </c>
      <c r="AH425" t="s">
        <v>92</v>
      </c>
      <c r="AI425" t="s">
        <v>92</v>
      </c>
      <c r="AJ425" t="s">
        <v>92</v>
      </c>
      <c r="AK425" t="s">
        <v>94</v>
      </c>
      <c r="AL425" t="s">
        <v>92</v>
      </c>
      <c r="AM425" t="s">
        <v>94</v>
      </c>
      <c r="AN425" t="s">
        <v>93</v>
      </c>
      <c r="AO425" t="s">
        <v>93</v>
      </c>
      <c r="AP425" t="s">
        <v>93</v>
      </c>
      <c r="AQ425" t="s">
        <v>95</v>
      </c>
      <c r="AR425" t="s">
        <v>95</v>
      </c>
      <c r="AS425" t="s">
        <v>95</v>
      </c>
      <c r="AT425" t="s">
        <v>93</v>
      </c>
      <c r="AU425" t="s">
        <v>94</v>
      </c>
      <c r="AV425" t="s">
        <v>95</v>
      </c>
      <c r="AW425" t="s">
        <v>92</v>
      </c>
      <c r="AX425" t="s">
        <v>94</v>
      </c>
      <c r="AY425" t="s">
        <v>93</v>
      </c>
      <c r="AZ425" t="s">
        <v>93</v>
      </c>
      <c r="BA425" t="s">
        <v>94</v>
      </c>
      <c r="BB425" t="s">
        <v>94</v>
      </c>
      <c r="BC425" t="s">
        <v>92</v>
      </c>
      <c r="BD425" t="s">
        <v>94</v>
      </c>
      <c r="BE425" t="s">
        <v>92</v>
      </c>
      <c r="BF425" t="s">
        <v>92</v>
      </c>
      <c r="BG425" t="s">
        <v>92</v>
      </c>
      <c r="BH425" t="s">
        <v>94</v>
      </c>
    </row>
    <row r="426" spans="1:60" x14ac:dyDescent="0.3">
      <c r="A426">
        <v>22</v>
      </c>
      <c r="B426" t="s">
        <v>128</v>
      </c>
      <c r="C426" t="s">
        <v>113</v>
      </c>
      <c r="D426" t="s">
        <v>72</v>
      </c>
      <c r="E426" t="s">
        <v>73</v>
      </c>
      <c r="F426" t="s">
        <v>98</v>
      </c>
      <c r="G426" t="s">
        <v>135</v>
      </c>
      <c r="H426" t="s">
        <v>165</v>
      </c>
      <c r="I426" t="s">
        <v>76</v>
      </c>
      <c r="J426" t="s">
        <v>77</v>
      </c>
      <c r="K426" t="s">
        <v>122</v>
      </c>
      <c r="L426" t="s">
        <v>79</v>
      </c>
      <c r="M426" t="s">
        <v>102</v>
      </c>
      <c r="N426" t="s">
        <v>79</v>
      </c>
      <c r="O426" t="s">
        <v>117</v>
      </c>
      <c r="P426" t="s">
        <v>79</v>
      </c>
      <c r="Q426" t="s">
        <v>103</v>
      </c>
      <c r="R426" t="s">
        <v>79</v>
      </c>
      <c r="S426" t="s">
        <v>285</v>
      </c>
      <c r="T426" t="s">
        <v>175</v>
      </c>
      <c r="U426" t="s">
        <v>79</v>
      </c>
      <c r="V426" t="s">
        <v>106</v>
      </c>
      <c r="W426" t="s">
        <v>87</v>
      </c>
      <c r="Y426" t="s">
        <v>94</v>
      </c>
      <c r="Z426" t="s">
        <v>94</v>
      </c>
      <c r="AA426" t="s">
        <v>94</v>
      </c>
      <c r="AB426" t="s">
        <v>92</v>
      </c>
      <c r="AC426" t="s">
        <v>93</v>
      </c>
      <c r="AD426" t="s">
        <v>93</v>
      </c>
      <c r="AE426" t="s">
        <v>93</v>
      </c>
      <c r="AF426" t="s">
        <v>93</v>
      </c>
      <c r="AG426" t="s">
        <v>93</v>
      </c>
      <c r="AH426" t="s">
        <v>92</v>
      </c>
      <c r="AI426" t="s">
        <v>92</v>
      </c>
      <c r="AJ426" t="s">
        <v>92</v>
      </c>
      <c r="AK426" t="s">
        <v>94</v>
      </c>
      <c r="AL426" t="s">
        <v>92</v>
      </c>
      <c r="AM426" t="s">
        <v>94</v>
      </c>
      <c r="AN426" t="s">
        <v>93</v>
      </c>
      <c r="AO426" t="s">
        <v>93</v>
      </c>
      <c r="AP426" t="s">
        <v>93</v>
      </c>
      <c r="AQ426" t="s">
        <v>95</v>
      </c>
      <c r="AR426" t="s">
        <v>95</v>
      </c>
      <c r="AS426" t="s">
        <v>95</v>
      </c>
      <c r="AT426" t="s">
        <v>93</v>
      </c>
      <c r="AU426" t="s">
        <v>94</v>
      </c>
      <c r="AV426" t="s">
        <v>95</v>
      </c>
      <c r="AW426" t="s">
        <v>92</v>
      </c>
      <c r="AX426" t="s">
        <v>94</v>
      </c>
      <c r="AY426" t="s">
        <v>93</v>
      </c>
      <c r="AZ426" t="s">
        <v>93</v>
      </c>
      <c r="BA426" t="s">
        <v>94</v>
      </c>
      <c r="BB426" t="s">
        <v>94</v>
      </c>
      <c r="BC426" t="s">
        <v>92</v>
      </c>
      <c r="BD426" t="s">
        <v>94</v>
      </c>
      <c r="BE426" t="s">
        <v>92</v>
      </c>
      <c r="BF426" t="s">
        <v>92</v>
      </c>
      <c r="BG426" t="s">
        <v>92</v>
      </c>
      <c r="BH426" t="s">
        <v>94</v>
      </c>
    </row>
    <row r="427" spans="1:60" x14ac:dyDescent="0.3">
      <c r="A427">
        <v>22</v>
      </c>
      <c r="B427" t="s">
        <v>128</v>
      </c>
      <c r="C427" t="s">
        <v>113</v>
      </c>
      <c r="D427" t="s">
        <v>72</v>
      </c>
      <c r="E427" t="s">
        <v>73</v>
      </c>
      <c r="F427" t="s">
        <v>98</v>
      </c>
      <c r="G427" t="s">
        <v>135</v>
      </c>
      <c r="H427" t="s">
        <v>165</v>
      </c>
      <c r="I427" t="s">
        <v>76</v>
      </c>
      <c r="J427" t="s">
        <v>77</v>
      </c>
      <c r="K427" t="s">
        <v>122</v>
      </c>
      <c r="L427" t="s">
        <v>79</v>
      </c>
      <c r="M427" t="s">
        <v>102</v>
      </c>
      <c r="N427" t="s">
        <v>79</v>
      </c>
      <c r="O427" t="s">
        <v>117</v>
      </c>
      <c r="P427" t="s">
        <v>79</v>
      </c>
      <c r="Q427" t="s">
        <v>103</v>
      </c>
      <c r="R427" t="s">
        <v>79</v>
      </c>
      <c r="S427" t="s">
        <v>285</v>
      </c>
      <c r="T427" t="s">
        <v>175</v>
      </c>
      <c r="U427" t="s">
        <v>79</v>
      </c>
      <c r="V427" t="s">
        <v>106</v>
      </c>
      <c r="W427" t="s">
        <v>87</v>
      </c>
      <c r="Y427" t="s">
        <v>94</v>
      </c>
      <c r="Z427" t="s">
        <v>94</v>
      </c>
      <c r="AA427" t="s">
        <v>94</v>
      </c>
      <c r="AB427" t="s">
        <v>92</v>
      </c>
      <c r="AC427" t="s">
        <v>93</v>
      </c>
      <c r="AD427" t="s">
        <v>93</v>
      </c>
      <c r="AE427" t="s">
        <v>93</v>
      </c>
      <c r="AF427" t="s">
        <v>93</v>
      </c>
      <c r="AG427" t="s">
        <v>93</v>
      </c>
      <c r="AH427" t="s">
        <v>92</v>
      </c>
      <c r="AI427" t="s">
        <v>92</v>
      </c>
      <c r="AJ427" t="s">
        <v>92</v>
      </c>
      <c r="AK427" t="s">
        <v>94</v>
      </c>
      <c r="AL427" t="s">
        <v>92</v>
      </c>
      <c r="AM427" t="s">
        <v>94</v>
      </c>
      <c r="AN427" t="s">
        <v>93</v>
      </c>
      <c r="AO427" t="s">
        <v>93</v>
      </c>
      <c r="AP427" t="s">
        <v>93</v>
      </c>
      <c r="AQ427" t="s">
        <v>95</v>
      </c>
      <c r="AR427" t="s">
        <v>95</v>
      </c>
      <c r="AS427" t="s">
        <v>95</v>
      </c>
      <c r="AT427" t="s">
        <v>93</v>
      </c>
      <c r="AU427" t="s">
        <v>94</v>
      </c>
      <c r="AV427" t="s">
        <v>95</v>
      </c>
      <c r="AW427" t="s">
        <v>92</v>
      </c>
      <c r="AX427" t="s">
        <v>94</v>
      </c>
      <c r="AY427" t="s">
        <v>93</v>
      </c>
      <c r="AZ427" t="s">
        <v>93</v>
      </c>
      <c r="BA427" t="s">
        <v>94</v>
      </c>
      <c r="BB427" t="s">
        <v>94</v>
      </c>
      <c r="BC427" t="s">
        <v>92</v>
      </c>
      <c r="BD427" t="s">
        <v>94</v>
      </c>
      <c r="BE427" t="s">
        <v>92</v>
      </c>
      <c r="BF427" t="s">
        <v>92</v>
      </c>
      <c r="BG427" t="s">
        <v>92</v>
      </c>
      <c r="BH427" t="s">
        <v>94</v>
      </c>
    </row>
    <row r="428" spans="1:60" x14ac:dyDescent="0.3">
      <c r="A428">
        <v>22</v>
      </c>
      <c r="B428" t="s">
        <v>128</v>
      </c>
      <c r="C428" t="s">
        <v>113</v>
      </c>
      <c r="D428" t="s">
        <v>72</v>
      </c>
      <c r="E428" t="s">
        <v>73</v>
      </c>
      <c r="F428" t="s">
        <v>98</v>
      </c>
      <c r="G428" t="s">
        <v>135</v>
      </c>
      <c r="H428" t="s">
        <v>165</v>
      </c>
      <c r="I428" t="s">
        <v>76</v>
      </c>
      <c r="J428" t="s">
        <v>77</v>
      </c>
      <c r="K428" t="s">
        <v>122</v>
      </c>
      <c r="L428" t="s">
        <v>79</v>
      </c>
      <c r="M428" t="s">
        <v>102</v>
      </c>
      <c r="N428" t="s">
        <v>79</v>
      </c>
      <c r="O428" t="s">
        <v>117</v>
      </c>
      <c r="P428" t="s">
        <v>79</v>
      </c>
      <c r="Q428" t="s">
        <v>103</v>
      </c>
      <c r="R428" t="s">
        <v>79</v>
      </c>
      <c r="S428" t="s">
        <v>285</v>
      </c>
      <c r="T428" t="s">
        <v>175</v>
      </c>
      <c r="U428" t="s">
        <v>79</v>
      </c>
      <c r="V428" t="s">
        <v>106</v>
      </c>
      <c r="W428" t="s">
        <v>87</v>
      </c>
      <c r="Y428" t="s">
        <v>94</v>
      </c>
      <c r="Z428" t="s">
        <v>94</v>
      </c>
      <c r="AA428" t="s">
        <v>94</v>
      </c>
      <c r="AB428" t="s">
        <v>92</v>
      </c>
      <c r="AC428" t="s">
        <v>93</v>
      </c>
      <c r="AD428" t="s">
        <v>93</v>
      </c>
      <c r="AE428" t="s">
        <v>93</v>
      </c>
      <c r="AF428" t="s">
        <v>93</v>
      </c>
      <c r="AG428" t="s">
        <v>93</v>
      </c>
      <c r="AH428" t="s">
        <v>92</v>
      </c>
      <c r="AI428" t="s">
        <v>92</v>
      </c>
      <c r="AJ428" t="s">
        <v>92</v>
      </c>
      <c r="AK428" t="s">
        <v>94</v>
      </c>
      <c r="AL428" t="s">
        <v>92</v>
      </c>
      <c r="AM428" t="s">
        <v>94</v>
      </c>
      <c r="AN428" t="s">
        <v>93</v>
      </c>
      <c r="AO428" t="s">
        <v>93</v>
      </c>
      <c r="AP428" t="s">
        <v>93</v>
      </c>
      <c r="AQ428" t="s">
        <v>95</v>
      </c>
      <c r="AR428" t="s">
        <v>95</v>
      </c>
      <c r="AS428" t="s">
        <v>95</v>
      </c>
      <c r="AT428" t="s">
        <v>93</v>
      </c>
      <c r="AU428" t="s">
        <v>94</v>
      </c>
      <c r="AV428" t="s">
        <v>95</v>
      </c>
      <c r="AW428" t="s">
        <v>92</v>
      </c>
      <c r="AX428" t="s">
        <v>94</v>
      </c>
      <c r="AY428" t="s">
        <v>93</v>
      </c>
      <c r="AZ428" t="s">
        <v>93</v>
      </c>
      <c r="BA428" t="s">
        <v>94</v>
      </c>
      <c r="BB428" t="s">
        <v>94</v>
      </c>
      <c r="BC428" t="s">
        <v>92</v>
      </c>
      <c r="BD428" t="s">
        <v>94</v>
      </c>
      <c r="BE428" t="s">
        <v>92</v>
      </c>
      <c r="BF428" t="s">
        <v>92</v>
      </c>
      <c r="BG428" t="s">
        <v>92</v>
      </c>
      <c r="BH428" t="s">
        <v>94</v>
      </c>
    </row>
    <row r="429" spans="1:60" x14ac:dyDescent="0.3">
      <c r="A429">
        <v>22</v>
      </c>
      <c r="B429" t="s">
        <v>128</v>
      </c>
      <c r="C429" t="s">
        <v>113</v>
      </c>
      <c r="D429" t="s">
        <v>72</v>
      </c>
      <c r="E429" t="s">
        <v>73</v>
      </c>
      <c r="F429" t="s">
        <v>98</v>
      </c>
      <c r="G429" t="s">
        <v>135</v>
      </c>
      <c r="H429" t="s">
        <v>165</v>
      </c>
      <c r="I429" t="s">
        <v>76</v>
      </c>
      <c r="J429" t="s">
        <v>77</v>
      </c>
      <c r="K429" t="s">
        <v>122</v>
      </c>
      <c r="L429" t="s">
        <v>79</v>
      </c>
      <c r="M429" t="s">
        <v>102</v>
      </c>
      <c r="N429" t="s">
        <v>79</v>
      </c>
      <c r="O429" t="s">
        <v>117</v>
      </c>
      <c r="P429" t="s">
        <v>79</v>
      </c>
      <c r="Q429" t="s">
        <v>103</v>
      </c>
      <c r="R429" t="s">
        <v>79</v>
      </c>
      <c r="S429" t="s">
        <v>285</v>
      </c>
      <c r="T429" t="s">
        <v>175</v>
      </c>
      <c r="U429" t="s">
        <v>79</v>
      </c>
      <c r="V429" t="s">
        <v>106</v>
      </c>
      <c r="W429" t="s">
        <v>87</v>
      </c>
      <c r="Y429" t="s">
        <v>94</v>
      </c>
      <c r="Z429" t="s">
        <v>94</v>
      </c>
      <c r="AA429" t="s">
        <v>94</v>
      </c>
      <c r="AB429" t="s">
        <v>92</v>
      </c>
      <c r="AC429" t="s">
        <v>93</v>
      </c>
      <c r="AD429" t="s">
        <v>93</v>
      </c>
      <c r="AE429" t="s">
        <v>93</v>
      </c>
      <c r="AF429" t="s">
        <v>93</v>
      </c>
      <c r="AG429" t="s">
        <v>93</v>
      </c>
      <c r="AH429" t="s">
        <v>92</v>
      </c>
      <c r="AI429" t="s">
        <v>92</v>
      </c>
      <c r="AJ429" t="s">
        <v>92</v>
      </c>
      <c r="AK429" t="s">
        <v>94</v>
      </c>
      <c r="AL429" t="s">
        <v>92</v>
      </c>
      <c r="AM429" t="s">
        <v>94</v>
      </c>
      <c r="AN429" t="s">
        <v>93</v>
      </c>
      <c r="AO429" t="s">
        <v>93</v>
      </c>
      <c r="AP429" t="s">
        <v>93</v>
      </c>
      <c r="AQ429" t="s">
        <v>95</v>
      </c>
      <c r="AR429" t="s">
        <v>95</v>
      </c>
      <c r="AS429" t="s">
        <v>95</v>
      </c>
      <c r="AT429" t="s">
        <v>93</v>
      </c>
      <c r="AU429" t="s">
        <v>94</v>
      </c>
      <c r="AV429" t="s">
        <v>95</v>
      </c>
      <c r="AW429" t="s">
        <v>92</v>
      </c>
      <c r="AX429" t="s">
        <v>94</v>
      </c>
      <c r="AY429" t="s">
        <v>93</v>
      </c>
      <c r="AZ429" t="s">
        <v>93</v>
      </c>
      <c r="BA429" t="s">
        <v>94</v>
      </c>
      <c r="BB429" t="s">
        <v>94</v>
      </c>
      <c r="BC429" t="s">
        <v>92</v>
      </c>
      <c r="BD429" t="s">
        <v>94</v>
      </c>
      <c r="BE429" t="s">
        <v>92</v>
      </c>
      <c r="BF429" t="s">
        <v>92</v>
      </c>
      <c r="BG429" t="s">
        <v>92</v>
      </c>
      <c r="BH429" t="s">
        <v>94</v>
      </c>
    </row>
    <row r="430" spans="1:60" x14ac:dyDescent="0.3">
      <c r="A430">
        <v>22</v>
      </c>
      <c r="B430" t="s">
        <v>128</v>
      </c>
      <c r="C430" t="s">
        <v>113</v>
      </c>
      <c r="D430" t="s">
        <v>72</v>
      </c>
      <c r="E430" t="s">
        <v>73</v>
      </c>
      <c r="F430" t="s">
        <v>98</v>
      </c>
      <c r="G430" t="s">
        <v>135</v>
      </c>
      <c r="H430" t="s">
        <v>165</v>
      </c>
      <c r="I430" t="s">
        <v>76</v>
      </c>
      <c r="J430" t="s">
        <v>77</v>
      </c>
      <c r="K430" t="s">
        <v>122</v>
      </c>
      <c r="L430" t="s">
        <v>79</v>
      </c>
      <c r="M430" t="s">
        <v>102</v>
      </c>
      <c r="N430" t="s">
        <v>79</v>
      </c>
      <c r="O430" t="s">
        <v>117</v>
      </c>
      <c r="P430" t="s">
        <v>79</v>
      </c>
      <c r="Q430" t="s">
        <v>103</v>
      </c>
      <c r="R430" t="s">
        <v>79</v>
      </c>
      <c r="S430" t="s">
        <v>285</v>
      </c>
      <c r="T430" t="s">
        <v>175</v>
      </c>
      <c r="U430" t="s">
        <v>79</v>
      </c>
      <c r="V430" t="s">
        <v>106</v>
      </c>
      <c r="W430" t="s">
        <v>87</v>
      </c>
      <c r="Y430" t="s">
        <v>94</v>
      </c>
      <c r="Z430" t="s">
        <v>94</v>
      </c>
      <c r="AA430" t="s">
        <v>94</v>
      </c>
      <c r="AB430" t="s">
        <v>92</v>
      </c>
      <c r="AC430" t="s">
        <v>93</v>
      </c>
      <c r="AD430" t="s">
        <v>93</v>
      </c>
      <c r="AE430" t="s">
        <v>93</v>
      </c>
      <c r="AF430" t="s">
        <v>93</v>
      </c>
      <c r="AG430" t="s">
        <v>93</v>
      </c>
      <c r="AH430" t="s">
        <v>92</v>
      </c>
      <c r="AI430" t="s">
        <v>92</v>
      </c>
      <c r="AJ430" t="s">
        <v>92</v>
      </c>
      <c r="AK430" t="s">
        <v>94</v>
      </c>
      <c r="AL430" t="s">
        <v>92</v>
      </c>
      <c r="AM430" t="s">
        <v>94</v>
      </c>
      <c r="AN430" t="s">
        <v>93</v>
      </c>
      <c r="AO430" t="s">
        <v>93</v>
      </c>
      <c r="AP430" t="s">
        <v>93</v>
      </c>
      <c r="AQ430" t="s">
        <v>95</v>
      </c>
      <c r="AR430" t="s">
        <v>95</v>
      </c>
      <c r="AS430" t="s">
        <v>95</v>
      </c>
      <c r="AT430" t="s">
        <v>93</v>
      </c>
      <c r="AU430" t="s">
        <v>94</v>
      </c>
      <c r="AV430" t="s">
        <v>95</v>
      </c>
      <c r="AW430" t="s">
        <v>92</v>
      </c>
      <c r="AX430" t="s">
        <v>94</v>
      </c>
      <c r="AY430" t="s">
        <v>93</v>
      </c>
      <c r="AZ430" t="s">
        <v>93</v>
      </c>
      <c r="BA430" t="s">
        <v>94</v>
      </c>
      <c r="BB430" t="s">
        <v>94</v>
      </c>
      <c r="BC430" t="s">
        <v>92</v>
      </c>
      <c r="BD430" t="s">
        <v>94</v>
      </c>
      <c r="BE430" t="s">
        <v>92</v>
      </c>
      <c r="BF430" t="s">
        <v>92</v>
      </c>
      <c r="BG430" t="s">
        <v>92</v>
      </c>
      <c r="BH430" t="s">
        <v>94</v>
      </c>
    </row>
    <row r="431" spans="1:60" x14ac:dyDescent="0.3">
      <c r="A431">
        <v>22</v>
      </c>
      <c r="B431" t="s">
        <v>128</v>
      </c>
      <c r="C431" t="s">
        <v>113</v>
      </c>
      <c r="D431" t="s">
        <v>72</v>
      </c>
      <c r="E431" t="s">
        <v>73</v>
      </c>
      <c r="F431" t="s">
        <v>98</v>
      </c>
      <c r="G431" t="s">
        <v>135</v>
      </c>
      <c r="H431" t="s">
        <v>165</v>
      </c>
      <c r="I431" t="s">
        <v>76</v>
      </c>
      <c r="J431" t="s">
        <v>77</v>
      </c>
      <c r="K431" t="s">
        <v>122</v>
      </c>
      <c r="L431" t="s">
        <v>79</v>
      </c>
      <c r="M431" t="s">
        <v>102</v>
      </c>
      <c r="N431" t="s">
        <v>79</v>
      </c>
      <c r="O431" t="s">
        <v>117</v>
      </c>
      <c r="P431" t="s">
        <v>79</v>
      </c>
      <c r="Q431" t="s">
        <v>103</v>
      </c>
      <c r="R431" t="s">
        <v>79</v>
      </c>
      <c r="S431" t="s">
        <v>285</v>
      </c>
      <c r="T431" t="s">
        <v>175</v>
      </c>
      <c r="U431" t="s">
        <v>79</v>
      </c>
      <c r="V431" t="s">
        <v>106</v>
      </c>
      <c r="W431" t="s">
        <v>87</v>
      </c>
      <c r="Y431" t="s">
        <v>94</v>
      </c>
      <c r="Z431" t="s">
        <v>94</v>
      </c>
      <c r="AA431" t="s">
        <v>94</v>
      </c>
      <c r="AB431" t="s">
        <v>92</v>
      </c>
      <c r="AC431" t="s">
        <v>93</v>
      </c>
      <c r="AD431" t="s">
        <v>93</v>
      </c>
      <c r="AE431" t="s">
        <v>93</v>
      </c>
      <c r="AF431" t="s">
        <v>93</v>
      </c>
      <c r="AG431" t="s">
        <v>93</v>
      </c>
      <c r="AH431" t="s">
        <v>92</v>
      </c>
      <c r="AI431" t="s">
        <v>92</v>
      </c>
      <c r="AJ431" t="s">
        <v>92</v>
      </c>
      <c r="AK431" t="s">
        <v>94</v>
      </c>
      <c r="AL431" t="s">
        <v>92</v>
      </c>
      <c r="AM431" t="s">
        <v>94</v>
      </c>
      <c r="AN431" t="s">
        <v>93</v>
      </c>
      <c r="AO431" t="s">
        <v>93</v>
      </c>
      <c r="AP431" t="s">
        <v>93</v>
      </c>
      <c r="AQ431" t="s">
        <v>95</v>
      </c>
      <c r="AR431" t="s">
        <v>95</v>
      </c>
      <c r="AS431" t="s">
        <v>95</v>
      </c>
      <c r="AT431" t="s">
        <v>93</v>
      </c>
      <c r="AU431" t="s">
        <v>94</v>
      </c>
      <c r="AV431" t="s">
        <v>95</v>
      </c>
      <c r="AW431" t="s">
        <v>92</v>
      </c>
      <c r="AX431" t="s">
        <v>94</v>
      </c>
      <c r="AY431" t="s">
        <v>93</v>
      </c>
      <c r="AZ431" t="s">
        <v>93</v>
      </c>
      <c r="BA431" t="s">
        <v>94</v>
      </c>
      <c r="BB431" t="s">
        <v>94</v>
      </c>
      <c r="BC431" t="s">
        <v>92</v>
      </c>
      <c r="BD431" t="s">
        <v>94</v>
      </c>
      <c r="BE431" t="s">
        <v>92</v>
      </c>
      <c r="BF431" t="s">
        <v>92</v>
      </c>
      <c r="BG431" t="s">
        <v>92</v>
      </c>
      <c r="BH431" t="s">
        <v>94</v>
      </c>
    </row>
    <row r="432" spans="1:60" x14ac:dyDescent="0.3">
      <c r="A432">
        <v>26</v>
      </c>
      <c r="B432" t="s">
        <v>70</v>
      </c>
      <c r="C432" t="s">
        <v>153</v>
      </c>
      <c r="D432" t="s">
        <v>149</v>
      </c>
      <c r="E432" t="s">
        <v>108</v>
      </c>
      <c r="F432" t="s">
        <v>74</v>
      </c>
      <c r="G432" t="s">
        <v>115</v>
      </c>
      <c r="H432" t="s">
        <v>74</v>
      </c>
      <c r="I432" t="s">
        <v>75</v>
      </c>
      <c r="J432" t="s">
        <v>77</v>
      </c>
      <c r="K432" t="s">
        <v>78</v>
      </c>
      <c r="L432" t="s">
        <v>79</v>
      </c>
      <c r="M432" t="s">
        <v>80</v>
      </c>
      <c r="N432" t="s">
        <v>79</v>
      </c>
      <c r="O432" t="s">
        <v>138</v>
      </c>
      <c r="P432" t="s">
        <v>79</v>
      </c>
      <c r="Q432" t="s">
        <v>118</v>
      </c>
      <c r="R432" t="s">
        <v>79</v>
      </c>
      <c r="S432" t="s">
        <v>104</v>
      </c>
      <c r="T432" t="s">
        <v>286</v>
      </c>
      <c r="U432" t="s">
        <v>79</v>
      </c>
      <c r="V432" t="s">
        <v>86</v>
      </c>
      <c r="W432" t="s">
        <v>141</v>
      </c>
      <c r="X432" t="s">
        <v>88</v>
      </c>
      <c r="Y432" t="s">
        <v>93</v>
      </c>
      <c r="Z432" t="s">
        <v>92</v>
      </c>
      <c r="AA432" t="s">
        <v>93</v>
      </c>
      <c r="AB432" t="s">
        <v>92</v>
      </c>
      <c r="AC432" t="s">
        <v>93</v>
      </c>
      <c r="AD432" t="s">
        <v>93</v>
      </c>
      <c r="AE432" t="s">
        <v>93</v>
      </c>
      <c r="AF432" t="s">
        <v>92</v>
      </c>
      <c r="AG432" t="s">
        <v>92</v>
      </c>
      <c r="AH432" t="s">
        <v>93</v>
      </c>
      <c r="AI432" t="s">
        <v>92</v>
      </c>
      <c r="AJ432" t="s">
        <v>92</v>
      </c>
      <c r="AK432" t="s">
        <v>92</v>
      </c>
      <c r="AL432" t="s">
        <v>93</v>
      </c>
      <c r="AM432" t="s">
        <v>94</v>
      </c>
      <c r="AN432" t="s">
        <v>93</v>
      </c>
      <c r="AO432" t="s">
        <v>93</v>
      </c>
      <c r="AP432" t="s">
        <v>93</v>
      </c>
      <c r="AQ432" t="s">
        <v>95</v>
      </c>
      <c r="AR432" t="s">
        <v>95</v>
      </c>
      <c r="AS432" t="s">
        <v>95</v>
      </c>
      <c r="AT432" t="s">
        <v>92</v>
      </c>
      <c r="AU432" t="s">
        <v>94</v>
      </c>
      <c r="AV432" t="s">
        <v>95</v>
      </c>
      <c r="AW432" t="s">
        <v>94</v>
      </c>
      <c r="AX432" t="s">
        <v>95</v>
      </c>
      <c r="AY432" t="s">
        <v>93</v>
      </c>
      <c r="AZ432" t="s">
        <v>93</v>
      </c>
      <c r="BA432" t="s">
        <v>92</v>
      </c>
      <c r="BB432" t="s">
        <v>92</v>
      </c>
      <c r="BC432" t="s">
        <v>92</v>
      </c>
      <c r="BD432" t="s">
        <v>92</v>
      </c>
      <c r="BE432" t="s">
        <v>92</v>
      </c>
      <c r="BF432" t="s">
        <v>93</v>
      </c>
      <c r="BG432" t="s">
        <v>92</v>
      </c>
      <c r="BH432" t="s">
        <v>93</v>
      </c>
    </row>
    <row r="433" spans="1:60" x14ac:dyDescent="0.3">
      <c r="A433">
        <v>26</v>
      </c>
      <c r="B433" t="s">
        <v>70</v>
      </c>
      <c r="C433" t="s">
        <v>153</v>
      </c>
      <c r="D433" t="s">
        <v>149</v>
      </c>
      <c r="E433" t="s">
        <v>108</v>
      </c>
      <c r="F433" t="s">
        <v>74</v>
      </c>
      <c r="G433" t="s">
        <v>115</v>
      </c>
      <c r="H433" t="s">
        <v>74</v>
      </c>
      <c r="I433" t="s">
        <v>75</v>
      </c>
      <c r="J433" t="s">
        <v>77</v>
      </c>
      <c r="K433" t="s">
        <v>78</v>
      </c>
      <c r="L433" t="s">
        <v>79</v>
      </c>
      <c r="M433" t="s">
        <v>80</v>
      </c>
      <c r="N433" t="s">
        <v>79</v>
      </c>
      <c r="O433" t="s">
        <v>138</v>
      </c>
      <c r="P433" t="s">
        <v>79</v>
      </c>
      <c r="Q433" t="s">
        <v>118</v>
      </c>
      <c r="R433" t="s">
        <v>79</v>
      </c>
      <c r="S433" t="s">
        <v>104</v>
      </c>
      <c r="T433" t="s">
        <v>286</v>
      </c>
      <c r="U433" t="s">
        <v>79</v>
      </c>
      <c r="V433" t="s">
        <v>86</v>
      </c>
      <c r="W433" t="s">
        <v>141</v>
      </c>
      <c r="X433" t="s">
        <v>88</v>
      </c>
      <c r="Y433" t="s">
        <v>93</v>
      </c>
      <c r="Z433" t="s">
        <v>92</v>
      </c>
      <c r="AA433" t="s">
        <v>93</v>
      </c>
      <c r="AB433" t="s">
        <v>92</v>
      </c>
      <c r="AC433" t="s">
        <v>93</v>
      </c>
      <c r="AD433" t="s">
        <v>93</v>
      </c>
      <c r="AE433" t="s">
        <v>93</v>
      </c>
      <c r="AF433" t="s">
        <v>92</v>
      </c>
      <c r="AG433" t="s">
        <v>92</v>
      </c>
      <c r="AH433" t="s">
        <v>93</v>
      </c>
      <c r="AI433" t="s">
        <v>92</v>
      </c>
      <c r="AJ433" t="s">
        <v>92</v>
      </c>
      <c r="AK433" t="s">
        <v>92</v>
      </c>
      <c r="AL433" t="s">
        <v>93</v>
      </c>
      <c r="AM433" t="s">
        <v>94</v>
      </c>
      <c r="AN433" t="s">
        <v>93</v>
      </c>
      <c r="AO433" t="s">
        <v>93</v>
      </c>
      <c r="AP433" t="s">
        <v>93</v>
      </c>
      <c r="AQ433" t="s">
        <v>95</v>
      </c>
      <c r="AR433" t="s">
        <v>95</v>
      </c>
      <c r="AS433" t="s">
        <v>95</v>
      </c>
      <c r="AT433" t="s">
        <v>92</v>
      </c>
      <c r="AU433" t="s">
        <v>94</v>
      </c>
      <c r="AV433" t="s">
        <v>95</v>
      </c>
      <c r="AW433" t="s">
        <v>94</v>
      </c>
      <c r="AX433" t="s">
        <v>95</v>
      </c>
      <c r="AY433" t="s">
        <v>93</v>
      </c>
      <c r="AZ433" t="s">
        <v>93</v>
      </c>
      <c r="BA433" t="s">
        <v>92</v>
      </c>
      <c r="BB433" t="s">
        <v>92</v>
      </c>
      <c r="BC433" t="s">
        <v>92</v>
      </c>
      <c r="BD433" t="s">
        <v>92</v>
      </c>
      <c r="BE433" t="s">
        <v>92</v>
      </c>
      <c r="BF433" t="s">
        <v>93</v>
      </c>
      <c r="BG433" t="s">
        <v>92</v>
      </c>
      <c r="BH433" t="s">
        <v>93</v>
      </c>
    </row>
    <row r="434" spans="1:60" x14ac:dyDescent="0.3">
      <c r="A434">
        <v>26</v>
      </c>
      <c r="B434" t="s">
        <v>70</v>
      </c>
      <c r="C434" t="s">
        <v>153</v>
      </c>
      <c r="D434" t="s">
        <v>149</v>
      </c>
      <c r="E434" t="s">
        <v>108</v>
      </c>
      <c r="F434" t="s">
        <v>74</v>
      </c>
      <c r="G434" t="s">
        <v>115</v>
      </c>
      <c r="H434" t="s">
        <v>74</v>
      </c>
      <c r="I434" t="s">
        <v>75</v>
      </c>
      <c r="J434" t="s">
        <v>77</v>
      </c>
      <c r="K434" t="s">
        <v>78</v>
      </c>
      <c r="L434" t="s">
        <v>79</v>
      </c>
      <c r="M434" t="s">
        <v>80</v>
      </c>
      <c r="N434" t="s">
        <v>79</v>
      </c>
      <c r="O434" t="s">
        <v>138</v>
      </c>
      <c r="P434" t="s">
        <v>79</v>
      </c>
      <c r="Q434" t="s">
        <v>118</v>
      </c>
      <c r="R434" t="s">
        <v>79</v>
      </c>
      <c r="S434" t="s">
        <v>104</v>
      </c>
      <c r="T434" t="s">
        <v>286</v>
      </c>
      <c r="U434" t="s">
        <v>79</v>
      </c>
      <c r="V434" t="s">
        <v>86</v>
      </c>
      <c r="W434" t="s">
        <v>141</v>
      </c>
      <c r="X434" t="s">
        <v>88</v>
      </c>
      <c r="Y434" t="s">
        <v>93</v>
      </c>
      <c r="Z434" t="s">
        <v>92</v>
      </c>
      <c r="AA434" t="s">
        <v>93</v>
      </c>
      <c r="AB434" t="s">
        <v>92</v>
      </c>
      <c r="AC434" t="s">
        <v>93</v>
      </c>
      <c r="AD434" t="s">
        <v>93</v>
      </c>
      <c r="AE434" t="s">
        <v>93</v>
      </c>
      <c r="AF434" t="s">
        <v>92</v>
      </c>
      <c r="AG434" t="s">
        <v>92</v>
      </c>
      <c r="AH434" t="s">
        <v>93</v>
      </c>
      <c r="AI434" t="s">
        <v>92</v>
      </c>
      <c r="AJ434" t="s">
        <v>92</v>
      </c>
      <c r="AK434" t="s">
        <v>92</v>
      </c>
      <c r="AL434" t="s">
        <v>93</v>
      </c>
      <c r="AM434" t="s">
        <v>94</v>
      </c>
      <c r="AN434" t="s">
        <v>93</v>
      </c>
      <c r="AO434" t="s">
        <v>93</v>
      </c>
      <c r="AP434" t="s">
        <v>93</v>
      </c>
      <c r="AQ434" t="s">
        <v>95</v>
      </c>
      <c r="AR434" t="s">
        <v>95</v>
      </c>
      <c r="AS434" t="s">
        <v>95</v>
      </c>
      <c r="AT434" t="s">
        <v>92</v>
      </c>
      <c r="AU434" t="s">
        <v>94</v>
      </c>
      <c r="AV434" t="s">
        <v>95</v>
      </c>
      <c r="AW434" t="s">
        <v>94</v>
      </c>
      <c r="AX434" t="s">
        <v>95</v>
      </c>
      <c r="AY434" t="s">
        <v>93</v>
      </c>
      <c r="AZ434" t="s">
        <v>93</v>
      </c>
      <c r="BA434" t="s">
        <v>92</v>
      </c>
      <c r="BB434" t="s">
        <v>92</v>
      </c>
      <c r="BC434" t="s">
        <v>92</v>
      </c>
      <c r="BD434" t="s">
        <v>92</v>
      </c>
      <c r="BE434" t="s">
        <v>92</v>
      </c>
      <c r="BF434" t="s">
        <v>93</v>
      </c>
      <c r="BG434" t="s">
        <v>92</v>
      </c>
      <c r="BH434" t="s">
        <v>93</v>
      </c>
    </row>
    <row r="435" spans="1:60" x14ac:dyDescent="0.3">
      <c r="A435">
        <v>26</v>
      </c>
      <c r="B435" t="s">
        <v>70</v>
      </c>
      <c r="C435" t="s">
        <v>153</v>
      </c>
      <c r="D435" t="s">
        <v>149</v>
      </c>
      <c r="E435" t="s">
        <v>108</v>
      </c>
      <c r="F435" t="s">
        <v>74</v>
      </c>
      <c r="G435" t="s">
        <v>115</v>
      </c>
      <c r="H435" t="s">
        <v>74</v>
      </c>
      <c r="I435" t="s">
        <v>75</v>
      </c>
      <c r="J435" t="s">
        <v>77</v>
      </c>
      <c r="K435" t="s">
        <v>78</v>
      </c>
      <c r="L435" t="s">
        <v>79</v>
      </c>
      <c r="M435" t="s">
        <v>80</v>
      </c>
      <c r="N435" t="s">
        <v>79</v>
      </c>
      <c r="O435" t="s">
        <v>138</v>
      </c>
      <c r="P435" t="s">
        <v>79</v>
      </c>
      <c r="Q435" t="s">
        <v>118</v>
      </c>
      <c r="R435" t="s">
        <v>79</v>
      </c>
      <c r="S435" t="s">
        <v>104</v>
      </c>
      <c r="T435" t="s">
        <v>286</v>
      </c>
      <c r="U435" t="s">
        <v>79</v>
      </c>
      <c r="V435" t="s">
        <v>86</v>
      </c>
      <c r="W435" t="s">
        <v>141</v>
      </c>
      <c r="X435" t="s">
        <v>88</v>
      </c>
      <c r="Y435" t="s">
        <v>93</v>
      </c>
      <c r="Z435" t="s">
        <v>92</v>
      </c>
      <c r="AA435" t="s">
        <v>93</v>
      </c>
      <c r="AB435" t="s">
        <v>92</v>
      </c>
      <c r="AC435" t="s">
        <v>93</v>
      </c>
      <c r="AD435" t="s">
        <v>93</v>
      </c>
      <c r="AE435" t="s">
        <v>93</v>
      </c>
      <c r="AF435" t="s">
        <v>92</v>
      </c>
      <c r="AG435" t="s">
        <v>92</v>
      </c>
      <c r="AH435" t="s">
        <v>93</v>
      </c>
      <c r="AI435" t="s">
        <v>92</v>
      </c>
      <c r="AJ435" t="s">
        <v>92</v>
      </c>
      <c r="AK435" t="s">
        <v>92</v>
      </c>
      <c r="AL435" t="s">
        <v>93</v>
      </c>
      <c r="AM435" t="s">
        <v>94</v>
      </c>
      <c r="AN435" t="s">
        <v>93</v>
      </c>
      <c r="AO435" t="s">
        <v>93</v>
      </c>
      <c r="AP435" t="s">
        <v>93</v>
      </c>
      <c r="AQ435" t="s">
        <v>95</v>
      </c>
      <c r="AR435" t="s">
        <v>95</v>
      </c>
      <c r="AS435" t="s">
        <v>95</v>
      </c>
      <c r="AT435" t="s">
        <v>92</v>
      </c>
      <c r="AU435" t="s">
        <v>94</v>
      </c>
      <c r="AV435" t="s">
        <v>95</v>
      </c>
      <c r="AW435" t="s">
        <v>94</v>
      </c>
      <c r="AX435" t="s">
        <v>95</v>
      </c>
      <c r="AY435" t="s">
        <v>93</v>
      </c>
      <c r="AZ435" t="s">
        <v>93</v>
      </c>
      <c r="BA435" t="s">
        <v>92</v>
      </c>
      <c r="BB435" t="s">
        <v>92</v>
      </c>
      <c r="BC435" t="s">
        <v>92</v>
      </c>
      <c r="BD435" t="s">
        <v>92</v>
      </c>
      <c r="BE435" t="s">
        <v>92</v>
      </c>
      <c r="BF435" t="s">
        <v>93</v>
      </c>
      <c r="BG435" t="s">
        <v>92</v>
      </c>
      <c r="BH435" t="s">
        <v>93</v>
      </c>
    </row>
    <row r="436" spans="1:60" x14ac:dyDescent="0.3">
      <c r="A436">
        <v>26</v>
      </c>
      <c r="B436" t="s">
        <v>70</v>
      </c>
      <c r="C436" t="s">
        <v>153</v>
      </c>
      <c r="D436" t="s">
        <v>149</v>
      </c>
      <c r="E436" t="s">
        <v>108</v>
      </c>
      <c r="F436" t="s">
        <v>74</v>
      </c>
      <c r="G436" t="s">
        <v>115</v>
      </c>
      <c r="H436" t="s">
        <v>74</v>
      </c>
      <c r="I436" t="s">
        <v>75</v>
      </c>
      <c r="J436" t="s">
        <v>77</v>
      </c>
      <c r="K436" t="s">
        <v>78</v>
      </c>
      <c r="L436" t="s">
        <v>79</v>
      </c>
      <c r="M436" t="s">
        <v>80</v>
      </c>
      <c r="N436" t="s">
        <v>79</v>
      </c>
      <c r="O436" t="s">
        <v>138</v>
      </c>
      <c r="P436" t="s">
        <v>79</v>
      </c>
      <c r="Q436" t="s">
        <v>118</v>
      </c>
      <c r="R436" t="s">
        <v>79</v>
      </c>
      <c r="S436" t="s">
        <v>104</v>
      </c>
      <c r="T436" t="s">
        <v>286</v>
      </c>
      <c r="U436" t="s">
        <v>79</v>
      </c>
      <c r="V436" t="s">
        <v>86</v>
      </c>
      <c r="W436" t="s">
        <v>141</v>
      </c>
      <c r="X436" t="s">
        <v>88</v>
      </c>
      <c r="Y436" t="s">
        <v>93</v>
      </c>
      <c r="Z436" t="s">
        <v>92</v>
      </c>
      <c r="AA436" t="s">
        <v>93</v>
      </c>
      <c r="AB436" t="s">
        <v>92</v>
      </c>
      <c r="AC436" t="s">
        <v>93</v>
      </c>
      <c r="AD436" t="s">
        <v>93</v>
      </c>
      <c r="AE436" t="s">
        <v>93</v>
      </c>
      <c r="AF436" t="s">
        <v>92</v>
      </c>
      <c r="AG436" t="s">
        <v>92</v>
      </c>
      <c r="AH436" t="s">
        <v>93</v>
      </c>
      <c r="AI436" t="s">
        <v>92</v>
      </c>
      <c r="AJ436" t="s">
        <v>92</v>
      </c>
      <c r="AK436" t="s">
        <v>92</v>
      </c>
      <c r="AL436" t="s">
        <v>93</v>
      </c>
      <c r="AM436" t="s">
        <v>94</v>
      </c>
      <c r="AN436" t="s">
        <v>93</v>
      </c>
      <c r="AO436" t="s">
        <v>93</v>
      </c>
      <c r="AP436" t="s">
        <v>93</v>
      </c>
      <c r="AQ436" t="s">
        <v>95</v>
      </c>
      <c r="AR436" t="s">
        <v>95</v>
      </c>
      <c r="AS436" t="s">
        <v>95</v>
      </c>
      <c r="AT436" t="s">
        <v>92</v>
      </c>
      <c r="AU436" t="s">
        <v>94</v>
      </c>
      <c r="AV436" t="s">
        <v>95</v>
      </c>
      <c r="AW436" t="s">
        <v>94</v>
      </c>
      <c r="AX436" t="s">
        <v>95</v>
      </c>
      <c r="AY436" t="s">
        <v>93</v>
      </c>
      <c r="AZ436" t="s">
        <v>93</v>
      </c>
      <c r="BA436" t="s">
        <v>92</v>
      </c>
      <c r="BB436" t="s">
        <v>92</v>
      </c>
      <c r="BC436" t="s">
        <v>92</v>
      </c>
      <c r="BD436" t="s">
        <v>92</v>
      </c>
      <c r="BE436" t="s">
        <v>92</v>
      </c>
      <c r="BF436" t="s">
        <v>93</v>
      </c>
      <c r="BG436" t="s">
        <v>92</v>
      </c>
      <c r="BH436" t="s">
        <v>93</v>
      </c>
    </row>
    <row r="437" spans="1:60" x14ac:dyDescent="0.3">
      <c r="A437">
        <v>26</v>
      </c>
      <c r="B437" t="s">
        <v>70</v>
      </c>
      <c r="C437" t="s">
        <v>153</v>
      </c>
      <c r="D437" t="s">
        <v>149</v>
      </c>
      <c r="E437" t="s">
        <v>108</v>
      </c>
      <c r="F437" t="s">
        <v>74</v>
      </c>
      <c r="G437" t="s">
        <v>115</v>
      </c>
      <c r="H437" t="s">
        <v>74</v>
      </c>
      <c r="I437" t="s">
        <v>75</v>
      </c>
      <c r="J437" t="s">
        <v>77</v>
      </c>
      <c r="K437" t="s">
        <v>78</v>
      </c>
      <c r="L437" t="s">
        <v>79</v>
      </c>
      <c r="M437" t="s">
        <v>80</v>
      </c>
      <c r="N437" t="s">
        <v>79</v>
      </c>
      <c r="O437" t="s">
        <v>138</v>
      </c>
      <c r="P437" t="s">
        <v>79</v>
      </c>
      <c r="Q437" t="s">
        <v>118</v>
      </c>
      <c r="R437" t="s">
        <v>79</v>
      </c>
      <c r="S437" t="s">
        <v>104</v>
      </c>
      <c r="T437" t="s">
        <v>286</v>
      </c>
      <c r="U437" t="s">
        <v>79</v>
      </c>
      <c r="V437" t="s">
        <v>86</v>
      </c>
      <c r="W437" t="s">
        <v>141</v>
      </c>
      <c r="X437" t="s">
        <v>88</v>
      </c>
      <c r="Y437" t="s">
        <v>93</v>
      </c>
      <c r="Z437" t="s">
        <v>92</v>
      </c>
      <c r="AA437" t="s">
        <v>93</v>
      </c>
      <c r="AB437" t="s">
        <v>92</v>
      </c>
      <c r="AC437" t="s">
        <v>93</v>
      </c>
      <c r="AD437" t="s">
        <v>93</v>
      </c>
      <c r="AE437" t="s">
        <v>93</v>
      </c>
      <c r="AF437" t="s">
        <v>92</v>
      </c>
      <c r="AG437" t="s">
        <v>92</v>
      </c>
      <c r="AH437" t="s">
        <v>93</v>
      </c>
      <c r="AI437" t="s">
        <v>92</v>
      </c>
      <c r="AJ437" t="s">
        <v>92</v>
      </c>
      <c r="AK437" t="s">
        <v>92</v>
      </c>
      <c r="AL437" t="s">
        <v>93</v>
      </c>
      <c r="AM437" t="s">
        <v>94</v>
      </c>
      <c r="AN437" t="s">
        <v>93</v>
      </c>
      <c r="AO437" t="s">
        <v>93</v>
      </c>
      <c r="AP437" t="s">
        <v>93</v>
      </c>
      <c r="AQ437" t="s">
        <v>95</v>
      </c>
      <c r="AR437" t="s">
        <v>95</v>
      </c>
      <c r="AS437" t="s">
        <v>95</v>
      </c>
      <c r="AT437" t="s">
        <v>92</v>
      </c>
      <c r="AU437" t="s">
        <v>94</v>
      </c>
      <c r="AV437" t="s">
        <v>95</v>
      </c>
      <c r="AW437" t="s">
        <v>94</v>
      </c>
      <c r="AX437" t="s">
        <v>95</v>
      </c>
      <c r="AY437" t="s">
        <v>93</v>
      </c>
      <c r="AZ437" t="s">
        <v>93</v>
      </c>
      <c r="BA437" t="s">
        <v>92</v>
      </c>
      <c r="BB437" t="s">
        <v>92</v>
      </c>
      <c r="BC437" t="s">
        <v>92</v>
      </c>
      <c r="BD437" t="s">
        <v>92</v>
      </c>
      <c r="BE437" t="s">
        <v>92</v>
      </c>
      <c r="BF437" t="s">
        <v>93</v>
      </c>
      <c r="BG437" t="s">
        <v>92</v>
      </c>
      <c r="BH437" t="s">
        <v>93</v>
      </c>
    </row>
    <row r="438" spans="1:60" x14ac:dyDescent="0.3">
      <c r="A438">
        <v>26</v>
      </c>
      <c r="B438" t="s">
        <v>70</v>
      </c>
      <c r="C438" t="s">
        <v>153</v>
      </c>
      <c r="D438" t="s">
        <v>149</v>
      </c>
      <c r="E438" t="s">
        <v>108</v>
      </c>
      <c r="F438" t="s">
        <v>74</v>
      </c>
      <c r="G438" t="s">
        <v>115</v>
      </c>
      <c r="H438" t="s">
        <v>74</v>
      </c>
      <c r="I438" t="s">
        <v>75</v>
      </c>
      <c r="J438" t="s">
        <v>77</v>
      </c>
      <c r="K438" t="s">
        <v>78</v>
      </c>
      <c r="L438" t="s">
        <v>79</v>
      </c>
      <c r="M438" t="s">
        <v>80</v>
      </c>
      <c r="N438" t="s">
        <v>79</v>
      </c>
      <c r="O438" t="s">
        <v>138</v>
      </c>
      <c r="P438" t="s">
        <v>79</v>
      </c>
      <c r="Q438" t="s">
        <v>118</v>
      </c>
      <c r="R438" t="s">
        <v>79</v>
      </c>
      <c r="S438" t="s">
        <v>104</v>
      </c>
      <c r="T438" t="s">
        <v>286</v>
      </c>
      <c r="U438" t="s">
        <v>79</v>
      </c>
      <c r="V438" t="s">
        <v>86</v>
      </c>
      <c r="W438" t="s">
        <v>141</v>
      </c>
      <c r="X438" t="s">
        <v>88</v>
      </c>
      <c r="Y438" t="s">
        <v>93</v>
      </c>
      <c r="Z438" t="s">
        <v>92</v>
      </c>
      <c r="AA438" t="s">
        <v>93</v>
      </c>
      <c r="AB438" t="s">
        <v>92</v>
      </c>
      <c r="AC438" t="s">
        <v>93</v>
      </c>
      <c r="AD438" t="s">
        <v>93</v>
      </c>
      <c r="AE438" t="s">
        <v>93</v>
      </c>
      <c r="AF438" t="s">
        <v>92</v>
      </c>
      <c r="AG438" t="s">
        <v>92</v>
      </c>
      <c r="AH438" t="s">
        <v>93</v>
      </c>
      <c r="AI438" t="s">
        <v>92</v>
      </c>
      <c r="AJ438" t="s">
        <v>92</v>
      </c>
      <c r="AK438" t="s">
        <v>92</v>
      </c>
      <c r="AL438" t="s">
        <v>93</v>
      </c>
      <c r="AM438" t="s">
        <v>94</v>
      </c>
      <c r="AN438" t="s">
        <v>93</v>
      </c>
      <c r="AO438" t="s">
        <v>93</v>
      </c>
      <c r="AP438" t="s">
        <v>93</v>
      </c>
      <c r="AQ438" t="s">
        <v>95</v>
      </c>
      <c r="AR438" t="s">
        <v>95</v>
      </c>
      <c r="AS438" t="s">
        <v>95</v>
      </c>
      <c r="AT438" t="s">
        <v>92</v>
      </c>
      <c r="AU438" t="s">
        <v>94</v>
      </c>
      <c r="AV438" t="s">
        <v>95</v>
      </c>
      <c r="AW438" t="s">
        <v>94</v>
      </c>
      <c r="AX438" t="s">
        <v>95</v>
      </c>
      <c r="AY438" t="s">
        <v>93</v>
      </c>
      <c r="AZ438" t="s">
        <v>93</v>
      </c>
      <c r="BA438" t="s">
        <v>92</v>
      </c>
      <c r="BB438" t="s">
        <v>92</v>
      </c>
      <c r="BC438" t="s">
        <v>92</v>
      </c>
      <c r="BD438" t="s">
        <v>92</v>
      </c>
      <c r="BE438" t="s">
        <v>92</v>
      </c>
      <c r="BF438" t="s">
        <v>93</v>
      </c>
      <c r="BG438" t="s">
        <v>92</v>
      </c>
      <c r="BH438" t="s">
        <v>93</v>
      </c>
    </row>
    <row r="439" spans="1:60" x14ac:dyDescent="0.3">
      <c r="A439">
        <v>26</v>
      </c>
      <c r="B439" t="s">
        <v>70</v>
      </c>
      <c r="C439" t="s">
        <v>153</v>
      </c>
      <c r="D439" t="s">
        <v>149</v>
      </c>
      <c r="E439" t="s">
        <v>108</v>
      </c>
      <c r="F439" t="s">
        <v>74</v>
      </c>
      <c r="G439" t="s">
        <v>115</v>
      </c>
      <c r="H439" t="s">
        <v>74</v>
      </c>
      <c r="I439" t="s">
        <v>75</v>
      </c>
      <c r="J439" t="s">
        <v>77</v>
      </c>
      <c r="K439" t="s">
        <v>78</v>
      </c>
      <c r="L439" t="s">
        <v>79</v>
      </c>
      <c r="M439" t="s">
        <v>80</v>
      </c>
      <c r="N439" t="s">
        <v>79</v>
      </c>
      <c r="O439" t="s">
        <v>138</v>
      </c>
      <c r="P439" t="s">
        <v>79</v>
      </c>
      <c r="Q439" t="s">
        <v>118</v>
      </c>
      <c r="R439" t="s">
        <v>79</v>
      </c>
      <c r="S439" t="s">
        <v>104</v>
      </c>
      <c r="T439" t="s">
        <v>286</v>
      </c>
      <c r="U439" t="s">
        <v>79</v>
      </c>
      <c r="V439" t="s">
        <v>86</v>
      </c>
      <c r="W439" t="s">
        <v>141</v>
      </c>
      <c r="X439" t="s">
        <v>88</v>
      </c>
      <c r="Y439" t="s">
        <v>93</v>
      </c>
      <c r="Z439" t="s">
        <v>92</v>
      </c>
      <c r="AA439" t="s">
        <v>93</v>
      </c>
      <c r="AB439" t="s">
        <v>92</v>
      </c>
      <c r="AC439" t="s">
        <v>93</v>
      </c>
      <c r="AD439" t="s">
        <v>93</v>
      </c>
      <c r="AE439" t="s">
        <v>93</v>
      </c>
      <c r="AF439" t="s">
        <v>92</v>
      </c>
      <c r="AG439" t="s">
        <v>92</v>
      </c>
      <c r="AH439" t="s">
        <v>93</v>
      </c>
      <c r="AI439" t="s">
        <v>92</v>
      </c>
      <c r="AJ439" t="s">
        <v>92</v>
      </c>
      <c r="AK439" t="s">
        <v>92</v>
      </c>
      <c r="AL439" t="s">
        <v>93</v>
      </c>
      <c r="AM439" t="s">
        <v>94</v>
      </c>
      <c r="AN439" t="s">
        <v>93</v>
      </c>
      <c r="AO439" t="s">
        <v>93</v>
      </c>
      <c r="AP439" t="s">
        <v>93</v>
      </c>
      <c r="AQ439" t="s">
        <v>95</v>
      </c>
      <c r="AR439" t="s">
        <v>95</v>
      </c>
      <c r="AS439" t="s">
        <v>95</v>
      </c>
      <c r="AT439" t="s">
        <v>92</v>
      </c>
      <c r="AU439" t="s">
        <v>94</v>
      </c>
      <c r="AV439" t="s">
        <v>95</v>
      </c>
      <c r="AW439" t="s">
        <v>94</v>
      </c>
      <c r="AX439" t="s">
        <v>95</v>
      </c>
      <c r="AY439" t="s">
        <v>93</v>
      </c>
      <c r="AZ439" t="s">
        <v>93</v>
      </c>
      <c r="BA439" t="s">
        <v>92</v>
      </c>
      <c r="BB439" t="s">
        <v>92</v>
      </c>
      <c r="BC439" t="s">
        <v>92</v>
      </c>
      <c r="BD439" t="s">
        <v>92</v>
      </c>
      <c r="BE439" t="s">
        <v>92</v>
      </c>
      <c r="BF439" t="s">
        <v>93</v>
      </c>
      <c r="BG439" t="s">
        <v>92</v>
      </c>
      <c r="BH439" t="s">
        <v>93</v>
      </c>
    </row>
    <row r="440" spans="1:60" x14ac:dyDescent="0.3">
      <c r="A440">
        <v>26</v>
      </c>
      <c r="B440" t="s">
        <v>70</v>
      </c>
      <c r="C440" t="s">
        <v>153</v>
      </c>
      <c r="D440" t="s">
        <v>149</v>
      </c>
      <c r="E440" t="s">
        <v>108</v>
      </c>
      <c r="F440" t="s">
        <v>74</v>
      </c>
      <c r="G440" t="s">
        <v>115</v>
      </c>
      <c r="H440" t="s">
        <v>74</v>
      </c>
      <c r="I440" t="s">
        <v>75</v>
      </c>
      <c r="J440" t="s">
        <v>77</v>
      </c>
      <c r="K440" t="s">
        <v>78</v>
      </c>
      <c r="L440" t="s">
        <v>79</v>
      </c>
      <c r="M440" t="s">
        <v>80</v>
      </c>
      <c r="N440" t="s">
        <v>79</v>
      </c>
      <c r="O440" t="s">
        <v>138</v>
      </c>
      <c r="P440" t="s">
        <v>79</v>
      </c>
      <c r="Q440" t="s">
        <v>118</v>
      </c>
      <c r="R440" t="s">
        <v>79</v>
      </c>
      <c r="S440" t="s">
        <v>104</v>
      </c>
      <c r="T440" t="s">
        <v>286</v>
      </c>
      <c r="U440" t="s">
        <v>79</v>
      </c>
      <c r="V440" t="s">
        <v>86</v>
      </c>
      <c r="W440" t="s">
        <v>141</v>
      </c>
      <c r="X440" t="s">
        <v>88</v>
      </c>
      <c r="Y440" t="s">
        <v>93</v>
      </c>
      <c r="Z440" t="s">
        <v>92</v>
      </c>
      <c r="AA440" t="s">
        <v>93</v>
      </c>
      <c r="AB440" t="s">
        <v>92</v>
      </c>
      <c r="AC440" t="s">
        <v>93</v>
      </c>
      <c r="AD440" t="s">
        <v>93</v>
      </c>
      <c r="AE440" t="s">
        <v>93</v>
      </c>
      <c r="AF440" t="s">
        <v>92</v>
      </c>
      <c r="AG440" t="s">
        <v>92</v>
      </c>
      <c r="AH440" t="s">
        <v>93</v>
      </c>
      <c r="AI440" t="s">
        <v>92</v>
      </c>
      <c r="AJ440" t="s">
        <v>92</v>
      </c>
      <c r="AK440" t="s">
        <v>92</v>
      </c>
      <c r="AL440" t="s">
        <v>93</v>
      </c>
      <c r="AM440" t="s">
        <v>94</v>
      </c>
      <c r="AN440" t="s">
        <v>93</v>
      </c>
      <c r="AO440" t="s">
        <v>93</v>
      </c>
      <c r="AP440" t="s">
        <v>93</v>
      </c>
      <c r="AQ440" t="s">
        <v>95</v>
      </c>
      <c r="AR440" t="s">
        <v>95</v>
      </c>
      <c r="AS440" t="s">
        <v>95</v>
      </c>
      <c r="AT440" t="s">
        <v>92</v>
      </c>
      <c r="AU440" t="s">
        <v>94</v>
      </c>
      <c r="AV440" t="s">
        <v>95</v>
      </c>
      <c r="AW440" t="s">
        <v>94</v>
      </c>
      <c r="AX440" t="s">
        <v>95</v>
      </c>
      <c r="AY440" t="s">
        <v>93</v>
      </c>
      <c r="AZ440" t="s">
        <v>93</v>
      </c>
      <c r="BA440" t="s">
        <v>92</v>
      </c>
      <c r="BB440" t="s">
        <v>92</v>
      </c>
      <c r="BC440" t="s">
        <v>92</v>
      </c>
      <c r="BD440" t="s">
        <v>92</v>
      </c>
      <c r="BE440" t="s">
        <v>92</v>
      </c>
      <c r="BF440" t="s">
        <v>93</v>
      </c>
      <c r="BG440" t="s">
        <v>92</v>
      </c>
      <c r="BH440" t="s">
        <v>93</v>
      </c>
    </row>
    <row r="441" spans="1:60" x14ac:dyDescent="0.3">
      <c r="A441">
        <v>26</v>
      </c>
      <c r="B441" t="s">
        <v>70</v>
      </c>
      <c r="C441" t="s">
        <v>153</v>
      </c>
      <c r="D441" t="s">
        <v>149</v>
      </c>
      <c r="E441" t="s">
        <v>108</v>
      </c>
      <c r="F441" t="s">
        <v>74</v>
      </c>
      <c r="G441" t="s">
        <v>115</v>
      </c>
      <c r="H441" t="s">
        <v>74</v>
      </c>
      <c r="I441" t="s">
        <v>75</v>
      </c>
      <c r="J441" t="s">
        <v>77</v>
      </c>
      <c r="K441" t="s">
        <v>78</v>
      </c>
      <c r="L441" t="s">
        <v>79</v>
      </c>
      <c r="M441" t="s">
        <v>80</v>
      </c>
      <c r="N441" t="s">
        <v>79</v>
      </c>
      <c r="O441" t="s">
        <v>138</v>
      </c>
      <c r="P441" t="s">
        <v>79</v>
      </c>
      <c r="Q441" t="s">
        <v>118</v>
      </c>
      <c r="R441" t="s">
        <v>79</v>
      </c>
      <c r="S441" t="s">
        <v>104</v>
      </c>
      <c r="T441" t="s">
        <v>286</v>
      </c>
      <c r="U441" t="s">
        <v>79</v>
      </c>
      <c r="V441" t="s">
        <v>86</v>
      </c>
      <c r="W441" t="s">
        <v>141</v>
      </c>
      <c r="X441" t="s">
        <v>88</v>
      </c>
      <c r="Y441" t="s">
        <v>93</v>
      </c>
      <c r="Z441" t="s">
        <v>92</v>
      </c>
      <c r="AA441" t="s">
        <v>93</v>
      </c>
      <c r="AB441" t="s">
        <v>92</v>
      </c>
      <c r="AC441" t="s">
        <v>93</v>
      </c>
      <c r="AD441" t="s">
        <v>93</v>
      </c>
      <c r="AE441" t="s">
        <v>93</v>
      </c>
      <c r="AF441" t="s">
        <v>92</v>
      </c>
      <c r="AG441" t="s">
        <v>92</v>
      </c>
      <c r="AH441" t="s">
        <v>93</v>
      </c>
      <c r="AI441" t="s">
        <v>92</v>
      </c>
      <c r="AJ441" t="s">
        <v>92</v>
      </c>
      <c r="AK441" t="s">
        <v>92</v>
      </c>
      <c r="AL441" t="s">
        <v>93</v>
      </c>
      <c r="AM441" t="s">
        <v>94</v>
      </c>
      <c r="AN441" t="s">
        <v>93</v>
      </c>
      <c r="AO441" t="s">
        <v>93</v>
      </c>
      <c r="AP441" t="s">
        <v>93</v>
      </c>
      <c r="AQ441" t="s">
        <v>95</v>
      </c>
      <c r="AR441" t="s">
        <v>95</v>
      </c>
      <c r="AS441" t="s">
        <v>95</v>
      </c>
      <c r="AT441" t="s">
        <v>92</v>
      </c>
      <c r="AU441" t="s">
        <v>94</v>
      </c>
      <c r="AV441" t="s">
        <v>95</v>
      </c>
      <c r="AW441" t="s">
        <v>94</v>
      </c>
      <c r="AX441" t="s">
        <v>95</v>
      </c>
      <c r="AY441" t="s">
        <v>93</v>
      </c>
      <c r="AZ441" t="s">
        <v>93</v>
      </c>
      <c r="BA441" t="s">
        <v>92</v>
      </c>
      <c r="BB441" t="s">
        <v>92</v>
      </c>
      <c r="BC441" t="s">
        <v>92</v>
      </c>
      <c r="BD441" t="s">
        <v>92</v>
      </c>
      <c r="BE441" t="s">
        <v>92</v>
      </c>
      <c r="BF441" t="s">
        <v>93</v>
      </c>
      <c r="BG441" t="s">
        <v>92</v>
      </c>
      <c r="BH441" t="s">
        <v>93</v>
      </c>
    </row>
    <row r="442" spans="1:60" x14ac:dyDescent="0.3">
      <c r="A442">
        <v>26</v>
      </c>
      <c r="B442" t="s">
        <v>70</v>
      </c>
      <c r="C442" t="s">
        <v>153</v>
      </c>
      <c r="D442" t="s">
        <v>149</v>
      </c>
      <c r="E442" t="s">
        <v>108</v>
      </c>
      <c r="F442" t="s">
        <v>74</v>
      </c>
      <c r="G442" t="s">
        <v>115</v>
      </c>
      <c r="H442" t="s">
        <v>74</v>
      </c>
      <c r="I442" t="s">
        <v>75</v>
      </c>
      <c r="J442" t="s">
        <v>77</v>
      </c>
      <c r="K442" t="s">
        <v>78</v>
      </c>
      <c r="L442" t="s">
        <v>79</v>
      </c>
      <c r="M442" t="s">
        <v>80</v>
      </c>
      <c r="N442" t="s">
        <v>79</v>
      </c>
      <c r="O442" t="s">
        <v>138</v>
      </c>
      <c r="P442" t="s">
        <v>79</v>
      </c>
      <c r="Q442" t="s">
        <v>118</v>
      </c>
      <c r="R442" t="s">
        <v>79</v>
      </c>
      <c r="S442" t="s">
        <v>104</v>
      </c>
      <c r="T442" t="s">
        <v>286</v>
      </c>
      <c r="U442" t="s">
        <v>79</v>
      </c>
      <c r="V442" t="s">
        <v>86</v>
      </c>
      <c r="W442" t="s">
        <v>141</v>
      </c>
      <c r="X442" t="s">
        <v>88</v>
      </c>
      <c r="Y442" t="s">
        <v>93</v>
      </c>
      <c r="Z442" t="s">
        <v>92</v>
      </c>
      <c r="AA442" t="s">
        <v>93</v>
      </c>
      <c r="AB442" t="s">
        <v>92</v>
      </c>
      <c r="AC442" t="s">
        <v>93</v>
      </c>
      <c r="AD442" t="s">
        <v>93</v>
      </c>
      <c r="AE442" t="s">
        <v>93</v>
      </c>
      <c r="AF442" t="s">
        <v>92</v>
      </c>
      <c r="AG442" t="s">
        <v>92</v>
      </c>
      <c r="AH442" t="s">
        <v>93</v>
      </c>
      <c r="AI442" t="s">
        <v>92</v>
      </c>
      <c r="AJ442" t="s">
        <v>92</v>
      </c>
      <c r="AK442" t="s">
        <v>92</v>
      </c>
      <c r="AL442" t="s">
        <v>93</v>
      </c>
      <c r="AM442" t="s">
        <v>94</v>
      </c>
      <c r="AN442" t="s">
        <v>93</v>
      </c>
      <c r="AO442" t="s">
        <v>93</v>
      </c>
      <c r="AP442" t="s">
        <v>93</v>
      </c>
      <c r="AQ442" t="s">
        <v>95</v>
      </c>
      <c r="AR442" t="s">
        <v>95</v>
      </c>
      <c r="AS442" t="s">
        <v>95</v>
      </c>
      <c r="AT442" t="s">
        <v>92</v>
      </c>
      <c r="AU442" t="s">
        <v>94</v>
      </c>
      <c r="AV442" t="s">
        <v>95</v>
      </c>
      <c r="AW442" t="s">
        <v>94</v>
      </c>
      <c r="AX442" t="s">
        <v>95</v>
      </c>
      <c r="AY442" t="s">
        <v>93</v>
      </c>
      <c r="AZ442" t="s">
        <v>93</v>
      </c>
      <c r="BA442" t="s">
        <v>92</v>
      </c>
      <c r="BB442" t="s">
        <v>92</v>
      </c>
      <c r="BC442" t="s">
        <v>92</v>
      </c>
      <c r="BD442" t="s">
        <v>92</v>
      </c>
      <c r="BE442" t="s">
        <v>92</v>
      </c>
      <c r="BF442" t="s">
        <v>93</v>
      </c>
      <c r="BG442" t="s">
        <v>92</v>
      </c>
      <c r="BH442" t="s">
        <v>93</v>
      </c>
    </row>
    <row r="443" spans="1:60" x14ac:dyDescent="0.3">
      <c r="A443">
        <v>26</v>
      </c>
      <c r="B443" t="s">
        <v>70</v>
      </c>
      <c r="C443" t="s">
        <v>153</v>
      </c>
      <c r="D443" t="s">
        <v>149</v>
      </c>
      <c r="E443" t="s">
        <v>108</v>
      </c>
      <c r="F443" t="s">
        <v>74</v>
      </c>
      <c r="G443" t="s">
        <v>115</v>
      </c>
      <c r="H443" t="s">
        <v>74</v>
      </c>
      <c r="I443" t="s">
        <v>75</v>
      </c>
      <c r="J443" t="s">
        <v>77</v>
      </c>
      <c r="K443" t="s">
        <v>78</v>
      </c>
      <c r="L443" t="s">
        <v>79</v>
      </c>
      <c r="M443" t="s">
        <v>80</v>
      </c>
      <c r="N443" t="s">
        <v>79</v>
      </c>
      <c r="O443" t="s">
        <v>138</v>
      </c>
      <c r="P443" t="s">
        <v>79</v>
      </c>
      <c r="Q443" t="s">
        <v>118</v>
      </c>
      <c r="R443" t="s">
        <v>79</v>
      </c>
      <c r="S443" t="s">
        <v>104</v>
      </c>
      <c r="T443" t="s">
        <v>286</v>
      </c>
      <c r="U443" t="s">
        <v>79</v>
      </c>
      <c r="V443" t="s">
        <v>86</v>
      </c>
      <c r="W443" t="s">
        <v>141</v>
      </c>
      <c r="X443" t="s">
        <v>88</v>
      </c>
      <c r="Y443" t="s">
        <v>93</v>
      </c>
      <c r="Z443" t="s">
        <v>92</v>
      </c>
      <c r="AA443" t="s">
        <v>93</v>
      </c>
      <c r="AB443" t="s">
        <v>92</v>
      </c>
      <c r="AC443" t="s">
        <v>93</v>
      </c>
      <c r="AD443" t="s">
        <v>93</v>
      </c>
      <c r="AE443" t="s">
        <v>93</v>
      </c>
      <c r="AF443" t="s">
        <v>92</v>
      </c>
      <c r="AG443" t="s">
        <v>92</v>
      </c>
      <c r="AH443" t="s">
        <v>93</v>
      </c>
      <c r="AI443" t="s">
        <v>92</v>
      </c>
      <c r="AJ443" t="s">
        <v>92</v>
      </c>
      <c r="AK443" t="s">
        <v>92</v>
      </c>
      <c r="AL443" t="s">
        <v>93</v>
      </c>
      <c r="AM443" t="s">
        <v>94</v>
      </c>
      <c r="AN443" t="s">
        <v>93</v>
      </c>
      <c r="AO443" t="s">
        <v>93</v>
      </c>
      <c r="AP443" t="s">
        <v>93</v>
      </c>
      <c r="AQ443" t="s">
        <v>95</v>
      </c>
      <c r="AR443" t="s">
        <v>95</v>
      </c>
      <c r="AS443" t="s">
        <v>95</v>
      </c>
      <c r="AT443" t="s">
        <v>92</v>
      </c>
      <c r="AU443" t="s">
        <v>94</v>
      </c>
      <c r="AV443" t="s">
        <v>95</v>
      </c>
      <c r="AW443" t="s">
        <v>94</v>
      </c>
      <c r="AX443" t="s">
        <v>95</v>
      </c>
      <c r="AY443" t="s">
        <v>93</v>
      </c>
      <c r="AZ443" t="s">
        <v>93</v>
      </c>
      <c r="BA443" t="s">
        <v>92</v>
      </c>
      <c r="BB443" t="s">
        <v>92</v>
      </c>
      <c r="BC443" t="s">
        <v>92</v>
      </c>
      <c r="BD443" t="s">
        <v>92</v>
      </c>
      <c r="BE443" t="s">
        <v>92</v>
      </c>
      <c r="BF443" t="s">
        <v>93</v>
      </c>
      <c r="BG443" t="s">
        <v>92</v>
      </c>
      <c r="BH443" t="s">
        <v>93</v>
      </c>
    </row>
    <row r="444" spans="1:60" x14ac:dyDescent="0.3">
      <c r="A444">
        <v>23</v>
      </c>
      <c r="B444" t="s">
        <v>70</v>
      </c>
      <c r="C444" t="s">
        <v>113</v>
      </c>
      <c r="D444" t="s">
        <v>149</v>
      </c>
      <c r="E444" t="s">
        <v>73</v>
      </c>
      <c r="F444" t="s">
        <v>136</v>
      </c>
      <c r="G444" t="s">
        <v>75</v>
      </c>
      <c r="H444" t="s">
        <v>98</v>
      </c>
      <c r="I444" t="s">
        <v>76</v>
      </c>
      <c r="J444" t="s">
        <v>77</v>
      </c>
      <c r="K444" t="s">
        <v>122</v>
      </c>
      <c r="L444" t="s">
        <v>82</v>
      </c>
      <c r="M444" t="s">
        <v>80</v>
      </c>
      <c r="N444" t="s">
        <v>79</v>
      </c>
      <c r="O444" t="s">
        <v>117</v>
      </c>
      <c r="P444" t="s">
        <v>79</v>
      </c>
      <c r="Q444" t="s">
        <v>83</v>
      </c>
      <c r="R444" t="s">
        <v>82</v>
      </c>
      <c r="S444" t="s">
        <v>123</v>
      </c>
      <c r="T444" t="s">
        <v>150</v>
      </c>
      <c r="U444" t="s">
        <v>79</v>
      </c>
      <c r="V444" t="s">
        <v>106</v>
      </c>
      <c r="W444" t="s">
        <v>141</v>
      </c>
      <c r="X444" t="s">
        <v>112</v>
      </c>
      <c r="Y444" t="s">
        <v>93</v>
      </c>
      <c r="Z444" t="s">
        <v>93</v>
      </c>
      <c r="AA444" t="s">
        <v>92</v>
      </c>
      <c r="AB444" t="s">
        <v>93</v>
      </c>
      <c r="AC444" t="s">
        <v>93</v>
      </c>
      <c r="AD444" t="s">
        <v>92</v>
      </c>
      <c r="AE444" t="s">
        <v>92</v>
      </c>
      <c r="AF444" t="s">
        <v>92</v>
      </c>
      <c r="AG444" t="s">
        <v>92</v>
      </c>
      <c r="AH444" t="s">
        <v>93</v>
      </c>
      <c r="AI444" t="s">
        <v>93</v>
      </c>
      <c r="AJ444" t="s">
        <v>92</v>
      </c>
      <c r="AK444" t="s">
        <v>93</v>
      </c>
      <c r="AL444" t="s">
        <v>92</v>
      </c>
      <c r="AM444" t="s">
        <v>94</v>
      </c>
      <c r="AN444" t="s">
        <v>93</v>
      </c>
      <c r="AO444" t="s">
        <v>93</v>
      </c>
      <c r="AP444" t="s">
        <v>93</v>
      </c>
      <c r="AQ444" t="s">
        <v>95</v>
      </c>
      <c r="AR444" t="s">
        <v>95</v>
      </c>
      <c r="AS444" t="s">
        <v>95</v>
      </c>
      <c r="AT444" t="s">
        <v>95</v>
      </c>
      <c r="AU444" t="s">
        <v>92</v>
      </c>
      <c r="AV444" t="s">
        <v>92</v>
      </c>
      <c r="AW444" t="s">
        <v>92</v>
      </c>
      <c r="AX444" t="s">
        <v>92</v>
      </c>
      <c r="AY444" t="s">
        <v>94</v>
      </c>
      <c r="AZ444" t="s">
        <v>92</v>
      </c>
      <c r="BA444" t="s">
        <v>93</v>
      </c>
      <c r="BB444" t="s">
        <v>93</v>
      </c>
      <c r="BC444" t="s">
        <v>93</v>
      </c>
      <c r="BD444" t="s">
        <v>93</v>
      </c>
      <c r="BE444" t="s">
        <v>92</v>
      </c>
      <c r="BF444" t="s">
        <v>93</v>
      </c>
      <c r="BG444" t="s">
        <v>92</v>
      </c>
      <c r="BH444" t="s">
        <v>95</v>
      </c>
    </row>
    <row r="445" spans="1:60" x14ac:dyDescent="0.3">
      <c r="A445">
        <v>22</v>
      </c>
      <c r="B445" t="s">
        <v>70</v>
      </c>
      <c r="C445" t="s">
        <v>96</v>
      </c>
      <c r="D445" t="s">
        <v>72</v>
      </c>
      <c r="E445" t="s">
        <v>114</v>
      </c>
      <c r="F445" t="s">
        <v>100</v>
      </c>
      <c r="G445" t="s">
        <v>75</v>
      </c>
      <c r="H445" t="s">
        <v>98</v>
      </c>
      <c r="I445" t="s">
        <v>76</v>
      </c>
      <c r="J445" t="s">
        <v>77</v>
      </c>
      <c r="K445" t="s">
        <v>125</v>
      </c>
      <c r="L445" t="s">
        <v>79</v>
      </c>
      <c r="M445" t="s">
        <v>80</v>
      </c>
      <c r="N445" t="s">
        <v>79</v>
      </c>
      <c r="O445" t="s">
        <v>109</v>
      </c>
      <c r="P445" t="s">
        <v>79</v>
      </c>
      <c r="Q445" t="s">
        <v>83</v>
      </c>
      <c r="R445" t="s">
        <v>79</v>
      </c>
      <c r="S445" t="s">
        <v>84</v>
      </c>
      <c r="T445" t="s">
        <v>130</v>
      </c>
      <c r="U445" t="s">
        <v>79</v>
      </c>
      <c r="V445" t="s">
        <v>106</v>
      </c>
      <c r="W445" t="s">
        <v>87</v>
      </c>
      <c r="X445" t="s">
        <v>112</v>
      </c>
      <c r="Y445" t="s">
        <v>93</v>
      </c>
      <c r="Z445" t="s">
        <v>93</v>
      </c>
      <c r="AA445" t="s">
        <v>93</v>
      </c>
      <c r="AB445" t="s">
        <v>93</v>
      </c>
      <c r="AC445" t="s">
        <v>95</v>
      </c>
      <c r="AD445" t="s">
        <v>95</v>
      </c>
      <c r="AE445" t="s">
        <v>95</v>
      </c>
      <c r="AF445" t="s">
        <v>95</v>
      </c>
      <c r="AG445" t="s">
        <v>92</v>
      </c>
      <c r="AH445" t="s">
        <v>92</v>
      </c>
      <c r="AI445" t="s">
        <v>92</v>
      </c>
      <c r="AJ445" t="s">
        <v>92</v>
      </c>
      <c r="AK445" t="s">
        <v>93</v>
      </c>
      <c r="AL445" t="s">
        <v>93</v>
      </c>
      <c r="AM445" t="s">
        <v>93</v>
      </c>
      <c r="AN445" t="s">
        <v>93</v>
      </c>
      <c r="AO445" t="s">
        <v>93</v>
      </c>
      <c r="AP445" t="s">
        <v>93</v>
      </c>
      <c r="AQ445" t="s">
        <v>93</v>
      </c>
      <c r="AR445" t="s">
        <v>93</v>
      </c>
      <c r="AS445" t="s">
        <v>95</v>
      </c>
      <c r="AT445" t="s">
        <v>95</v>
      </c>
      <c r="AU445" t="s">
        <v>93</v>
      </c>
      <c r="AV445" t="s">
        <v>93</v>
      </c>
      <c r="AW445" t="s">
        <v>93</v>
      </c>
      <c r="AX445" t="s">
        <v>93</v>
      </c>
      <c r="AY445" t="s">
        <v>93</v>
      </c>
      <c r="AZ445" t="s">
        <v>93</v>
      </c>
      <c r="BA445" t="s">
        <v>93</v>
      </c>
      <c r="BB445" t="s">
        <v>93</v>
      </c>
      <c r="BC445" t="s">
        <v>93</v>
      </c>
      <c r="BD445" t="s">
        <v>93</v>
      </c>
      <c r="BE445" t="s">
        <v>93</v>
      </c>
      <c r="BF445" t="s">
        <v>93</v>
      </c>
      <c r="BG445" t="s">
        <v>93</v>
      </c>
      <c r="BH445" t="s">
        <v>93</v>
      </c>
    </row>
    <row r="446" spans="1:60" x14ac:dyDescent="0.3">
      <c r="A446">
        <v>20</v>
      </c>
      <c r="B446" t="s">
        <v>70</v>
      </c>
      <c r="C446" t="s">
        <v>96</v>
      </c>
      <c r="D446" t="s">
        <v>97</v>
      </c>
      <c r="E446" t="s">
        <v>73</v>
      </c>
      <c r="F446" t="s">
        <v>98</v>
      </c>
      <c r="G446" t="s">
        <v>135</v>
      </c>
      <c r="H446" t="s">
        <v>100</v>
      </c>
      <c r="I446" t="s">
        <v>76</v>
      </c>
      <c r="J446" t="s">
        <v>77</v>
      </c>
      <c r="K446" t="s">
        <v>122</v>
      </c>
      <c r="L446" t="s">
        <v>79</v>
      </c>
      <c r="M446" t="s">
        <v>80</v>
      </c>
      <c r="N446" t="s">
        <v>79</v>
      </c>
      <c r="O446" t="s">
        <v>138</v>
      </c>
      <c r="P446" t="s">
        <v>79</v>
      </c>
      <c r="Q446" t="s">
        <v>83</v>
      </c>
      <c r="R446" t="s">
        <v>79</v>
      </c>
      <c r="S446" t="s">
        <v>126</v>
      </c>
      <c r="T446" t="s">
        <v>263</v>
      </c>
      <c r="U446" t="s">
        <v>79</v>
      </c>
      <c r="V446" t="s">
        <v>86</v>
      </c>
      <c r="W446" t="s">
        <v>141</v>
      </c>
      <c r="X446" t="s">
        <v>112</v>
      </c>
      <c r="Y446" t="s">
        <v>94</v>
      </c>
      <c r="Z446" t="s">
        <v>92</v>
      </c>
      <c r="AA446" t="s">
        <v>92</v>
      </c>
      <c r="AB446" t="s">
        <v>94</v>
      </c>
      <c r="AC446" t="s">
        <v>92</v>
      </c>
      <c r="AD446" t="s">
        <v>94</v>
      </c>
      <c r="AE446" t="s">
        <v>92</v>
      </c>
      <c r="AF446" t="s">
        <v>94</v>
      </c>
      <c r="AG446" t="s">
        <v>92</v>
      </c>
      <c r="AH446" t="s">
        <v>94</v>
      </c>
      <c r="AI446" t="s">
        <v>92</v>
      </c>
      <c r="AJ446" t="s">
        <v>94</v>
      </c>
      <c r="AK446" t="s">
        <v>94</v>
      </c>
      <c r="AL446" t="s">
        <v>92</v>
      </c>
      <c r="AM446" t="s">
        <v>94</v>
      </c>
      <c r="AN446" t="s">
        <v>94</v>
      </c>
      <c r="AO446" t="s">
        <v>92</v>
      </c>
      <c r="AP446" t="s">
        <v>94</v>
      </c>
      <c r="AQ446" t="s">
        <v>92</v>
      </c>
      <c r="AR446" t="s">
        <v>94</v>
      </c>
      <c r="AS446" t="s">
        <v>92</v>
      </c>
      <c r="AT446" t="s">
        <v>94</v>
      </c>
      <c r="AU446" t="s">
        <v>94</v>
      </c>
      <c r="AV446" t="s">
        <v>92</v>
      </c>
      <c r="AW446" t="s">
        <v>94</v>
      </c>
      <c r="AX446" t="s">
        <v>92</v>
      </c>
      <c r="AY446" t="s">
        <v>94</v>
      </c>
      <c r="AZ446" t="s">
        <v>92</v>
      </c>
      <c r="BA446" t="s">
        <v>94</v>
      </c>
      <c r="BB446" t="s">
        <v>92</v>
      </c>
      <c r="BC446" t="s">
        <v>94</v>
      </c>
      <c r="BD446" t="s">
        <v>94</v>
      </c>
      <c r="BE446" t="s">
        <v>92</v>
      </c>
      <c r="BF446" t="s">
        <v>94</v>
      </c>
      <c r="BG446" t="s">
        <v>92</v>
      </c>
      <c r="BH446" t="s">
        <v>94</v>
      </c>
    </row>
    <row r="447" spans="1:60" x14ac:dyDescent="0.3">
      <c r="A447">
        <v>23</v>
      </c>
      <c r="B447" t="s">
        <v>70</v>
      </c>
      <c r="C447" t="s">
        <v>113</v>
      </c>
      <c r="D447" t="s">
        <v>72</v>
      </c>
      <c r="E447" t="s">
        <v>108</v>
      </c>
      <c r="F447" t="s">
        <v>136</v>
      </c>
      <c r="G447" t="s">
        <v>135</v>
      </c>
      <c r="H447" t="s">
        <v>136</v>
      </c>
      <c r="I447" t="s">
        <v>76</v>
      </c>
      <c r="J447" t="s">
        <v>77</v>
      </c>
      <c r="K447" t="s">
        <v>122</v>
      </c>
      <c r="L447" t="s">
        <v>82</v>
      </c>
      <c r="M447" t="s">
        <v>80</v>
      </c>
      <c r="N447" t="s">
        <v>79</v>
      </c>
      <c r="O447" t="s">
        <v>138</v>
      </c>
      <c r="P447" t="s">
        <v>82</v>
      </c>
      <c r="Q447" t="s">
        <v>83</v>
      </c>
      <c r="R447" t="s">
        <v>82</v>
      </c>
      <c r="S447" t="s">
        <v>84</v>
      </c>
      <c r="T447" t="s">
        <v>206</v>
      </c>
      <c r="U447" t="s">
        <v>82</v>
      </c>
      <c r="V447" t="s">
        <v>106</v>
      </c>
      <c r="W447" t="s">
        <v>141</v>
      </c>
      <c r="Y447" t="s">
        <v>93</v>
      </c>
      <c r="Z447" t="s">
        <v>92</v>
      </c>
      <c r="AA447" t="s">
        <v>93</v>
      </c>
      <c r="AB447" t="s">
        <v>92</v>
      </c>
      <c r="AC447" t="s">
        <v>94</v>
      </c>
      <c r="AD447" t="s">
        <v>94</v>
      </c>
      <c r="AE447" t="s">
        <v>94</v>
      </c>
      <c r="AF447" t="s">
        <v>94</v>
      </c>
      <c r="AG447" t="s">
        <v>94</v>
      </c>
      <c r="AH447" t="s">
        <v>94</v>
      </c>
      <c r="AI447" t="s">
        <v>94</v>
      </c>
      <c r="AJ447" t="s">
        <v>92</v>
      </c>
      <c r="AK447" t="s">
        <v>94</v>
      </c>
      <c r="AL447" t="s">
        <v>94</v>
      </c>
      <c r="AM447" t="s">
        <v>93</v>
      </c>
      <c r="AN447" t="s">
        <v>94</v>
      </c>
      <c r="AO447" t="s">
        <v>92</v>
      </c>
      <c r="AP447" t="s">
        <v>94</v>
      </c>
      <c r="AQ447" t="s">
        <v>92</v>
      </c>
      <c r="AR447" t="s">
        <v>92</v>
      </c>
      <c r="AS447" t="s">
        <v>94</v>
      </c>
      <c r="AT447" t="s">
        <v>94</v>
      </c>
      <c r="AU447" t="s">
        <v>94</v>
      </c>
      <c r="AV447" t="s">
        <v>92</v>
      </c>
      <c r="AW447" t="s">
        <v>95</v>
      </c>
      <c r="AX447" t="s">
        <v>93</v>
      </c>
      <c r="AY447" t="s">
        <v>94</v>
      </c>
      <c r="AZ447" t="s">
        <v>95</v>
      </c>
      <c r="BA447" t="s">
        <v>93</v>
      </c>
      <c r="BB447" t="s">
        <v>93</v>
      </c>
      <c r="BC447" t="s">
        <v>93</v>
      </c>
      <c r="BD447" t="s">
        <v>93</v>
      </c>
      <c r="BE447" t="s">
        <v>93</v>
      </c>
      <c r="BF447" t="s">
        <v>92</v>
      </c>
      <c r="BG447" t="s">
        <v>93</v>
      </c>
      <c r="BH447" t="s">
        <v>93</v>
      </c>
    </row>
    <row r="448" spans="1:60" x14ac:dyDescent="0.3">
      <c r="A448">
        <v>22</v>
      </c>
      <c r="B448" t="s">
        <v>70</v>
      </c>
      <c r="C448" t="s">
        <v>113</v>
      </c>
      <c r="D448" t="s">
        <v>97</v>
      </c>
      <c r="E448" t="s">
        <v>114</v>
      </c>
      <c r="F448" t="s">
        <v>74</v>
      </c>
      <c r="G448" t="s">
        <v>99</v>
      </c>
      <c r="H448" t="s">
        <v>136</v>
      </c>
      <c r="I448" t="s">
        <v>76</v>
      </c>
      <c r="J448" t="s">
        <v>77</v>
      </c>
      <c r="K448" t="s">
        <v>122</v>
      </c>
      <c r="L448" t="s">
        <v>79</v>
      </c>
      <c r="M448" t="s">
        <v>80</v>
      </c>
      <c r="N448" t="s">
        <v>79</v>
      </c>
      <c r="O448" t="s">
        <v>81</v>
      </c>
      <c r="P448" t="s">
        <v>82</v>
      </c>
      <c r="Q448" t="s">
        <v>83</v>
      </c>
      <c r="R448" t="s">
        <v>82</v>
      </c>
      <c r="S448" t="s">
        <v>223</v>
      </c>
      <c r="T448" t="s">
        <v>85</v>
      </c>
      <c r="U448" t="s">
        <v>82</v>
      </c>
      <c r="V448" t="s">
        <v>106</v>
      </c>
      <c r="W448" t="s">
        <v>87</v>
      </c>
      <c r="X448" t="s">
        <v>112</v>
      </c>
      <c r="Y448" t="s">
        <v>93</v>
      </c>
      <c r="Z448" t="s">
        <v>93</v>
      </c>
      <c r="AA448" t="s">
        <v>93</v>
      </c>
      <c r="AB448" t="s">
        <v>94</v>
      </c>
      <c r="AC448" t="s">
        <v>92</v>
      </c>
      <c r="AD448" t="s">
        <v>95</v>
      </c>
      <c r="AE448" t="s">
        <v>95</v>
      </c>
      <c r="AF448" t="s">
        <v>92</v>
      </c>
      <c r="AG448" t="s">
        <v>95</v>
      </c>
      <c r="AH448" t="s">
        <v>92</v>
      </c>
      <c r="AI448" t="s">
        <v>93</v>
      </c>
      <c r="AJ448" t="s">
        <v>92</v>
      </c>
      <c r="AK448" t="s">
        <v>93</v>
      </c>
      <c r="AL448" t="s">
        <v>92</v>
      </c>
      <c r="AM448" t="s">
        <v>93</v>
      </c>
      <c r="AN448" t="s">
        <v>93</v>
      </c>
      <c r="AO448" t="s">
        <v>93</v>
      </c>
      <c r="AP448" t="s">
        <v>93</v>
      </c>
      <c r="AQ448" t="s">
        <v>92</v>
      </c>
      <c r="AR448" t="s">
        <v>95</v>
      </c>
      <c r="AS448" t="s">
        <v>95</v>
      </c>
      <c r="AT448" t="s">
        <v>95</v>
      </c>
      <c r="AU448" t="s">
        <v>95</v>
      </c>
      <c r="AV448" t="s">
        <v>95</v>
      </c>
      <c r="AW448" t="s">
        <v>92</v>
      </c>
      <c r="AX448" t="s">
        <v>92</v>
      </c>
      <c r="AY448" t="s">
        <v>95</v>
      </c>
      <c r="AZ448" t="s">
        <v>95</v>
      </c>
      <c r="BA448" t="s">
        <v>93</v>
      </c>
      <c r="BB448" t="s">
        <v>93</v>
      </c>
      <c r="BC448" t="s">
        <v>93</v>
      </c>
      <c r="BD448" t="s">
        <v>93</v>
      </c>
      <c r="BE448" t="s">
        <v>93</v>
      </c>
      <c r="BF448" t="s">
        <v>93</v>
      </c>
      <c r="BG448" t="s">
        <v>95</v>
      </c>
      <c r="BH448" t="s">
        <v>95</v>
      </c>
    </row>
    <row r="449" spans="1:60" x14ac:dyDescent="0.3">
      <c r="A449">
        <v>20</v>
      </c>
      <c r="B449" t="s">
        <v>70</v>
      </c>
      <c r="C449" t="s">
        <v>96</v>
      </c>
      <c r="D449" t="s">
        <v>97</v>
      </c>
      <c r="E449" t="s">
        <v>108</v>
      </c>
      <c r="F449" t="s">
        <v>74</v>
      </c>
      <c r="G449" t="s">
        <v>135</v>
      </c>
      <c r="H449" t="s">
        <v>136</v>
      </c>
      <c r="I449" t="s">
        <v>76</v>
      </c>
      <c r="J449" t="s">
        <v>77</v>
      </c>
      <c r="K449" t="s">
        <v>78</v>
      </c>
      <c r="L449" t="s">
        <v>79</v>
      </c>
      <c r="M449" t="s">
        <v>102</v>
      </c>
      <c r="N449" t="s">
        <v>79</v>
      </c>
      <c r="O449" t="s">
        <v>81</v>
      </c>
      <c r="P449" t="s">
        <v>79</v>
      </c>
      <c r="Q449" t="s">
        <v>83</v>
      </c>
      <c r="R449" t="s">
        <v>82</v>
      </c>
      <c r="S449" t="s">
        <v>142</v>
      </c>
      <c r="T449" t="s">
        <v>228</v>
      </c>
      <c r="U449" t="s">
        <v>79</v>
      </c>
      <c r="V449" t="s">
        <v>148</v>
      </c>
      <c r="W449" t="s">
        <v>120</v>
      </c>
      <c r="X449" t="s">
        <v>127</v>
      </c>
      <c r="Y449" t="s">
        <v>94</v>
      </c>
      <c r="Z449" t="s">
        <v>94</v>
      </c>
      <c r="AA449" t="s">
        <v>94</v>
      </c>
      <c r="AB449" t="s">
        <v>94</v>
      </c>
      <c r="AC449" t="s">
        <v>94</v>
      </c>
      <c r="AD449" t="s">
        <v>94</v>
      </c>
      <c r="AE449" t="s">
        <v>94</v>
      </c>
      <c r="AF449" t="s">
        <v>94</v>
      </c>
      <c r="AG449" t="s">
        <v>94</v>
      </c>
      <c r="AH449" t="s">
        <v>94</v>
      </c>
      <c r="AI449" t="s">
        <v>94</v>
      </c>
      <c r="AJ449" t="s">
        <v>94</v>
      </c>
      <c r="AK449" t="s">
        <v>94</v>
      </c>
      <c r="AL449" t="s">
        <v>94</v>
      </c>
      <c r="AM449" t="s">
        <v>94</v>
      </c>
      <c r="AN449" t="s">
        <v>92</v>
      </c>
      <c r="AO449" t="s">
        <v>92</v>
      </c>
      <c r="AP449" t="s">
        <v>92</v>
      </c>
      <c r="AQ449" t="s">
        <v>92</v>
      </c>
      <c r="AR449" t="s">
        <v>92</v>
      </c>
      <c r="AS449" t="s">
        <v>92</v>
      </c>
      <c r="AT449" t="s">
        <v>92</v>
      </c>
      <c r="AU449" t="s">
        <v>94</v>
      </c>
      <c r="AV449" t="s">
        <v>92</v>
      </c>
      <c r="AW449" t="s">
        <v>92</v>
      </c>
      <c r="AX449" t="s">
        <v>92</v>
      </c>
      <c r="AY449" t="s">
        <v>92</v>
      </c>
      <c r="AZ449" t="s">
        <v>92</v>
      </c>
      <c r="BA449" t="s">
        <v>92</v>
      </c>
      <c r="BB449" t="s">
        <v>92</v>
      </c>
      <c r="BC449" t="s">
        <v>92</v>
      </c>
      <c r="BD449" t="s">
        <v>92</v>
      </c>
      <c r="BE449" t="s">
        <v>92</v>
      </c>
      <c r="BF449" t="s">
        <v>92</v>
      </c>
      <c r="BG449" t="s">
        <v>92</v>
      </c>
      <c r="BH449" t="s">
        <v>92</v>
      </c>
    </row>
    <row r="450" spans="1:60" x14ac:dyDescent="0.3">
      <c r="A450">
        <v>23</v>
      </c>
      <c r="B450" t="s">
        <v>70</v>
      </c>
      <c r="C450" t="s">
        <v>113</v>
      </c>
      <c r="D450" t="s">
        <v>97</v>
      </c>
      <c r="E450" t="s">
        <v>114</v>
      </c>
      <c r="F450" t="s">
        <v>98</v>
      </c>
      <c r="G450" t="s">
        <v>287</v>
      </c>
      <c r="H450" t="s">
        <v>100</v>
      </c>
      <c r="I450" t="s">
        <v>76</v>
      </c>
      <c r="J450" t="s">
        <v>101</v>
      </c>
      <c r="K450" t="s">
        <v>125</v>
      </c>
      <c r="L450" t="s">
        <v>82</v>
      </c>
      <c r="M450" t="s">
        <v>80</v>
      </c>
      <c r="N450" t="s">
        <v>82</v>
      </c>
      <c r="O450" t="s">
        <v>117</v>
      </c>
      <c r="P450" t="s">
        <v>82</v>
      </c>
      <c r="Q450" t="s">
        <v>83</v>
      </c>
      <c r="R450" t="s">
        <v>82</v>
      </c>
      <c r="S450" t="s">
        <v>84</v>
      </c>
      <c r="T450" t="s">
        <v>159</v>
      </c>
      <c r="U450" t="s">
        <v>82</v>
      </c>
      <c r="V450" t="s">
        <v>106</v>
      </c>
      <c r="W450" t="s">
        <v>87</v>
      </c>
      <c r="X450" t="s">
        <v>112</v>
      </c>
      <c r="Y450" t="s">
        <v>93</v>
      </c>
      <c r="Z450" t="s">
        <v>93</v>
      </c>
      <c r="AA450" t="s">
        <v>93</v>
      </c>
      <c r="AB450" t="s">
        <v>92</v>
      </c>
      <c r="AC450" t="s">
        <v>94</v>
      </c>
      <c r="AD450" t="s">
        <v>92</v>
      </c>
      <c r="AE450" t="s">
        <v>94</v>
      </c>
      <c r="AF450" t="s">
        <v>92</v>
      </c>
      <c r="AG450" t="s">
        <v>92</v>
      </c>
      <c r="AH450" t="s">
        <v>95</v>
      </c>
      <c r="AI450" t="s">
        <v>93</v>
      </c>
      <c r="AJ450" t="s">
        <v>93</v>
      </c>
      <c r="AK450" t="s">
        <v>93</v>
      </c>
      <c r="AL450" t="s">
        <v>93</v>
      </c>
      <c r="AM450" t="s">
        <v>93</v>
      </c>
      <c r="AN450" t="s">
        <v>93</v>
      </c>
      <c r="AO450" t="s">
        <v>93</v>
      </c>
      <c r="AP450" t="s">
        <v>93</v>
      </c>
      <c r="AQ450" t="s">
        <v>93</v>
      </c>
      <c r="AR450" t="s">
        <v>93</v>
      </c>
      <c r="AS450" t="s">
        <v>92</v>
      </c>
      <c r="AT450" t="s">
        <v>92</v>
      </c>
      <c r="AU450" t="s">
        <v>93</v>
      </c>
      <c r="AV450" t="s">
        <v>93</v>
      </c>
      <c r="AW450" t="s">
        <v>94</v>
      </c>
      <c r="AX450" t="s">
        <v>94</v>
      </c>
      <c r="AY450" t="s">
        <v>92</v>
      </c>
      <c r="AZ450" t="s">
        <v>92</v>
      </c>
      <c r="BA450" t="s">
        <v>94</v>
      </c>
      <c r="BB450" t="s">
        <v>94</v>
      </c>
      <c r="BC450" t="s">
        <v>92</v>
      </c>
      <c r="BD450" t="s">
        <v>94</v>
      </c>
      <c r="BE450" t="s">
        <v>94</v>
      </c>
      <c r="BF450" t="s">
        <v>92</v>
      </c>
      <c r="BG450" t="s">
        <v>92</v>
      </c>
      <c r="BH450" t="s">
        <v>93</v>
      </c>
    </row>
    <row r="451" spans="1:60" x14ac:dyDescent="0.3">
      <c r="A451">
        <v>22</v>
      </c>
      <c r="B451" t="s">
        <v>70</v>
      </c>
      <c r="C451" t="s">
        <v>96</v>
      </c>
      <c r="D451" t="s">
        <v>72</v>
      </c>
      <c r="E451" t="s">
        <v>73</v>
      </c>
      <c r="F451" t="s">
        <v>74</v>
      </c>
      <c r="G451" t="s">
        <v>135</v>
      </c>
      <c r="H451" t="s">
        <v>74</v>
      </c>
      <c r="I451" t="s">
        <v>99</v>
      </c>
      <c r="J451" t="s">
        <v>77</v>
      </c>
      <c r="K451" t="s">
        <v>78</v>
      </c>
      <c r="L451" t="s">
        <v>79</v>
      </c>
      <c r="M451" t="s">
        <v>80</v>
      </c>
      <c r="N451" t="s">
        <v>79</v>
      </c>
      <c r="O451" t="s">
        <v>109</v>
      </c>
      <c r="P451" t="s">
        <v>82</v>
      </c>
      <c r="Q451" t="s">
        <v>83</v>
      </c>
      <c r="R451" t="s">
        <v>79</v>
      </c>
      <c r="S451" t="s">
        <v>84</v>
      </c>
      <c r="T451" t="s">
        <v>167</v>
      </c>
      <c r="U451" t="s">
        <v>82</v>
      </c>
      <c r="V451" t="s">
        <v>106</v>
      </c>
      <c r="W451" t="s">
        <v>87</v>
      </c>
      <c r="X451" t="s">
        <v>112</v>
      </c>
      <c r="Y451" t="s">
        <v>92</v>
      </c>
      <c r="Z451" t="s">
        <v>93</v>
      </c>
      <c r="AA451" t="s">
        <v>92</v>
      </c>
      <c r="AB451" t="s">
        <v>92</v>
      </c>
      <c r="AC451" t="s">
        <v>92</v>
      </c>
      <c r="AD451" t="s">
        <v>92</v>
      </c>
      <c r="AE451" t="s">
        <v>92</v>
      </c>
      <c r="AF451" t="s">
        <v>92</v>
      </c>
      <c r="AG451" t="s">
        <v>92</v>
      </c>
      <c r="AH451" t="s">
        <v>92</v>
      </c>
      <c r="AI451" t="s">
        <v>92</v>
      </c>
      <c r="AJ451" t="s">
        <v>92</v>
      </c>
      <c r="AK451" t="s">
        <v>92</v>
      </c>
      <c r="AL451" t="s">
        <v>92</v>
      </c>
      <c r="AM451" t="s">
        <v>92</v>
      </c>
      <c r="AN451" t="s">
        <v>93</v>
      </c>
      <c r="AO451" t="s">
        <v>93</v>
      </c>
      <c r="AP451" t="s">
        <v>93</v>
      </c>
      <c r="AQ451" t="s">
        <v>93</v>
      </c>
      <c r="AR451" t="s">
        <v>95</v>
      </c>
      <c r="AS451" t="s">
        <v>92</v>
      </c>
      <c r="AT451" t="s">
        <v>92</v>
      </c>
      <c r="AU451" t="s">
        <v>93</v>
      </c>
      <c r="AV451" t="s">
        <v>93</v>
      </c>
      <c r="AW451" t="s">
        <v>93</v>
      </c>
      <c r="AX451" t="s">
        <v>93</v>
      </c>
      <c r="AY451" t="s">
        <v>93</v>
      </c>
      <c r="AZ451" t="s">
        <v>93</v>
      </c>
      <c r="BA451" t="s">
        <v>93</v>
      </c>
      <c r="BB451" t="s">
        <v>93</v>
      </c>
      <c r="BC451" t="s">
        <v>93</v>
      </c>
      <c r="BD451" t="s">
        <v>93</v>
      </c>
      <c r="BE451" t="s">
        <v>93</v>
      </c>
      <c r="BF451" t="s">
        <v>93</v>
      </c>
      <c r="BG451" t="s">
        <v>93</v>
      </c>
      <c r="BH451" t="s">
        <v>93</v>
      </c>
    </row>
    <row r="452" spans="1:60" x14ac:dyDescent="0.3">
      <c r="A452">
        <v>24</v>
      </c>
      <c r="B452" t="s">
        <v>70</v>
      </c>
      <c r="C452" t="s">
        <v>113</v>
      </c>
      <c r="D452" t="s">
        <v>97</v>
      </c>
      <c r="E452" t="s">
        <v>114</v>
      </c>
      <c r="F452" t="s">
        <v>98</v>
      </c>
      <c r="G452" t="s">
        <v>99</v>
      </c>
      <c r="H452" t="s">
        <v>136</v>
      </c>
      <c r="I452" t="s">
        <v>76</v>
      </c>
      <c r="J452" t="s">
        <v>77</v>
      </c>
      <c r="K452" t="s">
        <v>125</v>
      </c>
      <c r="L452" t="s">
        <v>79</v>
      </c>
      <c r="M452" t="s">
        <v>80</v>
      </c>
      <c r="N452" t="s">
        <v>79</v>
      </c>
      <c r="O452" t="s">
        <v>81</v>
      </c>
      <c r="P452" t="s">
        <v>82</v>
      </c>
      <c r="Q452" t="s">
        <v>83</v>
      </c>
      <c r="R452" t="s">
        <v>82</v>
      </c>
      <c r="S452" t="s">
        <v>84</v>
      </c>
      <c r="T452" t="s">
        <v>124</v>
      </c>
      <c r="U452" t="s">
        <v>82</v>
      </c>
      <c r="V452" t="s">
        <v>106</v>
      </c>
      <c r="W452" t="s">
        <v>87</v>
      </c>
      <c r="X452" t="s">
        <v>112</v>
      </c>
      <c r="Y452" t="s">
        <v>93</v>
      </c>
      <c r="Z452" t="s">
        <v>93</v>
      </c>
      <c r="AA452" t="s">
        <v>92</v>
      </c>
      <c r="AB452" t="s">
        <v>94</v>
      </c>
      <c r="AC452" t="s">
        <v>92</v>
      </c>
      <c r="AD452" t="s">
        <v>94</v>
      </c>
      <c r="AE452" t="s">
        <v>92</v>
      </c>
      <c r="AF452" t="s">
        <v>94</v>
      </c>
      <c r="AG452" t="s">
        <v>92</v>
      </c>
      <c r="AH452" t="s">
        <v>94</v>
      </c>
      <c r="AI452" t="s">
        <v>92</v>
      </c>
      <c r="AJ452" t="s">
        <v>94</v>
      </c>
      <c r="AK452" t="s">
        <v>92</v>
      </c>
      <c r="AL452" t="s">
        <v>94</v>
      </c>
      <c r="AM452" t="s">
        <v>92</v>
      </c>
      <c r="AN452" t="s">
        <v>94</v>
      </c>
      <c r="AO452" t="s">
        <v>95</v>
      </c>
      <c r="AP452" t="s">
        <v>94</v>
      </c>
      <c r="AQ452" t="s">
        <v>95</v>
      </c>
      <c r="AR452" t="s">
        <v>92</v>
      </c>
      <c r="AS452" t="s">
        <v>95</v>
      </c>
      <c r="AT452" t="s">
        <v>94</v>
      </c>
      <c r="AU452" t="s">
        <v>94</v>
      </c>
      <c r="AV452" t="s">
        <v>94</v>
      </c>
      <c r="AW452" t="s">
        <v>94</v>
      </c>
      <c r="AX452" t="s">
        <v>94</v>
      </c>
      <c r="AY452" t="s">
        <v>95</v>
      </c>
      <c r="AZ452" t="s">
        <v>94</v>
      </c>
      <c r="BA452" t="s">
        <v>94</v>
      </c>
      <c r="BB452" t="s">
        <v>95</v>
      </c>
      <c r="BC452" t="s">
        <v>92</v>
      </c>
      <c r="BD452" t="s">
        <v>94</v>
      </c>
      <c r="BE452" t="s">
        <v>95</v>
      </c>
      <c r="BF452" t="s">
        <v>94</v>
      </c>
      <c r="BG452" t="s">
        <v>92</v>
      </c>
      <c r="BH452" t="s">
        <v>95</v>
      </c>
    </row>
    <row r="453" spans="1:60" x14ac:dyDescent="0.3">
      <c r="A453">
        <v>23</v>
      </c>
      <c r="B453" t="s">
        <v>70</v>
      </c>
      <c r="C453" t="s">
        <v>113</v>
      </c>
      <c r="D453" t="s">
        <v>72</v>
      </c>
      <c r="E453" t="s">
        <v>114</v>
      </c>
      <c r="F453" t="s">
        <v>98</v>
      </c>
      <c r="G453" t="s">
        <v>115</v>
      </c>
      <c r="H453" t="s">
        <v>165</v>
      </c>
      <c r="I453" t="s">
        <v>76</v>
      </c>
      <c r="J453" t="s">
        <v>101</v>
      </c>
      <c r="K453" t="s">
        <v>125</v>
      </c>
      <c r="L453" t="s">
        <v>79</v>
      </c>
      <c r="M453" t="s">
        <v>80</v>
      </c>
      <c r="N453" t="s">
        <v>79</v>
      </c>
      <c r="O453" t="s">
        <v>117</v>
      </c>
      <c r="P453" t="s">
        <v>79</v>
      </c>
      <c r="Q453" t="s">
        <v>83</v>
      </c>
      <c r="R453" t="s">
        <v>79</v>
      </c>
      <c r="S453" t="s">
        <v>126</v>
      </c>
      <c r="T453" t="s">
        <v>124</v>
      </c>
      <c r="U453" t="s">
        <v>82</v>
      </c>
      <c r="V453" t="s">
        <v>106</v>
      </c>
      <c r="W453" t="s">
        <v>141</v>
      </c>
      <c r="X453" t="s">
        <v>112</v>
      </c>
      <c r="Y453" t="s">
        <v>92</v>
      </c>
      <c r="Z453" t="s">
        <v>92</v>
      </c>
      <c r="AA453" t="s">
        <v>93</v>
      </c>
      <c r="AB453" t="s">
        <v>92</v>
      </c>
      <c r="AC453" t="s">
        <v>94</v>
      </c>
      <c r="AD453" t="s">
        <v>94</v>
      </c>
      <c r="AE453" t="s">
        <v>93</v>
      </c>
      <c r="AF453" t="s">
        <v>92</v>
      </c>
      <c r="AG453" t="s">
        <v>93</v>
      </c>
      <c r="AH453" t="s">
        <v>93</v>
      </c>
      <c r="AI453" t="s">
        <v>93</v>
      </c>
      <c r="AJ453" t="s">
        <v>93</v>
      </c>
      <c r="AK453" t="s">
        <v>95</v>
      </c>
      <c r="AL453" t="s">
        <v>94</v>
      </c>
      <c r="AM453" t="s">
        <v>94</v>
      </c>
      <c r="AN453" t="s">
        <v>92</v>
      </c>
      <c r="AO453" t="s">
        <v>92</v>
      </c>
      <c r="AP453" t="s">
        <v>92</v>
      </c>
      <c r="AQ453" t="s">
        <v>95</v>
      </c>
      <c r="AR453" t="s">
        <v>94</v>
      </c>
      <c r="AS453" t="s">
        <v>95</v>
      </c>
      <c r="AT453" t="s">
        <v>95</v>
      </c>
      <c r="AU453" t="s">
        <v>95</v>
      </c>
      <c r="AV453" t="s">
        <v>95</v>
      </c>
      <c r="AW453" t="s">
        <v>92</v>
      </c>
      <c r="AX453" t="s">
        <v>93</v>
      </c>
      <c r="AY453" t="s">
        <v>95</v>
      </c>
      <c r="AZ453" t="s">
        <v>95</v>
      </c>
      <c r="BA453" t="s">
        <v>93</v>
      </c>
      <c r="BB453" t="s">
        <v>92</v>
      </c>
      <c r="BC453" t="s">
        <v>92</v>
      </c>
      <c r="BD453" t="s">
        <v>93</v>
      </c>
      <c r="BE453" t="s">
        <v>93</v>
      </c>
      <c r="BF453" t="s">
        <v>95</v>
      </c>
      <c r="BG453" t="s">
        <v>92</v>
      </c>
      <c r="BH453" t="s">
        <v>95</v>
      </c>
    </row>
    <row r="454" spans="1:60" x14ac:dyDescent="0.3">
      <c r="A454">
        <v>21</v>
      </c>
      <c r="B454" t="s">
        <v>70</v>
      </c>
      <c r="C454" t="s">
        <v>96</v>
      </c>
      <c r="D454" t="s">
        <v>72</v>
      </c>
      <c r="E454" t="s">
        <v>73</v>
      </c>
      <c r="F454" t="s">
        <v>74</v>
      </c>
      <c r="G454" t="s">
        <v>115</v>
      </c>
      <c r="H454" t="s">
        <v>74</v>
      </c>
      <c r="I454" t="s">
        <v>75</v>
      </c>
      <c r="J454" t="s">
        <v>77</v>
      </c>
      <c r="K454" t="s">
        <v>78</v>
      </c>
      <c r="L454" t="s">
        <v>79</v>
      </c>
      <c r="M454" t="s">
        <v>80</v>
      </c>
      <c r="N454" t="s">
        <v>79</v>
      </c>
      <c r="O454" t="s">
        <v>109</v>
      </c>
      <c r="P454" t="s">
        <v>79</v>
      </c>
      <c r="Q454" t="s">
        <v>83</v>
      </c>
      <c r="R454" t="s">
        <v>79</v>
      </c>
      <c r="S454" t="s">
        <v>84</v>
      </c>
      <c r="T454" t="s">
        <v>124</v>
      </c>
      <c r="U454" t="s">
        <v>79</v>
      </c>
      <c r="V454" t="s">
        <v>86</v>
      </c>
      <c r="W454" t="s">
        <v>120</v>
      </c>
      <c r="X454" t="s">
        <v>112</v>
      </c>
      <c r="Y454" t="s">
        <v>93</v>
      </c>
      <c r="Z454" t="s">
        <v>93</v>
      </c>
      <c r="AA454" t="s">
        <v>93</v>
      </c>
      <c r="AB454" t="s">
        <v>93</v>
      </c>
      <c r="AC454" t="s">
        <v>93</v>
      </c>
      <c r="AD454" t="s">
        <v>93</v>
      </c>
      <c r="AE454" t="s">
        <v>93</v>
      </c>
      <c r="AF454" t="s">
        <v>93</v>
      </c>
      <c r="AG454" t="s">
        <v>93</v>
      </c>
      <c r="AH454" t="s">
        <v>93</v>
      </c>
      <c r="AI454" t="s">
        <v>93</v>
      </c>
      <c r="AJ454" t="s">
        <v>93</v>
      </c>
      <c r="AK454" t="s">
        <v>93</v>
      </c>
      <c r="AL454" t="s">
        <v>93</v>
      </c>
      <c r="AM454" t="s">
        <v>93</v>
      </c>
      <c r="AN454" t="s">
        <v>92</v>
      </c>
      <c r="AO454" t="s">
        <v>92</v>
      </c>
      <c r="AP454" t="s">
        <v>92</v>
      </c>
      <c r="AQ454" t="s">
        <v>92</v>
      </c>
      <c r="AR454" t="s">
        <v>92</v>
      </c>
      <c r="AS454" t="s">
        <v>92</v>
      </c>
      <c r="AT454" t="s">
        <v>92</v>
      </c>
      <c r="AU454" t="s">
        <v>92</v>
      </c>
      <c r="AV454" t="s">
        <v>92</v>
      </c>
      <c r="AW454" t="s">
        <v>92</v>
      </c>
      <c r="AX454" t="s">
        <v>92</v>
      </c>
      <c r="AY454" t="s">
        <v>92</v>
      </c>
      <c r="AZ454" t="s">
        <v>92</v>
      </c>
      <c r="BA454" t="s">
        <v>93</v>
      </c>
      <c r="BB454" t="s">
        <v>93</v>
      </c>
      <c r="BC454" t="s">
        <v>93</v>
      </c>
      <c r="BD454" t="s">
        <v>93</v>
      </c>
      <c r="BE454" t="s">
        <v>93</v>
      </c>
      <c r="BF454" t="s">
        <v>93</v>
      </c>
      <c r="BG454" t="s">
        <v>93</v>
      </c>
      <c r="BH454" t="s">
        <v>93</v>
      </c>
    </row>
    <row r="455" spans="1:60" x14ac:dyDescent="0.3">
      <c r="A455">
        <v>21</v>
      </c>
      <c r="B455" t="s">
        <v>70</v>
      </c>
      <c r="C455" t="s">
        <v>96</v>
      </c>
      <c r="D455" t="s">
        <v>97</v>
      </c>
      <c r="E455" t="s">
        <v>108</v>
      </c>
      <c r="F455" t="s">
        <v>74</v>
      </c>
      <c r="G455" t="s">
        <v>99</v>
      </c>
      <c r="H455" t="s">
        <v>98</v>
      </c>
      <c r="I455" t="s">
        <v>76</v>
      </c>
      <c r="J455" t="s">
        <v>101</v>
      </c>
      <c r="K455" t="s">
        <v>131</v>
      </c>
      <c r="L455" t="s">
        <v>79</v>
      </c>
      <c r="M455" t="s">
        <v>80</v>
      </c>
      <c r="N455" t="s">
        <v>79</v>
      </c>
      <c r="O455" t="s">
        <v>81</v>
      </c>
      <c r="P455" t="s">
        <v>82</v>
      </c>
      <c r="Q455" t="s">
        <v>83</v>
      </c>
      <c r="R455" t="s">
        <v>82</v>
      </c>
      <c r="S455" t="s">
        <v>84</v>
      </c>
      <c r="T455" t="s">
        <v>124</v>
      </c>
      <c r="U455" t="s">
        <v>82</v>
      </c>
      <c r="V455" t="s">
        <v>106</v>
      </c>
      <c r="W455" t="s">
        <v>87</v>
      </c>
      <c r="X455" t="s">
        <v>127</v>
      </c>
      <c r="Y455" t="s">
        <v>94</v>
      </c>
      <c r="Z455" t="s">
        <v>94</v>
      </c>
      <c r="AA455" t="s">
        <v>94</v>
      </c>
      <c r="AB455" t="s">
        <v>94</v>
      </c>
      <c r="AC455" t="s">
        <v>92</v>
      </c>
      <c r="AD455" t="s">
        <v>94</v>
      </c>
      <c r="AE455" t="s">
        <v>92</v>
      </c>
      <c r="AF455" t="s">
        <v>92</v>
      </c>
      <c r="AG455" t="s">
        <v>94</v>
      </c>
      <c r="AH455" t="s">
        <v>92</v>
      </c>
      <c r="AI455" t="s">
        <v>92</v>
      </c>
      <c r="AJ455" t="s">
        <v>92</v>
      </c>
      <c r="AK455" t="s">
        <v>92</v>
      </c>
      <c r="AL455" t="s">
        <v>92</v>
      </c>
      <c r="AM455" t="s">
        <v>92</v>
      </c>
      <c r="AN455" t="s">
        <v>93</v>
      </c>
      <c r="AO455" t="s">
        <v>93</v>
      </c>
      <c r="AP455" t="s">
        <v>93</v>
      </c>
      <c r="AQ455" t="s">
        <v>95</v>
      </c>
      <c r="AR455" t="s">
        <v>95</v>
      </c>
      <c r="AS455" t="s">
        <v>95</v>
      </c>
      <c r="AT455" t="s">
        <v>95</v>
      </c>
      <c r="AU455" t="s">
        <v>92</v>
      </c>
      <c r="AV455" t="s">
        <v>92</v>
      </c>
      <c r="AW455" t="s">
        <v>92</v>
      </c>
      <c r="AX455" t="s">
        <v>94</v>
      </c>
      <c r="AY455" t="s">
        <v>94</v>
      </c>
      <c r="AZ455" t="s">
        <v>94</v>
      </c>
      <c r="BA455" t="s">
        <v>93</v>
      </c>
      <c r="BB455" t="s">
        <v>92</v>
      </c>
      <c r="BC455" t="s">
        <v>93</v>
      </c>
      <c r="BD455" t="s">
        <v>93</v>
      </c>
      <c r="BE455" t="s">
        <v>93</v>
      </c>
      <c r="BF455" t="s">
        <v>93</v>
      </c>
      <c r="BG455" t="s">
        <v>93</v>
      </c>
      <c r="BH455" t="s">
        <v>93</v>
      </c>
    </row>
    <row r="456" spans="1:60" x14ac:dyDescent="0.3">
      <c r="A456">
        <v>23</v>
      </c>
      <c r="B456" t="s">
        <v>70</v>
      </c>
      <c r="C456" t="s">
        <v>96</v>
      </c>
      <c r="D456" t="s">
        <v>72</v>
      </c>
      <c r="E456" t="s">
        <v>73</v>
      </c>
      <c r="F456" t="s">
        <v>136</v>
      </c>
      <c r="G456" t="s">
        <v>115</v>
      </c>
      <c r="H456" t="s">
        <v>136</v>
      </c>
      <c r="I456" t="s">
        <v>76</v>
      </c>
      <c r="J456" t="s">
        <v>77</v>
      </c>
      <c r="K456" t="s">
        <v>78</v>
      </c>
      <c r="L456" t="s">
        <v>79</v>
      </c>
      <c r="M456" t="s">
        <v>80</v>
      </c>
      <c r="N456" t="s">
        <v>79</v>
      </c>
      <c r="O456" t="s">
        <v>109</v>
      </c>
      <c r="P456" t="s">
        <v>82</v>
      </c>
      <c r="Q456" t="s">
        <v>83</v>
      </c>
      <c r="R456" t="s">
        <v>79</v>
      </c>
      <c r="S456" t="s">
        <v>84</v>
      </c>
      <c r="T456" t="s">
        <v>205</v>
      </c>
      <c r="U456" t="s">
        <v>79</v>
      </c>
      <c r="V456" t="s">
        <v>86</v>
      </c>
      <c r="W456" t="s">
        <v>87</v>
      </c>
      <c r="X456" t="s">
        <v>88</v>
      </c>
      <c r="Y456" t="s">
        <v>92</v>
      </c>
      <c r="Z456" t="s">
        <v>92</v>
      </c>
      <c r="AA456" t="s">
        <v>92</v>
      </c>
      <c r="AB456" t="s">
        <v>92</v>
      </c>
      <c r="AC456" t="s">
        <v>94</v>
      </c>
      <c r="AD456" t="s">
        <v>92</v>
      </c>
      <c r="AE456" t="s">
        <v>94</v>
      </c>
      <c r="AF456" t="s">
        <v>94</v>
      </c>
      <c r="AG456" t="s">
        <v>92</v>
      </c>
      <c r="AH456" t="s">
        <v>95</v>
      </c>
      <c r="AI456" t="s">
        <v>94</v>
      </c>
      <c r="AJ456" t="s">
        <v>94</v>
      </c>
      <c r="AK456" t="s">
        <v>92</v>
      </c>
      <c r="AL456" t="s">
        <v>92</v>
      </c>
      <c r="AM456" t="s">
        <v>94</v>
      </c>
      <c r="AN456" t="s">
        <v>92</v>
      </c>
      <c r="AO456" t="s">
        <v>94</v>
      </c>
      <c r="AP456" t="s">
        <v>95</v>
      </c>
      <c r="AQ456" t="s">
        <v>92</v>
      </c>
      <c r="AR456" t="s">
        <v>92</v>
      </c>
      <c r="AS456" t="s">
        <v>94</v>
      </c>
      <c r="AT456" t="s">
        <v>94</v>
      </c>
      <c r="AU456" t="s">
        <v>95</v>
      </c>
      <c r="AV456" t="s">
        <v>92</v>
      </c>
      <c r="AW456" t="s">
        <v>95</v>
      </c>
      <c r="AX456" t="s">
        <v>94</v>
      </c>
      <c r="AY456" t="s">
        <v>94</v>
      </c>
      <c r="AZ456" t="s">
        <v>95</v>
      </c>
      <c r="BA456" t="s">
        <v>92</v>
      </c>
      <c r="BB456" t="s">
        <v>94</v>
      </c>
      <c r="BC456" t="s">
        <v>94</v>
      </c>
      <c r="BD456" t="s">
        <v>94</v>
      </c>
      <c r="BE456" t="s">
        <v>94</v>
      </c>
      <c r="BF456" t="s">
        <v>92</v>
      </c>
      <c r="BG456" t="s">
        <v>94</v>
      </c>
      <c r="BH456" t="s">
        <v>94</v>
      </c>
    </row>
    <row r="457" spans="1:60" x14ac:dyDescent="0.3">
      <c r="A457">
        <v>20</v>
      </c>
      <c r="B457" t="s">
        <v>70</v>
      </c>
      <c r="C457" t="s">
        <v>96</v>
      </c>
      <c r="D457" t="s">
        <v>149</v>
      </c>
      <c r="E457" t="s">
        <v>73</v>
      </c>
      <c r="F457" t="s">
        <v>98</v>
      </c>
      <c r="G457" t="s">
        <v>135</v>
      </c>
      <c r="H457" t="s">
        <v>100</v>
      </c>
      <c r="I457" t="s">
        <v>76</v>
      </c>
      <c r="J457" t="s">
        <v>77</v>
      </c>
      <c r="K457" t="s">
        <v>122</v>
      </c>
      <c r="L457" t="s">
        <v>79</v>
      </c>
      <c r="M457" t="s">
        <v>80</v>
      </c>
      <c r="N457" t="s">
        <v>79</v>
      </c>
      <c r="O457" t="s">
        <v>109</v>
      </c>
      <c r="P457" t="s">
        <v>79</v>
      </c>
      <c r="Q457" t="s">
        <v>83</v>
      </c>
      <c r="R457" t="s">
        <v>82</v>
      </c>
      <c r="S457" t="s">
        <v>137</v>
      </c>
      <c r="T457" t="s">
        <v>206</v>
      </c>
      <c r="U457" t="s">
        <v>82</v>
      </c>
      <c r="V457" t="s">
        <v>148</v>
      </c>
      <c r="W457" t="s">
        <v>87</v>
      </c>
      <c r="X457" t="s">
        <v>112</v>
      </c>
      <c r="Y457" t="s">
        <v>94</v>
      </c>
      <c r="Z457" t="s">
        <v>95</v>
      </c>
      <c r="AA457" t="s">
        <v>94</v>
      </c>
      <c r="AB457" t="s">
        <v>92</v>
      </c>
      <c r="AC457" t="s">
        <v>94</v>
      </c>
      <c r="AD457" t="s">
        <v>92</v>
      </c>
      <c r="AE457" t="s">
        <v>94</v>
      </c>
      <c r="AF457" t="s">
        <v>94</v>
      </c>
      <c r="AG457" t="s">
        <v>94</v>
      </c>
      <c r="AH457" t="s">
        <v>94</v>
      </c>
      <c r="AI457" t="s">
        <v>92</v>
      </c>
      <c r="AJ457" t="s">
        <v>94</v>
      </c>
      <c r="AK457" t="s">
        <v>94</v>
      </c>
      <c r="AL457" t="s">
        <v>92</v>
      </c>
      <c r="AM457" t="s">
        <v>94</v>
      </c>
      <c r="AN457" t="s">
        <v>94</v>
      </c>
      <c r="AO457" t="s">
        <v>92</v>
      </c>
      <c r="AP457" t="s">
        <v>94</v>
      </c>
      <c r="AQ457" t="s">
        <v>92</v>
      </c>
      <c r="AR457" t="s">
        <v>94</v>
      </c>
      <c r="AS457" t="s">
        <v>94</v>
      </c>
      <c r="AT457" t="s">
        <v>94</v>
      </c>
      <c r="AU457" t="s">
        <v>94</v>
      </c>
      <c r="AV457" t="s">
        <v>92</v>
      </c>
      <c r="AW457" t="s">
        <v>94</v>
      </c>
      <c r="AX457" t="s">
        <v>92</v>
      </c>
      <c r="AY457" t="s">
        <v>94</v>
      </c>
      <c r="AZ457" t="s">
        <v>92</v>
      </c>
      <c r="BA457" t="s">
        <v>94</v>
      </c>
      <c r="BB457" t="s">
        <v>92</v>
      </c>
      <c r="BC457" t="s">
        <v>94</v>
      </c>
      <c r="BD457" t="s">
        <v>94</v>
      </c>
      <c r="BE457" t="s">
        <v>92</v>
      </c>
      <c r="BF457" t="s">
        <v>94</v>
      </c>
      <c r="BG457" t="s">
        <v>94</v>
      </c>
      <c r="BH457" t="s">
        <v>92</v>
      </c>
    </row>
    <row r="458" spans="1:60" x14ac:dyDescent="0.3">
      <c r="A458">
        <v>22</v>
      </c>
      <c r="B458" t="s">
        <v>70</v>
      </c>
      <c r="C458" t="s">
        <v>113</v>
      </c>
      <c r="D458" t="s">
        <v>72</v>
      </c>
      <c r="E458" t="s">
        <v>73</v>
      </c>
      <c r="F458" t="s">
        <v>136</v>
      </c>
      <c r="G458" t="s">
        <v>135</v>
      </c>
      <c r="H458" t="s">
        <v>136</v>
      </c>
      <c r="I458" t="s">
        <v>76</v>
      </c>
      <c r="J458" t="s">
        <v>101</v>
      </c>
      <c r="K458" t="s">
        <v>122</v>
      </c>
      <c r="L458" t="s">
        <v>79</v>
      </c>
      <c r="M458" t="s">
        <v>80</v>
      </c>
      <c r="N458" t="s">
        <v>79</v>
      </c>
      <c r="O458" t="s">
        <v>109</v>
      </c>
      <c r="P458" t="s">
        <v>79</v>
      </c>
      <c r="Q458" t="s">
        <v>83</v>
      </c>
      <c r="R458" t="s">
        <v>79</v>
      </c>
      <c r="S458" t="s">
        <v>84</v>
      </c>
      <c r="T458" t="s">
        <v>164</v>
      </c>
      <c r="U458" t="s">
        <v>82</v>
      </c>
      <c r="V458" t="s">
        <v>86</v>
      </c>
      <c r="W458" t="s">
        <v>141</v>
      </c>
      <c r="X458" t="s">
        <v>112</v>
      </c>
      <c r="Y458" t="s">
        <v>92</v>
      </c>
      <c r="Z458" t="s">
        <v>92</v>
      </c>
      <c r="AA458" t="s">
        <v>92</v>
      </c>
      <c r="AB458" t="s">
        <v>92</v>
      </c>
      <c r="AC458" t="s">
        <v>92</v>
      </c>
      <c r="AD458" t="s">
        <v>92</v>
      </c>
      <c r="AE458" t="s">
        <v>92</v>
      </c>
      <c r="AF458" t="s">
        <v>93</v>
      </c>
      <c r="AG458" t="s">
        <v>92</v>
      </c>
      <c r="AH458" t="s">
        <v>92</v>
      </c>
      <c r="AI458" t="s">
        <v>92</v>
      </c>
      <c r="AJ458" t="s">
        <v>92</v>
      </c>
      <c r="AK458" t="s">
        <v>92</v>
      </c>
      <c r="AL458" t="s">
        <v>92</v>
      </c>
      <c r="AM458" t="s">
        <v>92</v>
      </c>
      <c r="AN458" t="s">
        <v>94</v>
      </c>
      <c r="AO458" t="s">
        <v>94</v>
      </c>
      <c r="AP458" t="s">
        <v>94</v>
      </c>
      <c r="AQ458" t="s">
        <v>94</v>
      </c>
      <c r="AR458" t="s">
        <v>94</v>
      </c>
      <c r="AS458" t="s">
        <v>92</v>
      </c>
      <c r="AT458" t="s">
        <v>92</v>
      </c>
      <c r="AU458" t="s">
        <v>94</v>
      </c>
      <c r="AV458" t="s">
        <v>92</v>
      </c>
      <c r="AW458" t="s">
        <v>94</v>
      </c>
      <c r="AX458" t="s">
        <v>94</v>
      </c>
      <c r="AY458" t="s">
        <v>94</v>
      </c>
      <c r="AZ458" t="s">
        <v>92</v>
      </c>
      <c r="BA458" t="s">
        <v>92</v>
      </c>
      <c r="BB458" t="s">
        <v>94</v>
      </c>
      <c r="BC458" t="s">
        <v>94</v>
      </c>
      <c r="BD458" t="s">
        <v>92</v>
      </c>
      <c r="BE458" t="s">
        <v>94</v>
      </c>
      <c r="BF458" t="s">
        <v>94</v>
      </c>
      <c r="BG458" t="s">
        <v>92</v>
      </c>
      <c r="BH458" t="s">
        <v>94</v>
      </c>
    </row>
    <row r="459" spans="1:60" x14ac:dyDescent="0.3">
      <c r="A459">
        <v>22</v>
      </c>
      <c r="B459" t="s">
        <v>70</v>
      </c>
      <c r="C459" t="s">
        <v>96</v>
      </c>
      <c r="D459" t="s">
        <v>149</v>
      </c>
      <c r="E459" t="s">
        <v>108</v>
      </c>
      <c r="F459" t="s">
        <v>136</v>
      </c>
      <c r="G459" t="s">
        <v>75</v>
      </c>
      <c r="H459" t="s">
        <v>98</v>
      </c>
      <c r="I459" t="s">
        <v>115</v>
      </c>
      <c r="J459" t="s">
        <v>77</v>
      </c>
      <c r="K459" t="s">
        <v>122</v>
      </c>
      <c r="L459" t="s">
        <v>79</v>
      </c>
      <c r="M459" t="s">
        <v>80</v>
      </c>
      <c r="N459" t="s">
        <v>79</v>
      </c>
      <c r="O459" t="s">
        <v>138</v>
      </c>
      <c r="P459" t="s">
        <v>82</v>
      </c>
      <c r="Q459" t="s">
        <v>83</v>
      </c>
      <c r="R459" t="s">
        <v>79</v>
      </c>
      <c r="S459" t="s">
        <v>288</v>
      </c>
      <c r="T459" t="s">
        <v>155</v>
      </c>
      <c r="U459" t="s">
        <v>79</v>
      </c>
      <c r="V459" t="s">
        <v>86</v>
      </c>
      <c r="W459" t="s">
        <v>120</v>
      </c>
      <c r="X459" t="s">
        <v>112</v>
      </c>
      <c r="Y459" t="s">
        <v>94</v>
      </c>
      <c r="Z459" t="s">
        <v>92</v>
      </c>
      <c r="AA459" t="s">
        <v>92</v>
      </c>
      <c r="AB459" t="s">
        <v>92</v>
      </c>
      <c r="AC459" t="s">
        <v>94</v>
      </c>
      <c r="AD459" t="s">
        <v>94</v>
      </c>
      <c r="AE459" t="s">
        <v>94</v>
      </c>
      <c r="AF459" t="s">
        <v>92</v>
      </c>
      <c r="AG459" t="s">
        <v>94</v>
      </c>
      <c r="AH459" t="s">
        <v>92</v>
      </c>
      <c r="AI459" t="s">
        <v>94</v>
      </c>
      <c r="AJ459" t="s">
        <v>94</v>
      </c>
      <c r="AK459" t="s">
        <v>94</v>
      </c>
      <c r="AL459" t="s">
        <v>92</v>
      </c>
      <c r="AM459" t="s">
        <v>94</v>
      </c>
      <c r="AN459" t="s">
        <v>95</v>
      </c>
      <c r="AO459" t="s">
        <v>94</v>
      </c>
      <c r="AP459" t="s">
        <v>92</v>
      </c>
      <c r="AQ459" t="s">
        <v>95</v>
      </c>
      <c r="AR459" t="s">
        <v>94</v>
      </c>
      <c r="AS459" t="s">
        <v>95</v>
      </c>
      <c r="AT459" t="s">
        <v>94</v>
      </c>
      <c r="AU459" t="s">
        <v>94</v>
      </c>
      <c r="AV459" t="s">
        <v>92</v>
      </c>
      <c r="AW459" t="s">
        <v>92</v>
      </c>
      <c r="AX459" t="s">
        <v>94</v>
      </c>
      <c r="AY459" t="s">
        <v>94</v>
      </c>
      <c r="AZ459" t="s">
        <v>92</v>
      </c>
      <c r="BA459" t="s">
        <v>94</v>
      </c>
      <c r="BB459" t="s">
        <v>94</v>
      </c>
      <c r="BC459" t="s">
        <v>94</v>
      </c>
      <c r="BD459" t="s">
        <v>92</v>
      </c>
      <c r="BE459" t="s">
        <v>94</v>
      </c>
      <c r="BF459" t="s">
        <v>94</v>
      </c>
      <c r="BG459" t="s">
        <v>94</v>
      </c>
      <c r="BH459" t="s">
        <v>94</v>
      </c>
    </row>
    <row r="460" spans="1:60" x14ac:dyDescent="0.3">
      <c r="A460">
        <v>23</v>
      </c>
      <c r="B460" t="s">
        <v>70</v>
      </c>
      <c r="C460" t="s">
        <v>113</v>
      </c>
      <c r="D460" t="s">
        <v>97</v>
      </c>
      <c r="E460" t="s">
        <v>108</v>
      </c>
      <c r="F460" t="s">
        <v>74</v>
      </c>
      <c r="G460" t="s">
        <v>75</v>
      </c>
      <c r="H460" t="s">
        <v>98</v>
      </c>
      <c r="I460" t="s">
        <v>76</v>
      </c>
      <c r="J460" t="s">
        <v>77</v>
      </c>
      <c r="K460" t="s">
        <v>122</v>
      </c>
      <c r="L460" t="s">
        <v>79</v>
      </c>
      <c r="M460" t="s">
        <v>80</v>
      </c>
      <c r="N460" t="s">
        <v>82</v>
      </c>
      <c r="O460" t="s">
        <v>109</v>
      </c>
      <c r="P460" t="s">
        <v>79</v>
      </c>
      <c r="Q460" t="s">
        <v>103</v>
      </c>
      <c r="R460" t="s">
        <v>79</v>
      </c>
      <c r="S460" t="s">
        <v>211</v>
      </c>
      <c r="T460" t="s">
        <v>139</v>
      </c>
      <c r="U460" t="s">
        <v>82</v>
      </c>
      <c r="V460" t="s">
        <v>106</v>
      </c>
      <c r="W460" t="s">
        <v>87</v>
      </c>
      <c r="X460" t="s">
        <v>112</v>
      </c>
      <c r="Y460" t="s">
        <v>93</v>
      </c>
      <c r="Z460" t="s">
        <v>93</v>
      </c>
      <c r="AA460" t="s">
        <v>93</v>
      </c>
      <c r="AB460" t="s">
        <v>92</v>
      </c>
      <c r="AC460" t="s">
        <v>92</v>
      </c>
      <c r="AD460" t="s">
        <v>92</v>
      </c>
      <c r="AE460" t="s">
        <v>92</v>
      </c>
      <c r="AF460" t="s">
        <v>93</v>
      </c>
      <c r="AG460" t="s">
        <v>93</v>
      </c>
      <c r="AH460" t="s">
        <v>93</v>
      </c>
      <c r="AI460" t="s">
        <v>93</v>
      </c>
      <c r="AJ460" t="s">
        <v>93</v>
      </c>
      <c r="AK460" t="s">
        <v>93</v>
      </c>
      <c r="AL460" t="s">
        <v>93</v>
      </c>
      <c r="AM460" t="s">
        <v>93</v>
      </c>
      <c r="AN460" t="s">
        <v>93</v>
      </c>
      <c r="AO460" t="s">
        <v>93</v>
      </c>
      <c r="AP460" t="s">
        <v>93</v>
      </c>
      <c r="AQ460" t="s">
        <v>93</v>
      </c>
      <c r="AR460" t="s">
        <v>93</v>
      </c>
      <c r="AS460" t="s">
        <v>93</v>
      </c>
      <c r="AT460" t="s">
        <v>93</v>
      </c>
      <c r="AU460" t="s">
        <v>93</v>
      </c>
      <c r="AV460" t="s">
        <v>93</v>
      </c>
      <c r="AW460" t="s">
        <v>93</v>
      </c>
      <c r="AX460" t="s">
        <v>93</v>
      </c>
      <c r="AY460" t="s">
        <v>93</v>
      </c>
      <c r="AZ460" t="s">
        <v>93</v>
      </c>
      <c r="BA460" t="s">
        <v>93</v>
      </c>
      <c r="BB460" t="s">
        <v>93</v>
      </c>
      <c r="BC460" t="s">
        <v>93</v>
      </c>
      <c r="BD460" t="s">
        <v>93</v>
      </c>
      <c r="BE460" t="s">
        <v>93</v>
      </c>
      <c r="BF460" t="s">
        <v>94</v>
      </c>
      <c r="BG460" t="s">
        <v>92</v>
      </c>
      <c r="BH460" t="s">
        <v>92</v>
      </c>
    </row>
    <row r="461" spans="1:60" x14ac:dyDescent="0.3">
      <c r="A461">
        <v>22</v>
      </c>
      <c r="B461" t="s">
        <v>70</v>
      </c>
      <c r="C461" t="s">
        <v>113</v>
      </c>
      <c r="D461" t="s">
        <v>149</v>
      </c>
      <c r="E461" t="s">
        <v>73</v>
      </c>
      <c r="F461" t="s">
        <v>74</v>
      </c>
      <c r="G461" t="s">
        <v>115</v>
      </c>
      <c r="H461" t="s">
        <v>136</v>
      </c>
      <c r="I461" t="s">
        <v>76</v>
      </c>
      <c r="J461" t="s">
        <v>77</v>
      </c>
      <c r="K461" t="s">
        <v>125</v>
      </c>
      <c r="L461" t="s">
        <v>79</v>
      </c>
      <c r="M461" t="s">
        <v>80</v>
      </c>
      <c r="N461" t="s">
        <v>82</v>
      </c>
      <c r="O461" t="s">
        <v>133</v>
      </c>
      <c r="P461" t="s">
        <v>79</v>
      </c>
      <c r="Q461" t="s">
        <v>83</v>
      </c>
      <c r="R461" t="s">
        <v>82</v>
      </c>
      <c r="S461" t="s">
        <v>154</v>
      </c>
      <c r="T461" t="s">
        <v>130</v>
      </c>
      <c r="U461" t="s">
        <v>82</v>
      </c>
      <c r="V461" t="s">
        <v>106</v>
      </c>
      <c r="W461" t="s">
        <v>141</v>
      </c>
      <c r="Y461" t="s">
        <v>93</v>
      </c>
      <c r="Z461" t="s">
        <v>93</v>
      </c>
      <c r="AA461" t="s">
        <v>93</v>
      </c>
      <c r="AB461" t="s">
        <v>93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93</v>
      </c>
      <c r="AI461" t="s">
        <v>94</v>
      </c>
      <c r="AJ461" t="s">
        <v>95</v>
      </c>
      <c r="AK461" t="s">
        <v>94</v>
      </c>
      <c r="AL461" t="s">
        <v>95</v>
      </c>
      <c r="AM461" t="s">
        <v>95</v>
      </c>
      <c r="AN461" t="s">
        <v>92</v>
      </c>
      <c r="AO461" t="s">
        <v>92</v>
      </c>
      <c r="AP461" t="s">
        <v>92</v>
      </c>
      <c r="AQ461" t="s">
        <v>92</v>
      </c>
      <c r="AR461" t="s">
        <v>92</v>
      </c>
      <c r="AS461" t="s">
        <v>92</v>
      </c>
      <c r="AT461" t="s">
        <v>92</v>
      </c>
      <c r="AU461" t="s">
        <v>95</v>
      </c>
      <c r="AV461" t="s">
        <v>95</v>
      </c>
      <c r="AW461" t="s">
        <v>95</v>
      </c>
      <c r="AX461" t="s">
        <v>95</v>
      </c>
      <c r="AY461" t="s">
        <v>95</v>
      </c>
      <c r="AZ461" t="s">
        <v>95</v>
      </c>
      <c r="BA461" t="s">
        <v>92</v>
      </c>
      <c r="BB461" t="s">
        <v>92</v>
      </c>
      <c r="BC461" t="s">
        <v>92</v>
      </c>
      <c r="BD461" t="s">
        <v>92</v>
      </c>
      <c r="BE461" t="s">
        <v>92</v>
      </c>
      <c r="BF461" t="s">
        <v>92</v>
      </c>
      <c r="BG461" t="s">
        <v>92</v>
      </c>
      <c r="BH461" t="s">
        <v>92</v>
      </c>
    </row>
    <row r="462" spans="1:60" x14ac:dyDescent="0.3">
      <c r="A462">
        <v>23</v>
      </c>
      <c r="B462" t="s">
        <v>70</v>
      </c>
      <c r="C462" t="s">
        <v>113</v>
      </c>
      <c r="D462" t="s">
        <v>72</v>
      </c>
      <c r="E462" t="s">
        <v>114</v>
      </c>
      <c r="F462" t="s">
        <v>74</v>
      </c>
      <c r="G462" t="s">
        <v>75</v>
      </c>
      <c r="H462" t="s">
        <v>98</v>
      </c>
      <c r="I462" t="s">
        <v>76</v>
      </c>
      <c r="J462" t="s">
        <v>77</v>
      </c>
      <c r="K462" t="s">
        <v>78</v>
      </c>
      <c r="L462" t="s">
        <v>79</v>
      </c>
      <c r="M462" t="s">
        <v>80</v>
      </c>
      <c r="N462" t="s">
        <v>82</v>
      </c>
      <c r="O462" t="s">
        <v>117</v>
      </c>
      <c r="P462" t="s">
        <v>79</v>
      </c>
      <c r="Q462" t="s">
        <v>103</v>
      </c>
      <c r="R462" t="s">
        <v>82</v>
      </c>
      <c r="S462" t="s">
        <v>84</v>
      </c>
      <c r="T462" t="s">
        <v>124</v>
      </c>
      <c r="U462" t="s">
        <v>82</v>
      </c>
      <c r="V462" t="s">
        <v>106</v>
      </c>
      <c r="W462" t="s">
        <v>141</v>
      </c>
      <c r="X462" t="s">
        <v>112</v>
      </c>
      <c r="Y462" t="s">
        <v>93</v>
      </c>
      <c r="Z462" t="s">
        <v>94</v>
      </c>
      <c r="AA462" t="s">
        <v>94</v>
      </c>
      <c r="AB462" t="s">
        <v>94</v>
      </c>
      <c r="AC462" t="s">
        <v>94</v>
      </c>
      <c r="AD462" t="s">
        <v>94</v>
      </c>
      <c r="AE462" t="s">
        <v>94</v>
      </c>
      <c r="AF462" t="s">
        <v>94</v>
      </c>
      <c r="AG462" t="s">
        <v>92</v>
      </c>
      <c r="AH462" t="s">
        <v>94</v>
      </c>
      <c r="AI462" t="s">
        <v>94</v>
      </c>
      <c r="AJ462" t="s">
        <v>94</v>
      </c>
      <c r="AK462" t="s">
        <v>92</v>
      </c>
      <c r="AL462" t="s">
        <v>92</v>
      </c>
      <c r="AM462" t="s">
        <v>94</v>
      </c>
      <c r="AN462" t="s">
        <v>95</v>
      </c>
      <c r="AO462" t="s">
        <v>94</v>
      </c>
      <c r="AP462" t="s">
        <v>95</v>
      </c>
      <c r="AQ462" t="s">
        <v>94</v>
      </c>
      <c r="AR462" t="s">
        <v>94</v>
      </c>
      <c r="AS462" t="s">
        <v>95</v>
      </c>
      <c r="AT462" t="s">
        <v>92</v>
      </c>
      <c r="AU462" t="s">
        <v>94</v>
      </c>
      <c r="AV462" t="s">
        <v>92</v>
      </c>
      <c r="AW462" t="s">
        <v>94</v>
      </c>
      <c r="AX462" t="s">
        <v>94</v>
      </c>
      <c r="AY462" t="s">
        <v>94</v>
      </c>
      <c r="AZ462" t="s">
        <v>92</v>
      </c>
      <c r="BA462" t="s">
        <v>92</v>
      </c>
      <c r="BB462" t="s">
        <v>94</v>
      </c>
      <c r="BC462" t="s">
        <v>92</v>
      </c>
      <c r="BD462" t="s">
        <v>92</v>
      </c>
      <c r="BE462" t="s">
        <v>94</v>
      </c>
      <c r="BF462" t="s">
        <v>92</v>
      </c>
      <c r="BG462" t="s">
        <v>94</v>
      </c>
      <c r="BH462" t="s">
        <v>92</v>
      </c>
    </row>
    <row r="463" spans="1:60" x14ac:dyDescent="0.3">
      <c r="A463">
        <v>22</v>
      </c>
      <c r="B463" t="s">
        <v>70</v>
      </c>
      <c r="C463" t="s">
        <v>113</v>
      </c>
      <c r="D463" t="s">
        <v>72</v>
      </c>
      <c r="E463" t="s">
        <v>108</v>
      </c>
      <c r="F463" t="s">
        <v>74</v>
      </c>
      <c r="G463" t="s">
        <v>135</v>
      </c>
      <c r="H463" t="s">
        <v>98</v>
      </c>
      <c r="I463" t="s">
        <v>76</v>
      </c>
      <c r="J463" t="s">
        <v>77</v>
      </c>
      <c r="K463" t="s">
        <v>125</v>
      </c>
      <c r="L463" t="s">
        <v>79</v>
      </c>
      <c r="M463" t="s">
        <v>80</v>
      </c>
      <c r="N463" t="s">
        <v>79</v>
      </c>
      <c r="O463" t="s">
        <v>117</v>
      </c>
      <c r="P463" t="s">
        <v>82</v>
      </c>
      <c r="Q463" t="s">
        <v>83</v>
      </c>
      <c r="R463" t="s">
        <v>82</v>
      </c>
      <c r="S463" t="s">
        <v>84</v>
      </c>
      <c r="T463" t="s">
        <v>85</v>
      </c>
      <c r="U463" t="s">
        <v>82</v>
      </c>
      <c r="V463" t="s">
        <v>106</v>
      </c>
      <c r="W463" t="s">
        <v>141</v>
      </c>
      <c r="X463" t="s">
        <v>112</v>
      </c>
      <c r="Y463" t="s">
        <v>92</v>
      </c>
      <c r="Z463" t="s">
        <v>92</v>
      </c>
      <c r="AA463" t="s">
        <v>92</v>
      </c>
      <c r="AB463" t="s">
        <v>92</v>
      </c>
      <c r="AC463" t="s">
        <v>94</v>
      </c>
      <c r="AD463" t="s">
        <v>94</v>
      </c>
      <c r="AE463" t="s">
        <v>94</v>
      </c>
      <c r="AF463" t="s">
        <v>94</v>
      </c>
      <c r="AG463" t="s">
        <v>94</v>
      </c>
      <c r="AH463" t="s">
        <v>94</v>
      </c>
      <c r="AI463" t="s">
        <v>92</v>
      </c>
      <c r="AJ463" t="s">
        <v>93</v>
      </c>
      <c r="AK463" t="s">
        <v>93</v>
      </c>
      <c r="AL463" t="s">
        <v>94</v>
      </c>
      <c r="AM463" t="s">
        <v>94</v>
      </c>
      <c r="AN463" t="s">
        <v>93</v>
      </c>
      <c r="AO463" t="s">
        <v>93</v>
      </c>
      <c r="AP463" t="s">
        <v>93</v>
      </c>
      <c r="AQ463" t="s">
        <v>95</v>
      </c>
      <c r="AR463" t="s">
        <v>94</v>
      </c>
      <c r="AS463" t="s">
        <v>95</v>
      </c>
      <c r="AT463" t="s">
        <v>95</v>
      </c>
      <c r="AU463" t="s">
        <v>92</v>
      </c>
      <c r="AV463" t="s">
        <v>92</v>
      </c>
      <c r="AW463" t="s">
        <v>92</v>
      </c>
      <c r="AX463" t="s">
        <v>95</v>
      </c>
      <c r="AY463" t="s">
        <v>95</v>
      </c>
      <c r="AZ463" t="s">
        <v>95</v>
      </c>
    </row>
    <row r="464" spans="1:60" x14ac:dyDescent="0.3">
      <c r="A464">
        <v>20</v>
      </c>
      <c r="B464" t="s">
        <v>70</v>
      </c>
      <c r="C464" t="s">
        <v>96</v>
      </c>
      <c r="D464" t="s">
        <v>72</v>
      </c>
      <c r="E464" t="s">
        <v>73</v>
      </c>
      <c r="F464" t="s">
        <v>98</v>
      </c>
      <c r="G464" t="s">
        <v>75</v>
      </c>
      <c r="H464" t="s">
        <v>100</v>
      </c>
      <c r="I464" t="s">
        <v>76</v>
      </c>
      <c r="J464" t="s">
        <v>77</v>
      </c>
      <c r="K464" t="s">
        <v>125</v>
      </c>
      <c r="L464" t="s">
        <v>79</v>
      </c>
      <c r="M464" t="s">
        <v>80</v>
      </c>
      <c r="N464" t="s">
        <v>82</v>
      </c>
      <c r="O464" t="s">
        <v>117</v>
      </c>
      <c r="P464" t="s">
        <v>82</v>
      </c>
      <c r="Q464" t="s">
        <v>83</v>
      </c>
      <c r="R464" t="s">
        <v>82</v>
      </c>
      <c r="S464" t="s">
        <v>154</v>
      </c>
      <c r="T464" t="s">
        <v>124</v>
      </c>
      <c r="U464" t="s">
        <v>82</v>
      </c>
      <c r="V464" t="s">
        <v>106</v>
      </c>
      <c r="W464" t="s">
        <v>87</v>
      </c>
      <c r="X464" t="s">
        <v>112</v>
      </c>
      <c r="Y464" t="s">
        <v>94</v>
      </c>
      <c r="Z464" t="s">
        <v>94</v>
      </c>
      <c r="AA464" t="s">
        <v>92</v>
      </c>
      <c r="AB464" t="s">
        <v>95</v>
      </c>
      <c r="AC464" t="s">
        <v>94</v>
      </c>
      <c r="AD464" t="s">
        <v>92</v>
      </c>
      <c r="AE464" t="s">
        <v>94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95</v>
      </c>
      <c r="AL464" t="s">
        <v>95</v>
      </c>
      <c r="AM464" t="s">
        <v>95</v>
      </c>
      <c r="AN464" t="s">
        <v>94</v>
      </c>
      <c r="AO464" t="s">
        <v>92</v>
      </c>
      <c r="AP464" t="s">
        <v>94</v>
      </c>
      <c r="AQ464" t="s">
        <v>94</v>
      </c>
      <c r="AR464" t="s">
        <v>92</v>
      </c>
      <c r="AS464" t="s">
        <v>92</v>
      </c>
      <c r="AT464" t="s">
        <v>92</v>
      </c>
      <c r="AU464" t="s">
        <v>94</v>
      </c>
      <c r="AV464" t="s">
        <v>94</v>
      </c>
      <c r="AW464" t="s">
        <v>94</v>
      </c>
      <c r="AX464" t="s">
        <v>95</v>
      </c>
      <c r="AY464" t="s">
        <v>94</v>
      </c>
      <c r="AZ464" t="s">
        <v>94</v>
      </c>
      <c r="BA464" t="s">
        <v>94</v>
      </c>
      <c r="BB464" t="s">
        <v>95</v>
      </c>
      <c r="BC464" t="s">
        <v>92</v>
      </c>
      <c r="BD464" t="s">
        <v>92</v>
      </c>
      <c r="BE464" t="s">
        <v>92</v>
      </c>
      <c r="BF464" t="s">
        <v>92</v>
      </c>
      <c r="BG464" t="s">
        <v>92</v>
      </c>
      <c r="BH464" t="s">
        <v>92</v>
      </c>
    </row>
    <row r="465" spans="1:60" x14ac:dyDescent="0.3">
      <c r="A465">
        <v>23</v>
      </c>
      <c r="B465" t="s">
        <v>70</v>
      </c>
      <c r="C465" t="s">
        <v>113</v>
      </c>
      <c r="D465" t="s">
        <v>72</v>
      </c>
      <c r="E465" t="s">
        <v>114</v>
      </c>
      <c r="F465" t="s">
        <v>100</v>
      </c>
      <c r="G465" t="s">
        <v>135</v>
      </c>
      <c r="H465" t="s">
        <v>98</v>
      </c>
      <c r="I465" t="s">
        <v>76</v>
      </c>
      <c r="J465" t="s">
        <v>77</v>
      </c>
      <c r="K465" t="s">
        <v>125</v>
      </c>
      <c r="L465" t="s">
        <v>82</v>
      </c>
      <c r="M465" t="s">
        <v>80</v>
      </c>
      <c r="N465" t="s">
        <v>82</v>
      </c>
      <c r="O465" t="s">
        <v>117</v>
      </c>
      <c r="P465" t="s">
        <v>82</v>
      </c>
      <c r="Q465" t="s">
        <v>83</v>
      </c>
      <c r="R465" t="s">
        <v>82</v>
      </c>
      <c r="S465" t="s">
        <v>123</v>
      </c>
      <c r="T465" t="s">
        <v>140</v>
      </c>
      <c r="U465" t="s">
        <v>82</v>
      </c>
      <c r="V465" t="s">
        <v>106</v>
      </c>
      <c r="W465" t="s">
        <v>141</v>
      </c>
      <c r="X465" t="s">
        <v>237</v>
      </c>
      <c r="Y465" t="s">
        <v>94</v>
      </c>
      <c r="Z465" t="s">
        <v>93</v>
      </c>
      <c r="AA465" t="s">
        <v>93</v>
      </c>
      <c r="AB465" t="s">
        <v>93</v>
      </c>
      <c r="AC465" t="s">
        <v>94</v>
      </c>
      <c r="AD465" t="s">
        <v>94</v>
      </c>
      <c r="AE465" t="s">
        <v>94</v>
      </c>
      <c r="AF465" t="s">
        <v>93</v>
      </c>
      <c r="AG465" t="s">
        <v>94</v>
      </c>
      <c r="AH465" t="s">
        <v>93</v>
      </c>
      <c r="AI465" t="s">
        <v>94</v>
      </c>
      <c r="AJ465" t="s">
        <v>93</v>
      </c>
      <c r="AK465" t="s">
        <v>93</v>
      </c>
      <c r="AL465" t="s">
        <v>94</v>
      </c>
      <c r="AM465" t="s">
        <v>94</v>
      </c>
      <c r="AN465" t="s">
        <v>93</v>
      </c>
      <c r="AO465" t="s">
        <v>93</v>
      </c>
      <c r="AP465" t="s">
        <v>93</v>
      </c>
      <c r="AQ465" t="s">
        <v>92</v>
      </c>
      <c r="AR465" t="s">
        <v>94</v>
      </c>
      <c r="AS465" t="s">
        <v>95</v>
      </c>
      <c r="AT465" t="s">
        <v>95</v>
      </c>
      <c r="AU465" t="s">
        <v>93</v>
      </c>
      <c r="AV465" t="s">
        <v>93</v>
      </c>
      <c r="AW465" t="s">
        <v>93</v>
      </c>
      <c r="AX465" t="s">
        <v>94</v>
      </c>
      <c r="AY465" t="s">
        <v>95</v>
      </c>
      <c r="AZ465" t="s">
        <v>95</v>
      </c>
      <c r="BA465" t="s">
        <v>93</v>
      </c>
      <c r="BB465" t="s">
        <v>95</v>
      </c>
      <c r="BC465" t="s">
        <v>93</v>
      </c>
      <c r="BD465" t="s">
        <v>93</v>
      </c>
      <c r="BE465" t="s">
        <v>93</v>
      </c>
      <c r="BF465" t="s">
        <v>95</v>
      </c>
      <c r="BG465" t="s">
        <v>95</v>
      </c>
      <c r="BH465" t="s">
        <v>94</v>
      </c>
    </row>
    <row r="466" spans="1:60" x14ac:dyDescent="0.3">
      <c r="A466">
        <v>24</v>
      </c>
      <c r="B466" t="s">
        <v>70</v>
      </c>
      <c r="C466" t="s">
        <v>113</v>
      </c>
      <c r="D466" t="s">
        <v>97</v>
      </c>
      <c r="E466" t="s">
        <v>108</v>
      </c>
      <c r="F466" t="s">
        <v>100</v>
      </c>
      <c r="G466" t="s">
        <v>166</v>
      </c>
      <c r="H466" t="s">
        <v>100</v>
      </c>
      <c r="I466" t="s">
        <v>76</v>
      </c>
      <c r="J466" t="s">
        <v>77</v>
      </c>
      <c r="K466" t="s">
        <v>125</v>
      </c>
      <c r="L466" t="s">
        <v>82</v>
      </c>
      <c r="M466" t="s">
        <v>132</v>
      </c>
      <c r="N466" t="s">
        <v>79</v>
      </c>
      <c r="O466" t="s">
        <v>109</v>
      </c>
      <c r="P466" t="s">
        <v>82</v>
      </c>
      <c r="Q466" t="s">
        <v>103</v>
      </c>
      <c r="R466" t="s">
        <v>79</v>
      </c>
      <c r="S466" t="s">
        <v>123</v>
      </c>
      <c r="T466" t="s">
        <v>152</v>
      </c>
      <c r="U466" t="s">
        <v>82</v>
      </c>
      <c r="V466" t="s">
        <v>106</v>
      </c>
      <c r="W466" t="s">
        <v>87</v>
      </c>
      <c r="X466" t="s">
        <v>127</v>
      </c>
      <c r="Y466" t="s">
        <v>95</v>
      </c>
      <c r="Z466" t="s">
        <v>93</v>
      </c>
      <c r="AA466" t="s">
        <v>94</v>
      </c>
      <c r="AB466" t="s">
        <v>92</v>
      </c>
      <c r="AC466" t="s">
        <v>94</v>
      </c>
      <c r="AD466" t="s">
        <v>94</v>
      </c>
      <c r="AE466" t="s">
        <v>93</v>
      </c>
      <c r="AF466" t="s">
        <v>95</v>
      </c>
      <c r="AG466" t="s">
        <v>95</v>
      </c>
      <c r="AH466" t="s">
        <v>95</v>
      </c>
      <c r="AI466" t="s">
        <v>93</v>
      </c>
      <c r="AJ466" t="s">
        <v>92</v>
      </c>
      <c r="AK466" t="s">
        <v>94</v>
      </c>
      <c r="AL466" t="s">
        <v>92</v>
      </c>
      <c r="AM466" t="s">
        <v>93</v>
      </c>
      <c r="AN466" t="s">
        <v>94</v>
      </c>
      <c r="AO466" t="s">
        <v>92</v>
      </c>
      <c r="AP466" t="s">
        <v>92</v>
      </c>
      <c r="AQ466" t="s">
        <v>93</v>
      </c>
      <c r="AR466" t="s">
        <v>93</v>
      </c>
      <c r="AS466" t="s">
        <v>95</v>
      </c>
      <c r="AT466" t="s">
        <v>95</v>
      </c>
      <c r="AU466" t="s">
        <v>94</v>
      </c>
      <c r="AV466" t="s">
        <v>95</v>
      </c>
      <c r="AW466" t="s">
        <v>95</v>
      </c>
      <c r="AX466" t="s">
        <v>93</v>
      </c>
      <c r="AY466" t="s">
        <v>93</v>
      </c>
      <c r="AZ466" t="s">
        <v>93</v>
      </c>
      <c r="BA466" t="s">
        <v>93</v>
      </c>
      <c r="BB466" t="s">
        <v>95</v>
      </c>
      <c r="BC466" t="s">
        <v>92</v>
      </c>
      <c r="BD466" t="s">
        <v>94</v>
      </c>
      <c r="BE466" t="s">
        <v>94</v>
      </c>
      <c r="BF466" t="s">
        <v>94</v>
      </c>
      <c r="BG466" t="s">
        <v>94</v>
      </c>
      <c r="BH466" t="s">
        <v>94</v>
      </c>
    </row>
    <row r="467" spans="1:60" x14ac:dyDescent="0.3">
      <c r="A467">
        <v>23</v>
      </c>
      <c r="B467" t="s">
        <v>70</v>
      </c>
      <c r="C467" t="s">
        <v>113</v>
      </c>
      <c r="D467" t="s">
        <v>97</v>
      </c>
      <c r="E467" t="s">
        <v>108</v>
      </c>
      <c r="F467" t="s">
        <v>98</v>
      </c>
      <c r="G467" t="s">
        <v>135</v>
      </c>
      <c r="H467" t="s">
        <v>98</v>
      </c>
      <c r="I467" t="s">
        <v>76</v>
      </c>
      <c r="J467" t="s">
        <v>77</v>
      </c>
      <c r="K467" t="s">
        <v>78</v>
      </c>
      <c r="L467" t="s">
        <v>82</v>
      </c>
      <c r="M467" t="s">
        <v>80</v>
      </c>
      <c r="N467" t="s">
        <v>79</v>
      </c>
      <c r="O467" t="s">
        <v>81</v>
      </c>
      <c r="P467" t="s">
        <v>79</v>
      </c>
      <c r="Q467" t="s">
        <v>83</v>
      </c>
      <c r="R467" t="s">
        <v>79</v>
      </c>
      <c r="S467" t="s">
        <v>199</v>
      </c>
      <c r="T467" t="s">
        <v>119</v>
      </c>
      <c r="U467" t="s">
        <v>79</v>
      </c>
      <c r="V467" t="s">
        <v>106</v>
      </c>
      <c r="W467" t="s">
        <v>141</v>
      </c>
      <c r="X467" t="s">
        <v>112</v>
      </c>
      <c r="Y467" t="s">
        <v>93</v>
      </c>
      <c r="Z467" t="s">
        <v>93</v>
      </c>
      <c r="AA467" t="s">
        <v>93</v>
      </c>
      <c r="AB467" t="s">
        <v>93</v>
      </c>
      <c r="AC467" t="s">
        <v>95</v>
      </c>
      <c r="AD467" t="s">
        <v>95</v>
      </c>
      <c r="AE467" t="s">
        <v>93</v>
      </c>
      <c r="AF467" t="s">
        <v>93</v>
      </c>
      <c r="AG467" t="s">
        <v>93</v>
      </c>
      <c r="AH467" t="s">
        <v>95</v>
      </c>
      <c r="AI467" t="s">
        <v>93</v>
      </c>
      <c r="AJ467" t="s">
        <v>94</v>
      </c>
      <c r="AK467" t="s">
        <v>94</v>
      </c>
      <c r="AL467" t="s">
        <v>94</v>
      </c>
      <c r="AM467" t="s">
        <v>94</v>
      </c>
      <c r="AN467" t="s">
        <v>93</v>
      </c>
      <c r="AO467" t="s">
        <v>93</v>
      </c>
      <c r="AP467" t="s">
        <v>93</v>
      </c>
      <c r="AQ467" t="s">
        <v>95</v>
      </c>
      <c r="AR467" t="s">
        <v>93</v>
      </c>
      <c r="AS467" t="s">
        <v>93</v>
      </c>
      <c r="AT467" t="s">
        <v>93</v>
      </c>
      <c r="AU467" t="s">
        <v>93</v>
      </c>
      <c r="AV467" t="s">
        <v>94</v>
      </c>
      <c r="AW467" t="s">
        <v>93</v>
      </c>
      <c r="AX467" t="s">
        <v>92</v>
      </c>
      <c r="AY467" t="s">
        <v>93</v>
      </c>
      <c r="AZ467" t="s">
        <v>93</v>
      </c>
      <c r="BA467" t="s">
        <v>93</v>
      </c>
      <c r="BB467" t="s">
        <v>93</v>
      </c>
      <c r="BC467" t="s">
        <v>93</v>
      </c>
      <c r="BD467" t="s">
        <v>93</v>
      </c>
      <c r="BE467" t="s">
        <v>93</v>
      </c>
      <c r="BF467" t="s">
        <v>93</v>
      </c>
      <c r="BG467" t="s">
        <v>93</v>
      </c>
      <c r="BH467" t="s">
        <v>93</v>
      </c>
    </row>
    <row r="468" spans="1:60" x14ac:dyDescent="0.3">
      <c r="A468">
        <v>23</v>
      </c>
      <c r="B468" t="s">
        <v>70</v>
      </c>
      <c r="C468" t="s">
        <v>113</v>
      </c>
      <c r="D468" t="s">
        <v>97</v>
      </c>
      <c r="E468" t="s">
        <v>114</v>
      </c>
      <c r="F468" t="s">
        <v>98</v>
      </c>
      <c r="G468" t="s">
        <v>115</v>
      </c>
      <c r="H468" t="s">
        <v>100</v>
      </c>
      <c r="I468" t="s">
        <v>76</v>
      </c>
      <c r="J468" t="s">
        <v>77</v>
      </c>
      <c r="K468" t="s">
        <v>125</v>
      </c>
      <c r="L468" t="s">
        <v>79</v>
      </c>
      <c r="M468" t="s">
        <v>80</v>
      </c>
      <c r="N468" t="s">
        <v>82</v>
      </c>
      <c r="O468" t="s">
        <v>117</v>
      </c>
      <c r="P468" t="s">
        <v>82</v>
      </c>
      <c r="Q468" t="s">
        <v>83</v>
      </c>
      <c r="R468" t="s">
        <v>82</v>
      </c>
      <c r="S468" t="s">
        <v>84</v>
      </c>
      <c r="T468" t="s">
        <v>152</v>
      </c>
      <c r="U468" t="s">
        <v>82</v>
      </c>
      <c r="V468" t="s">
        <v>106</v>
      </c>
      <c r="W468" t="s">
        <v>141</v>
      </c>
      <c r="X468" t="s">
        <v>112</v>
      </c>
      <c r="Y468" t="s">
        <v>94</v>
      </c>
      <c r="Z468" t="s">
        <v>93</v>
      </c>
      <c r="AA468" t="s">
        <v>93</v>
      </c>
      <c r="AB468" t="s">
        <v>93</v>
      </c>
      <c r="AC468" t="s">
        <v>94</v>
      </c>
      <c r="AD468" t="s">
        <v>94</v>
      </c>
      <c r="AE468" t="s">
        <v>95</v>
      </c>
      <c r="AF468" t="s">
        <v>93</v>
      </c>
      <c r="AG468" t="s">
        <v>93</v>
      </c>
      <c r="AH468" t="s">
        <v>93</v>
      </c>
      <c r="AI468" t="s">
        <v>93</v>
      </c>
      <c r="AJ468" t="s">
        <v>93</v>
      </c>
      <c r="AK468" t="s">
        <v>93</v>
      </c>
      <c r="AL468" t="s">
        <v>95</v>
      </c>
      <c r="AM468" t="s">
        <v>94</v>
      </c>
      <c r="AN468" t="s">
        <v>93</v>
      </c>
      <c r="AO468" t="s">
        <v>93</v>
      </c>
      <c r="AP468" t="s">
        <v>93</v>
      </c>
      <c r="AQ468" t="s">
        <v>95</v>
      </c>
      <c r="AR468" t="s">
        <v>95</v>
      </c>
      <c r="AS468" t="s">
        <v>95</v>
      </c>
      <c r="AT468" t="s">
        <v>95</v>
      </c>
      <c r="AU468" t="s">
        <v>94</v>
      </c>
      <c r="AV468" t="s">
        <v>95</v>
      </c>
      <c r="AW468" t="s">
        <v>95</v>
      </c>
      <c r="AX468" t="s">
        <v>92</v>
      </c>
      <c r="AY468" t="s">
        <v>95</v>
      </c>
      <c r="AZ468" t="s">
        <v>95</v>
      </c>
      <c r="BA468" t="s">
        <v>93</v>
      </c>
      <c r="BB468" t="s">
        <v>93</v>
      </c>
      <c r="BC468" t="s">
        <v>93</v>
      </c>
      <c r="BD468" t="s">
        <v>93</v>
      </c>
      <c r="BE468" t="s">
        <v>93</v>
      </c>
      <c r="BF468" t="s">
        <v>92</v>
      </c>
      <c r="BG468" t="s">
        <v>92</v>
      </c>
      <c r="BH468" t="s">
        <v>92</v>
      </c>
    </row>
    <row r="469" spans="1:60" x14ac:dyDescent="0.3">
      <c r="A469">
        <v>23</v>
      </c>
      <c r="B469" t="s">
        <v>70</v>
      </c>
      <c r="C469" t="s">
        <v>113</v>
      </c>
      <c r="D469" t="s">
        <v>97</v>
      </c>
      <c r="E469" t="s">
        <v>73</v>
      </c>
      <c r="F469" t="s">
        <v>74</v>
      </c>
      <c r="G469" t="s">
        <v>99</v>
      </c>
      <c r="H469" t="s">
        <v>136</v>
      </c>
      <c r="I469" t="s">
        <v>76</v>
      </c>
      <c r="J469" t="s">
        <v>101</v>
      </c>
      <c r="K469" t="s">
        <v>78</v>
      </c>
      <c r="L469" t="s">
        <v>79</v>
      </c>
      <c r="M469" t="s">
        <v>80</v>
      </c>
      <c r="N469" t="s">
        <v>79</v>
      </c>
      <c r="O469" t="s">
        <v>81</v>
      </c>
      <c r="P469" t="s">
        <v>79</v>
      </c>
      <c r="Q469" t="s">
        <v>83</v>
      </c>
      <c r="R469" t="s">
        <v>82</v>
      </c>
      <c r="S469" t="s">
        <v>126</v>
      </c>
      <c r="T469" t="s">
        <v>139</v>
      </c>
      <c r="U469" t="s">
        <v>82</v>
      </c>
      <c r="V469" t="s">
        <v>86</v>
      </c>
      <c r="W469" t="s">
        <v>87</v>
      </c>
      <c r="X469" t="s">
        <v>112</v>
      </c>
      <c r="Y469" t="s">
        <v>93</v>
      </c>
      <c r="Z469" t="s">
        <v>93</v>
      </c>
      <c r="AA469" t="s">
        <v>93</v>
      </c>
      <c r="AB469" t="s">
        <v>93</v>
      </c>
      <c r="AC469" t="s">
        <v>92</v>
      </c>
      <c r="AD469" t="s">
        <v>94</v>
      </c>
      <c r="AE469" t="s">
        <v>92</v>
      </c>
      <c r="AF469" t="s">
        <v>93</v>
      </c>
      <c r="AG469" t="s">
        <v>93</v>
      </c>
      <c r="AH469" t="s">
        <v>92</v>
      </c>
      <c r="AI469" t="s">
        <v>94</v>
      </c>
      <c r="AJ469" t="s">
        <v>92</v>
      </c>
      <c r="AK469" t="s">
        <v>92</v>
      </c>
      <c r="AL469" t="s">
        <v>95</v>
      </c>
      <c r="AM469" t="s">
        <v>92</v>
      </c>
      <c r="AN469" t="s">
        <v>93</v>
      </c>
      <c r="AO469" t="s">
        <v>93</v>
      </c>
      <c r="AP469" t="s">
        <v>93</v>
      </c>
      <c r="AQ469" t="s">
        <v>95</v>
      </c>
      <c r="AR469" t="s">
        <v>94</v>
      </c>
      <c r="AS469" t="s">
        <v>95</v>
      </c>
      <c r="AT469" t="s">
        <v>94</v>
      </c>
      <c r="AU469" t="s">
        <v>94</v>
      </c>
      <c r="AV469" t="s">
        <v>94</v>
      </c>
      <c r="AW469" t="s">
        <v>92</v>
      </c>
      <c r="AX469" t="s">
        <v>94</v>
      </c>
      <c r="AY469" t="s">
        <v>94</v>
      </c>
      <c r="AZ469" t="s">
        <v>95</v>
      </c>
      <c r="BA469" t="s">
        <v>93</v>
      </c>
      <c r="BB469" t="s">
        <v>93</v>
      </c>
      <c r="BC469" t="s">
        <v>93</v>
      </c>
      <c r="BD469" t="s">
        <v>93</v>
      </c>
      <c r="BE469" t="s">
        <v>93</v>
      </c>
      <c r="BF469" t="s">
        <v>92</v>
      </c>
      <c r="BG469" t="s">
        <v>92</v>
      </c>
      <c r="BH469" t="s">
        <v>92</v>
      </c>
    </row>
    <row r="470" spans="1:60" x14ac:dyDescent="0.3">
      <c r="A470">
        <v>21</v>
      </c>
      <c r="B470" t="s">
        <v>128</v>
      </c>
      <c r="C470" t="s">
        <v>96</v>
      </c>
      <c r="D470" t="s">
        <v>72</v>
      </c>
      <c r="E470" t="s">
        <v>108</v>
      </c>
      <c r="F470" t="s">
        <v>74</v>
      </c>
      <c r="G470" t="s">
        <v>99</v>
      </c>
      <c r="H470" t="s">
        <v>74</v>
      </c>
      <c r="I470" t="s">
        <v>75</v>
      </c>
      <c r="J470" t="s">
        <v>77</v>
      </c>
      <c r="K470" t="s">
        <v>122</v>
      </c>
      <c r="L470" t="s">
        <v>82</v>
      </c>
      <c r="M470" t="s">
        <v>80</v>
      </c>
      <c r="N470" t="s">
        <v>79</v>
      </c>
      <c r="O470" t="s">
        <v>117</v>
      </c>
      <c r="P470" t="s">
        <v>82</v>
      </c>
      <c r="Q470" t="s">
        <v>103</v>
      </c>
      <c r="R470" t="s">
        <v>79</v>
      </c>
      <c r="S470" t="s">
        <v>145</v>
      </c>
      <c r="T470" t="s">
        <v>139</v>
      </c>
      <c r="U470" t="s">
        <v>82</v>
      </c>
      <c r="V470" t="s">
        <v>106</v>
      </c>
      <c r="W470" t="s">
        <v>141</v>
      </c>
      <c r="X470" t="s">
        <v>112</v>
      </c>
      <c r="Y470" t="s">
        <v>94</v>
      </c>
      <c r="Z470" t="s">
        <v>93</v>
      </c>
      <c r="AA470" t="s">
        <v>93</v>
      </c>
      <c r="AB470" t="s">
        <v>92</v>
      </c>
      <c r="AC470" t="s">
        <v>94</v>
      </c>
      <c r="AD470" t="s">
        <v>92</v>
      </c>
      <c r="AE470" t="s">
        <v>92</v>
      </c>
      <c r="AF470" t="s">
        <v>93</v>
      </c>
      <c r="AG470" t="s">
        <v>94</v>
      </c>
      <c r="AH470" t="s">
        <v>95</v>
      </c>
      <c r="AI470" t="s">
        <v>94</v>
      </c>
      <c r="AJ470" t="s">
        <v>94</v>
      </c>
      <c r="AK470" t="s">
        <v>94</v>
      </c>
      <c r="AL470" t="s">
        <v>94</v>
      </c>
      <c r="AM470" t="s">
        <v>94</v>
      </c>
      <c r="AN470" t="s">
        <v>93</v>
      </c>
      <c r="AO470" t="s">
        <v>93</v>
      </c>
      <c r="AP470" t="s">
        <v>93</v>
      </c>
      <c r="AQ470" t="s">
        <v>92</v>
      </c>
      <c r="AR470" t="s">
        <v>95</v>
      </c>
      <c r="AS470" t="s">
        <v>95</v>
      </c>
      <c r="AT470" t="s">
        <v>95</v>
      </c>
      <c r="AU470" t="s">
        <v>92</v>
      </c>
      <c r="AV470" t="s">
        <v>92</v>
      </c>
      <c r="AW470" t="s">
        <v>92</v>
      </c>
      <c r="AX470" t="s">
        <v>93</v>
      </c>
      <c r="AY470" t="s">
        <v>93</v>
      </c>
      <c r="AZ470" t="s">
        <v>95</v>
      </c>
      <c r="BA470" t="s">
        <v>93</v>
      </c>
      <c r="BB470" t="s">
        <v>93</v>
      </c>
      <c r="BC470" t="s">
        <v>93</v>
      </c>
      <c r="BD470" t="s">
        <v>93</v>
      </c>
      <c r="BE470" t="s">
        <v>93</v>
      </c>
      <c r="BF470" t="s">
        <v>95</v>
      </c>
      <c r="BG470" t="s">
        <v>94</v>
      </c>
      <c r="BH470" t="s">
        <v>92</v>
      </c>
    </row>
    <row r="471" spans="1:60" x14ac:dyDescent="0.3">
      <c r="A471">
        <v>21</v>
      </c>
      <c r="B471" t="s">
        <v>128</v>
      </c>
      <c r="C471" t="s">
        <v>96</v>
      </c>
      <c r="D471" t="s">
        <v>72</v>
      </c>
      <c r="E471" t="s">
        <v>114</v>
      </c>
      <c r="F471" t="s">
        <v>74</v>
      </c>
      <c r="G471" t="s">
        <v>115</v>
      </c>
      <c r="H471" t="s">
        <v>136</v>
      </c>
      <c r="I471" t="s">
        <v>76</v>
      </c>
      <c r="J471" t="s">
        <v>77</v>
      </c>
      <c r="K471" t="s">
        <v>122</v>
      </c>
      <c r="L471" t="s">
        <v>79</v>
      </c>
      <c r="M471" t="s">
        <v>80</v>
      </c>
      <c r="N471" t="s">
        <v>79</v>
      </c>
      <c r="O471" t="s">
        <v>109</v>
      </c>
      <c r="P471" t="s">
        <v>82</v>
      </c>
      <c r="Q471" t="s">
        <v>83</v>
      </c>
      <c r="R471" t="s">
        <v>82</v>
      </c>
      <c r="S471" t="s">
        <v>126</v>
      </c>
      <c r="T471" t="s">
        <v>85</v>
      </c>
      <c r="U471" t="s">
        <v>82</v>
      </c>
      <c r="V471" t="s">
        <v>106</v>
      </c>
      <c r="W471" t="s">
        <v>87</v>
      </c>
      <c r="X471" t="s">
        <v>112</v>
      </c>
      <c r="Y471" t="s">
        <v>94</v>
      </c>
      <c r="Z471" t="s">
        <v>95</v>
      </c>
      <c r="AA471" t="s">
        <v>94</v>
      </c>
      <c r="AB471" t="s">
        <v>95</v>
      </c>
      <c r="AC471" t="s">
        <v>95</v>
      </c>
      <c r="AD471" t="s">
        <v>94</v>
      </c>
      <c r="AE471" t="s">
        <v>95</v>
      </c>
      <c r="AF471" t="s">
        <v>94</v>
      </c>
      <c r="AG471" t="s">
        <v>94</v>
      </c>
      <c r="AH471" t="s">
        <v>95</v>
      </c>
      <c r="AI471" t="s">
        <v>94</v>
      </c>
      <c r="AJ471" t="s">
        <v>95</v>
      </c>
      <c r="AK471" t="s">
        <v>94</v>
      </c>
      <c r="AL471" t="s">
        <v>94</v>
      </c>
      <c r="AM471" t="s">
        <v>95</v>
      </c>
      <c r="AN471" t="s">
        <v>94</v>
      </c>
      <c r="AO471" t="s">
        <v>94</v>
      </c>
      <c r="AP471" t="s">
        <v>94</v>
      </c>
      <c r="AQ471" t="s">
        <v>95</v>
      </c>
      <c r="AR471" t="s">
        <v>94</v>
      </c>
      <c r="AS471" t="s">
        <v>94</v>
      </c>
      <c r="AT471" t="s">
        <v>94</v>
      </c>
      <c r="AU471" t="s">
        <v>94</v>
      </c>
      <c r="AV471" t="s">
        <v>94</v>
      </c>
      <c r="AW471" t="s">
        <v>94</v>
      </c>
      <c r="AX471" t="s">
        <v>94</v>
      </c>
      <c r="AY471" t="s">
        <v>94</v>
      </c>
      <c r="AZ471" t="s">
        <v>94</v>
      </c>
      <c r="BA471" t="s">
        <v>95</v>
      </c>
      <c r="BB471" t="s">
        <v>94</v>
      </c>
      <c r="BC471" t="s">
        <v>95</v>
      </c>
      <c r="BD471" t="s">
        <v>94</v>
      </c>
      <c r="BE471" t="s">
        <v>95</v>
      </c>
      <c r="BF471" t="s">
        <v>94</v>
      </c>
      <c r="BG471" t="s">
        <v>95</v>
      </c>
      <c r="BH471" t="s">
        <v>94</v>
      </c>
    </row>
    <row r="472" spans="1:60" x14ac:dyDescent="0.3">
      <c r="A472">
        <v>21</v>
      </c>
      <c r="B472" t="s">
        <v>70</v>
      </c>
      <c r="C472" t="s">
        <v>96</v>
      </c>
      <c r="D472" t="s">
        <v>97</v>
      </c>
      <c r="E472" t="s">
        <v>73</v>
      </c>
      <c r="F472" t="s">
        <v>136</v>
      </c>
      <c r="G472" t="s">
        <v>99</v>
      </c>
      <c r="H472" t="s">
        <v>136</v>
      </c>
      <c r="I472" t="s">
        <v>76</v>
      </c>
      <c r="J472" t="s">
        <v>77</v>
      </c>
      <c r="K472" t="s">
        <v>122</v>
      </c>
      <c r="L472" t="s">
        <v>79</v>
      </c>
      <c r="M472" t="s">
        <v>102</v>
      </c>
      <c r="N472" t="s">
        <v>79</v>
      </c>
      <c r="O472" t="s">
        <v>179</v>
      </c>
      <c r="P472" t="s">
        <v>79</v>
      </c>
      <c r="Q472" t="s">
        <v>83</v>
      </c>
      <c r="R472" t="s">
        <v>79</v>
      </c>
      <c r="S472" t="s">
        <v>84</v>
      </c>
      <c r="T472" t="s">
        <v>152</v>
      </c>
      <c r="U472" t="s">
        <v>82</v>
      </c>
      <c r="V472" t="s">
        <v>86</v>
      </c>
      <c r="W472" t="s">
        <v>141</v>
      </c>
      <c r="X472" t="s">
        <v>112</v>
      </c>
      <c r="Y472" t="s">
        <v>94</v>
      </c>
      <c r="Z472" t="s">
        <v>94</v>
      </c>
      <c r="AA472" t="s">
        <v>92</v>
      </c>
      <c r="AB472" t="s">
        <v>92</v>
      </c>
      <c r="AC472" t="s">
        <v>92</v>
      </c>
      <c r="AD472" t="s">
        <v>92</v>
      </c>
      <c r="AE472" t="s">
        <v>92</v>
      </c>
      <c r="AF472" t="s">
        <v>92</v>
      </c>
      <c r="AG472" t="s">
        <v>92</v>
      </c>
      <c r="AH472" t="s">
        <v>92</v>
      </c>
      <c r="AI472" t="s">
        <v>92</v>
      </c>
      <c r="AJ472" t="s">
        <v>92</v>
      </c>
      <c r="AK472" t="s">
        <v>93</v>
      </c>
      <c r="AL472" t="s">
        <v>94</v>
      </c>
      <c r="AM472" t="s">
        <v>94</v>
      </c>
      <c r="AN472" t="s">
        <v>93</v>
      </c>
      <c r="AO472" t="s">
        <v>93</v>
      </c>
      <c r="AP472" t="s">
        <v>93</v>
      </c>
      <c r="AQ472" t="s">
        <v>95</v>
      </c>
      <c r="AR472" t="s">
        <v>95</v>
      </c>
      <c r="AS472" t="s">
        <v>95</v>
      </c>
      <c r="AT472" t="s">
        <v>95</v>
      </c>
      <c r="AU472" t="s">
        <v>94</v>
      </c>
      <c r="AV472" t="s">
        <v>94</v>
      </c>
      <c r="AW472" t="s">
        <v>94</v>
      </c>
      <c r="AX472" t="s">
        <v>94</v>
      </c>
      <c r="AY472" t="s">
        <v>94</v>
      </c>
      <c r="AZ472" t="s">
        <v>95</v>
      </c>
      <c r="BA472" t="s">
        <v>92</v>
      </c>
      <c r="BB472" t="s">
        <v>92</v>
      </c>
      <c r="BC472" t="s">
        <v>92</v>
      </c>
      <c r="BD472" t="s">
        <v>92</v>
      </c>
      <c r="BE472" t="s">
        <v>92</v>
      </c>
      <c r="BF472" t="s">
        <v>95</v>
      </c>
      <c r="BG472" t="s">
        <v>92</v>
      </c>
      <c r="BH472" t="s">
        <v>95</v>
      </c>
    </row>
    <row r="473" spans="1:60" x14ac:dyDescent="0.3">
      <c r="A473">
        <v>22</v>
      </c>
      <c r="B473" t="s">
        <v>70</v>
      </c>
      <c r="C473" t="s">
        <v>96</v>
      </c>
      <c r="D473" t="s">
        <v>72</v>
      </c>
      <c r="E473" t="s">
        <v>108</v>
      </c>
      <c r="F473" t="s">
        <v>74</v>
      </c>
      <c r="G473" t="s">
        <v>99</v>
      </c>
      <c r="H473" t="s">
        <v>74</v>
      </c>
      <c r="I473" t="s">
        <v>75</v>
      </c>
      <c r="J473" t="s">
        <v>77</v>
      </c>
      <c r="K473" t="s">
        <v>122</v>
      </c>
      <c r="L473" t="s">
        <v>79</v>
      </c>
      <c r="M473" t="s">
        <v>80</v>
      </c>
      <c r="N473" t="s">
        <v>79</v>
      </c>
      <c r="O473" t="s">
        <v>81</v>
      </c>
      <c r="P473" t="s">
        <v>82</v>
      </c>
      <c r="Q473" t="s">
        <v>83</v>
      </c>
      <c r="R473" t="s">
        <v>82</v>
      </c>
      <c r="S473" t="s">
        <v>84</v>
      </c>
      <c r="T473" t="s">
        <v>289</v>
      </c>
      <c r="U473" t="s">
        <v>82</v>
      </c>
      <c r="V473" t="s">
        <v>106</v>
      </c>
      <c r="W473" t="s">
        <v>141</v>
      </c>
      <c r="X473" t="s">
        <v>127</v>
      </c>
      <c r="Y473" t="s">
        <v>92</v>
      </c>
      <c r="Z473" t="s">
        <v>93</v>
      </c>
      <c r="AA473" t="s">
        <v>92</v>
      </c>
      <c r="AB473" t="s">
        <v>92</v>
      </c>
      <c r="AC473" t="s">
        <v>94</v>
      </c>
      <c r="AD473" t="s">
        <v>92</v>
      </c>
      <c r="AE473" t="s">
        <v>95</v>
      </c>
      <c r="AF473" t="s">
        <v>92</v>
      </c>
      <c r="AG473" t="s">
        <v>92</v>
      </c>
      <c r="AH473" t="s">
        <v>92</v>
      </c>
      <c r="AI473" t="s">
        <v>92</v>
      </c>
      <c r="AJ473" t="s">
        <v>92</v>
      </c>
      <c r="AK473" t="s">
        <v>92</v>
      </c>
      <c r="AL473" t="s">
        <v>92</v>
      </c>
      <c r="AM473" t="s">
        <v>92</v>
      </c>
      <c r="AN473" t="s">
        <v>93</v>
      </c>
      <c r="AO473" t="s">
        <v>93</v>
      </c>
      <c r="AP473" t="s">
        <v>93</v>
      </c>
      <c r="AQ473" t="s">
        <v>95</v>
      </c>
      <c r="AR473" t="s">
        <v>95</v>
      </c>
      <c r="AS473" t="s">
        <v>95</v>
      </c>
      <c r="AT473" t="s">
        <v>95</v>
      </c>
      <c r="AU473" t="s">
        <v>94</v>
      </c>
      <c r="AV473" t="s">
        <v>94</v>
      </c>
      <c r="AW473" t="s">
        <v>94</v>
      </c>
      <c r="AX473" t="s">
        <v>95</v>
      </c>
      <c r="AY473" t="s">
        <v>95</v>
      </c>
      <c r="AZ473" t="s">
        <v>95</v>
      </c>
      <c r="BA473" t="s">
        <v>93</v>
      </c>
      <c r="BB473" t="s">
        <v>93</v>
      </c>
      <c r="BC473" t="s">
        <v>93</v>
      </c>
      <c r="BD473" t="s">
        <v>93</v>
      </c>
      <c r="BE473" t="s">
        <v>92</v>
      </c>
      <c r="BF473" t="s">
        <v>95</v>
      </c>
      <c r="BG473" t="s">
        <v>94</v>
      </c>
      <c r="BH473" t="s">
        <v>94</v>
      </c>
    </row>
    <row r="474" spans="1:60" x14ac:dyDescent="0.3">
      <c r="A474">
        <v>21</v>
      </c>
      <c r="B474" t="s">
        <v>70</v>
      </c>
      <c r="C474" t="s">
        <v>96</v>
      </c>
      <c r="D474" t="s">
        <v>72</v>
      </c>
      <c r="E474" t="s">
        <v>114</v>
      </c>
      <c r="F474" t="s">
        <v>136</v>
      </c>
      <c r="G474" t="s">
        <v>75</v>
      </c>
      <c r="H474" t="s">
        <v>98</v>
      </c>
      <c r="I474" t="s">
        <v>76</v>
      </c>
      <c r="J474" t="s">
        <v>77</v>
      </c>
      <c r="K474" t="s">
        <v>125</v>
      </c>
      <c r="L474" t="s">
        <v>79</v>
      </c>
      <c r="M474" t="s">
        <v>132</v>
      </c>
      <c r="N474" t="s">
        <v>79</v>
      </c>
      <c r="O474" t="s">
        <v>138</v>
      </c>
      <c r="P474" t="s">
        <v>82</v>
      </c>
      <c r="Q474" t="s">
        <v>83</v>
      </c>
      <c r="R474" t="s">
        <v>79</v>
      </c>
      <c r="S474" t="s">
        <v>84</v>
      </c>
      <c r="T474" t="s">
        <v>152</v>
      </c>
      <c r="U474" t="s">
        <v>79</v>
      </c>
      <c r="V474" t="s">
        <v>106</v>
      </c>
      <c r="W474" t="s">
        <v>120</v>
      </c>
      <c r="X474" t="s">
        <v>88</v>
      </c>
      <c r="Y474" t="s">
        <v>94</v>
      </c>
      <c r="Z474" t="s">
        <v>92</v>
      </c>
      <c r="AA474" t="s">
        <v>93</v>
      </c>
      <c r="AB474" t="s">
        <v>93</v>
      </c>
      <c r="AC474" t="s">
        <v>93</v>
      </c>
      <c r="AD474" t="s">
        <v>93</v>
      </c>
      <c r="AE474" t="s">
        <v>93</v>
      </c>
      <c r="AF474" t="s">
        <v>93</v>
      </c>
      <c r="AG474" t="s">
        <v>93</v>
      </c>
      <c r="AH474" t="s">
        <v>93</v>
      </c>
      <c r="AI474" t="s">
        <v>93</v>
      </c>
      <c r="AJ474" t="s">
        <v>93</v>
      </c>
      <c r="AK474" t="s">
        <v>92</v>
      </c>
      <c r="AL474" t="s">
        <v>93</v>
      </c>
      <c r="AM474" t="s">
        <v>93</v>
      </c>
      <c r="AN474" t="s">
        <v>92</v>
      </c>
      <c r="AO474" t="s">
        <v>92</v>
      </c>
      <c r="AP474" t="s">
        <v>94</v>
      </c>
      <c r="AQ474" t="s">
        <v>94</v>
      </c>
      <c r="AR474" t="s">
        <v>92</v>
      </c>
      <c r="AS474" t="s">
        <v>94</v>
      </c>
      <c r="AT474" t="s">
        <v>94</v>
      </c>
      <c r="AU474" t="s">
        <v>92</v>
      </c>
      <c r="AV474" t="s">
        <v>94</v>
      </c>
      <c r="AW474" t="s">
        <v>92</v>
      </c>
      <c r="AX474" t="s">
        <v>94</v>
      </c>
      <c r="AY474" t="s">
        <v>92</v>
      </c>
      <c r="AZ474" t="s">
        <v>94</v>
      </c>
      <c r="BA474" t="s">
        <v>94</v>
      </c>
      <c r="BB474" t="s">
        <v>92</v>
      </c>
      <c r="BC474" t="s">
        <v>94</v>
      </c>
      <c r="BD474" t="s">
        <v>92</v>
      </c>
      <c r="BE474" t="s">
        <v>94</v>
      </c>
      <c r="BF474" t="s">
        <v>92</v>
      </c>
      <c r="BG474" t="s">
        <v>94</v>
      </c>
      <c r="BH474" t="s">
        <v>92</v>
      </c>
    </row>
    <row r="475" spans="1:60" x14ac:dyDescent="0.3">
      <c r="A475">
        <v>21</v>
      </c>
      <c r="B475" t="s">
        <v>70</v>
      </c>
      <c r="C475" t="s">
        <v>96</v>
      </c>
      <c r="D475" t="s">
        <v>72</v>
      </c>
      <c r="E475" t="s">
        <v>114</v>
      </c>
      <c r="F475" t="s">
        <v>136</v>
      </c>
      <c r="G475" t="s">
        <v>75</v>
      </c>
      <c r="H475" t="s">
        <v>136</v>
      </c>
      <c r="I475" t="s">
        <v>76</v>
      </c>
      <c r="J475" t="s">
        <v>77</v>
      </c>
      <c r="K475" t="s">
        <v>125</v>
      </c>
      <c r="L475" t="s">
        <v>82</v>
      </c>
      <c r="M475" t="s">
        <v>80</v>
      </c>
      <c r="N475" t="s">
        <v>79</v>
      </c>
      <c r="O475" t="s">
        <v>109</v>
      </c>
      <c r="P475" t="s">
        <v>79</v>
      </c>
      <c r="Q475" t="s">
        <v>118</v>
      </c>
      <c r="R475" t="s">
        <v>79</v>
      </c>
      <c r="S475" t="s">
        <v>84</v>
      </c>
      <c r="T475" t="s">
        <v>167</v>
      </c>
      <c r="U475" t="s">
        <v>79</v>
      </c>
      <c r="V475" t="s">
        <v>106</v>
      </c>
      <c r="W475" t="s">
        <v>141</v>
      </c>
      <c r="X475" t="s">
        <v>112</v>
      </c>
      <c r="Y475" t="s">
        <v>95</v>
      </c>
      <c r="Z475" t="s">
        <v>94</v>
      </c>
      <c r="AA475" t="s">
        <v>94</v>
      </c>
      <c r="AB475" t="s">
        <v>92</v>
      </c>
      <c r="AC475" t="s">
        <v>94</v>
      </c>
      <c r="AD475" t="s">
        <v>95</v>
      </c>
      <c r="AE475" t="s">
        <v>95</v>
      </c>
      <c r="AF475" t="s">
        <v>95</v>
      </c>
      <c r="AG475" t="s">
        <v>94</v>
      </c>
      <c r="AH475" t="s">
        <v>95</v>
      </c>
      <c r="AI475" t="s">
        <v>92</v>
      </c>
      <c r="AJ475" t="s">
        <v>94</v>
      </c>
      <c r="AK475" t="s">
        <v>95</v>
      </c>
      <c r="AL475" t="s">
        <v>92</v>
      </c>
      <c r="AM475" t="s">
        <v>94</v>
      </c>
      <c r="AN475" t="s">
        <v>95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94</v>
      </c>
      <c r="AU475" t="s">
        <v>94</v>
      </c>
      <c r="AV475" t="s">
        <v>94</v>
      </c>
      <c r="AW475" t="s">
        <v>94</v>
      </c>
      <c r="AX475" t="s">
        <v>95</v>
      </c>
      <c r="AY475" t="s">
        <v>94</v>
      </c>
      <c r="AZ475" t="s">
        <v>95</v>
      </c>
      <c r="BA475" t="s">
        <v>95</v>
      </c>
      <c r="BB475" t="s">
        <v>94</v>
      </c>
      <c r="BC475" t="s">
        <v>94</v>
      </c>
      <c r="BD475" t="s">
        <v>94</v>
      </c>
      <c r="BE475" t="s">
        <v>95</v>
      </c>
      <c r="BF475" t="s">
        <v>94</v>
      </c>
      <c r="BG475" t="s">
        <v>95</v>
      </c>
      <c r="BH475" t="s">
        <v>95</v>
      </c>
    </row>
    <row r="476" spans="1:60" x14ac:dyDescent="0.3">
      <c r="A476">
        <v>21</v>
      </c>
      <c r="B476" t="s">
        <v>70</v>
      </c>
      <c r="C476" t="s">
        <v>96</v>
      </c>
      <c r="D476" t="s">
        <v>72</v>
      </c>
      <c r="E476" t="s">
        <v>114</v>
      </c>
      <c r="F476" t="s">
        <v>136</v>
      </c>
      <c r="G476" t="s">
        <v>115</v>
      </c>
      <c r="H476" t="s">
        <v>98</v>
      </c>
      <c r="I476" t="s">
        <v>76</v>
      </c>
      <c r="J476" t="s">
        <v>77</v>
      </c>
      <c r="K476" t="s">
        <v>125</v>
      </c>
      <c r="L476" t="s">
        <v>79</v>
      </c>
      <c r="M476" t="s">
        <v>80</v>
      </c>
      <c r="N476" t="s">
        <v>79</v>
      </c>
      <c r="O476" t="s">
        <v>117</v>
      </c>
      <c r="P476" t="s">
        <v>79</v>
      </c>
      <c r="Q476" t="s">
        <v>83</v>
      </c>
      <c r="R476" t="s">
        <v>79</v>
      </c>
      <c r="S476" t="s">
        <v>84</v>
      </c>
      <c r="T476" t="s">
        <v>156</v>
      </c>
      <c r="U476" t="s">
        <v>82</v>
      </c>
      <c r="V476" t="s">
        <v>106</v>
      </c>
      <c r="W476" t="s">
        <v>141</v>
      </c>
      <c r="X476" t="s">
        <v>112</v>
      </c>
      <c r="Y476" t="s">
        <v>92</v>
      </c>
      <c r="Z476" t="s">
        <v>92</v>
      </c>
      <c r="AA476" t="s">
        <v>95</v>
      </c>
      <c r="AB476" t="s">
        <v>92</v>
      </c>
      <c r="AC476" t="s">
        <v>94</v>
      </c>
      <c r="AD476" t="s">
        <v>94</v>
      </c>
      <c r="AE476" t="s">
        <v>94</v>
      </c>
      <c r="AF476" t="s">
        <v>92</v>
      </c>
      <c r="AG476" t="s">
        <v>92</v>
      </c>
      <c r="AH476" t="s">
        <v>92</v>
      </c>
      <c r="AI476" t="s">
        <v>92</v>
      </c>
      <c r="AJ476" t="s">
        <v>92</v>
      </c>
      <c r="AK476" t="s">
        <v>92</v>
      </c>
      <c r="AL476" t="s">
        <v>94</v>
      </c>
      <c r="AM476" t="s">
        <v>94</v>
      </c>
      <c r="AN476" t="s">
        <v>92</v>
      </c>
      <c r="AO476" t="s">
        <v>92</v>
      </c>
      <c r="AP476" t="s">
        <v>92</v>
      </c>
      <c r="AQ476" t="s">
        <v>94</v>
      </c>
      <c r="AR476" t="s">
        <v>94</v>
      </c>
      <c r="AS476" t="s">
        <v>95</v>
      </c>
      <c r="AT476" t="s">
        <v>95</v>
      </c>
      <c r="AU476" t="s">
        <v>92</v>
      </c>
      <c r="AV476" t="s">
        <v>92</v>
      </c>
      <c r="AW476" t="s">
        <v>92</v>
      </c>
      <c r="AX476" t="s">
        <v>94</v>
      </c>
      <c r="AY476" t="s">
        <v>94</v>
      </c>
      <c r="AZ476" t="s">
        <v>95</v>
      </c>
      <c r="BA476" t="s">
        <v>92</v>
      </c>
      <c r="BB476" t="s">
        <v>92</v>
      </c>
      <c r="BD476" t="s">
        <v>92</v>
      </c>
      <c r="BE476" t="s">
        <v>92</v>
      </c>
      <c r="BF476" t="s">
        <v>94</v>
      </c>
      <c r="BG476" t="s">
        <v>94</v>
      </c>
      <c r="BH476" t="s">
        <v>94</v>
      </c>
    </row>
    <row r="477" spans="1:60" x14ac:dyDescent="0.3">
      <c r="A477">
        <v>21</v>
      </c>
      <c r="B477" t="s">
        <v>70</v>
      </c>
      <c r="C477" t="s">
        <v>96</v>
      </c>
      <c r="D477" t="s">
        <v>72</v>
      </c>
      <c r="E477" t="s">
        <v>108</v>
      </c>
      <c r="F477" t="s">
        <v>74</v>
      </c>
      <c r="G477" t="s">
        <v>75</v>
      </c>
      <c r="H477" t="s">
        <v>74</v>
      </c>
      <c r="I477" t="s">
        <v>115</v>
      </c>
      <c r="J477" t="s">
        <v>77</v>
      </c>
      <c r="K477" t="s">
        <v>78</v>
      </c>
      <c r="L477" t="s">
        <v>79</v>
      </c>
      <c r="M477" t="s">
        <v>80</v>
      </c>
      <c r="N477" t="s">
        <v>79</v>
      </c>
      <c r="O477" t="s">
        <v>117</v>
      </c>
      <c r="P477" t="s">
        <v>79</v>
      </c>
      <c r="Q477" t="s">
        <v>83</v>
      </c>
      <c r="R477" t="s">
        <v>82</v>
      </c>
      <c r="S477" t="s">
        <v>84</v>
      </c>
      <c r="T477" t="s">
        <v>150</v>
      </c>
      <c r="U477" t="s">
        <v>82</v>
      </c>
      <c r="V477" t="s">
        <v>86</v>
      </c>
      <c r="W477" t="s">
        <v>120</v>
      </c>
      <c r="X477" t="s">
        <v>112</v>
      </c>
      <c r="Y477" t="s">
        <v>92</v>
      </c>
      <c r="Z477" t="s">
        <v>92</v>
      </c>
      <c r="AA477" t="s">
        <v>92</v>
      </c>
      <c r="AB477" t="s">
        <v>92</v>
      </c>
      <c r="AC477" t="s">
        <v>92</v>
      </c>
      <c r="AD477" t="s">
        <v>94</v>
      </c>
      <c r="AE477" t="s">
        <v>95</v>
      </c>
      <c r="AF477" t="s">
        <v>95</v>
      </c>
      <c r="AG477" t="s">
        <v>94</v>
      </c>
      <c r="AH477" t="s">
        <v>95</v>
      </c>
      <c r="AI477" t="s">
        <v>92</v>
      </c>
      <c r="AJ477" t="s">
        <v>92</v>
      </c>
      <c r="AK477" t="s">
        <v>95</v>
      </c>
      <c r="AL477" t="s">
        <v>94</v>
      </c>
      <c r="AM477" t="s">
        <v>95</v>
      </c>
      <c r="AN477" t="s">
        <v>92</v>
      </c>
      <c r="AO477" t="s">
        <v>94</v>
      </c>
      <c r="AP477" t="s">
        <v>92</v>
      </c>
      <c r="AQ477" t="s">
        <v>94</v>
      </c>
      <c r="AR477" t="s">
        <v>94</v>
      </c>
      <c r="AS477" t="s">
        <v>95</v>
      </c>
      <c r="AT477" t="s">
        <v>95</v>
      </c>
      <c r="AU477" t="s">
        <v>94</v>
      </c>
      <c r="AV477" t="s">
        <v>92</v>
      </c>
      <c r="AW477" t="s">
        <v>92</v>
      </c>
      <c r="AX477" t="s">
        <v>94</v>
      </c>
      <c r="AY477" t="s">
        <v>94</v>
      </c>
      <c r="AZ477" t="s">
        <v>95</v>
      </c>
      <c r="BA477" t="s">
        <v>92</v>
      </c>
      <c r="BB477" t="s">
        <v>92</v>
      </c>
      <c r="BC477" t="s">
        <v>92</v>
      </c>
      <c r="BD477" t="s">
        <v>92</v>
      </c>
      <c r="BE477" t="s">
        <v>92</v>
      </c>
      <c r="BF477" t="s">
        <v>94</v>
      </c>
      <c r="BG477" t="s">
        <v>95</v>
      </c>
      <c r="BH477" t="s">
        <v>94</v>
      </c>
    </row>
    <row r="478" spans="1:60" x14ac:dyDescent="0.3">
      <c r="A478">
        <v>21</v>
      </c>
      <c r="B478" t="s">
        <v>70</v>
      </c>
      <c r="C478" t="s">
        <v>96</v>
      </c>
      <c r="D478" t="s">
        <v>72</v>
      </c>
      <c r="E478" t="s">
        <v>73</v>
      </c>
      <c r="F478" t="s">
        <v>136</v>
      </c>
      <c r="G478" t="s">
        <v>75</v>
      </c>
      <c r="H478" t="s">
        <v>136</v>
      </c>
      <c r="I478" t="s">
        <v>76</v>
      </c>
      <c r="J478" t="s">
        <v>77</v>
      </c>
      <c r="K478" t="s">
        <v>78</v>
      </c>
      <c r="L478" t="s">
        <v>82</v>
      </c>
      <c r="M478" t="s">
        <v>80</v>
      </c>
      <c r="N478" t="s">
        <v>79</v>
      </c>
      <c r="O478" t="s">
        <v>133</v>
      </c>
      <c r="P478" t="s">
        <v>79</v>
      </c>
      <c r="Q478" t="s">
        <v>83</v>
      </c>
      <c r="R478" t="s">
        <v>82</v>
      </c>
      <c r="S478" t="s">
        <v>84</v>
      </c>
      <c r="T478" t="s">
        <v>85</v>
      </c>
      <c r="U478" t="s">
        <v>82</v>
      </c>
      <c r="V478" t="s">
        <v>86</v>
      </c>
      <c r="W478" t="s">
        <v>87</v>
      </c>
      <c r="X478" t="s">
        <v>88</v>
      </c>
      <c r="Y478" t="s">
        <v>93</v>
      </c>
      <c r="Z478" t="s">
        <v>93</v>
      </c>
      <c r="AA478" t="s">
        <v>93</v>
      </c>
      <c r="AB478" t="s">
        <v>93</v>
      </c>
      <c r="AC478" t="s">
        <v>93</v>
      </c>
      <c r="AD478" t="s">
        <v>92</v>
      </c>
      <c r="AE478" t="s">
        <v>92</v>
      </c>
      <c r="AF478" t="s">
        <v>93</v>
      </c>
      <c r="AG478" t="s">
        <v>92</v>
      </c>
      <c r="AH478" t="s">
        <v>95</v>
      </c>
      <c r="AI478" t="s">
        <v>93</v>
      </c>
      <c r="AJ478" t="s">
        <v>93</v>
      </c>
      <c r="AK478" t="s">
        <v>93</v>
      </c>
      <c r="AL478" t="s">
        <v>93</v>
      </c>
      <c r="AM478" t="s">
        <v>93</v>
      </c>
      <c r="AN478" t="s">
        <v>93</v>
      </c>
      <c r="AO478" t="s">
        <v>93</v>
      </c>
      <c r="AP478" t="s">
        <v>93</v>
      </c>
      <c r="AQ478" t="s">
        <v>93</v>
      </c>
      <c r="AR478" t="s">
        <v>92</v>
      </c>
      <c r="AS478" t="s">
        <v>92</v>
      </c>
      <c r="AT478" t="s">
        <v>92</v>
      </c>
      <c r="AU478" t="s">
        <v>93</v>
      </c>
      <c r="AV478" t="s">
        <v>93</v>
      </c>
      <c r="AW478" t="s">
        <v>93</v>
      </c>
      <c r="AX478" t="s">
        <v>93</v>
      </c>
      <c r="AY478" t="s">
        <v>93</v>
      </c>
      <c r="AZ478" t="s">
        <v>93</v>
      </c>
      <c r="BA478" t="s">
        <v>93</v>
      </c>
      <c r="BB478" t="s">
        <v>93</v>
      </c>
      <c r="BC478" t="s">
        <v>93</v>
      </c>
      <c r="BD478" t="s">
        <v>93</v>
      </c>
      <c r="BE478" t="s">
        <v>93</v>
      </c>
      <c r="BF478" t="s">
        <v>94</v>
      </c>
      <c r="BG478" t="s">
        <v>93</v>
      </c>
      <c r="BH478" t="s">
        <v>93</v>
      </c>
    </row>
    <row r="479" spans="1:60" x14ac:dyDescent="0.3">
      <c r="A479">
        <v>20</v>
      </c>
      <c r="B479" t="s">
        <v>70</v>
      </c>
      <c r="C479" t="s">
        <v>96</v>
      </c>
      <c r="D479" t="s">
        <v>97</v>
      </c>
      <c r="E479" t="s">
        <v>73</v>
      </c>
      <c r="F479" t="s">
        <v>74</v>
      </c>
      <c r="G479" t="s">
        <v>115</v>
      </c>
      <c r="H479" t="s">
        <v>136</v>
      </c>
      <c r="I479" t="s">
        <v>76</v>
      </c>
      <c r="J479" t="s">
        <v>77</v>
      </c>
      <c r="K479" t="s">
        <v>122</v>
      </c>
      <c r="L479" t="s">
        <v>79</v>
      </c>
      <c r="M479" t="s">
        <v>80</v>
      </c>
      <c r="N479" t="s">
        <v>79</v>
      </c>
      <c r="O479" t="s">
        <v>138</v>
      </c>
      <c r="P479" t="s">
        <v>82</v>
      </c>
      <c r="Q479" t="s">
        <v>83</v>
      </c>
      <c r="R479" t="s">
        <v>82</v>
      </c>
      <c r="S479" t="s">
        <v>84</v>
      </c>
      <c r="T479" t="s">
        <v>124</v>
      </c>
      <c r="U479" t="s">
        <v>82</v>
      </c>
      <c r="V479" t="s">
        <v>86</v>
      </c>
      <c r="W479" t="s">
        <v>87</v>
      </c>
      <c r="X479" t="s">
        <v>112</v>
      </c>
      <c r="Y479" t="s">
        <v>93</v>
      </c>
      <c r="Z479" t="s">
        <v>93</v>
      </c>
      <c r="AA479" t="s">
        <v>93</v>
      </c>
      <c r="AB479" t="s">
        <v>93</v>
      </c>
      <c r="AC479" t="s">
        <v>94</v>
      </c>
      <c r="AD479" t="s">
        <v>94</v>
      </c>
      <c r="AE479" t="s">
        <v>94</v>
      </c>
      <c r="AF479" t="s">
        <v>92</v>
      </c>
      <c r="AG479" t="s">
        <v>92</v>
      </c>
      <c r="AH479" t="s">
        <v>94</v>
      </c>
      <c r="AI479" t="s">
        <v>93</v>
      </c>
      <c r="AJ479" t="s">
        <v>94</v>
      </c>
      <c r="AK479" t="s">
        <v>93</v>
      </c>
      <c r="AL479" t="s">
        <v>95</v>
      </c>
      <c r="AM479" t="s">
        <v>94</v>
      </c>
      <c r="AN479" t="s">
        <v>93</v>
      </c>
      <c r="AO479" t="s">
        <v>93</v>
      </c>
      <c r="AP479" t="s">
        <v>93</v>
      </c>
      <c r="AQ479" t="s">
        <v>95</v>
      </c>
      <c r="AR479" t="s">
        <v>95</v>
      </c>
      <c r="AS479" t="s">
        <v>95</v>
      </c>
      <c r="AT479" t="s">
        <v>95</v>
      </c>
      <c r="AU479" t="s">
        <v>92</v>
      </c>
      <c r="AV479" t="s">
        <v>92</v>
      </c>
      <c r="AW479" t="s">
        <v>92</v>
      </c>
      <c r="AX479" t="s">
        <v>94</v>
      </c>
      <c r="AY479" t="s">
        <v>95</v>
      </c>
      <c r="AZ479" t="s">
        <v>95</v>
      </c>
      <c r="BA479" t="s">
        <v>93</v>
      </c>
      <c r="BB479" t="s">
        <v>95</v>
      </c>
      <c r="BC479" t="s">
        <v>93</v>
      </c>
      <c r="BD479" t="s">
        <v>93</v>
      </c>
      <c r="BE479" t="s">
        <v>93</v>
      </c>
      <c r="BF479" t="s">
        <v>95</v>
      </c>
      <c r="BG479" t="s">
        <v>95</v>
      </c>
      <c r="BH479" t="s">
        <v>95</v>
      </c>
    </row>
    <row r="480" spans="1:60" x14ac:dyDescent="0.3">
      <c r="A480">
        <v>23</v>
      </c>
      <c r="B480" t="s">
        <v>70</v>
      </c>
      <c r="C480" t="s">
        <v>96</v>
      </c>
      <c r="D480" t="s">
        <v>149</v>
      </c>
      <c r="E480" t="s">
        <v>73</v>
      </c>
      <c r="F480" t="s">
        <v>136</v>
      </c>
      <c r="G480" t="s">
        <v>115</v>
      </c>
      <c r="H480" t="s">
        <v>136</v>
      </c>
      <c r="I480" t="s">
        <v>76</v>
      </c>
      <c r="J480" t="s">
        <v>77</v>
      </c>
      <c r="K480" t="s">
        <v>78</v>
      </c>
      <c r="L480" t="s">
        <v>79</v>
      </c>
      <c r="M480" t="s">
        <v>80</v>
      </c>
      <c r="N480" t="s">
        <v>79</v>
      </c>
      <c r="O480" t="s">
        <v>109</v>
      </c>
      <c r="P480" t="s">
        <v>82</v>
      </c>
      <c r="Q480" t="s">
        <v>118</v>
      </c>
      <c r="R480" t="s">
        <v>79</v>
      </c>
      <c r="S480" t="s">
        <v>84</v>
      </c>
      <c r="T480" t="s">
        <v>105</v>
      </c>
      <c r="U480" t="s">
        <v>79</v>
      </c>
      <c r="V480" t="s">
        <v>106</v>
      </c>
      <c r="W480" t="s">
        <v>87</v>
      </c>
      <c r="X480" t="s">
        <v>127</v>
      </c>
      <c r="Y480" t="s">
        <v>92</v>
      </c>
      <c r="Z480" t="s">
        <v>94</v>
      </c>
      <c r="AA480" t="s">
        <v>92</v>
      </c>
      <c r="AB480" t="s">
        <v>94</v>
      </c>
      <c r="AC480" t="s">
        <v>92</v>
      </c>
      <c r="AD480" t="s">
        <v>94</v>
      </c>
      <c r="AE480" t="s">
        <v>94</v>
      </c>
      <c r="AF480" t="s">
        <v>92</v>
      </c>
      <c r="AG480" t="s">
        <v>94</v>
      </c>
      <c r="AH480" t="s">
        <v>92</v>
      </c>
      <c r="AI480" t="s">
        <v>94</v>
      </c>
      <c r="AJ480" t="s">
        <v>94</v>
      </c>
      <c r="AK480" t="s">
        <v>92</v>
      </c>
      <c r="AL480" t="s">
        <v>94</v>
      </c>
      <c r="AM480" t="s">
        <v>95</v>
      </c>
      <c r="AN480" t="s">
        <v>94</v>
      </c>
      <c r="AO480" t="s">
        <v>94</v>
      </c>
      <c r="AP480" t="s">
        <v>95</v>
      </c>
      <c r="AQ480" t="s">
        <v>94</v>
      </c>
      <c r="AR480" t="s">
        <v>94</v>
      </c>
      <c r="AS480" t="s">
        <v>95</v>
      </c>
      <c r="AT480" t="s">
        <v>92</v>
      </c>
      <c r="AU480" t="s">
        <v>92</v>
      </c>
      <c r="AV480" t="s">
        <v>94</v>
      </c>
      <c r="AW480" t="s">
        <v>92</v>
      </c>
      <c r="AX480" t="s">
        <v>94</v>
      </c>
      <c r="AY480" t="s">
        <v>92</v>
      </c>
      <c r="AZ480" t="s">
        <v>94</v>
      </c>
      <c r="BA480" t="s">
        <v>92</v>
      </c>
      <c r="BB480" t="s">
        <v>94</v>
      </c>
      <c r="BC480" t="s">
        <v>92</v>
      </c>
      <c r="BD480" t="s">
        <v>94</v>
      </c>
      <c r="BE480" t="s">
        <v>94</v>
      </c>
      <c r="BF480" t="s">
        <v>95</v>
      </c>
      <c r="BG480" t="s">
        <v>95</v>
      </c>
      <c r="BH480" t="s">
        <v>92</v>
      </c>
    </row>
    <row r="481" spans="1:60" x14ac:dyDescent="0.3">
      <c r="A481">
        <v>22</v>
      </c>
      <c r="B481" t="s">
        <v>70</v>
      </c>
      <c r="C481" t="s">
        <v>113</v>
      </c>
      <c r="D481" t="s">
        <v>72</v>
      </c>
      <c r="E481" t="s">
        <v>108</v>
      </c>
      <c r="F481" t="s">
        <v>74</v>
      </c>
      <c r="G481" t="s">
        <v>115</v>
      </c>
      <c r="H481" t="s">
        <v>74</v>
      </c>
      <c r="I481" t="s">
        <v>115</v>
      </c>
      <c r="J481" t="s">
        <v>101</v>
      </c>
      <c r="K481" t="s">
        <v>78</v>
      </c>
      <c r="L481" t="s">
        <v>82</v>
      </c>
      <c r="M481" t="s">
        <v>80</v>
      </c>
      <c r="N481" t="s">
        <v>79</v>
      </c>
      <c r="O481" t="s">
        <v>109</v>
      </c>
      <c r="P481" t="s">
        <v>82</v>
      </c>
      <c r="Q481" t="s">
        <v>103</v>
      </c>
      <c r="R481" t="s">
        <v>79</v>
      </c>
      <c r="S481" t="s">
        <v>240</v>
      </c>
      <c r="T481" t="s">
        <v>130</v>
      </c>
      <c r="U481" t="s">
        <v>79</v>
      </c>
      <c r="V481" t="s">
        <v>86</v>
      </c>
      <c r="W481" t="s">
        <v>87</v>
      </c>
      <c r="X481" t="s">
        <v>112</v>
      </c>
      <c r="Y481" t="s">
        <v>94</v>
      </c>
      <c r="Z481" t="s">
        <v>93</v>
      </c>
      <c r="AA481" t="s">
        <v>93</v>
      </c>
      <c r="AB481" t="s">
        <v>93</v>
      </c>
      <c r="AC481" t="s">
        <v>93</v>
      </c>
      <c r="AD481" t="s">
        <v>92</v>
      </c>
      <c r="AE481" t="s">
        <v>95</v>
      </c>
      <c r="AF481" t="s">
        <v>95</v>
      </c>
      <c r="AG481" t="s">
        <v>95</v>
      </c>
      <c r="AH481" t="s">
        <v>95</v>
      </c>
      <c r="AI481" t="s">
        <v>93</v>
      </c>
      <c r="AJ481" t="s">
        <v>95</v>
      </c>
      <c r="AK481" t="s">
        <v>93</v>
      </c>
      <c r="AL481" t="s">
        <v>93</v>
      </c>
      <c r="AM481" t="s">
        <v>93</v>
      </c>
      <c r="AN481" t="s">
        <v>93</v>
      </c>
      <c r="AO481" t="s">
        <v>93</v>
      </c>
      <c r="AP481" t="s">
        <v>93</v>
      </c>
      <c r="AQ481" t="s">
        <v>93</v>
      </c>
      <c r="AR481" t="s">
        <v>93</v>
      </c>
      <c r="AS481" t="s">
        <v>93</v>
      </c>
      <c r="AT481" t="s">
        <v>93</v>
      </c>
      <c r="AU481" t="s">
        <v>93</v>
      </c>
      <c r="AV481" t="s">
        <v>93</v>
      </c>
      <c r="AW481" t="s">
        <v>93</v>
      </c>
      <c r="AX481" t="s">
        <v>93</v>
      </c>
      <c r="AY481" t="s">
        <v>93</v>
      </c>
      <c r="AZ481" t="s">
        <v>93</v>
      </c>
      <c r="BA481" t="s">
        <v>93</v>
      </c>
      <c r="BB481" t="s">
        <v>93</v>
      </c>
      <c r="BD481" t="s">
        <v>93</v>
      </c>
      <c r="BE481" t="s">
        <v>93</v>
      </c>
      <c r="BF481" t="s">
        <v>93</v>
      </c>
      <c r="BG481" t="s">
        <v>93</v>
      </c>
      <c r="BH481" t="s">
        <v>93</v>
      </c>
    </row>
    <row r="482" spans="1:60" x14ac:dyDescent="0.3">
      <c r="A482">
        <v>22</v>
      </c>
      <c r="B482" t="s">
        <v>128</v>
      </c>
      <c r="C482" t="s">
        <v>113</v>
      </c>
      <c r="D482" t="s">
        <v>72</v>
      </c>
      <c r="E482" t="s">
        <v>73</v>
      </c>
      <c r="F482" t="s">
        <v>98</v>
      </c>
      <c r="G482" t="s">
        <v>135</v>
      </c>
      <c r="H482" t="s">
        <v>100</v>
      </c>
      <c r="I482" t="s">
        <v>76</v>
      </c>
      <c r="J482" t="s">
        <v>101</v>
      </c>
      <c r="K482" t="s">
        <v>125</v>
      </c>
      <c r="L482" t="s">
        <v>79</v>
      </c>
      <c r="M482" t="s">
        <v>80</v>
      </c>
      <c r="N482" t="s">
        <v>79</v>
      </c>
      <c r="O482" t="s">
        <v>109</v>
      </c>
      <c r="P482" t="s">
        <v>82</v>
      </c>
      <c r="Q482" t="s">
        <v>103</v>
      </c>
      <c r="R482" t="s">
        <v>82</v>
      </c>
      <c r="S482" t="s">
        <v>84</v>
      </c>
      <c r="T482" t="s">
        <v>290</v>
      </c>
      <c r="U482" t="s">
        <v>82</v>
      </c>
      <c r="V482" t="s">
        <v>148</v>
      </c>
      <c r="W482" t="s">
        <v>87</v>
      </c>
      <c r="Y482" t="s">
        <v>93</v>
      </c>
      <c r="Z482" t="s">
        <v>93</v>
      </c>
      <c r="AA482" t="s">
        <v>93</v>
      </c>
      <c r="AB482" t="s">
        <v>93</v>
      </c>
      <c r="AC482" t="s">
        <v>94</v>
      </c>
      <c r="AD482" t="s">
        <v>94</v>
      </c>
      <c r="AE482" t="s">
        <v>94</v>
      </c>
      <c r="AF482" t="s">
        <v>93</v>
      </c>
      <c r="AG482" t="s">
        <v>92</v>
      </c>
      <c r="AH482" t="s">
        <v>92</v>
      </c>
      <c r="AI482" t="s">
        <v>93</v>
      </c>
      <c r="AJ482" t="s">
        <v>92</v>
      </c>
      <c r="AK482" t="s">
        <v>92</v>
      </c>
      <c r="AL482" t="s">
        <v>92</v>
      </c>
      <c r="AM482" t="s">
        <v>92</v>
      </c>
      <c r="AN482" t="s">
        <v>94</v>
      </c>
      <c r="AO482" t="s">
        <v>94</v>
      </c>
      <c r="AP482" t="s">
        <v>94</v>
      </c>
      <c r="AQ482" t="s">
        <v>94</v>
      </c>
      <c r="AR482" t="s">
        <v>94</v>
      </c>
      <c r="AS482" t="s">
        <v>94</v>
      </c>
      <c r="AT482" t="s">
        <v>94</v>
      </c>
      <c r="AU482" t="s">
        <v>92</v>
      </c>
      <c r="AV482" t="s">
        <v>92</v>
      </c>
      <c r="AW482" t="s">
        <v>94</v>
      </c>
      <c r="AX482" t="s">
        <v>94</v>
      </c>
      <c r="AY482" t="s">
        <v>94</v>
      </c>
      <c r="AZ482" t="s">
        <v>94</v>
      </c>
      <c r="BA482" t="s">
        <v>92</v>
      </c>
      <c r="BB482" t="s">
        <v>92</v>
      </c>
      <c r="BC482" t="s">
        <v>92</v>
      </c>
      <c r="BD482" t="s">
        <v>92</v>
      </c>
      <c r="BE482" t="s">
        <v>94</v>
      </c>
      <c r="BF482" t="s">
        <v>94</v>
      </c>
      <c r="BG482" t="s">
        <v>94</v>
      </c>
      <c r="BH482" t="s">
        <v>94</v>
      </c>
    </row>
    <row r="483" spans="1:60" x14ac:dyDescent="0.3">
      <c r="A483">
        <v>24</v>
      </c>
      <c r="B483" t="s">
        <v>70</v>
      </c>
      <c r="C483" t="s">
        <v>113</v>
      </c>
      <c r="D483" t="s">
        <v>97</v>
      </c>
      <c r="E483" t="s">
        <v>108</v>
      </c>
      <c r="F483" t="s">
        <v>136</v>
      </c>
      <c r="G483" t="s">
        <v>99</v>
      </c>
      <c r="H483" t="s">
        <v>136</v>
      </c>
      <c r="I483" t="s">
        <v>76</v>
      </c>
      <c r="J483" t="s">
        <v>77</v>
      </c>
      <c r="K483" t="s">
        <v>122</v>
      </c>
      <c r="L483" t="s">
        <v>79</v>
      </c>
      <c r="M483" t="s">
        <v>132</v>
      </c>
      <c r="N483" t="s">
        <v>79</v>
      </c>
      <c r="O483" t="s">
        <v>117</v>
      </c>
      <c r="P483" t="s">
        <v>79</v>
      </c>
      <c r="Q483" t="s">
        <v>83</v>
      </c>
      <c r="R483" t="s">
        <v>82</v>
      </c>
      <c r="S483" t="s">
        <v>193</v>
      </c>
      <c r="T483" t="s">
        <v>152</v>
      </c>
      <c r="U483" t="s">
        <v>82</v>
      </c>
      <c r="V483" t="s">
        <v>106</v>
      </c>
      <c r="W483" t="s">
        <v>87</v>
      </c>
      <c r="X483" t="s">
        <v>112</v>
      </c>
      <c r="Y483" t="s">
        <v>93</v>
      </c>
      <c r="Z483" t="s">
        <v>93</v>
      </c>
      <c r="AA483" t="s">
        <v>92</v>
      </c>
      <c r="AB483" t="s">
        <v>93</v>
      </c>
      <c r="AC483" t="s">
        <v>92</v>
      </c>
      <c r="AD483" t="s">
        <v>92</v>
      </c>
      <c r="AE483" t="s">
        <v>95</v>
      </c>
      <c r="AF483" t="s">
        <v>94</v>
      </c>
      <c r="AG483" t="s">
        <v>92</v>
      </c>
      <c r="AH483" t="s">
        <v>93</v>
      </c>
      <c r="AI483" t="s">
        <v>93</v>
      </c>
      <c r="AJ483" t="s">
        <v>92</v>
      </c>
      <c r="AK483" t="s">
        <v>93</v>
      </c>
      <c r="AL483" t="s">
        <v>92</v>
      </c>
      <c r="AM483" t="s">
        <v>92</v>
      </c>
      <c r="AN483" t="s">
        <v>93</v>
      </c>
      <c r="AO483" t="s">
        <v>93</v>
      </c>
      <c r="AP483" t="s">
        <v>93</v>
      </c>
      <c r="AQ483" t="s">
        <v>95</v>
      </c>
      <c r="AR483" t="s">
        <v>95</v>
      </c>
      <c r="AS483" t="s">
        <v>95</v>
      </c>
      <c r="AT483" t="s">
        <v>95</v>
      </c>
      <c r="AU483" t="s">
        <v>94</v>
      </c>
      <c r="AV483" t="s">
        <v>94</v>
      </c>
      <c r="AW483" t="s">
        <v>94</v>
      </c>
      <c r="AX483" t="s">
        <v>92</v>
      </c>
      <c r="AY483" t="s">
        <v>92</v>
      </c>
      <c r="AZ483" t="s">
        <v>95</v>
      </c>
      <c r="BA483" t="s">
        <v>93</v>
      </c>
      <c r="BB483" t="s">
        <v>93</v>
      </c>
      <c r="BC483" t="s">
        <v>93</v>
      </c>
      <c r="BD483" t="s">
        <v>93</v>
      </c>
      <c r="BE483" t="s">
        <v>93</v>
      </c>
      <c r="BF483" t="s">
        <v>95</v>
      </c>
      <c r="BG483" t="s">
        <v>94</v>
      </c>
      <c r="BH483" t="s">
        <v>93</v>
      </c>
    </row>
    <row r="484" spans="1:60" x14ac:dyDescent="0.3">
      <c r="A484">
        <v>22</v>
      </c>
      <c r="B484" t="s">
        <v>128</v>
      </c>
      <c r="C484" t="s">
        <v>113</v>
      </c>
      <c r="D484" t="s">
        <v>97</v>
      </c>
      <c r="E484" t="s">
        <v>108</v>
      </c>
      <c r="F484" t="s">
        <v>100</v>
      </c>
      <c r="G484" t="s">
        <v>135</v>
      </c>
      <c r="H484" t="s">
        <v>100</v>
      </c>
      <c r="I484" t="s">
        <v>76</v>
      </c>
      <c r="J484" t="s">
        <v>101</v>
      </c>
      <c r="K484" t="s">
        <v>122</v>
      </c>
      <c r="L484" t="s">
        <v>82</v>
      </c>
      <c r="M484" t="s">
        <v>102</v>
      </c>
      <c r="N484" t="s">
        <v>82</v>
      </c>
      <c r="O484" t="s">
        <v>109</v>
      </c>
      <c r="P484" t="s">
        <v>79</v>
      </c>
      <c r="Q484" t="s">
        <v>83</v>
      </c>
      <c r="R484" t="s">
        <v>79</v>
      </c>
      <c r="S484" t="s">
        <v>123</v>
      </c>
      <c r="T484" t="s">
        <v>139</v>
      </c>
      <c r="U484" t="s">
        <v>79</v>
      </c>
      <c r="V484" t="s">
        <v>106</v>
      </c>
      <c r="W484" t="s">
        <v>141</v>
      </c>
      <c r="X484" t="s">
        <v>112</v>
      </c>
      <c r="Y484" t="s">
        <v>92</v>
      </c>
      <c r="Z484" t="s">
        <v>92</v>
      </c>
      <c r="AA484" t="s">
        <v>92</v>
      </c>
      <c r="AB484" t="s">
        <v>93</v>
      </c>
      <c r="AC484" t="s">
        <v>94</v>
      </c>
      <c r="AD484" t="s">
        <v>92</v>
      </c>
      <c r="AE484" t="s">
        <v>94</v>
      </c>
      <c r="AF484" t="s">
        <v>93</v>
      </c>
      <c r="AG484" t="s">
        <v>94</v>
      </c>
      <c r="AH484" t="s">
        <v>92</v>
      </c>
      <c r="AI484" t="s">
        <v>92</v>
      </c>
      <c r="AJ484" t="s">
        <v>92</v>
      </c>
      <c r="AK484" t="s">
        <v>92</v>
      </c>
      <c r="AL484" t="s">
        <v>94</v>
      </c>
      <c r="AM484" t="s">
        <v>94</v>
      </c>
      <c r="AN484" t="s">
        <v>94</v>
      </c>
      <c r="AO484" t="s">
        <v>93</v>
      </c>
      <c r="AP484" t="s">
        <v>93</v>
      </c>
      <c r="AQ484" t="s">
        <v>95</v>
      </c>
      <c r="AR484" t="s">
        <v>95</v>
      </c>
      <c r="AS484" t="s">
        <v>95</v>
      </c>
      <c r="AT484" t="s">
        <v>95</v>
      </c>
      <c r="AU484" t="s">
        <v>94</v>
      </c>
      <c r="AV484" t="s">
        <v>94</v>
      </c>
      <c r="AW484" t="s">
        <v>94</v>
      </c>
      <c r="AX484" t="s">
        <v>94</v>
      </c>
      <c r="AY484" t="s">
        <v>94</v>
      </c>
      <c r="AZ484" t="s">
        <v>95</v>
      </c>
      <c r="BA484" t="s">
        <v>92</v>
      </c>
      <c r="BB484" t="s">
        <v>92</v>
      </c>
      <c r="BC484" t="s">
        <v>94</v>
      </c>
      <c r="BD484" t="s">
        <v>92</v>
      </c>
      <c r="BE484" t="s">
        <v>94</v>
      </c>
      <c r="BF484" t="s">
        <v>94</v>
      </c>
      <c r="BG484" t="s">
        <v>94</v>
      </c>
      <c r="BH484" t="s">
        <v>95</v>
      </c>
    </row>
    <row r="485" spans="1:60" x14ac:dyDescent="0.3">
      <c r="A485">
        <v>23</v>
      </c>
      <c r="B485" t="s">
        <v>70</v>
      </c>
      <c r="C485" t="s">
        <v>96</v>
      </c>
      <c r="D485" t="s">
        <v>97</v>
      </c>
      <c r="E485" t="s">
        <v>108</v>
      </c>
      <c r="F485" t="s">
        <v>98</v>
      </c>
      <c r="G485" t="s">
        <v>135</v>
      </c>
      <c r="H485" t="s">
        <v>98</v>
      </c>
      <c r="I485" t="s">
        <v>76</v>
      </c>
      <c r="J485" t="s">
        <v>77</v>
      </c>
      <c r="K485" t="s">
        <v>122</v>
      </c>
      <c r="L485" t="s">
        <v>82</v>
      </c>
      <c r="M485" t="s">
        <v>80</v>
      </c>
      <c r="N485" t="s">
        <v>79</v>
      </c>
      <c r="O485" t="s">
        <v>117</v>
      </c>
      <c r="P485" t="s">
        <v>82</v>
      </c>
      <c r="Q485" t="s">
        <v>103</v>
      </c>
      <c r="R485" t="s">
        <v>82</v>
      </c>
      <c r="S485" t="s">
        <v>84</v>
      </c>
      <c r="T485" t="s">
        <v>152</v>
      </c>
      <c r="U485" t="s">
        <v>82</v>
      </c>
      <c r="V485" t="s">
        <v>86</v>
      </c>
      <c r="W485" t="s">
        <v>141</v>
      </c>
      <c r="X485" t="s">
        <v>112</v>
      </c>
      <c r="Y485" t="s">
        <v>92</v>
      </c>
      <c r="Z485" t="s">
        <v>92</v>
      </c>
      <c r="AA485" t="s">
        <v>92</v>
      </c>
      <c r="AB485" t="s">
        <v>92</v>
      </c>
      <c r="AC485" t="s">
        <v>92</v>
      </c>
      <c r="AD485" t="s">
        <v>92</v>
      </c>
      <c r="AE485" t="s">
        <v>94</v>
      </c>
      <c r="AF485" t="s">
        <v>94</v>
      </c>
      <c r="AG485" t="s">
        <v>94</v>
      </c>
      <c r="AH485" t="s">
        <v>95</v>
      </c>
      <c r="AI485" t="s">
        <v>92</v>
      </c>
      <c r="AJ485" t="s">
        <v>92</v>
      </c>
      <c r="AK485" t="s">
        <v>92</v>
      </c>
      <c r="AL485" t="s">
        <v>94</v>
      </c>
      <c r="AM485" t="s">
        <v>94</v>
      </c>
      <c r="AN485" t="s">
        <v>92</v>
      </c>
      <c r="AO485" t="s">
        <v>92</v>
      </c>
      <c r="AP485" t="s">
        <v>92</v>
      </c>
      <c r="AQ485" t="s">
        <v>92</v>
      </c>
      <c r="AR485" t="s">
        <v>92</v>
      </c>
      <c r="AS485" t="s">
        <v>92</v>
      </c>
      <c r="AT485" t="s">
        <v>92</v>
      </c>
      <c r="AU485" t="s">
        <v>92</v>
      </c>
      <c r="AV485" t="s">
        <v>92</v>
      </c>
      <c r="AW485" t="s">
        <v>92</v>
      </c>
      <c r="AX485" t="s">
        <v>92</v>
      </c>
      <c r="AY485" t="s">
        <v>92</v>
      </c>
      <c r="AZ485" t="s">
        <v>92</v>
      </c>
      <c r="BA485" t="s">
        <v>92</v>
      </c>
      <c r="BB485" t="s">
        <v>92</v>
      </c>
      <c r="BC485" t="s">
        <v>92</v>
      </c>
      <c r="BD485" t="s">
        <v>92</v>
      </c>
      <c r="BE485" t="s">
        <v>92</v>
      </c>
      <c r="BF485" t="s">
        <v>92</v>
      </c>
      <c r="BG485" t="s">
        <v>92</v>
      </c>
      <c r="BH485" t="s">
        <v>92</v>
      </c>
    </row>
    <row r="486" spans="1:60" x14ac:dyDescent="0.3">
      <c r="A486">
        <v>20</v>
      </c>
      <c r="B486" t="s">
        <v>70</v>
      </c>
      <c r="C486" t="s">
        <v>96</v>
      </c>
      <c r="D486" t="s">
        <v>149</v>
      </c>
      <c r="E486" t="s">
        <v>108</v>
      </c>
      <c r="F486" t="s">
        <v>74</v>
      </c>
      <c r="G486" t="s">
        <v>75</v>
      </c>
      <c r="H486" t="s">
        <v>74</v>
      </c>
      <c r="I486" t="s">
        <v>75</v>
      </c>
      <c r="J486" t="s">
        <v>77</v>
      </c>
      <c r="K486" t="s">
        <v>131</v>
      </c>
      <c r="L486" t="s">
        <v>79</v>
      </c>
      <c r="M486" t="s">
        <v>102</v>
      </c>
      <c r="N486" t="s">
        <v>82</v>
      </c>
      <c r="O486" t="s">
        <v>117</v>
      </c>
      <c r="P486" t="s">
        <v>82</v>
      </c>
      <c r="Q486" t="s">
        <v>83</v>
      </c>
      <c r="R486" t="s">
        <v>79</v>
      </c>
      <c r="S486" t="s">
        <v>240</v>
      </c>
      <c r="T486" t="s">
        <v>175</v>
      </c>
      <c r="U486" t="s">
        <v>79</v>
      </c>
      <c r="V486" t="s">
        <v>86</v>
      </c>
      <c r="W486" t="s">
        <v>87</v>
      </c>
      <c r="X486" t="s">
        <v>112</v>
      </c>
      <c r="Y486" t="s">
        <v>93</v>
      </c>
      <c r="Z486" t="s">
        <v>93</v>
      </c>
      <c r="AA486" t="s">
        <v>93</v>
      </c>
      <c r="AB486" t="s">
        <v>93</v>
      </c>
      <c r="AC486" t="s">
        <v>95</v>
      </c>
      <c r="AD486" t="s">
        <v>95</v>
      </c>
      <c r="AE486" t="s">
        <v>95</v>
      </c>
      <c r="AF486" t="s">
        <v>93</v>
      </c>
      <c r="AG486" t="s">
        <v>93</v>
      </c>
      <c r="AH486" t="s">
        <v>93</v>
      </c>
      <c r="AI486" t="s">
        <v>93</v>
      </c>
      <c r="AJ486" t="s">
        <v>93</v>
      </c>
      <c r="AK486" t="s">
        <v>93</v>
      </c>
      <c r="AL486" t="s">
        <v>95</v>
      </c>
      <c r="AM486" t="s">
        <v>95</v>
      </c>
      <c r="AN486" t="s">
        <v>93</v>
      </c>
      <c r="AO486" t="s">
        <v>93</v>
      </c>
      <c r="AP486" t="s">
        <v>93</v>
      </c>
      <c r="AQ486" t="s">
        <v>95</v>
      </c>
      <c r="AR486" t="s">
        <v>95</v>
      </c>
      <c r="AS486" t="s">
        <v>95</v>
      </c>
      <c r="AT486" t="s">
        <v>95</v>
      </c>
      <c r="AU486" t="s">
        <v>93</v>
      </c>
      <c r="AV486" t="s">
        <v>93</v>
      </c>
      <c r="AW486" t="s">
        <v>93</v>
      </c>
      <c r="AX486" t="s">
        <v>95</v>
      </c>
      <c r="AY486" t="s">
        <v>95</v>
      </c>
      <c r="AZ486" t="s">
        <v>95</v>
      </c>
      <c r="BA486" t="s">
        <v>93</v>
      </c>
      <c r="BB486" t="s">
        <v>93</v>
      </c>
      <c r="BD486" t="s">
        <v>93</v>
      </c>
      <c r="BE486" t="s">
        <v>93</v>
      </c>
      <c r="BF486" t="s">
        <v>95</v>
      </c>
      <c r="BG486" t="s">
        <v>95</v>
      </c>
      <c r="BH486" t="s">
        <v>95</v>
      </c>
    </row>
    <row r="487" spans="1:60" x14ac:dyDescent="0.3">
      <c r="A487">
        <v>22</v>
      </c>
      <c r="B487" t="s">
        <v>70</v>
      </c>
      <c r="C487" t="s">
        <v>113</v>
      </c>
      <c r="D487" t="s">
        <v>72</v>
      </c>
      <c r="E487" t="s">
        <v>108</v>
      </c>
      <c r="F487" t="s">
        <v>74</v>
      </c>
      <c r="G487" t="s">
        <v>99</v>
      </c>
      <c r="H487" t="s">
        <v>136</v>
      </c>
      <c r="I487" t="s">
        <v>76</v>
      </c>
      <c r="J487" t="s">
        <v>101</v>
      </c>
      <c r="K487" t="s">
        <v>122</v>
      </c>
      <c r="L487" t="s">
        <v>79</v>
      </c>
      <c r="M487" t="s">
        <v>80</v>
      </c>
      <c r="N487" t="s">
        <v>79</v>
      </c>
      <c r="O487" t="s">
        <v>109</v>
      </c>
      <c r="P487" t="s">
        <v>82</v>
      </c>
      <c r="Q487" t="s">
        <v>103</v>
      </c>
      <c r="R487" t="s">
        <v>79</v>
      </c>
      <c r="S487" t="s">
        <v>84</v>
      </c>
      <c r="T487" t="s">
        <v>216</v>
      </c>
      <c r="U487" t="s">
        <v>82</v>
      </c>
      <c r="V487" t="s">
        <v>86</v>
      </c>
      <c r="W487" t="s">
        <v>141</v>
      </c>
      <c r="X487" t="s">
        <v>112</v>
      </c>
      <c r="Y487" t="s">
        <v>94</v>
      </c>
      <c r="Z487" t="s">
        <v>94</v>
      </c>
      <c r="AA487" t="s">
        <v>93</v>
      </c>
      <c r="AB487" t="s">
        <v>93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94</v>
      </c>
      <c r="AI487" t="s">
        <v>93</v>
      </c>
      <c r="AJ487" t="s">
        <v>93</v>
      </c>
      <c r="AK487" t="s">
        <v>93</v>
      </c>
      <c r="AL487" t="s">
        <v>93</v>
      </c>
      <c r="AM487" t="s">
        <v>95</v>
      </c>
      <c r="AN487" t="s">
        <v>93</v>
      </c>
      <c r="AO487" t="s">
        <v>93</v>
      </c>
      <c r="AP487" t="s">
        <v>93</v>
      </c>
      <c r="AQ487" t="s">
        <v>93</v>
      </c>
      <c r="AR487" t="s">
        <v>95</v>
      </c>
      <c r="AS487" t="s">
        <v>95</v>
      </c>
      <c r="AT487" t="s">
        <v>95</v>
      </c>
      <c r="AU487" t="s">
        <v>94</v>
      </c>
      <c r="AV487" t="s">
        <v>92</v>
      </c>
      <c r="AW487" t="s">
        <v>94</v>
      </c>
      <c r="AX487" t="s">
        <v>95</v>
      </c>
      <c r="AY487" t="s">
        <v>95</v>
      </c>
      <c r="AZ487" t="s">
        <v>95</v>
      </c>
      <c r="BA487" t="s">
        <v>93</v>
      </c>
      <c r="BB487" t="s">
        <v>93</v>
      </c>
      <c r="BC487" t="s">
        <v>93</v>
      </c>
      <c r="BD487" t="s">
        <v>93</v>
      </c>
      <c r="BE487" t="s">
        <v>93</v>
      </c>
      <c r="BF487" t="s">
        <v>95</v>
      </c>
      <c r="BG487" t="s">
        <v>92</v>
      </c>
      <c r="BH487" t="s">
        <v>95</v>
      </c>
    </row>
    <row r="488" spans="1:60" x14ac:dyDescent="0.3">
      <c r="A488">
        <v>23</v>
      </c>
      <c r="B488" t="s">
        <v>128</v>
      </c>
      <c r="C488" t="s">
        <v>113</v>
      </c>
      <c r="D488" t="s">
        <v>149</v>
      </c>
      <c r="E488" t="s">
        <v>108</v>
      </c>
      <c r="F488" t="s">
        <v>136</v>
      </c>
      <c r="G488" t="s">
        <v>115</v>
      </c>
      <c r="H488" t="s">
        <v>136</v>
      </c>
      <c r="I488" t="s">
        <v>76</v>
      </c>
      <c r="J488" t="s">
        <v>77</v>
      </c>
      <c r="K488" t="s">
        <v>122</v>
      </c>
      <c r="L488" t="s">
        <v>79</v>
      </c>
      <c r="M488" t="s">
        <v>80</v>
      </c>
      <c r="N488" t="s">
        <v>79</v>
      </c>
      <c r="O488" t="s">
        <v>109</v>
      </c>
      <c r="P488" t="s">
        <v>82</v>
      </c>
      <c r="Q488" t="s">
        <v>103</v>
      </c>
      <c r="R488" t="s">
        <v>82</v>
      </c>
      <c r="S488" t="s">
        <v>126</v>
      </c>
      <c r="T488" t="s">
        <v>85</v>
      </c>
      <c r="U488" t="s">
        <v>82</v>
      </c>
      <c r="V488" t="s">
        <v>86</v>
      </c>
      <c r="W488" t="s">
        <v>87</v>
      </c>
      <c r="X488" t="s">
        <v>112</v>
      </c>
      <c r="Y488" t="s">
        <v>94</v>
      </c>
      <c r="Z488" t="s">
        <v>93</v>
      </c>
      <c r="AA488" t="s">
        <v>93</v>
      </c>
      <c r="AB488" t="s">
        <v>94</v>
      </c>
      <c r="AC488" t="s">
        <v>94</v>
      </c>
      <c r="AD488" t="s">
        <v>92</v>
      </c>
      <c r="AE488" t="s">
        <v>95</v>
      </c>
      <c r="AF488" t="s">
        <v>93</v>
      </c>
      <c r="AG488" t="s">
        <v>93</v>
      </c>
      <c r="AH488" t="s">
        <v>94</v>
      </c>
      <c r="AI488" t="s">
        <v>93</v>
      </c>
      <c r="AJ488" t="s">
        <v>93</v>
      </c>
      <c r="AK488" t="s">
        <v>94</v>
      </c>
      <c r="AL488" t="s">
        <v>95</v>
      </c>
      <c r="AM488" t="s">
        <v>93</v>
      </c>
      <c r="AN488" t="s">
        <v>93</v>
      </c>
      <c r="AO488" t="s">
        <v>93</v>
      </c>
      <c r="AP488" t="s">
        <v>93</v>
      </c>
      <c r="AQ488" t="s">
        <v>95</v>
      </c>
      <c r="AR488" t="s">
        <v>95</v>
      </c>
      <c r="AS488" t="s">
        <v>95</v>
      </c>
      <c r="AT488" t="s">
        <v>95</v>
      </c>
      <c r="AU488" t="s">
        <v>93</v>
      </c>
      <c r="AV488" t="s">
        <v>93</v>
      </c>
      <c r="AW488" t="s">
        <v>95</v>
      </c>
      <c r="AX488" t="s">
        <v>94</v>
      </c>
      <c r="AY488" t="s">
        <v>92</v>
      </c>
      <c r="AZ488" t="s">
        <v>92</v>
      </c>
      <c r="BA488" t="s">
        <v>93</v>
      </c>
      <c r="BB488" t="s">
        <v>93</v>
      </c>
      <c r="BC488" t="s">
        <v>93</v>
      </c>
      <c r="BD488" t="s">
        <v>93</v>
      </c>
      <c r="BE488" t="s">
        <v>93</v>
      </c>
      <c r="BF488" t="s">
        <v>95</v>
      </c>
      <c r="BG488" t="s">
        <v>94</v>
      </c>
      <c r="BH488" t="s">
        <v>94</v>
      </c>
    </row>
    <row r="489" spans="1:60" x14ac:dyDescent="0.3">
      <c r="A489">
        <v>21</v>
      </c>
      <c r="B489" t="s">
        <v>70</v>
      </c>
      <c r="C489" t="s">
        <v>157</v>
      </c>
      <c r="D489" t="s">
        <v>72</v>
      </c>
      <c r="E489" t="s">
        <v>73</v>
      </c>
      <c r="F489" t="s">
        <v>74</v>
      </c>
      <c r="G489" t="s">
        <v>75</v>
      </c>
      <c r="H489" t="s">
        <v>74</v>
      </c>
      <c r="I489" t="s">
        <v>115</v>
      </c>
      <c r="J489" t="s">
        <v>77</v>
      </c>
      <c r="K489" t="s">
        <v>131</v>
      </c>
      <c r="L489" t="s">
        <v>79</v>
      </c>
      <c r="M489" t="s">
        <v>132</v>
      </c>
      <c r="N489" t="s">
        <v>79</v>
      </c>
      <c r="O489" t="s">
        <v>117</v>
      </c>
      <c r="P489" t="s">
        <v>82</v>
      </c>
      <c r="Q489" t="s">
        <v>83</v>
      </c>
      <c r="R489" t="s">
        <v>79</v>
      </c>
      <c r="S489" t="s">
        <v>192</v>
      </c>
      <c r="T489" t="s">
        <v>291</v>
      </c>
      <c r="U489" t="s">
        <v>82</v>
      </c>
      <c r="V489" t="s">
        <v>106</v>
      </c>
      <c r="W489" t="s">
        <v>120</v>
      </c>
      <c r="X489" t="s">
        <v>112</v>
      </c>
      <c r="Y489" t="s">
        <v>93</v>
      </c>
      <c r="Z489" t="s">
        <v>93</v>
      </c>
      <c r="AA489" t="s">
        <v>93</v>
      </c>
      <c r="AB489" t="s">
        <v>93</v>
      </c>
      <c r="AC489" t="s">
        <v>92</v>
      </c>
      <c r="AD489" t="s">
        <v>92</v>
      </c>
      <c r="AE489" t="s">
        <v>93</v>
      </c>
      <c r="AF489" t="s">
        <v>93</v>
      </c>
      <c r="AG489" t="s">
        <v>93</v>
      </c>
      <c r="AH489" t="s">
        <v>93</v>
      </c>
      <c r="AI489" t="s">
        <v>92</v>
      </c>
      <c r="AJ489" t="s">
        <v>92</v>
      </c>
      <c r="AK489" t="s">
        <v>92</v>
      </c>
      <c r="AL489" t="s">
        <v>93</v>
      </c>
      <c r="AM489" t="s">
        <v>92</v>
      </c>
      <c r="AN489" t="s">
        <v>93</v>
      </c>
      <c r="AO489" t="s">
        <v>93</v>
      </c>
      <c r="AP489" t="s">
        <v>93</v>
      </c>
      <c r="AQ489" t="s">
        <v>95</v>
      </c>
      <c r="AR489" t="s">
        <v>95</v>
      </c>
      <c r="AS489" t="s">
        <v>95</v>
      </c>
      <c r="AT489" t="s">
        <v>95</v>
      </c>
      <c r="AU489" t="s">
        <v>92</v>
      </c>
      <c r="AV489" t="s">
        <v>92</v>
      </c>
      <c r="AW489" t="s">
        <v>92</v>
      </c>
      <c r="AX489" t="s">
        <v>92</v>
      </c>
      <c r="AY489" t="s">
        <v>92</v>
      </c>
      <c r="AZ489" t="s">
        <v>94</v>
      </c>
      <c r="BA489" t="s">
        <v>92</v>
      </c>
      <c r="BB489" t="s">
        <v>93</v>
      </c>
      <c r="BC489" t="s">
        <v>93</v>
      </c>
      <c r="BD489" t="s">
        <v>93</v>
      </c>
      <c r="BE489" t="s">
        <v>92</v>
      </c>
      <c r="BF489" t="s">
        <v>95</v>
      </c>
      <c r="BG489" t="s">
        <v>95</v>
      </c>
      <c r="BH489" t="s">
        <v>95</v>
      </c>
    </row>
    <row r="490" spans="1:60" x14ac:dyDescent="0.3">
      <c r="A490">
        <v>21</v>
      </c>
      <c r="B490" t="s">
        <v>70</v>
      </c>
      <c r="C490" t="s">
        <v>157</v>
      </c>
      <c r="D490" t="s">
        <v>97</v>
      </c>
      <c r="E490" t="s">
        <v>108</v>
      </c>
      <c r="F490" t="s">
        <v>74</v>
      </c>
      <c r="G490" t="s">
        <v>135</v>
      </c>
      <c r="H490" t="s">
        <v>165</v>
      </c>
      <c r="I490" t="s">
        <v>76</v>
      </c>
      <c r="J490" t="s">
        <v>77</v>
      </c>
      <c r="K490" t="s">
        <v>131</v>
      </c>
      <c r="L490" t="s">
        <v>79</v>
      </c>
      <c r="M490" t="s">
        <v>102</v>
      </c>
      <c r="N490" t="s">
        <v>79</v>
      </c>
      <c r="O490" t="s">
        <v>81</v>
      </c>
      <c r="P490" t="s">
        <v>79</v>
      </c>
      <c r="Q490" t="s">
        <v>103</v>
      </c>
      <c r="R490" t="s">
        <v>79</v>
      </c>
      <c r="S490" t="s">
        <v>154</v>
      </c>
      <c r="T490" t="s">
        <v>155</v>
      </c>
      <c r="U490" t="s">
        <v>82</v>
      </c>
      <c r="V490" t="s">
        <v>148</v>
      </c>
      <c r="W490" t="s">
        <v>141</v>
      </c>
      <c r="X490" t="s">
        <v>112</v>
      </c>
      <c r="Y490" t="s">
        <v>95</v>
      </c>
      <c r="Z490" t="s">
        <v>95</v>
      </c>
      <c r="AA490" t="s">
        <v>95</v>
      </c>
      <c r="AB490" t="s">
        <v>94</v>
      </c>
      <c r="AC490" t="s">
        <v>94</v>
      </c>
      <c r="AD490" t="s">
        <v>95</v>
      </c>
      <c r="AE490" t="s">
        <v>94</v>
      </c>
      <c r="AF490" t="s">
        <v>95</v>
      </c>
      <c r="AG490" t="s">
        <v>94</v>
      </c>
      <c r="AH490" t="s">
        <v>95</v>
      </c>
      <c r="AI490" t="s">
        <v>94</v>
      </c>
      <c r="AJ490" t="s">
        <v>95</v>
      </c>
      <c r="AK490" t="s">
        <v>94</v>
      </c>
      <c r="AL490" t="s">
        <v>95</v>
      </c>
      <c r="AM490" t="s">
        <v>94</v>
      </c>
      <c r="AN490" t="s">
        <v>94</v>
      </c>
      <c r="AO490" t="s">
        <v>95</v>
      </c>
      <c r="AP490" t="s">
        <v>94</v>
      </c>
      <c r="AQ490" t="s">
        <v>95</v>
      </c>
      <c r="AR490" t="s">
        <v>94</v>
      </c>
      <c r="AS490" t="s">
        <v>95</v>
      </c>
      <c r="AT490" t="s">
        <v>94</v>
      </c>
      <c r="AU490" t="s">
        <v>94</v>
      </c>
      <c r="AV490" t="s">
        <v>94</v>
      </c>
      <c r="AW490" t="s">
        <v>94</v>
      </c>
      <c r="AX490" t="s">
        <v>94</v>
      </c>
      <c r="AY490" t="s">
        <v>94</v>
      </c>
      <c r="AZ490" t="s">
        <v>94</v>
      </c>
      <c r="BA490" t="s">
        <v>94</v>
      </c>
      <c r="BB490" t="s">
        <v>94</v>
      </c>
      <c r="BC490" t="s">
        <v>94</v>
      </c>
      <c r="BD490" t="s">
        <v>94</v>
      </c>
      <c r="BE490" t="s">
        <v>94</v>
      </c>
      <c r="BF490" t="s">
        <v>95</v>
      </c>
      <c r="BG490" t="s">
        <v>94</v>
      </c>
      <c r="BH490" t="s">
        <v>94</v>
      </c>
    </row>
    <row r="491" spans="1:60" x14ac:dyDescent="0.3">
      <c r="A491">
        <v>19</v>
      </c>
      <c r="B491" t="s">
        <v>70</v>
      </c>
      <c r="C491" t="s">
        <v>157</v>
      </c>
      <c r="D491" t="s">
        <v>72</v>
      </c>
      <c r="E491" t="s">
        <v>114</v>
      </c>
      <c r="F491" t="s">
        <v>74</v>
      </c>
      <c r="G491" t="s">
        <v>135</v>
      </c>
      <c r="H491" t="s">
        <v>136</v>
      </c>
      <c r="I491" t="s">
        <v>76</v>
      </c>
      <c r="J491" t="s">
        <v>77</v>
      </c>
      <c r="K491" t="s">
        <v>78</v>
      </c>
      <c r="L491" t="s">
        <v>79</v>
      </c>
      <c r="M491" t="s">
        <v>80</v>
      </c>
      <c r="N491" t="s">
        <v>79</v>
      </c>
      <c r="O491" t="s">
        <v>138</v>
      </c>
      <c r="P491" t="s">
        <v>79</v>
      </c>
      <c r="Q491" t="s">
        <v>83</v>
      </c>
      <c r="R491" t="s">
        <v>82</v>
      </c>
      <c r="S491" t="s">
        <v>84</v>
      </c>
      <c r="T491" t="s">
        <v>124</v>
      </c>
      <c r="U491" t="s">
        <v>82</v>
      </c>
      <c r="V491" t="s">
        <v>106</v>
      </c>
      <c r="W491" t="s">
        <v>87</v>
      </c>
      <c r="X491" t="s">
        <v>112</v>
      </c>
      <c r="Y491" t="s">
        <v>93</v>
      </c>
      <c r="Z491" t="s">
        <v>93</v>
      </c>
      <c r="AA491" t="s">
        <v>93</v>
      </c>
      <c r="AB491" t="s">
        <v>93</v>
      </c>
      <c r="AC491" t="s">
        <v>94</v>
      </c>
      <c r="AD491" t="s">
        <v>94</v>
      </c>
      <c r="AE491" t="s">
        <v>93</v>
      </c>
      <c r="AF491" t="s">
        <v>92</v>
      </c>
      <c r="AG491" t="s">
        <v>92</v>
      </c>
      <c r="AH491" t="s">
        <v>92</v>
      </c>
      <c r="AI491" t="s">
        <v>93</v>
      </c>
      <c r="AJ491" t="s">
        <v>93</v>
      </c>
      <c r="AK491" t="s">
        <v>93</v>
      </c>
      <c r="AL491" t="s">
        <v>92</v>
      </c>
      <c r="AM491" t="s">
        <v>92</v>
      </c>
      <c r="AN491" t="s">
        <v>93</v>
      </c>
      <c r="AO491" t="s">
        <v>93</v>
      </c>
      <c r="AP491" t="s">
        <v>93</v>
      </c>
      <c r="AQ491" t="s">
        <v>95</v>
      </c>
      <c r="AR491" t="s">
        <v>95</v>
      </c>
      <c r="AS491" t="s">
        <v>95</v>
      </c>
      <c r="AT491" t="s">
        <v>95</v>
      </c>
      <c r="AU491" t="s">
        <v>93</v>
      </c>
      <c r="AV491" t="s">
        <v>93</v>
      </c>
      <c r="AW491" t="s">
        <v>93</v>
      </c>
      <c r="AX491" t="s">
        <v>95</v>
      </c>
      <c r="AY491" t="s">
        <v>95</v>
      </c>
      <c r="AZ491" t="s">
        <v>95</v>
      </c>
    </row>
    <row r="492" spans="1:60" x14ac:dyDescent="0.3">
      <c r="A492">
        <v>21</v>
      </c>
      <c r="B492" t="s">
        <v>70</v>
      </c>
      <c r="C492" t="s">
        <v>157</v>
      </c>
      <c r="D492" t="s">
        <v>72</v>
      </c>
      <c r="E492" t="s">
        <v>108</v>
      </c>
      <c r="F492" t="s">
        <v>74</v>
      </c>
      <c r="G492" t="s">
        <v>75</v>
      </c>
      <c r="H492" t="s">
        <v>74</v>
      </c>
      <c r="I492" t="s">
        <v>76</v>
      </c>
      <c r="J492" t="s">
        <v>77</v>
      </c>
      <c r="K492" t="s">
        <v>131</v>
      </c>
      <c r="L492" t="s">
        <v>79</v>
      </c>
      <c r="M492" t="s">
        <v>80</v>
      </c>
      <c r="N492" t="s">
        <v>79</v>
      </c>
      <c r="O492" t="s">
        <v>117</v>
      </c>
      <c r="P492" t="s">
        <v>82</v>
      </c>
      <c r="Q492" t="s">
        <v>83</v>
      </c>
      <c r="R492" t="s">
        <v>82</v>
      </c>
      <c r="S492" t="s">
        <v>84</v>
      </c>
      <c r="T492" t="s">
        <v>167</v>
      </c>
      <c r="U492" t="s">
        <v>82</v>
      </c>
      <c r="V492" t="s">
        <v>106</v>
      </c>
      <c r="W492" t="s">
        <v>120</v>
      </c>
      <c r="X492" t="s">
        <v>112</v>
      </c>
      <c r="Y492" t="s">
        <v>93</v>
      </c>
      <c r="Z492" t="s">
        <v>93</v>
      </c>
      <c r="AA492" t="s">
        <v>93</v>
      </c>
      <c r="AB492" t="s">
        <v>92</v>
      </c>
      <c r="AC492" t="s">
        <v>94</v>
      </c>
      <c r="AD492" t="s">
        <v>92</v>
      </c>
      <c r="AE492" t="s">
        <v>94</v>
      </c>
      <c r="AF492" t="s">
        <v>93</v>
      </c>
      <c r="AG492" t="s">
        <v>93</v>
      </c>
      <c r="AH492" t="s">
        <v>93</v>
      </c>
      <c r="AI492" t="s">
        <v>93</v>
      </c>
      <c r="AJ492" t="s">
        <v>92</v>
      </c>
      <c r="AK492" t="s">
        <v>93</v>
      </c>
      <c r="AL492" t="s">
        <v>95</v>
      </c>
      <c r="AM492" t="s">
        <v>94</v>
      </c>
      <c r="AN492" t="s">
        <v>93</v>
      </c>
      <c r="AO492" t="s">
        <v>92</v>
      </c>
      <c r="AP492" t="s">
        <v>93</v>
      </c>
      <c r="AQ492" t="s">
        <v>95</v>
      </c>
      <c r="AR492" t="s">
        <v>95</v>
      </c>
      <c r="AS492" t="s">
        <v>95</v>
      </c>
      <c r="AT492" t="s">
        <v>95</v>
      </c>
      <c r="AU492" t="s">
        <v>94</v>
      </c>
      <c r="AV492" t="s">
        <v>94</v>
      </c>
      <c r="AW492" t="s">
        <v>94</v>
      </c>
      <c r="AX492" t="s">
        <v>92</v>
      </c>
      <c r="AY492" t="s">
        <v>94</v>
      </c>
      <c r="AZ492" t="s">
        <v>95</v>
      </c>
      <c r="BA492" t="s">
        <v>93</v>
      </c>
      <c r="BB492" t="s">
        <v>92</v>
      </c>
      <c r="BC492" t="s">
        <v>93</v>
      </c>
      <c r="BD492" t="s">
        <v>92</v>
      </c>
      <c r="BE492" t="s">
        <v>92</v>
      </c>
      <c r="BF492" t="s">
        <v>95</v>
      </c>
      <c r="BG492" t="s">
        <v>95</v>
      </c>
      <c r="BH492" t="s">
        <v>94</v>
      </c>
    </row>
    <row r="493" spans="1:60" x14ac:dyDescent="0.3">
      <c r="A493">
        <v>20</v>
      </c>
      <c r="B493" t="s">
        <v>70</v>
      </c>
      <c r="C493" t="s">
        <v>157</v>
      </c>
      <c r="D493" t="s">
        <v>97</v>
      </c>
      <c r="E493" t="s">
        <v>73</v>
      </c>
      <c r="F493" t="s">
        <v>74</v>
      </c>
      <c r="G493" t="s">
        <v>115</v>
      </c>
      <c r="H493" t="s">
        <v>98</v>
      </c>
      <c r="I493" t="s">
        <v>76</v>
      </c>
      <c r="J493" t="s">
        <v>101</v>
      </c>
      <c r="K493" t="s">
        <v>131</v>
      </c>
      <c r="L493" t="s">
        <v>79</v>
      </c>
      <c r="M493" t="s">
        <v>132</v>
      </c>
      <c r="N493" t="s">
        <v>79</v>
      </c>
      <c r="O493" t="s">
        <v>117</v>
      </c>
      <c r="P493" t="s">
        <v>79</v>
      </c>
      <c r="Q493" t="s">
        <v>83</v>
      </c>
      <c r="R493" t="s">
        <v>79</v>
      </c>
      <c r="S493" t="s">
        <v>145</v>
      </c>
      <c r="T493" t="s">
        <v>139</v>
      </c>
      <c r="U493" t="s">
        <v>79</v>
      </c>
      <c r="V493" t="s">
        <v>106</v>
      </c>
      <c r="W493" t="s">
        <v>120</v>
      </c>
      <c r="X493" t="s">
        <v>127</v>
      </c>
      <c r="Y493" t="s">
        <v>94</v>
      </c>
      <c r="Z493" t="s">
        <v>92</v>
      </c>
      <c r="AA493" t="s">
        <v>92</v>
      </c>
      <c r="AB493" t="s">
        <v>92</v>
      </c>
      <c r="AC493" t="s">
        <v>94</v>
      </c>
      <c r="AD493" t="s">
        <v>92</v>
      </c>
      <c r="AE493" t="s">
        <v>92</v>
      </c>
      <c r="AF493" t="s">
        <v>94</v>
      </c>
      <c r="AG493" t="s">
        <v>94</v>
      </c>
      <c r="AH493" t="s">
        <v>94</v>
      </c>
      <c r="AI493" t="s">
        <v>92</v>
      </c>
      <c r="AJ493" t="s">
        <v>92</v>
      </c>
      <c r="AK493" t="s">
        <v>94</v>
      </c>
      <c r="AL493" t="s">
        <v>92</v>
      </c>
      <c r="AM493" t="s">
        <v>94</v>
      </c>
      <c r="AN493" t="s">
        <v>92</v>
      </c>
      <c r="AO493" t="s">
        <v>92</v>
      </c>
      <c r="AP493" t="s">
        <v>92</v>
      </c>
      <c r="AQ493" t="s">
        <v>92</v>
      </c>
      <c r="AR493" t="s">
        <v>94</v>
      </c>
      <c r="AS493" t="s">
        <v>92</v>
      </c>
      <c r="AT493" t="s">
        <v>94</v>
      </c>
      <c r="AU493" t="s">
        <v>94</v>
      </c>
      <c r="AV493" t="s">
        <v>92</v>
      </c>
      <c r="AW493" t="s">
        <v>94</v>
      </c>
      <c r="AX493" t="s">
        <v>92</v>
      </c>
      <c r="AY493" t="s">
        <v>94</v>
      </c>
      <c r="AZ493" t="s">
        <v>92</v>
      </c>
      <c r="BA493" t="s">
        <v>93</v>
      </c>
      <c r="BB493" t="s">
        <v>93</v>
      </c>
      <c r="BC493" t="s">
        <v>93</v>
      </c>
      <c r="BD493" t="s">
        <v>93</v>
      </c>
      <c r="BE493" t="s">
        <v>93</v>
      </c>
      <c r="BF493" t="s">
        <v>93</v>
      </c>
      <c r="BG493" t="s">
        <v>93</v>
      </c>
      <c r="BH493" t="s">
        <v>93</v>
      </c>
    </row>
    <row r="494" spans="1:60" x14ac:dyDescent="0.3">
      <c r="A494">
        <v>20</v>
      </c>
      <c r="B494" t="s">
        <v>70</v>
      </c>
      <c r="C494" t="s">
        <v>157</v>
      </c>
      <c r="D494" t="s">
        <v>97</v>
      </c>
      <c r="E494" t="s">
        <v>73</v>
      </c>
      <c r="F494" t="s">
        <v>74</v>
      </c>
      <c r="G494" t="s">
        <v>166</v>
      </c>
      <c r="H494" t="s">
        <v>98</v>
      </c>
      <c r="I494" t="s">
        <v>76</v>
      </c>
      <c r="J494" t="s">
        <v>77</v>
      </c>
      <c r="K494" t="s">
        <v>125</v>
      </c>
      <c r="L494" t="s">
        <v>79</v>
      </c>
      <c r="M494" t="s">
        <v>102</v>
      </c>
      <c r="N494" t="s">
        <v>79</v>
      </c>
      <c r="O494" t="s">
        <v>109</v>
      </c>
      <c r="P494" t="s">
        <v>82</v>
      </c>
      <c r="Q494" t="s">
        <v>83</v>
      </c>
      <c r="R494" t="s">
        <v>79</v>
      </c>
      <c r="S494" t="s">
        <v>137</v>
      </c>
      <c r="T494" t="s">
        <v>152</v>
      </c>
      <c r="U494" t="s">
        <v>82</v>
      </c>
      <c r="V494" t="s">
        <v>86</v>
      </c>
      <c r="W494" t="s">
        <v>141</v>
      </c>
      <c r="X494" t="s">
        <v>112</v>
      </c>
      <c r="Y494" t="s">
        <v>94</v>
      </c>
      <c r="Z494" t="s">
        <v>92</v>
      </c>
      <c r="AA494" t="s">
        <v>93</v>
      </c>
      <c r="AB494" t="s">
        <v>93</v>
      </c>
      <c r="AC494" t="s">
        <v>93</v>
      </c>
      <c r="AD494" t="s">
        <v>93</v>
      </c>
      <c r="AE494" t="s">
        <v>94</v>
      </c>
      <c r="AF494" t="s">
        <v>94</v>
      </c>
      <c r="AG494" t="s">
        <v>92</v>
      </c>
      <c r="AH494" t="s">
        <v>93</v>
      </c>
      <c r="AI494" t="s">
        <v>93</v>
      </c>
      <c r="AJ494" t="s">
        <v>93</v>
      </c>
      <c r="AK494" t="s">
        <v>93</v>
      </c>
      <c r="AL494" t="s">
        <v>93</v>
      </c>
      <c r="AM494" t="s">
        <v>93</v>
      </c>
      <c r="AN494" t="s">
        <v>93</v>
      </c>
      <c r="AO494" t="s">
        <v>93</v>
      </c>
      <c r="AP494" t="s">
        <v>93</v>
      </c>
      <c r="AQ494" t="s">
        <v>93</v>
      </c>
      <c r="AR494" t="s">
        <v>93</v>
      </c>
      <c r="AS494" t="s">
        <v>93</v>
      </c>
      <c r="AT494" t="s">
        <v>93</v>
      </c>
      <c r="AU494" t="s">
        <v>94</v>
      </c>
      <c r="AV494" t="s">
        <v>94</v>
      </c>
      <c r="AW494" t="s">
        <v>94</v>
      </c>
      <c r="AX494" t="s">
        <v>94</v>
      </c>
      <c r="AY494" t="s">
        <v>94</v>
      </c>
      <c r="AZ494" t="s">
        <v>94</v>
      </c>
      <c r="BA494" t="s">
        <v>93</v>
      </c>
      <c r="BB494" t="s">
        <v>95</v>
      </c>
      <c r="BC494" t="s">
        <v>93</v>
      </c>
      <c r="BD494" t="s">
        <v>93</v>
      </c>
      <c r="BE494" t="s">
        <v>93</v>
      </c>
      <c r="BF494" t="s">
        <v>93</v>
      </c>
      <c r="BG494" t="s">
        <v>93</v>
      </c>
      <c r="BH494" t="s">
        <v>93</v>
      </c>
    </row>
    <row r="495" spans="1:60" x14ac:dyDescent="0.3">
      <c r="A495">
        <v>22</v>
      </c>
      <c r="B495" t="s">
        <v>70</v>
      </c>
      <c r="C495" t="s">
        <v>157</v>
      </c>
      <c r="D495" t="s">
        <v>72</v>
      </c>
      <c r="E495" t="s">
        <v>114</v>
      </c>
      <c r="F495" t="s">
        <v>98</v>
      </c>
      <c r="G495" t="s">
        <v>135</v>
      </c>
      <c r="H495" t="s">
        <v>98</v>
      </c>
      <c r="I495" t="s">
        <v>76</v>
      </c>
      <c r="J495" t="s">
        <v>77</v>
      </c>
      <c r="K495" t="s">
        <v>122</v>
      </c>
      <c r="L495" t="s">
        <v>79</v>
      </c>
      <c r="M495" t="s">
        <v>102</v>
      </c>
      <c r="N495" t="s">
        <v>79</v>
      </c>
      <c r="O495" t="s">
        <v>117</v>
      </c>
      <c r="P495" t="s">
        <v>82</v>
      </c>
      <c r="Q495" t="s">
        <v>83</v>
      </c>
      <c r="R495" t="s">
        <v>79</v>
      </c>
      <c r="S495" t="s">
        <v>84</v>
      </c>
      <c r="T495" t="s">
        <v>124</v>
      </c>
      <c r="U495" t="s">
        <v>82</v>
      </c>
      <c r="V495" t="s">
        <v>86</v>
      </c>
      <c r="W495" t="s">
        <v>87</v>
      </c>
      <c r="X495" t="s">
        <v>88</v>
      </c>
      <c r="Y495" t="s">
        <v>93</v>
      </c>
      <c r="Z495" t="s">
        <v>93</v>
      </c>
      <c r="AA495" t="s">
        <v>93</v>
      </c>
      <c r="AB495" t="s">
        <v>93</v>
      </c>
      <c r="AC495" t="s">
        <v>95</v>
      </c>
      <c r="AD495" t="s">
        <v>94</v>
      </c>
      <c r="AE495" t="s">
        <v>94</v>
      </c>
      <c r="AF495" t="s">
        <v>94</v>
      </c>
      <c r="AG495" t="s">
        <v>93</v>
      </c>
      <c r="AH495" t="s">
        <v>93</v>
      </c>
      <c r="AI495" t="s">
        <v>93</v>
      </c>
      <c r="AJ495" t="s">
        <v>93</v>
      </c>
      <c r="AK495" t="s">
        <v>93</v>
      </c>
      <c r="AL495" t="s">
        <v>93</v>
      </c>
      <c r="AM495" t="s">
        <v>93</v>
      </c>
      <c r="AN495" t="s">
        <v>93</v>
      </c>
      <c r="AO495" t="s">
        <v>93</v>
      </c>
      <c r="AP495" t="s">
        <v>93</v>
      </c>
      <c r="AQ495" t="s">
        <v>95</v>
      </c>
      <c r="AR495" t="s">
        <v>95</v>
      </c>
      <c r="AS495" t="s">
        <v>95</v>
      </c>
      <c r="AT495" t="s">
        <v>95</v>
      </c>
      <c r="AU495" t="s">
        <v>93</v>
      </c>
      <c r="AV495" t="s">
        <v>93</v>
      </c>
      <c r="AW495" t="s">
        <v>93</v>
      </c>
      <c r="AX495" t="s">
        <v>93</v>
      </c>
      <c r="AY495" t="s">
        <v>95</v>
      </c>
      <c r="AZ495" t="s">
        <v>95</v>
      </c>
      <c r="BA495" t="s">
        <v>93</v>
      </c>
      <c r="BB495" t="s">
        <v>93</v>
      </c>
      <c r="BC495" t="s">
        <v>93</v>
      </c>
      <c r="BD495" t="s">
        <v>93</v>
      </c>
      <c r="BE495" t="s">
        <v>93</v>
      </c>
      <c r="BF495" t="s">
        <v>95</v>
      </c>
      <c r="BG495" t="s">
        <v>95</v>
      </c>
      <c r="BH495" t="s">
        <v>95</v>
      </c>
    </row>
    <row r="496" spans="1:60" x14ac:dyDescent="0.3">
      <c r="A496">
        <v>19</v>
      </c>
      <c r="B496" t="s">
        <v>70</v>
      </c>
      <c r="C496" t="s">
        <v>157</v>
      </c>
      <c r="D496" t="s">
        <v>72</v>
      </c>
      <c r="E496" t="s">
        <v>73</v>
      </c>
      <c r="F496" t="s">
        <v>74</v>
      </c>
      <c r="G496" t="s">
        <v>135</v>
      </c>
      <c r="H496" t="s">
        <v>136</v>
      </c>
      <c r="I496" t="s">
        <v>115</v>
      </c>
      <c r="J496" t="s">
        <v>77</v>
      </c>
      <c r="K496" t="s">
        <v>122</v>
      </c>
      <c r="L496" t="s">
        <v>79</v>
      </c>
      <c r="M496" t="s">
        <v>80</v>
      </c>
      <c r="N496" t="s">
        <v>79</v>
      </c>
      <c r="O496" t="s">
        <v>117</v>
      </c>
      <c r="P496" t="s">
        <v>82</v>
      </c>
      <c r="Q496" t="s">
        <v>83</v>
      </c>
      <c r="R496" t="s">
        <v>79</v>
      </c>
      <c r="S496" t="s">
        <v>123</v>
      </c>
      <c r="T496" t="s">
        <v>130</v>
      </c>
      <c r="U496" t="s">
        <v>82</v>
      </c>
      <c r="V496" t="s">
        <v>86</v>
      </c>
      <c r="W496" t="s">
        <v>141</v>
      </c>
      <c r="X496" t="s">
        <v>112</v>
      </c>
      <c r="Y496" t="s">
        <v>92</v>
      </c>
      <c r="Z496" t="s">
        <v>92</v>
      </c>
      <c r="AA496" t="s">
        <v>93</v>
      </c>
      <c r="AB496" t="s">
        <v>92</v>
      </c>
      <c r="AC496" t="s">
        <v>94</v>
      </c>
      <c r="AD496" t="s">
        <v>94</v>
      </c>
      <c r="AE496" t="s">
        <v>95</v>
      </c>
      <c r="AF496" t="s">
        <v>92</v>
      </c>
      <c r="AG496" t="s">
        <v>93</v>
      </c>
      <c r="AH496" t="s">
        <v>93</v>
      </c>
      <c r="AI496" t="s">
        <v>93</v>
      </c>
      <c r="AJ496" t="s">
        <v>93</v>
      </c>
      <c r="AK496" t="s">
        <v>92</v>
      </c>
      <c r="AL496" t="s">
        <v>94</v>
      </c>
      <c r="AM496" t="s">
        <v>94</v>
      </c>
      <c r="AN496" t="s">
        <v>93</v>
      </c>
      <c r="AO496" t="s">
        <v>93</v>
      </c>
      <c r="AP496" t="s">
        <v>93</v>
      </c>
      <c r="AQ496" t="s">
        <v>95</v>
      </c>
      <c r="AR496" t="s">
        <v>95</v>
      </c>
      <c r="AS496" t="s">
        <v>95</v>
      </c>
      <c r="AT496" t="s">
        <v>95</v>
      </c>
      <c r="AU496" t="s">
        <v>92</v>
      </c>
      <c r="AV496" t="s">
        <v>92</v>
      </c>
      <c r="AW496" t="s">
        <v>92</v>
      </c>
      <c r="AX496" t="s">
        <v>94</v>
      </c>
      <c r="AY496" t="s">
        <v>95</v>
      </c>
      <c r="AZ496" t="s">
        <v>95</v>
      </c>
      <c r="BA496" t="s">
        <v>93</v>
      </c>
      <c r="BB496" t="s">
        <v>92</v>
      </c>
      <c r="BC496" t="s">
        <v>92</v>
      </c>
      <c r="BD496" t="s">
        <v>93</v>
      </c>
      <c r="BE496" t="s">
        <v>93</v>
      </c>
      <c r="BF496" t="s">
        <v>94</v>
      </c>
      <c r="BG496" t="s">
        <v>94</v>
      </c>
      <c r="BH496" t="s">
        <v>94</v>
      </c>
    </row>
    <row r="497" spans="1:60" x14ac:dyDescent="0.3">
      <c r="A497">
        <v>22</v>
      </c>
      <c r="B497" t="s">
        <v>70</v>
      </c>
      <c r="C497" t="s">
        <v>113</v>
      </c>
      <c r="D497" t="s">
        <v>72</v>
      </c>
      <c r="E497" t="s">
        <v>114</v>
      </c>
      <c r="F497" t="s">
        <v>74</v>
      </c>
      <c r="G497" t="s">
        <v>75</v>
      </c>
      <c r="H497" t="s">
        <v>136</v>
      </c>
      <c r="I497" t="s">
        <v>76</v>
      </c>
      <c r="J497" t="s">
        <v>77</v>
      </c>
      <c r="K497" t="s">
        <v>122</v>
      </c>
      <c r="L497" t="s">
        <v>79</v>
      </c>
      <c r="M497" t="s">
        <v>80</v>
      </c>
      <c r="N497" t="s">
        <v>79</v>
      </c>
      <c r="O497" t="s">
        <v>81</v>
      </c>
      <c r="P497" t="s">
        <v>82</v>
      </c>
      <c r="Q497" t="s">
        <v>83</v>
      </c>
      <c r="R497" t="s">
        <v>82</v>
      </c>
      <c r="S497" t="s">
        <v>84</v>
      </c>
      <c r="T497" t="s">
        <v>85</v>
      </c>
      <c r="U497" t="s">
        <v>82</v>
      </c>
      <c r="V497" t="s">
        <v>106</v>
      </c>
      <c r="W497" t="s">
        <v>87</v>
      </c>
      <c r="X497" t="s">
        <v>112</v>
      </c>
      <c r="Y497" t="s">
        <v>92</v>
      </c>
      <c r="Z497" t="s">
        <v>94</v>
      </c>
      <c r="AA497" t="s">
        <v>92</v>
      </c>
      <c r="AB497" t="s">
        <v>93</v>
      </c>
      <c r="AC497" t="s">
        <v>94</v>
      </c>
      <c r="AD497" t="s">
        <v>95</v>
      </c>
      <c r="AE497" t="s">
        <v>95</v>
      </c>
      <c r="AF497" t="s">
        <v>92</v>
      </c>
      <c r="AG497" t="s">
        <v>92</v>
      </c>
      <c r="AH497" t="s">
        <v>93</v>
      </c>
      <c r="AI497" t="s">
        <v>93</v>
      </c>
      <c r="AJ497" t="s">
        <v>93</v>
      </c>
      <c r="AK497" t="s">
        <v>93</v>
      </c>
      <c r="AL497" t="s">
        <v>95</v>
      </c>
      <c r="AM497" t="s">
        <v>95</v>
      </c>
      <c r="AN497" t="s">
        <v>93</v>
      </c>
      <c r="AO497" t="s">
        <v>93</v>
      </c>
      <c r="AP497" t="s">
        <v>93</v>
      </c>
      <c r="AQ497" t="s">
        <v>93</v>
      </c>
      <c r="AR497" t="s">
        <v>95</v>
      </c>
      <c r="AS497" t="s">
        <v>95</v>
      </c>
      <c r="AT497" t="s">
        <v>95</v>
      </c>
      <c r="AU497" t="s">
        <v>92</v>
      </c>
      <c r="AV497" t="s">
        <v>93</v>
      </c>
      <c r="AW497" t="s">
        <v>93</v>
      </c>
      <c r="AX497" t="s">
        <v>95</v>
      </c>
      <c r="AY497" t="s">
        <v>95</v>
      </c>
      <c r="AZ497" t="s">
        <v>95</v>
      </c>
      <c r="BA497" t="s">
        <v>93</v>
      </c>
      <c r="BB497" t="s">
        <v>92</v>
      </c>
      <c r="BC497" t="s">
        <v>93</v>
      </c>
      <c r="BD497" t="s">
        <v>93</v>
      </c>
      <c r="BE497" t="s">
        <v>93</v>
      </c>
      <c r="BF497" t="s">
        <v>95</v>
      </c>
      <c r="BG497" t="s">
        <v>95</v>
      </c>
      <c r="BH497" t="s">
        <v>95</v>
      </c>
    </row>
    <row r="498" spans="1:60" x14ac:dyDescent="0.3">
      <c r="A498">
        <v>22</v>
      </c>
      <c r="B498" t="s">
        <v>70</v>
      </c>
      <c r="C498" t="s">
        <v>113</v>
      </c>
      <c r="D498" t="s">
        <v>72</v>
      </c>
      <c r="E498" t="s">
        <v>108</v>
      </c>
      <c r="F498" t="s">
        <v>74</v>
      </c>
      <c r="G498" t="s">
        <v>99</v>
      </c>
      <c r="H498" t="s">
        <v>136</v>
      </c>
      <c r="I498" t="s">
        <v>76</v>
      </c>
      <c r="J498" t="s">
        <v>101</v>
      </c>
      <c r="K498" t="s">
        <v>122</v>
      </c>
      <c r="L498" t="s">
        <v>79</v>
      </c>
      <c r="M498" t="s">
        <v>80</v>
      </c>
      <c r="N498" t="s">
        <v>79</v>
      </c>
      <c r="O498" t="s">
        <v>109</v>
      </c>
      <c r="P498" t="s">
        <v>79</v>
      </c>
      <c r="Q498" t="s">
        <v>103</v>
      </c>
      <c r="R498" t="s">
        <v>79</v>
      </c>
      <c r="S498" t="s">
        <v>84</v>
      </c>
      <c r="T498" t="s">
        <v>216</v>
      </c>
      <c r="U498" t="s">
        <v>82</v>
      </c>
      <c r="V498" t="s">
        <v>148</v>
      </c>
      <c r="W498" t="s">
        <v>141</v>
      </c>
      <c r="X498" t="s">
        <v>112</v>
      </c>
      <c r="Y498" t="s">
        <v>93</v>
      </c>
      <c r="Z498" t="s">
        <v>93</v>
      </c>
      <c r="AA498" t="s">
        <v>93</v>
      </c>
      <c r="AB498" t="s">
        <v>93</v>
      </c>
      <c r="AC498" t="s">
        <v>94</v>
      </c>
      <c r="AD498" t="s">
        <v>94</v>
      </c>
      <c r="AE498" t="s">
        <v>94</v>
      </c>
      <c r="AF498" t="s">
        <v>92</v>
      </c>
      <c r="AG498" t="s">
        <v>93</v>
      </c>
      <c r="AH498" t="s">
        <v>93</v>
      </c>
      <c r="AI498" t="s">
        <v>93</v>
      </c>
      <c r="AJ498" t="s">
        <v>93</v>
      </c>
      <c r="AK498" t="s">
        <v>93</v>
      </c>
      <c r="AL498" t="s">
        <v>94</v>
      </c>
      <c r="AM498" t="s">
        <v>93</v>
      </c>
      <c r="AN498" t="s">
        <v>93</v>
      </c>
      <c r="AO498" t="s">
        <v>93</v>
      </c>
      <c r="AP498" t="s">
        <v>93</v>
      </c>
      <c r="AQ498" t="s">
        <v>94</v>
      </c>
      <c r="AR498" t="s">
        <v>95</v>
      </c>
      <c r="AS498" t="s">
        <v>95</v>
      </c>
      <c r="AT498" t="s">
        <v>95</v>
      </c>
      <c r="AU498" t="s">
        <v>93</v>
      </c>
      <c r="AV498" t="s">
        <v>93</v>
      </c>
      <c r="AW498" t="s">
        <v>93</v>
      </c>
      <c r="AX498" t="s">
        <v>94</v>
      </c>
      <c r="AY498" t="s">
        <v>95</v>
      </c>
      <c r="AZ498" t="s">
        <v>95</v>
      </c>
      <c r="BA498" t="s">
        <v>93</v>
      </c>
      <c r="BB498" t="s">
        <v>93</v>
      </c>
      <c r="BC498" t="s">
        <v>93</v>
      </c>
      <c r="BD498" t="s">
        <v>93</v>
      </c>
      <c r="BE498" t="s">
        <v>93</v>
      </c>
      <c r="BF498" t="s">
        <v>95</v>
      </c>
      <c r="BG498" t="s">
        <v>95</v>
      </c>
      <c r="BH498" t="s">
        <v>95</v>
      </c>
    </row>
    <row r="499" spans="1:60" x14ac:dyDescent="0.3">
      <c r="A499">
        <v>23</v>
      </c>
      <c r="B499" t="s">
        <v>70</v>
      </c>
      <c r="C499" t="s">
        <v>71</v>
      </c>
      <c r="D499" t="s">
        <v>97</v>
      </c>
      <c r="E499" t="s">
        <v>114</v>
      </c>
      <c r="F499" t="s">
        <v>136</v>
      </c>
      <c r="G499" t="s">
        <v>99</v>
      </c>
      <c r="H499" t="s">
        <v>136</v>
      </c>
      <c r="I499" t="s">
        <v>76</v>
      </c>
      <c r="J499" t="s">
        <v>77</v>
      </c>
      <c r="K499" t="s">
        <v>125</v>
      </c>
      <c r="L499" t="s">
        <v>79</v>
      </c>
      <c r="M499" t="s">
        <v>80</v>
      </c>
      <c r="N499" t="s">
        <v>79</v>
      </c>
      <c r="O499" t="s">
        <v>117</v>
      </c>
      <c r="P499" t="s">
        <v>82</v>
      </c>
      <c r="Q499" t="s">
        <v>83</v>
      </c>
      <c r="R499" t="s">
        <v>79</v>
      </c>
      <c r="S499" t="s">
        <v>84</v>
      </c>
      <c r="T499" t="s">
        <v>152</v>
      </c>
      <c r="U499" t="s">
        <v>82</v>
      </c>
      <c r="V499" t="s">
        <v>106</v>
      </c>
      <c r="W499" t="s">
        <v>120</v>
      </c>
      <c r="X499" t="s">
        <v>88</v>
      </c>
      <c r="Y499" t="s">
        <v>92</v>
      </c>
      <c r="Z499" t="s">
        <v>92</v>
      </c>
      <c r="AA499" t="s">
        <v>92</v>
      </c>
      <c r="AB499" t="s">
        <v>92</v>
      </c>
      <c r="AC499" t="s">
        <v>92</v>
      </c>
      <c r="AD499" t="s">
        <v>92</v>
      </c>
      <c r="AE499" t="s">
        <v>92</v>
      </c>
      <c r="AF499" t="s">
        <v>92</v>
      </c>
      <c r="AG499" t="s">
        <v>95</v>
      </c>
      <c r="AH499" t="s">
        <v>92</v>
      </c>
      <c r="AI499" t="s">
        <v>93</v>
      </c>
      <c r="AJ499" t="s">
        <v>92</v>
      </c>
      <c r="AK499" t="s">
        <v>92</v>
      </c>
      <c r="AL499" t="s">
        <v>95</v>
      </c>
      <c r="AM499" t="s">
        <v>94</v>
      </c>
      <c r="AN499" t="s">
        <v>93</v>
      </c>
      <c r="AO499" t="s">
        <v>93</v>
      </c>
      <c r="AP499" t="s">
        <v>93</v>
      </c>
      <c r="AQ499" t="s">
        <v>95</v>
      </c>
      <c r="AR499" t="s">
        <v>95</v>
      </c>
      <c r="AS499" t="s">
        <v>95</v>
      </c>
      <c r="AT499" t="s">
        <v>95</v>
      </c>
      <c r="AU499" t="s">
        <v>93</v>
      </c>
      <c r="AV499" t="s">
        <v>92</v>
      </c>
      <c r="AW499" t="s">
        <v>92</v>
      </c>
      <c r="AX499" t="s">
        <v>92</v>
      </c>
      <c r="AY499" t="s">
        <v>95</v>
      </c>
      <c r="AZ499" t="s">
        <v>95</v>
      </c>
    </row>
    <row r="500" spans="1:60" x14ac:dyDescent="0.3">
      <c r="A500">
        <v>22</v>
      </c>
      <c r="B500" t="s">
        <v>70</v>
      </c>
      <c r="C500" t="s">
        <v>96</v>
      </c>
      <c r="D500" t="s">
        <v>72</v>
      </c>
      <c r="E500" t="s">
        <v>108</v>
      </c>
      <c r="F500" t="s">
        <v>74</v>
      </c>
      <c r="G500" t="s">
        <v>99</v>
      </c>
      <c r="H500" t="s">
        <v>74</v>
      </c>
      <c r="I500" t="s">
        <v>76</v>
      </c>
      <c r="J500" t="s">
        <v>77</v>
      </c>
      <c r="K500" t="s">
        <v>122</v>
      </c>
      <c r="L500" t="s">
        <v>82</v>
      </c>
      <c r="M500" t="s">
        <v>80</v>
      </c>
      <c r="N500" t="s">
        <v>79</v>
      </c>
      <c r="O500" t="s">
        <v>109</v>
      </c>
      <c r="P500" t="s">
        <v>82</v>
      </c>
      <c r="Q500" t="s">
        <v>83</v>
      </c>
      <c r="R500" t="s">
        <v>82</v>
      </c>
      <c r="S500" t="s">
        <v>84</v>
      </c>
      <c r="T500" t="s">
        <v>167</v>
      </c>
      <c r="U500" t="s">
        <v>82</v>
      </c>
      <c r="V500" t="s">
        <v>148</v>
      </c>
      <c r="W500" t="s">
        <v>141</v>
      </c>
      <c r="X500" t="s">
        <v>112</v>
      </c>
      <c r="Y500" t="s">
        <v>95</v>
      </c>
      <c r="Z500" t="s">
        <v>95</v>
      </c>
      <c r="AA500" t="s">
        <v>95</v>
      </c>
      <c r="AB500" t="s">
        <v>95</v>
      </c>
      <c r="AC500" t="s">
        <v>95</v>
      </c>
      <c r="AD500" t="s">
        <v>94</v>
      </c>
      <c r="AE500" t="s">
        <v>94</v>
      </c>
      <c r="AF500" t="s">
        <v>94</v>
      </c>
      <c r="AG500" t="s">
        <v>94</v>
      </c>
      <c r="AH500" t="s">
        <v>95</v>
      </c>
      <c r="AI500" t="s">
        <v>94</v>
      </c>
      <c r="AJ500" t="s">
        <v>95</v>
      </c>
      <c r="AK500" t="s">
        <v>95</v>
      </c>
      <c r="AL500" t="s">
        <v>94</v>
      </c>
      <c r="AM500" t="s">
        <v>95</v>
      </c>
      <c r="AN500" t="s">
        <v>92</v>
      </c>
      <c r="AO500" t="s">
        <v>92</v>
      </c>
      <c r="AP500" t="s">
        <v>92</v>
      </c>
      <c r="AQ500" t="s">
        <v>92</v>
      </c>
      <c r="AR500" t="s">
        <v>92</v>
      </c>
      <c r="AS500" t="s">
        <v>92</v>
      </c>
      <c r="AT500" t="s">
        <v>92</v>
      </c>
      <c r="AU500" t="s">
        <v>92</v>
      </c>
      <c r="AV500" t="s">
        <v>92</v>
      </c>
      <c r="AW500" t="s">
        <v>92</v>
      </c>
      <c r="AX500" t="s">
        <v>92</v>
      </c>
      <c r="AY500" t="s">
        <v>92</v>
      </c>
      <c r="AZ500" t="s">
        <v>92</v>
      </c>
      <c r="BA500" t="s">
        <v>92</v>
      </c>
      <c r="BB500" t="s">
        <v>92</v>
      </c>
      <c r="BC500" t="s">
        <v>92</v>
      </c>
      <c r="BD500" t="s">
        <v>92</v>
      </c>
      <c r="BE500" t="s">
        <v>92</v>
      </c>
      <c r="BF500" t="s">
        <v>92</v>
      </c>
      <c r="BG500" t="s">
        <v>92</v>
      </c>
      <c r="BH500" t="s">
        <v>92</v>
      </c>
    </row>
    <row r="501" spans="1:60" x14ac:dyDescent="0.3">
      <c r="A501">
        <v>20</v>
      </c>
      <c r="B501" t="s">
        <v>70</v>
      </c>
      <c r="C501" t="s">
        <v>157</v>
      </c>
      <c r="D501" t="s">
        <v>72</v>
      </c>
      <c r="E501" t="s">
        <v>114</v>
      </c>
      <c r="F501" t="s">
        <v>100</v>
      </c>
      <c r="G501" t="s">
        <v>210</v>
      </c>
      <c r="H501" t="s">
        <v>165</v>
      </c>
      <c r="I501" t="s">
        <v>76</v>
      </c>
      <c r="J501" t="s">
        <v>101</v>
      </c>
      <c r="K501" t="s">
        <v>125</v>
      </c>
      <c r="L501" t="s">
        <v>79</v>
      </c>
      <c r="M501" t="s">
        <v>80</v>
      </c>
      <c r="N501" t="s">
        <v>79</v>
      </c>
      <c r="O501" t="s">
        <v>109</v>
      </c>
      <c r="P501" t="s">
        <v>82</v>
      </c>
      <c r="Q501" t="s">
        <v>83</v>
      </c>
      <c r="R501" t="s">
        <v>79</v>
      </c>
      <c r="S501" t="s">
        <v>84</v>
      </c>
      <c r="T501" t="s">
        <v>119</v>
      </c>
      <c r="U501" t="s">
        <v>82</v>
      </c>
      <c r="V501" t="s">
        <v>106</v>
      </c>
      <c r="W501" t="s">
        <v>141</v>
      </c>
      <c r="X501" t="s">
        <v>112</v>
      </c>
      <c r="Y501" t="s">
        <v>94</v>
      </c>
      <c r="Z501" t="s">
        <v>94</v>
      </c>
      <c r="AA501" t="s">
        <v>94</v>
      </c>
      <c r="AB501" t="s">
        <v>94</v>
      </c>
      <c r="AC501" t="s">
        <v>94</v>
      </c>
      <c r="AD501" t="s">
        <v>94</v>
      </c>
      <c r="AE501" t="s">
        <v>94</v>
      </c>
      <c r="AF501" t="s">
        <v>94</v>
      </c>
      <c r="AG501" t="s">
        <v>94</v>
      </c>
      <c r="AH501" t="s">
        <v>94</v>
      </c>
      <c r="AI501" t="s">
        <v>94</v>
      </c>
      <c r="AJ501" t="s">
        <v>94</v>
      </c>
      <c r="AK501" t="s">
        <v>94</v>
      </c>
      <c r="AL501" t="s">
        <v>94</v>
      </c>
      <c r="AM501" t="s">
        <v>94</v>
      </c>
      <c r="AN501" t="s">
        <v>92</v>
      </c>
      <c r="AO501" t="s">
        <v>92</v>
      </c>
      <c r="AP501" t="s">
        <v>92</v>
      </c>
      <c r="AQ501" t="s">
        <v>92</v>
      </c>
      <c r="AR501" t="s">
        <v>92</v>
      </c>
      <c r="AS501" t="s">
        <v>92</v>
      </c>
      <c r="AT501" t="s">
        <v>92</v>
      </c>
      <c r="AU501" t="s">
        <v>94</v>
      </c>
      <c r="AV501" t="s">
        <v>92</v>
      </c>
      <c r="AW501" t="s">
        <v>94</v>
      </c>
      <c r="AX501" t="s">
        <v>92</v>
      </c>
      <c r="AY501" t="s">
        <v>94</v>
      </c>
      <c r="AZ501" t="s">
        <v>92</v>
      </c>
      <c r="BA501" t="s">
        <v>94</v>
      </c>
      <c r="BB501" t="s">
        <v>92</v>
      </c>
      <c r="BC501" t="s">
        <v>94</v>
      </c>
      <c r="BD501" t="s">
        <v>92</v>
      </c>
      <c r="BE501" t="s">
        <v>94</v>
      </c>
      <c r="BF501" t="s">
        <v>92</v>
      </c>
      <c r="BG501" t="s">
        <v>94</v>
      </c>
      <c r="BH501" t="s">
        <v>94</v>
      </c>
    </row>
    <row r="502" spans="1:60" x14ac:dyDescent="0.3">
      <c r="A502">
        <v>20</v>
      </c>
      <c r="B502" t="s">
        <v>162</v>
      </c>
      <c r="C502" t="s">
        <v>157</v>
      </c>
      <c r="D502" t="s">
        <v>72</v>
      </c>
      <c r="E502" t="s">
        <v>73</v>
      </c>
      <c r="F502" t="s">
        <v>74</v>
      </c>
      <c r="G502" t="s">
        <v>99</v>
      </c>
      <c r="H502" t="s">
        <v>136</v>
      </c>
      <c r="I502" t="s">
        <v>76</v>
      </c>
      <c r="J502" t="s">
        <v>77</v>
      </c>
      <c r="K502" t="s">
        <v>122</v>
      </c>
      <c r="L502" t="s">
        <v>79</v>
      </c>
      <c r="M502" t="s">
        <v>80</v>
      </c>
      <c r="N502" t="s">
        <v>79</v>
      </c>
      <c r="O502" t="s">
        <v>81</v>
      </c>
      <c r="P502" t="s">
        <v>82</v>
      </c>
      <c r="Q502" t="s">
        <v>83</v>
      </c>
      <c r="R502" t="s">
        <v>82</v>
      </c>
      <c r="S502" t="s">
        <v>292</v>
      </c>
      <c r="T502" t="s">
        <v>119</v>
      </c>
      <c r="U502" t="s">
        <v>82</v>
      </c>
      <c r="V502" t="s">
        <v>106</v>
      </c>
      <c r="W502" t="s">
        <v>141</v>
      </c>
      <c r="X502" t="s">
        <v>112</v>
      </c>
      <c r="Y502" t="s">
        <v>93</v>
      </c>
      <c r="Z502" t="s">
        <v>93</v>
      </c>
      <c r="AA502" t="s">
        <v>93</v>
      </c>
      <c r="AB502" t="s">
        <v>93</v>
      </c>
      <c r="AC502" t="s">
        <v>93</v>
      </c>
      <c r="AD502" t="s">
        <v>93</v>
      </c>
      <c r="AE502" t="s">
        <v>93</v>
      </c>
      <c r="AF502" t="s">
        <v>93</v>
      </c>
      <c r="AG502" t="s">
        <v>93</v>
      </c>
      <c r="AH502" t="s">
        <v>93</v>
      </c>
      <c r="AI502" t="s">
        <v>93</v>
      </c>
      <c r="AJ502" t="s">
        <v>93</v>
      </c>
      <c r="AK502" t="s">
        <v>93</v>
      </c>
      <c r="AL502" t="s">
        <v>94</v>
      </c>
      <c r="AM502" t="s">
        <v>94</v>
      </c>
      <c r="AN502" t="s">
        <v>93</v>
      </c>
      <c r="AO502" t="s">
        <v>93</v>
      </c>
      <c r="AP502" t="s">
        <v>93</v>
      </c>
      <c r="AQ502" t="s">
        <v>93</v>
      </c>
      <c r="AR502" t="s">
        <v>95</v>
      </c>
      <c r="AS502" t="s">
        <v>95</v>
      </c>
      <c r="AT502" t="s">
        <v>95</v>
      </c>
      <c r="AU502" t="s">
        <v>93</v>
      </c>
      <c r="AV502" t="s">
        <v>93</v>
      </c>
      <c r="AW502" t="s">
        <v>93</v>
      </c>
      <c r="AX502" t="s">
        <v>93</v>
      </c>
      <c r="AY502" t="s">
        <v>95</v>
      </c>
      <c r="AZ502" t="s">
        <v>95</v>
      </c>
      <c r="BA502" t="s">
        <v>93</v>
      </c>
      <c r="BB502" t="s">
        <v>93</v>
      </c>
      <c r="BC502" t="s">
        <v>93</v>
      </c>
      <c r="BD502" t="s">
        <v>93</v>
      </c>
      <c r="BE502" t="s">
        <v>93</v>
      </c>
      <c r="BF502" t="s">
        <v>93</v>
      </c>
      <c r="BG502" t="s">
        <v>93</v>
      </c>
      <c r="BH502" t="s">
        <v>95</v>
      </c>
    </row>
    <row r="503" spans="1:60" x14ac:dyDescent="0.3">
      <c r="A503">
        <v>21</v>
      </c>
      <c r="B503" t="s">
        <v>70</v>
      </c>
      <c r="C503" t="s">
        <v>157</v>
      </c>
      <c r="D503" t="s">
        <v>72</v>
      </c>
      <c r="E503" t="s">
        <v>114</v>
      </c>
      <c r="F503" t="s">
        <v>136</v>
      </c>
      <c r="G503" t="s">
        <v>115</v>
      </c>
      <c r="H503" t="s">
        <v>98</v>
      </c>
      <c r="I503" t="s">
        <v>76</v>
      </c>
      <c r="J503" t="s">
        <v>77</v>
      </c>
      <c r="K503" t="s">
        <v>122</v>
      </c>
      <c r="L503" t="s">
        <v>79</v>
      </c>
      <c r="M503" t="s">
        <v>80</v>
      </c>
      <c r="N503" t="s">
        <v>79</v>
      </c>
      <c r="O503" t="s">
        <v>117</v>
      </c>
      <c r="P503" t="s">
        <v>79</v>
      </c>
      <c r="Q503" t="s">
        <v>103</v>
      </c>
      <c r="R503" t="s">
        <v>79</v>
      </c>
      <c r="S503" t="s">
        <v>142</v>
      </c>
      <c r="T503" t="s">
        <v>152</v>
      </c>
      <c r="U503" t="s">
        <v>82</v>
      </c>
      <c r="V503" t="s">
        <v>86</v>
      </c>
      <c r="W503" t="s">
        <v>141</v>
      </c>
      <c r="X503" t="s">
        <v>112</v>
      </c>
      <c r="Y503" t="s">
        <v>95</v>
      </c>
      <c r="Z503" t="s">
        <v>92</v>
      </c>
      <c r="AA503" t="s">
        <v>92</v>
      </c>
      <c r="AB503" t="s">
        <v>93</v>
      </c>
      <c r="AC503" t="s">
        <v>93</v>
      </c>
      <c r="AD503" t="s">
        <v>93</v>
      </c>
      <c r="AE503" t="s">
        <v>93</v>
      </c>
      <c r="AF503" t="s">
        <v>92</v>
      </c>
      <c r="AG503" t="s">
        <v>92</v>
      </c>
      <c r="AH503" t="s">
        <v>92</v>
      </c>
      <c r="AI503" t="s">
        <v>93</v>
      </c>
      <c r="AJ503" t="s">
        <v>93</v>
      </c>
      <c r="AK503" t="s">
        <v>93</v>
      </c>
      <c r="AL503" t="s">
        <v>93</v>
      </c>
      <c r="AM503" t="s">
        <v>93</v>
      </c>
      <c r="AN503" t="s">
        <v>93</v>
      </c>
      <c r="AO503" t="s">
        <v>93</v>
      </c>
      <c r="AP503" t="s">
        <v>93</v>
      </c>
      <c r="AQ503" t="s">
        <v>93</v>
      </c>
      <c r="AR503" t="s">
        <v>93</v>
      </c>
      <c r="AS503" t="s">
        <v>93</v>
      </c>
      <c r="AT503" t="s">
        <v>93</v>
      </c>
      <c r="AU503" t="s">
        <v>93</v>
      </c>
      <c r="AV503" t="s">
        <v>93</v>
      </c>
      <c r="AW503" t="s">
        <v>93</v>
      </c>
      <c r="AX503" t="s">
        <v>93</v>
      </c>
      <c r="AY503" t="s">
        <v>93</v>
      </c>
      <c r="AZ503" t="s">
        <v>93</v>
      </c>
      <c r="BA503" t="s">
        <v>93</v>
      </c>
      <c r="BB503" t="s">
        <v>93</v>
      </c>
      <c r="BC503" t="s">
        <v>93</v>
      </c>
      <c r="BD503" t="s">
        <v>93</v>
      </c>
      <c r="BE503" t="s">
        <v>93</v>
      </c>
      <c r="BF503" t="s">
        <v>93</v>
      </c>
      <c r="BG503" t="s">
        <v>93</v>
      </c>
      <c r="BH503" t="s">
        <v>93</v>
      </c>
    </row>
    <row r="504" spans="1:60" x14ac:dyDescent="0.3">
      <c r="A504">
        <v>19</v>
      </c>
      <c r="B504" t="s">
        <v>70</v>
      </c>
      <c r="C504" t="s">
        <v>157</v>
      </c>
      <c r="D504" t="s">
        <v>72</v>
      </c>
      <c r="E504" t="s">
        <v>114</v>
      </c>
      <c r="F504" t="s">
        <v>98</v>
      </c>
      <c r="G504" t="s">
        <v>75</v>
      </c>
      <c r="H504" t="s">
        <v>98</v>
      </c>
      <c r="I504" t="s">
        <v>76</v>
      </c>
      <c r="J504" t="s">
        <v>77</v>
      </c>
      <c r="K504" t="s">
        <v>122</v>
      </c>
      <c r="L504" t="s">
        <v>79</v>
      </c>
      <c r="M504" t="s">
        <v>80</v>
      </c>
      <c r="N504" t="s">
        <v>82</v>
      </c>
      <c r="O504" t="s">
        <v>117</v>
      </c>
      <c r="P504" t="s">
        <v>79</v>
      </c>
      <c r="Q504" t="s">
        <v>83</v>
      </c>
      <c r="R504" t="s">
        <v>79</v>
      </c>
      <c r="S504" t="s">
        <v>84</v>
      </c>
      <c r="T504" t="s">
        <v>130</v>
      </c>
      <c r="U504" t="s">
        <v>82</v>
      </c>
      <c r="V504" t="s">
        <v>86</v>
      </c>
      <c r="W504" t="s">
        <v>120</v>
      </c>
      <c r="X504" t="s">
        <v>160</v>
      </c>
      <c r="Y504" t="s">
        <v>95</v>
      </c>
      <c r="Z504" t="s">
        <v>92</v>
      </c>
      <c r="AA504" t="s">
        <v>92</v>
      </c>
      <c r="AB504" t="s">
        <v>92</v>
      </c>
      <c r="AC504" t="s">
        <v>92</v>
      </c>
      <c r="AD504" t="s">
        <v>92</v>
      </c>
      <c r="AE504" t="s">
        <v>92</v>
      </c>
      <c r="AF504" t="s">
        <v>92</v>
      </c>
      <c r="AG504" t="s">
        <v>92</v>
      </c>
      <c r="AH504" t="s">
        <v>92</v>
      </c>
      <c r="AI504" t="s">
        <v>92</v>
      </c>
      <c r="AJ504" t="s">
        <v>92</v>
      </c>
      <c r="AK504" t="s">
        <v>92</v>
      </c>
      <c r="AL504" t="s">
        <v>92</v>
      </c>
      <c r="AM504" t="s">
        <v>92</v>
      </c>
      <c r="AN504" t="s">
        <v>93</v>
      </c>
      <c r="AO504" t="s">
        <v>93</v>
      </c>
      <c r="AP504" t="s">
        <v>93</v>
      </c>
      <c r="AQ504" t="s">
        <v>93</v>
      </c>
      <c r="AR504" t="s">
        <v>93</v>
      </c>
      <c r="AS504" t="s">
        <v>93</v>
      </c>
      <c r="AT504" t="s">
        <v>93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92</v>
      </c>
      <c r="BA504" t="s">
        <v>92</v>
      </c>
      <c r="BB504" t="s">
        <v>92</v>
      </c>
      <c r="BC504" t="s">
        <v>92</v>
      </c>
      <c r="BD504" t="s">
        <v>92</v>
      </c>
      <c r="BE504" t="s">
        <v>92</v>
      </c>
      <c r="BF504" t="s">
        <v>92</v>
      </c>
      <c r="BG504" t="s">
        <v>92</v>
      </c>
      <c r="BH504" t="s">
        <v>92</v>
      </c>
    </row>
    <row r="505" spans="1:60" x14ac:dyDescent="0.3">
      <c r="A505">
        <v>20</v>
      </c>
      <c r="B505" t="s">
        <v>70</v>
      </c>
      <c r="C505" t="s">
        <v>157</v>
      </c>
      <c r="D505" t="s">
        <v>72</v>
      </c>
      <c r="E505" t="s">
        <v>108</v>
      </c>
      <c r="F505" t="s">
        <v>74</v>
      </c>
      <c r="G505" t="s">
        <v>135</v>
      </c>
      <c r="H505" t="s">
        <v>74</v>
      </c>
      <c r="I505" t="s">
        <v>115</v>
      </c>
      <c r="J505" t="s">
        <v>77</v>
      </c>
      <c r="K505" t="s">
        <v>131</v>
      </c>
      <c r="L505" t="s">
        <v>79</v>
      </c>
      <c r="M505" t="s">
        <v>80</v>
      </c>
      <c r="N505" t="s">
        <v>79</v>
      </c>
      <c r="O505" t="s">
        <v>81</v>
      </c>
      <c r="P505" t="s">
        <v>82</v>
      </c>
      <c r="Q505" t="s">
        <v>83</v>
      </c>
      <c r="R505" t="s">
        <v>79</v>
      </c>
      <c r="S505" t="s">
        <v>84</v>
      </c>
      <c r="T505" t="s">
        <v>156</v>
      </c>
      <c r="U505" t="s">
        <v>82</v>
      </c>
      <c r="V505" t="s">
        <v>106</v>
      </c>
      <c r="W505" t="s">
        <v>141</v>
      </c>
      <c r="X505" t="s">
        <v>112</v>
      </c>
      <c r="Y505" t="s">
        <v>94</v>
      </c>
      <c r="Z505" t="s">
        <v>94</v>
      </c>
      <c r="AA505" t="s">
        <v>93</v>
      </c>
      <c r="AB505" t="s">
        <v>95</v>
      </c>
      <c r="AC505" t="s">
        <v>94</v>
      </c>
      <c r="AD505" t="s">
        <v>94</v>
      </c>
      <c r="AE505" t="s">
        <v>95</v>
      </c>
      <c r="AF505" t="s">
        <v>94</v>
      </c>
      <c r="AG505" t="s">
        <v>93</v>
      </c>
      <c r="AH505" t="s">
        <v>93</v>
      </c>
      <c r="AI505" t="s">
        <v>93</v>
      </c>
      <c r="AJ505" t="s">
        <v>93</v>
      </c>
      <c r="AK505" t="s">
        <v>93</v>
      </c>
      <c r="AL505" t="s">
        <v>93</v>
      </c>
      <c r="AM505" t="s">
        <v>93</v>
      </c>
      <c r="AN505" t="s">
        <v>93</v>
      </c>
      <c r="AO505" t="s">
        <v>93</v>
      </c>
      <c r="AP505" t="s">
        <v>93</v>
      </c>
      <c r="AQ505" t="s">
        <v>93</v>
      </c>
      <c r="AR505" t="s">
        <v>95</v>
      </c>
      <c r="AS505" t="s">
        <v>95</v>
      </c>
      <c r="AT505" t="s">
        <v>95</v>
      </c>
      <c r="AU505" t="s">
        <v>95</v>
      </c>
      <c r="AV505" t="s">
        <v>93</v>
      </c>
      <c r="AW505" t="s">
        <v>95</v>
      </c>
      <c r="AX505" t="s">
        <v>95</v>
      </c>
      <c r="AY505" t="s">
        <v>95</v>
      </c>
      <c r="AZ505" t="s">
        <v>95</v>
      </c>
      <c r="BA505" t="s">
        <v>93</v>
      </c>
      <c r="BB505" t="s">
        <v>93</v>
      </c>
      <c r="BC505" t="s">
        <v>93</v>
      </c>
      <c r="BD505" t="s">
        <v>93</v>
      </c>
      <c r="BE505" t="s">
        <v>93</v>
      </c>
      <c r="BF505" t="s">
        <v>95</v>
      </c>
      <c r="BG505" t="s">
        <v>95</v>
      </c>
      <c r="BH505" t="s">
        <v>95</v>
      </c>
    </row>
    <row r="506" spans="1:60" x14ac:dyDescent="0.3">
      <c r="A506">
        <v>21</v>
      </c>
      <c r="B506" t="s">
        <v>128</v>
      </c>
      <c r="C506" t="s">
        <v>157</v>
      </c>
      <c r="D506" t="s">
        <v>72</v>
      </c>
      <c r="E506" t="s">
        <v>114</v>
      </c>
      <c r="F506" t="s">
        <v>136</v>
      </c>
      <c r="G506" t="s">
        <v>135</v>
      </c>
      <c r="H506" t="s">
        <v>98</v>
      </c>
      <c r="I506" t="s">
        <v>76</v>
      </c>
      <c r="J506" t="s">
        <v>77</v>
      </c>
      <c r="K506" t="s">
        <v>125</v>
      </c>
      <c r="L506" t="s">
        <v>79</v>
      </c>
      <c r="M506" t="s">
        <v>80</v>
      </c>
      <c r="N506" t="s">
        <v>79</v>
      </c>
      <c r="O506" t="s">
        <v>109</v>
      </c>
      <c r="P506" t="s">
        <v>82</v>
      </c>
      <c r="Q506" t="s">
        <v>83</v>
      </c>
      <c r="R506" t="s">
        <v>82</v>
      </c>
      <c r="S506" t="s">
        <v>84</v>
      </c>
      <c r="T506" t="s">
        <v>85</v>
      </c>
      <c r="U506" t="s">
        <v>82</v>
      </c>
      <c r="V506" t="s">
        <v>106</v>
      </c>
      <c r="W506" t="s">
        <v>87</v>
      </c>
      <c r="X506" t="s">
        <v>112</v>
      </c>
      <c r="Y506" t="s">
        <v>94</v>
      </c>
      <c r="Z506" t="s">
        <v>92</v>
      </c>
      <c r="AA506" t="s">
        <v>93</v>
      </c>
      <c r="AB506" t="s">
        <v>92</v>
      </c>
      <c r="AC506" t="s">
        <v>93</v>
      </c>
      <c r="AD506" t="s">
        <v>92</v>
      </c>
      <c r="AE506" t="s">
        <v>92</v>
      </c>
      <c r="AF506" t="s">
        <v>92</v>
      </c>
      <c r="AG506" t="s">
        <v>93</v>
      </c>
      <c r="AH506" t="s">
        <v>92</v>
      </c>
      <c r="AI506" t="s">
        <v>92</v>
      </c>
      <c r="AJ506" t="s">
        <v>93</v>
      </c>
      <c r="AK506" t="s">
        <v>93</v>
      </c>
      <c r="AL506" t="s">
        <v>93</v>
      </c>
      <c r="AM506" t="s">
        <v>93</v>
      </c>
      <c r="AN506" t="s">
        <v>93</v>
      </c>
      <c r="AO506" t="s">
        <v>93</v>
      </c>
      <c r="AP506" t="s">
        <v>93</v>
      </c>
      <c r="AQ506" t="s">
        <v>92</v>
      </c>
      <c r="AR506" t="s">
        <v>92</v>
      </c>
      <c r="AS506" t="s">
        <v>92</v>
      </c>
      <c r="AT506" t="s">
        <v>93</v>
      </c>
      <c r="AU506" t="s">
        <v>93</v>
      </c>
      <c r="AV506" t="s">
        <v>92</v>
      </c>
      <c r="AW506" t="s">
        <v>93</v>
      </c>
      <c r="AX506" t="s">
        <v>93</v>
      </c>
      <c r="AY506" t="s">
        <v>92</v>
      </c>
      <c r="AZ506" t="s">
        <v>92</v>
      </c>
      <c r="BA506" t="s">
        <v>93</v>
      </c>
      <c r="BB506" t="s">
        <v>93</v>
      </c>
      <c r="BC506" t="s">
        <v>92</v>
      </c>
      <c r="BD506" t="s">
        <v>93</v>
      </c>
      <c r="BE506" t="s">
        <v>93</v>
      </c>
      <c r="BF506" t="s">
        <v>92</v>
      </c>
      <c r="BG506" t="s">
        <v>92</v>
      </c>
      <c r="BH506" t="s">
        <v>93</v>
      </c>
    </row>
    <row r="507" spans="1:60" x14ac:dyDescent="0.3">
      <c r="A507">
        <v>22</v>
      </c>
      <c r="B507" t="s">
        <v>70</v>
      </c>
      <c r="C507" t="s">
        <v>157</v>
      </c>
      <c r="D507" t="s">
        <v>97</v>
      </c>
      <c r="E507" t="s">
        <v>108</v>
      </c>
      <c r="F507" t="s">
        <v>74</v>
      </c>
      <c r="G507" t="s">
        <v>75</v>
      </c>
      <c r="H507" t="s">
        <v>74</v>
      </c>
      <c r="I507" t="s">
        <v>75</v>
      </c>
      <c r="J507" t="s">
        <v>77</v>
      </c>
      <c r="K507" t="s">
        <v>131</v>
      </c>
      <c r="L507" t="s">
        <v>79</v>
      </c>
      <c r="M507" t="s">
        <v>80</v>
      </c>
      <c r="N507" t="s">
        <v>79</v>
      </c>
      <c r="O507" t="s">
        <v>109</v>
      </c>
      <c r="P507" t="s">
        <v>79</v>
      </c>
      <c r="Q507" t="s">
        <v>83</v>
      </c>
      <c r="R507" t="s">
        <v>79</v>
      </c>
      <c r="S507" t="s">
        <v>84</v>
      </c>
      <c r="T507" t="s">
        <v>158</v>
      </c>
      <c r="U507" t="s">
        <v>82</v>
      </c>
      <c r="V507" t="s">
        <v>106</v>
      </c>
      <c r="W507" t="s">
        <v>141</v>
      </c>
      <c r="X507" t="s">
        <v>112</v>
      </c>
      <c r="Y507" t="s">
        <v>95</v>
      </c>
      <c r="Z507" t="s">
        <v>94</v>
      </c>
      <c r="AA507" t="s">
        <v>94</v>
      </c>
      <c r="AB507" t="s">
        <v>94</v>
      </c>
      <c r="AC507" t="s">
        <v>94</v>
      </c>
      <c r="AD507" t="s">
        <v>94</v>
      </c>
      <c r="AE507" t="s">
        <v>94</v>
      </c>
      <c r="AF507" t="s">
        <v>94</v>
      </c>
      <c r="AG507" t="s">
        <v>94</v>
      </c>
      <c r="AH507" t="s">
        <v>94</v>
      </c>
      <c r="AI507" t="s">
        <v>94</v>
      </c>
      <c r="AJ507" t="s">
        <v>94</v>
      </c>
      <c r="AK507" t="s">
        <v>94</v>
      </c>
      <c r="AL507" t="s">
        <v>94</v>
      </c>
      <c r="AM507" t="s">
        <v>94</v>
      </c>
      <c r="AN507" t="s">
        <v>94</v>
      </c>
      <c r="AO507" t="s">
        <v>94</v>
      </c>
      <c r="AP507" t="s">
        <v>94</v>
      </c>
      <c r="AQ507" t="s">
        <v>94</v>
      </c>
      <c r="AR507" t="s">
        <v>94</v>
      </c>
      <c r="AS507" t="s">
        <v>94</v>
      </c>
      <c r="AT507" t="s">
        <v>94</v>
      </c>
      <c r="AU507" t="s">
        <v>94</v>
      </c>
      <c r="AV507" t="s">
        <v>94</v>
      </c>
      <c r="AW507" t="s">
        <v>94</v>
      </c>
      <c r="AX507" t="s">
        <v>94</v>
      </c>
      <c r="AY507" t="s">
        <v>94</v>
      </c>
      <c r="AZ507" t="s">
        <v>94</v>
      </c>
      <c r="BA507" t="s">
        <v>94</v>
      </c>
      <c r="BB507" t="s">
        <v>94</v>
      </c>
      <c r="BC507" t="s">
        <v>94</v>
      </c>
      <c r="BD507" t="s">
        <v>94</v>
      </c>
      <c r="BE507" t="s">
        <v>94</v>
      </c>
      <c r="BF507" t="s">
        <v>94</v>
      </c>
      <c r="BG507" t="s">
        <v>94</v>
      </c>
      <c r="BH507" t="s">
        <v>94</v>
      </c>
    </row>
    <row r="508" spans="1:60" x14ac:dyDescent="0.3">
      <c r="A508">
        <v>21</v>
      </c>
      <c r="B508" t="s">
        <v>70</v>
      </c>
      <c r="C508" t="s">
        <v>113</v>
      </c>
      <c r="D508" t="s">
        <v>72</v>
      </c>
      <c r="E508" t="s">
        <v>114</v>
      </c>
      <c r="F508" t="s">
        <v>74</v>
      </c>
      <c r="G508" t="s">
        <v>115</v>
      </c>
      <c r="H508" t="s">
        <v>74</v>
      </c>
      <c r="I508" t="s">
        <v>115</v>
      </c>
      <c r="J508" t="s">
        <v>77</v>
      </c>
      <c r="K508" t="s">
        <v>78</v>
      </c>
      <c r="L508" t="s">
        <v>79</v>
      </c>
      <c r="M508" t="s">
        <v>80</v>
      </c>
      <c r="N508" t="s">
        <v>82</v>
      </c>
      <c r="O508" t="s">
        <v>117</v>
      </c>
      <c r="P508" t="s">
        <v>79</v>
      </c>
      <c r="Q508" t="s">
        <v>83</v>
      </c>
      <c r="R508" t="s">
        <v>79</v>
      </c>
      <c r="S508" t="s">
        <v>142</v>
      </c>
      <c r="T508" t="s">
        <v>85</v>
      </c>
      <c r="U508" t="s">
        <v>79</v>
      </c>
      <c r="V508" t="s">
        <v>106</v>
      </c>
      <c r="W508" t="s">
        <v>141</v>
      </c>
      <c r="X508" t="s">
        <v>112</v>
      </c>
      <c r="Y508" t="s">
        <v>94</v>
      </c>
      <c r="Z508" t="s">
        <v>93</v>
      </c>
      <c r="AA508" t="s">
        <v>93</v>
      </c>
      <c r="AB508" t="s">
        <v>93</v>
      </c>
      <c r="AC508" t="s">
        <v>94</v>
      </c>
      <c r="AD508" t="s">
        <v>95</v>
      </c>
      <c r="AE508" t="s">
        <v>94</v>
      </c>
      <c r="AF508" t="s">
        <v>92</v>
      </c>
      <c r="AG508" t="s">
        <v>93</v>
      </c>
      <c r="AH508" t="s">
        <v>92</v>
      </c>
      <c r="AI508" t="s">
        <v>93</v>
      </c>
      <c r="AJ508" t="s">
        <v>93</v>
      </c>
      <c r="AK508" t="s">
        <v>93</v>
      </c>
      <c r="AL508" t="s">
        <v>95</v>
      </c>
      <c r="AM508" t="s">
        <v>94</v>
      </c>
      <c r="AN508" t="s">
        <v>92</v>
      </c>
      <c r="AO508" t="s">
        <v>93</v>
      </c>
      <c r="AP508" t="s">
        <v>93</v>
      </c>
      <c r="AQ508" t="s">
        <v>95</v>
      </c>
      <c r="AR508" t="s">
        <v>95</v>
      </c>
      <c r="AS508" t="s">
        <v>95</v>
      </c>
      <c r="AT508" t="s">
        <v>95</v>
      </c>
      <c r="AU508" t="s">
        <v>92</v>
      </c>
      <c r="AV508" t="s">
        <v>94</v>
      </c>
      <c r="AW508" t="s">
        <v>94</v>
      </c>
      <c r="AX508" t="s">
        <v>94</v>
      </c>
      <c r="AY508" t="s">
        <v>95</v>
      </c>
      <c r="AZ508" t="s">
        <v>95</v>
      </c>
      <c r="BA508" t="s">
        <v>93</v>
      </c>
      <c r="BB508" t="s">
        <v>93</v>
      </c>
      <c r="BC508" t="s">
        <v>93</v>
      </c>
      <c r="BD508" t="s">
        <v>93</v>
      </c>
      <c r="BE508" t="s">
        <v>93</v>
      </c>
      <c r="BF508" t="s">
        <v>95</v>
      </c>
      <c r="BG508" t="s">
        <v>95</v>
      </c>
      <c r="BH508" t="s">
        <v>95</v>
      </c>
    </row>
    <row r="509" spans="1:60" x14ac:dyDescent="0.3">
      <c r="A509">
        <v>24</v>
      </c>
      <c r="B509" t="s">
        <v>70</v>
      </c>
      <c r="C509" t="s">
        <v>71</v>
      </c>
      <c r="D509" t="s">
        <v>97</v>
      </c>
      <c r="E509" t="s">
        <v>108</v>
      </c>
      <c r="F509" t="s">
        <v>74</v>
      </c>
      <c r="G509" t="s">
        <v>135</v>
      </c>
      <c r="H509" t="s">
        <v>98</v>
      </c>
      <c r="I509" t="s">
        <v>76</v>
      </c>
      <c r="J509" t="s">
        <v>101</v>
      </c>
      <c r="K509" t="s">
        <v>125</v>
      </c>
      <c r="L509" t="s">
        <v>79</v>
      </c>
      <c r="M509" t="s">
        <v>80</v>
      </c>
      <c r="N509" t="s">
        <v>79</v>
      </c>
      <c r="O509" t="s">
        <v>117</v>
      </c>
      <c r="P509" t="s">
        <v>79</v>
      </c>
      <c r="Q509" t="s">
        <v>83</v>
      </c>
      <c r="R509" t="s">
        <v>79</v>
      </c>
      <c r="S509" t="s">
        <v>211</v>
      </c>
      <c r="T509" t="s">
        <v>152</v>
      </c>
      <c r="U509" t="s">
        <v>82</v>
      </c>
      <c r="V509" t="s">
        <v>86</v>
      </c>
      <c r="W509" t="s">
        <v>87</v>
      </c>
      <c r="X509" t="s">
        <v>88</v>
      </c>
      <c r="Y509" t="s">
        <v>93</v>
      </c>
      <c r="Z509" t="s">
        <v>93</v>
      </c>
      <c r="AA509" t="s">
        <v>93</v>
      </c>
      <c r="AB509" t="s">
        <v>93</v>
      </c>
      <c r="AC509" t="s">
        <v>92</v>
      </c>
      <c r="AD509" t="s">
        <v>92</v>
      </c>
      <c r="AE509" t="s">
        <v>95</v>
      </c>
      <c r="AF509" t="s">
        <v>95</v>
      </c>
      <c r="AG509" t="s">
        <v>95</v>
      </c>
      <c r="AH509" t="s">
        <v>93</v>
      </c>
      <c r="AI509" t="s">
        <v>93</v>
      </c>
      <c r="AJ509" t="s">
        <v>93</v>
      </c>
      <c r="AK509" t="s">
        <v>93</v>
      </c>
      <c r="AL509" t="s">
        <v>92</v>
      </c>
      <c r="AM509" t="s">
        <v>92</v>
      </c>
      <c r="AN509" t="s">
        <v>93</v>
      </c>
      <c r="AO509" t="s">
        <v>93</v>
      </c>
      <c r="AP509" t="s">
        <v>93</v>
      </c>
      <c r="AQ509" t="s">
        <v>95</v>
      </c>
      <c r="AR509" t="s">
        <v>95</v>
      </c>
      <c r="AS509" t="s">
        <v>95</v>
      </c>
      <c r="AT509" t="s">
        <v>95</v>
      </c>
      <c r="AU509" t="s">
        <v>95</v>
      </c>
      <c r="AV509" t="s">
        <v>95</v>
      </c>
      <c r="AW509" t="s">
        <v>92</v>
      </c>
      <c r="AX509" t="s">
        <v>94</v>
      </c>
      <c r="AY509" t="s">
        <v>94</v>
      </c>
      <c r="AZ509" t="s">
        <v>94</v>
      </c>
      <c r="BA509" t="s">
        <v>93</v>
      </c>
      <c r="BB509" t="s">
        <v>93</v>
      </c>
      <c r="BC509" t="s">
        <v>93</v>
      </c>
      <c r="BD509" t="s">
        <v>93</v>
      </c>
      <c r="BE509" t="s">
        <v>93</v>
      </c>
      <c r="BF509" t="s">
        <v>95</v>
      </c>
      <c r="BG509" t="s">
        <v>95</v>
      </c>
      <c r="BH509" t="s">
        <v>94</v>
      </c>
    </row>
    <row r="510" spans="1:60" x14ac:dyDescent="0.3">
      <c r="A510">
        <v>23</v>
      </c>
      <c r="B510" t="s">
        <v>128</v>
      </c>
      <c r="C510" t="s">
        <v>71</v>
      </c>
      <c r="D510" t="s">
        <v>149</v>
      </c>
      <c r="E510" t="s">
        <v>108</v>
      </c>
      <c r="F510" t="s">
        <v>136</v>
      </c>
      <c r="G510" t="s">
        <v>135</v>
      </c>
      <c r="H510" t="s">
        <v>136</v>
      </c>
      <c r="I510" t="s">
        <v>76</v>
      </c>
      <c r="J510" t="s">
        <v>77</v>
      </c>
      <c r="K510" t="s">
        <v>78</v>
      </c>
      <c r="L510" t="s">
        <v>82</v>
      </c>
      <c r="M510" t="s">
        <v>80</v>
      </c>
      <c r="N510" t="s">
        <v>79</v>
      </c>
      <c r="O510" t="s">
        <v>109</v>
      </c>
      <c r="P510" t="s">
        <v>82</v>
      </c>
      <c r="Q510" t="s">
        <v>83</v>
      </c>
      <c r="R510" t="s">
        <v>79</v>
      </c>
      <c r="S510" t="s">
        <v>84</v>
      </c>
      <c r="T510" t="s">
        <v>293</v>
      </c>
      <c r="U510" t="s">
        <v>79</v>
      </c>
      <c r="V510" t="s">
        <v>106</v>
      </c>
      <c r="W510" t="s">
        <v>141</v>
      </c>
      <c r="X510" t="s">
        <v>127</v>
      </c>
      <c r="Y510" t="s">
        <v>93</v>
      </c>
      <c r="Z510" t="s">
        <v>93</v>
      </c>
      <c r="AA510" t="s">
        <v>93</v>
      </c>
      <c r="AB510" t="s">
        <v>93</v>
      </c>
      <c r="AC510" t="s">
        <v>92</v>
      </c>
      <c r="AD510" t="s">
        <v>92</v>
      </c>
      <c r="AE510" t="s">
        <v>92</v>
      </c>
      <c r="AF510" t="s">
        <v>93</v>
      </c>
      <c r="AG510" t="s">
        <v>93</v>
      </c>
      <c r="AH510" t="s">
        <v>93</v>
      </c>
      <c r="AI510" t="s">
        <v>93</v>
      </c>
      <c r="AJ510" t="s">
        <v>93</v>
      </c>
      <c r="AK510" t="s">
        <v>93</v>
      </c>
      <c r="AL510" t="s">
        <v>92</v>
      </c>
      <c r="AM510" t="s">
        <v>92</v>
      </c>
      <c r="AN510" t="s">
        <v>93</v>
      </c>
      <c r="AO510" t="s">
        <v>93</v>
      </c>
      <c r="AP510" t="s">
        <v>93</v>
      </c>
      <c r="AQ510" t="s">
        <v>95</v>
      </c>
      <c r="AR510" t="s">
        <v>95</v>
      </c>
      <c r="AS510" t="s">
        <v>95</v>
      </c>
      <c r="AT510" t="s">
        <v>95</v>
      </c>
      <c r="AU510" t="s">
        <v>93</v>
      </c>
      <c r="AV510" t="s">
        <v>92</v>
      </c>
      <c r="AW510" t="s">
        <v>93</v>
      </c>
      <c r="AX510" t="s">
        <v>95</v>
      </c>
      <c r="AY510" t="s">
        <v>95</v>
      </c>
      <c r="AZ510" t="s">
        <v>95</v>
      </c>
      <c r="BA510" t="s">
        <v>93</v>
      </c>
      <c r="BB510" t="s">
        <v>93</v>
      </c>
      <c r="BC510" t="s">
        <v>93</v>
      </c>
      <c r="BD510" t="s">
        <v>93</v>
      </c>
      <c r="BE510" t="s">
        <v>93</v>
      </c>
      <c r="BF510" t="s">
        <v>95</v>
      </c>
      <c r="BG510" t="s">
        <v>95</v>
      </c>
      <c r="BH510" t="s">
        <v>95</v>
      </c>
    </row>
    <row r="511" spans="1:60" x14ac:dyDescent="0.3">
      <c r="A511">
        <v>23</v>
      </c>
      <c r="B511" t="s">
        <v>70</v>
      </c>
      <c r="C511" t="s">
        <v>71</v>
      </c>
      <c r="D511" t="s">
        <v>97</v>
      </c>
      <c r="E511" t="s">
        <v>73</v>
      </c>
      <c r="F511" t="s">
        <v>98</v>
      </c>
      <c r="G511" t="s">
        <v>115</v>
      </c>
      <c r="H511" t="s">
        <v>100</v>
      </c>
      <c r="I511" t="s">
        <v>76</v>
      </c>
      <c r="J511" t="s">
        <v>77</v>
      </c>
      <c r="K511" t="s">
        <v>125</v>
      </c>
      <c r="L511" t="s">
        <v>82</v>
      </c>
      <c r="M511" t="s">
        <v>80</v>
      </c>
      <c r="N511" t="s">
        <v>79</v>
      </c>
      <c r="O511" t="s">
        <v>117</v>
      </c>
      <c r="P511" t="s">
        <v>82</v>
      </c>
      <c r="Q511" t="s">
        <v>83</v>
      </c>
      <c r="R511" t="s">
        <v>82</v>
      </c>
      <c r="S511" t="s">
        <v>145</v>
      </c>
      <c r="T511" t="s">
        <v>130</v>
      </c>
      <c r="U511" t="s">
        <v>82</v>
      </c>
      <c r="V511" t="s">
        <v>106</v>
      </c>
      <c r="W511" t="s">
        <v>87</v>
      </c>
      <c r="X511" t="s">
        <v>88</v>
      </c>
      <c r="Y511" t="s">
        <v>92</v>
      </c>
      <c r="Z511" t="s">
        <v>93</v>
      </c>
      <c r="AA511" t="s">
        <v>92</v>
      </c>
      <c r="AB511" t="s">
        <v>93</v>
      </c>
      <c r="AC511" t="s">
        <v>94</v>
      </c>
      <c r="AD511" t="s">
        <v>94</v>
      </c>
      <c r="AE511" t="s">
        <v>94</v>
      </c>
      <c r="AF511" t="s">
        <v>94</v>
      </c>
      <c r="AG511" t="s">
        <v>94</v>
      </c>
      <c r="AH511" t="s">
        <v>93</v>
      </c>
      <c r="AI511" t="s">
        <v>94</v>
      </c>
      <c r="AJ511" t="s">
        <v>94</v>
      </c>
      <c r="AK511" t="s">
        <v>94</v>
      </c>
      <c r="AL511" t="s">
        <v>93</v>
      </c>
      <c r="AM511" t="s">
        <v>93</v>
      </c>
      <c r="AN511" t="s">
        <v>93</v>
      </c>
      <c r="AO511" t="s">
        <v>93</v>
      </c>
      <c r="AP511" t="s">
        <v>94</v>
      </c>
      <c r="AQ511" t="s">
        <v>94</v>
      </c>
      <c r="AR511" t="s">
        <v>94</v>
      </c>
      <c r="AS511" t="s">
        <v>95</v>
      </c>
      <c r="AT511" t="s">
        <v>94</v>
      </c>
      <c r="AU511" t="s">
        <v>94</v>
      </c>
      <c r="AV511" t="s">
        <v>95</v>
      </c>
      <c r="AW511" t="s">
        <v>95</v>
      </c>
      <c r="AX511" t="s">
        <v>93</v>
      </c>
      <c r="AY511" t="s">
        <v>93</v>
      </c>
      <c r="AZ511" t="s">
        <v>93</v>
      </c>
      <c r="BA511" t="s">
        <v>93</v>
      </c>
      <c r="BB511" t="s">
        <v>93</v>
      </c>
      <c r="BC511" t="s">
        <v>93</v>
      </c>
      <c r="BD511" t="s">
        <v>93</v>
      </c>
      <c r="BE511" t="s">
        <v>95</v>
      </c>
      <c r="BF511" t="s">
        <v>94</v>
      </c>
      <c r="BG511" t="s">
        <v>95</v>
      </c>
      <c r="BH511" t="s">
        <v>95</v>
      </c>
    </row>
    <row r="512" spans="1:60" x14ac:dyDescent="0.3">
      <c r="A512">
        <v>25</v>
      </c>
      <c r="B512" t="s">
        <v>70</v>
      </c>
      <c r="C512" t="s">
        <v>71</v>
      </c>
      <c r="D512" t="s">
        <v>97</v>
      </c>
      <c r="E512" t="s">
        <v>114</v>
      </c>
      <c r="F512" t="s">
        <v>74</v>
      </c>
      <c r="G512" t="s">
        <v>75</v>
      </c>
      <c r="H512" t="s">
        <v>136</v>
      </c>
      <c r="I512" t="s">
        <v>76</v>
      </c>
      <c r="J512" t="s">
        <v>77</v>
      </c>
      <c r="K512" t="s">
        <v>122</v>
      </c>
      <c r="L512" t="s">
        <v>79</v>
      </c>
      <c r="M512" t="s">
        <v>80</v>
      </c>
      <c r="N512" t="s">
        <v>79</v>
      </c>
      <c r="O512" t="s">
        <v>138</v>
      </c>
      <c r="P512" t="s">
        <v>79</v>
      </c>
      <c r="Q512" t="s">
        <v>103</v>
      </c>
      <c r="R512" t="s">
        <v>79</v>
      </c>
      <c r="S512" t="s">
        <v>223</v>
      </c>
      <c r="T512" t="s">
        <v>124</v>
      </c>
      <c r="U512" t="s">
        <v>79</v>
      </c>
      <c r="V512" t="s">
        <v>106</v>
      </c>
      <c r="W512" t="s">
        <v>141</v>
      </c>
      <c r="X512" t="s">
        <v>112</v>
      </c>
      <c r="Y512" t="s">
        <v>95</v>
      </c>
      <c r="Z512" t="s">
        <v>93</v>
      </c>
      <c r="AA512" t="s">
        <v>93</v>
      </c>
      <c r="AB512" t="s">
        <v>93</v>
      </c>
      <c r="AC512" t="s">
        <v>94</v>
      </c>
      <c r="AD512" t="s">
        <v>92</v>
      </c>
      <c r="AE512" t="s">
        <v>94</v>
      </c>
      <c r="AF512" t="s">
        <v>94</v>
      </c>
      <c r="AG512" t="s">
        <v>95</v>
      </c>
      <c r="AH512" t="s">
        <v>95</v>
      </c>
      <c r="AI512" t="s">
        <v>93</v>
      </c>
      <c r="AJ512" t="s">
        <v>93</v>
      </c>
      <c r="AK512" t="s">
        <v>93</v>
      </c>
      <c r="AL512" t="s">
        <v>95</v>
      </c>
      <c r="AM512" t="s">
        <v>93</v>
      </c>
      <c r="AN512" t="s">
        <v>93</v>
      </c>
      <c r="AO512" t="s">
        <v>93</v>
      </c>
      <c r="AP512" t="s">
        <v>93</v>
      </c>
      <c r="AQ512" t="s">
        <v>94</v>
      </c>
      <c r="AR512" t="s">
        <v>94</v>
      </c>
      <c r="AS512" t="s">
        <v>94</v>
      </c>
      <c r="AT512" t="s">
        <v>94</v>
      </c>
      <c r="AU512" t="s">
        <v>93</v>
      </c>
      <c r="AV512" t="s">
        <v>93</v>
      </c>
      <c r="AW512" t="s">
        <v>93</v>
      </c>
      <c r="AX512" t="s">
        <v>93</v>
      </c>
      <c r="AY512" t="s">
        <v>95</v>
      </c>
      <c r="AZ512" t="s">
        <v>95</v>
      </c>
      <c r="BA512" t="s">
        <v>93</v>
      </c>
      <c r="BB512" t="s">
        <v>92</v>
      </c>
      <c r="BC512" t="s">
        <v>93</v>
      </c>
      <c r="BD512" t="s">
        <v>93</v>
      </c>
      <c r="BE512" t="s">
        <v>93</v>
      </c>
      <c r="BF512" t="s">
        <v>95</v>
      </c>
      <c r="BG512" t="s">
        <v>94</v>
      </c>
      <c r="BH512" t="s">
        <v>94</v>
      </c>
    </row>
    <row r="513" spans="1:60" x14ac:dyDescent="0.3">
      <c r="A513">
        <v>23</v>
      </c>
      <c r="B513" t="s">
        <v>70</v>
      </c>
      <c r="C513" t="s">
        <v>71</v>
      </c>
      <c r="D513" t="s">
        <v>97</v>
      </c>
      <c r="E513" t="s">
        <v>73</v>
      </c>
      <c r="F513" t="s">
        <v>74</v>
      </c>
      <c r="G513" t="s">
        <v>115</v>
      </c>
      <c r="H513" t="s">
        <v>100</v>
      </c>
      <c r="I513" t="s">
        <v>76</v>
      </c>
      <c r="J513" t="s">
        <v>77</v>
      </c>
      <c r="K513" t="s">
        <v>125</v>
      </c>
      <c r="L513" t="s">
        <v>79</v>
      </c>
      <c r="M513" t="s">
        <v>80</v>
      </c>
      <c r="N513" t="s">
        <v>79</v>
      </c>
      <c r="O513" t="s">
        <v>109</v>
      </c>
      <c r="P513" t="s">
        <v>79</v>
      </c>
      <c r="Q513" t="s">
        <v>103</v>
      </c>
      <c r="R513" t="s">
        <v>79</v>
      </c>
      <c r="S513" t="s">
        <v>294</v>
      </c>
      <c r="T513" t="s">
        <v>266</v>
      </c>
      <c r="U513" t="s">
        <v>79</v>
      </c>
      <c r="V513" t="s">
        <v>106</v>
      </c>
      <c r="W513" t="s">
        <v>87</v>
      </c>
      <c r="X513" t="s">
        <v>112</v>
      </c>
      <c r="Y513" t="s">
        <v>93</v>
      </c>
      <c r="Z513" t="s">
        <v>93</v>
      </c>
      <c r="AA513" t="s">
        <v>93</v>
      </c>
      <c r="AB513" t="s">
        <v>93</v>
      </c>
      <c r="AC513" t="s">
        <v>94</v>
      </c>
      <c r="AD513" t="s">
        <v>94</v>
      </c>
      <c r="AE513" t="s">
        <v>95</v>
      </c>
      <c r="AF513" t="s">
        <v>93</v>
      </c>
      <c r="AG513" t="s">
        <v>93</v>
      </c>
      <c r="AH513" t="s">
        <v>93</v>
      </c>
      <c r="AI513" t="s">
        <v>93</v>
      </c>
      <c r="AJ513" t="s">
        <v>94</v>
      </c>
      <c r="AK513" t="s">
        <v>92</v>
      </c>
      <c r="AL513" t="s">
        <v>94</v>
      </c>
      <c r="AM513" t="s">
        <v>94</v>
      </c>
      <c r="AN513" t="s">
        <v>93</v>
      </c>
      <c r="AO513" t="s">
        <v>93</v>
      </c>
      <c r="AP513" t="s">
        <v>93</v>
      </c>
      <c r="AQ513" t="s">
        <v>95</v>
      </c>
      <c r="AR513" t="s">
        <v>94</v>
      </c>
      <c r="AS513" t="s">
        <v>95</v>
      </c>
      <c r="AT513" t="s">
        <v>95</v>
      </c>
      <c r="AU513" t="s">
        <v>94</v>
      </c>
      <c r="AV513" t="s">
        <v>94</v>
      </c>
      <c r="AW513" t="s">
        <v>92</v>
      </c>
      <c r="AX513" t="s">
        <v>95</v>
      </c>
      <c r="AY513" t="s">
        <v>95</v>
      </c>
      <c r="AZ513" t="s">
        <v>95</v>
      </c>
      <c r="BA513" t="s">
        <v>93</v>
      </c>
      <c r="BB513" t="s">
        <v>93</v>
      </c>
      <c r="BC513" t="s">
        <v>93</v>
      </c>
      <c r="BD513" t="s">
        <v>93</v>
      </c>
      <c r="BE513" t="s">
        <v>93</v>
      </c>
      <c r="BF513" t="s">
        <v>94</v>
      </c>
      <c r="BG513" t="s">
        <v>94</v>
      </c>
      <c r="BH513" t="s">
        <v>94</v>
      </c>
    </row>
    <row r="514" spans="1:60" x14ac:dyDescent="0.3">
      <c r="A514">
        <v>22</v>
      </c>
      <c r="B514" t="s">
        <v>70</v>
      </c>
      <c r="C514" t="s">
        <v>113</v>
      </c>
      <c r="D514" t="s">
        <v>97</v>
      </c>
      <c r="E514" t="s">
        <v>108</v>
      </c>
      <c r="F514" t="s">
        <v>74</v>
      </c>
      <c r="G514" t="s">
        <v>135</v>
      </c>
      <c r="H514" t="s">
        <v>136</v>
      </c>
      <c r="I514" t="s">
        <v>76</v>
      </c>
      <c r="J514" t="s">
        <v>101</v>
      </c>
      <c r="K514" t="s">
        <v>78</v>
      </c>
      <c r="L514" t="s">
        <v>79</v>
      </c>
      <c r="M514" t="s">
        <v>80</v>
      </c>
      <c r="N514" t="s">
        <v>79</v>
      </c>
      <c r="O514" t="s">
        <v>81</v>
      </c>
      <c r="P514" t="s">
        <v>79</v>
      </c>
      <c r="Q514" t="s">
        <v>83</v>
      </c>
      <c r="R514" t="s">
        <v>79</v>
      </c>
      <c r="S514" t="s">
        <v>84</v>
      </c>
      <c r="T514" t="s">
        <v>130</v>
      </c>
      <c r="U514" t="s">
        <v>82</v>
      </c>
      <c r="V514" t="s">
        <v>106</v>
      </c>
      <c r="W514" t="s">
        <v>120</v>
      </c>
      <c r="X514" t="s">
        <v>112</v>
      </c>
      <c r="Y514" t="s">
        <v>93</v>
      </c>
      <c r="Z514" t="s">
        <v>93</v>
      </c>
      <c r="AA514" t="s">
        <v>92</v>
      </c>
      <c r="AB514" t="s">
        <v>93</v>
      </c>
      <c r="AC514" t="s">
        <v>92</v>
      </c>
      <c r="AD514" t="s">
        <v>92</v>
      </c>
      <c r="AE514" t="s">
        <v>95</v>
      </c>
      <c r="AF514" t="s">
        <v>93</v>
      </c>
      <c r="AG514" t="s">
        <v>93</v>
      </c>
      <c r="AH514" t="s">
        <v>93</v>
      </c>
      <c r="AI514" t="s">
        <v>93</v>
      </c>
      <c r="AJ514" t="s">
        <v>93</v>
      </c>
      <c r="AK514" t="s">
        <v>93</v>
      </c>
      <c r="AL514" t="s">
        <v>93</v>
      </c>
      <c r="AM514" t="s">
        <v>93</v>
      </c>
      <c r="AN514" t="s">
        <v>93</v>
      </c>
      <c r="AO514" t="s">
        <v>93</v>
      </c>
      <c r="AP514" t="s">
        <v>92</v>
      </c>
      <c r="AQ514" t="s">
        <v>95</v>
      </c>
      <c r="AR514" t="s">
        <v>95</v>
      </c>
      <c r="AS514" t="s">
        <v>95</v>
      </c>
      <c r="AT514" t="s">
        <v>95</v>
      </c>
      <c r="AU514" t="s">
        <v>92</v>
      </c>
      <c r="AV514" t="s">
        <v>94</v>
      </c>
      <c r="AW514" t="s">
        <v>92</v>
      </c>
      <c r="AX514" t="s">
        <v>94</v>
      </c>
      <c r="AY514" t="s">
        <v>92</v>
      </c>
      <c r="AZ514" t="s">
        <v>92</v>
      </c>
      <c r="BA514" t="s">
        <v>92</v>
      </c>
      <c r="BB514" t="s">
        <v>92</v>
      </c>
      <c r="BC514" t="s">
        <v>92</v>
      </c>
      <c r="BD514" t="s">
        <v>92</v>
      </c>
      <c r="BE514" t="s">
        <v>92</v>
      </c>
      <c r="BF514" t="s">
        <v>92</v>
      </c>
      <c r="BG514" t="s">
        <v>92</v>
      </c>
      <c r="BH514" t="s">
        <v>92</v>
      </c>
    </row>
    <row r="515" spans="1:60" x14ac:dyDescent="0.3">
      <c r="A515">
        <v>24</v>
      </c>
      <c r="B515" t="s">
        <v>70</v>
      </c>
      <c r="C515" t="s">
        <v>113</v>
      </c>
      <c r="D515" t="s">
        <v>72</v>
      </c>
      <c r="E515" t="s">
        <v>73</v>
      </c>
      <c r="F515" t="s">
        <v>136</v>
      </c>
      <c r="G515" t="s">
        <v>135</v>
      </c>
      <c r="H515" t="s">
        <v>136</v>
      </c>
      <c r="I515" t="s">
        <v>76</v>
      </c>
      <c r="J515" t="s">
        <v>101</v>
      </c>
      <c r="K515" t="s">
        <v>125</v>
      </c>
      <c r="L515" t="s">
        <v>82</v>
      </c>
      <c r="M515" t="s">
        <v>132</v>
      </c>
      <c r="N515" t="s">
        <v>79</v>
      </c>
      <c r="O515" t="s">
        <v>109</v>
      </c>
      <c r="P515" t="s">
        <v>82</v>
      </c>
      <c r="Q515" t="s">
        <v>83</v>
      </c>
      <c r="R515" t="s">
        <v>79</v>
      </c>
      <c r="S515" t="s">
        <v>84</v>
      </c>
      <c r="T515" t="s">
        <v>130</v>
      </c>
      <c r="U515" t="s">
        <v>82</v>
      </c>
      <c r="V515" t="s">
        <v>86</v>
      </c>
      <c r="W515" t="s">
        <v>87</v>
      </c>
      <c r="X515" t="s">
        <v>112</v>
      </c>
      <c r="Y515" t="s">
        <v>92</v>
      </c>
      <c r="Z515" t="s">
        <v>93</v>
      </c>
      <c r="AA515" t="s">
        <v>93</v>
      </c>
      <c r="AB515" t="s">
        <v>93</v>
      </c>
      <c r="AC515" t="s">
        <v>94</v>
      </c>
      <c r="AD515" t="s">
        <v>94</v>
      </c>
      <c r="AE515" t="s">
        <v>94</v>
      </c>
      <c r="AF515" t="s">
        <v>93</v>
      </c>
      <c r="AG515" t="s">
        <v>93</v>
      </c>
      <c r="AH515" t="s">
        <v>93</v>
      </c>
      <c r="AI515" t="s">
        <v>93</v>
      </c>
      <c r="AJ515" t="s">
        <v>93</v>
      </c>
      <c r="AK515" t="s">
        <v>93</v>
      </c>
      <c r="AL515" t="s">
        <v>95</v>
      </c>
      <c r="AM515" t="s">
        <v>95</v>
      </c>
      <c r="AN515" t="s">
        <v>93</v>
      </c>
      <c r="AO515" t="s">
        <v>93</v>
      </c>
      <c r="AP515" t="s">
        <v>93</v>
      </c>
      <c r="AQ515" t="s">
        <v>95</v>
      </c>
      <c r="AR515" t="s">
        <v>95</v>
      </c>
      <c r="AS515" t="s">
        <v>95</v>
      </c>
      <c r="AT515" t="s">
        <v>95</v>
      </c>
      <c r="AU515" t="s">
        <v>94</v>
      </c>
      <c r="AV515" t="s">
        <v>93</v>
      </c>
      <c r="AW515" t="s">
        <v>92</v>
      </c>
      <c r="AX515" t="s">
        <v>94</v>
      </c>
      <c r="AY515" t="s">
        <v>95</v>
      </c>
      <c r="AZ515" t="s">
        <v>95</v>
      </c>
    </row>
    <row r="516" spans="1:60" x14ac:dyDescent="0.3">
      <c r="A516">
        <v>22</v>
      </c>
      <c r="B516" t="s">
        <v>70</v>
      </c>
      <c r="C516" t="s">
        <v>71</v>
      </c>
      <c r="D516" t="s">
        <v>72</v>
      </c>
      <c r="E516" t="s">
        <v>108</v>
      </c>
      <c r="F516" t="s">
        <v>74</v>
      </c>
      <c r="G516" t="s">
        <v>75</v>
      </c>
      <c r="H516" t="s">
        <v>74</v>
      </c>
      <c r="I516" t="s">
        <v>115</v>
      </c>
      <c r="J516" t="s">
        <v>77</v>
      </c>
      <c r="K516" t="s">
        <v>122</v>
      </c>
      <c r="L516" t="s">
        <v>79</v>
      </c>
      <c r="M516" t="s">
        <v>80</v>
      </c>
      <c r="N516" t="s">
        <v>79</v>
      </c>
      <c r="O516" t="s">
        <v>117</v>
      </c>
      <c r="P516" t="s">
        <v>82</v>
      </c>
      <c r="Q516" t="s">
        <v>83</v>
      </c>
      <c r="R516" t="s">
        <v>82</v>
      </c>
      <c r="S516" t="s">
        <v>199</v>
      </c>
      <c r="T516" t="s">
        <v>159</v>
      </c>
      <c r="U516" t="s">
        <v>82</v>
      </c>
      <c r="V516" t="s">
        <v>106</v>
      </c>
      <c r="W516" t="s">
        <v>87</v>
      </c>
      <c r="X516" t="s">
        <v>295</v>
      </c>
      <c r="Y516" t="s">
        <v>92</v>
      </c>
      <c r="Z516" t="s">
        <v>92</v>
      </c>
      <c r="AA516" t="s">
        <v>92</v>
      </c>
      <c r="AB516" t="s">
        <v>94</v>
      </c>
      <c r="AC516" t="s">
        <v>94</v>
      </c>
      <c r="AD516" t="s">
        <v>94</v>
      </c>
      <c r="AE516" t="s">
        <v>94</v>
      </c>
      <c r="AF516" t="s">
        <v>93</v>
      </c>
      <c r="AG516" t="s">
        <v>93</v>
      </c>
      <c r="AH516" t="s">
        <v>93</v>
      </c>
      <c r="AI516" t="s">
        <v>92</v>
      </c>
      <c r="AJ516" t="s">
        <v>92</v>
      </c>
      <c r="AK516" t="s">
        <v>94</v>
      </c>
      <c r="AL516" t="s">
        <v>95</v>
      </c>
      <c r="AM516" t="s">
        <v>94</v>
      </c>
      <c r="AN516" t="s">
        <v>93</v>
      </c>
      <c r="AO516" t="s">
        <v>93</v>
      </c>
      <c r="AP516" t="s">
        <v>93</v>
      </c>
      <c r="AQ516" t="s">
        <v>95</v>
      </c>
      <c r="AR516" t="s">
        <v>95</v>
      </c>
      <c r="AS516" t="s">
        <v>95</v>
      </c>
      <c r="AT516" t="s">
        <v>95</v>
      </c>
      <c r="AU516" t="s">
        <v>94</v>
      </c>
      <c r="AV516" t="s">
        <v>92</v>
      </c>
      <c r="AW516" t="s">
        <v>94</v>
      </c>
      <c r="AX516" t="s">
        <v>94</v>
      </c>
      <c r="AY516" t="s">
        <v>95</v>
      </c>
      <c r="AZ516" t="s">
        <v>95</v>
      </c>
      <c r="BA516" t="s">
        <v>93</v>
      </c>
      <c r="BB516" t="s">
        <v>92</v>
      </c>
      <c r="BC516" t="s">
        <v>92</v>
      </c>
      <c r="BD516" t="s">
        <v>94</v>
      </c>
      <c r="BE516" t="s">
        <v>92</v>
      </c>
      <c r="BF516" t="s">
        <v>94</v>
      </c>
      <c r="BG516" t="s">
        <v>94</v>
      </c>
      <c r="BH516" t="s">
        <v>94</v>
      </c>
    </row>
    <row r="517" spans="1:60" x14ac:dyDescent="0.3">
      <c r="A517">
        <v>22</v>
      </c>
      <c r="B517" t="s">
        <v>70</v>
      </c>
      <c r="C517" t="s">
        <v>113</v>
      </c>
      <c r="D517" t="s">
        <v>72</v>
      </c>
      <c r="E517" t="s">
        <v>108</v>
      </c>
      <c r="F517" t="s">
        <v>74</v>
      </c>
      <c r="G517" t="s">
        <v>99</v>
      </c>
      <c r="H517" t="s">
        <v>136</v>
      </c>
      <c r="I517" t="s">
        <v>76</v>
      </c>
      <c r="J517" t="s">
        <v>77</v>
      </c>
      <c r="K517" t="s">
        <v>78</v>
      </c>
      <c r="L517" t="s">
        <v>82</v>
      </c>
      <c r="M517" t="s">
        <v>80</v>
      </c>
      <c r="N517" t="s">
        <v>79</v>
      </c>
      <c r="O517" t="s">
        <v>117</v>
      </c>
      <c r="P517" t="s">
        <v>79</v>
      </c>
      <c r="Q517" t="s">
        <v>103</v>
      </c>
      <c r="R517" t="s">
        <v>79</v>
      </c>
      <c r="S517" t="s">
        <v>84</v>
      </c>
      <c r="T517" t="s">
        <v>119</v>
      </c>
      <c r="U517" t="s">
        <v>82</v>
      </c>
      <c r="V517" t="s">
        <v>106</v>
      </c>
      <c r="W517" t="s">
        <v>120</v>
      </c>
      <c r="X517" t="s">
        <v>112</v>
      </c>
      <c r="Y517" t="s">
        <v>93</v>
      </c>
      <c r="Z517" t="s">
        <v>93</v>
      </c>
      <c r="AA517" t="s">
        <v>93</v>
      </c>
      <c r="AB517" t="s">
        <v>93</v>
      </c>
      <c r="AC517" t="s">
        <v>94</v>
      </c>
      <c r="AD517" t="s">
        <v>94</v>
      </c>
      <c r="AE517" t="s">
        <v>95</v>
      </c>
      <c r="AF517" t="s">
        <v>93</v>
      </c>
      <c r="AG517" t="s">
        <v>93</v>
      </c>
      <c r="AH517" t="s">
        <v>93</v>
      </c>
      <c r="AI517" t="s">
        <v>93</v>
      </c>
      <c r="AJ517" t="s">
        <v>92</v>
      </c>
      <c r="AK517" t="s">
        <v>93</v>
      </c>
      <c r="AL517" t="s">
        <v>95</v>
      </c>
      <c r="AM517" t="s">
        <v>93</v>
      </c>
      <c r="AN517" t="s">
        <v>93</v>
      </c>
      <c r="AO517" t="s">
        <v>93</v>
      </c>
      <c r="AP517" t="s">
        <v>93</v>
      </c>
      <c r="AQ517" t="s">
        <v>95</v>
      </c>
      <c r="AR517" t="s">
        <v>93</v>
      </c>
      <c r="AS517" t="s">
        <v>95</v>
      </c>
      <c r="AT517" t="s">
        <v>95</v>
      </c>
      <c r="AU517" t="s">
        <v>95</v>
      </c>
      <c r="AV517" t="s">
        <v>94</v>
      </c>
      <c r="AW517" t="s">
        <v>94</v>
      </c>
      <c r="AX517" t="s">
        <v>93</v>
      </c>
      <c r="AY517" t="s">
        <v>93</v>
      </c>
      <c r="AZ517" t="s">
        <v>95</v>
      </c>
    </row>
    <row r="518" spans="1:60" x14ac:dyDescent="0.3">
      <c r="A518">
        <v>21</v>
      </c>
      <c r="B518" t="s">
        <v>70</v>
      </c>
      <c r="C518" t="s">
        <v>157</v>
      </c>
      <c r="D518" t="s">
        <v>97</v>
      </c>
      <c r="E518" t="s">
        <v>108</v>
      </c>
      <c r="F518" t="s">
        <v>74</v>
      </c>
      <c r="G518" t="s">
        <v>115</v>
      </c>
      <c r="H518" t="s">
        <v>74</v>
      </c>
      <c r="I518" t="s">
        <v>76</v>
      </c>
      <c r="J518" t="s">
        <v>77</v>
      </c>
      <c r="K518" t="s">
        <v>131</v>
      </c>
      <c r="L518" t="s">
        <v>82</v>
      </c>
      <c r="M518" t="s">
        <v>80</v>
      </c>
      <c r="N518" t="s">
        <v>79</v>
      </c>
      <c r="O518" t="s">
        <v>117</v>
      </c>
      <c r="P518" t="s">
        <v>82</v>
      </c>
      <c r="Q518" t="s">
        <v>118</v>
      </c>
      <c r="R518" t="s">
        <v>79</v>
      </c>
      <c r="S518" t="s">
        <v>84</v>
      </c>
      <c r="T518" t="s">
        <v>167</v>
      </c>
      <c r="U518" t="s">
        <v>79</v>
      </c>
      <c r="V518" t="s">
        <v>106</v>
      </c>
      <c r="W518" t="s">
        <v>141</v>
      </c>
      <c r="X518" t="s">
        <v>112</v>
      </c>
      <c r="Y518" t="s">
        <v>92</v>
      </c>
      <c r="Z518" t="s">
        <v>92</v>
      </c>
      <c r="AA518" t="s">
        <v>92</v>
      </c>
      <c r="AB518" t="s">
        <v>92</v>
      </c>
      <c r="AC518" t="s">
        <v>92</v>
      </c>
      <c r="AD518" t="s">
        <v>92</v>
      </c>
      <c r="AE518" t="s">
        <v>92</v>
      </c>
      <c r="AF518" t="s">
        <v>92</v>
      </c>
      <c r="AG518" t="s">
        <v>92</v>
      </c>
      <c r="AH518" t="s">
        <v>92</v>
      </c>
      <c r="AI518" t="s">
        <v>92</v>
      </c>
      <c r="AJ518" t="s">
        <v>92</v>
      </c>
      <c r="AK518" t="s">
        <v>92</v>
      </c>
      <c r="AL518" t="s">
        <v>92</v>
      </c>
      <c r="AM518" t="s">
        <v>92</v>
      </c>
      <c r="AN518" t="s">
        <v>93</v>
      </c>
      <c r="AO518" t="s">
        <v>93</v>
      </c>
      <c r="AP518" t="s">
        <v>93</v>
      </c>
      <c r="AQ518" t="s">
        <v>93</v>
      </c>
      <c r="AR518" t="s">
        <v>93</v>
      </c>
      <c r="AS518" t="s">
        <v>93</v>
      </c>
      <c r="AT518" t="s">
        <v>93</v>
      </c>
      <c r="AU518" t="s">
        <v>95</v>
      </c>
      <c r="AV518" t="s">
        <v>95</v>
      </c>
      <c r="AW518" t="s">
        <v>95</v>
      </c>
      <c r="AX518" t="s">
        <v>95</v>
      </c>
      <c r="AY518" t="s">
        <v>95</v>
      </c>
      <c r="AZ518" t="s">
        <v>95</v>
      </c>
      <c r="BA518" t="s">
        <v>93</v>
      </c>
      <c r="BB518" t="s">
        <v>93</v>
      </c>
      <c r="BC518" t="s">
        <v>93</v>
      </c>
      <c r="BD518" t="s">
        <v>93</v>
      </c>
      <c r="BF518" t="s">
        <v>93</v>
      </c>
      <c r="BG518" t="s">
        <v>93</v>
      </c>
      <c r="BH518" t="s">
        <v>93</v>
      </c>
    </row>
    <row r="519" spans="1:60" x14ac:dyDescent="0.3">
      <c r="A519">
        <v>21</v>
      </c>
      <c r="B519" t="s">
        <v>70</v>
      </c>
      <c r="C519" t="s">
        <v>113</v>
      </c>
      <c r="D519" t="s">
        <v>149</v>
      </c>
      <c r="E519" t="s">
        <v>73</v>
      </c>
      <c r="F519" t="s">
        <v>74</v>
      </c>
      <c r="G519" t="s">
        <v>115</v>
      </c>
      <c r="H519" t="s">
        <v>74</v>
      </c>
      <c r="I519" t="s">
        <v>115</v>
      </c>
      <c r="J519" t="s">
        <v>77</v>
      </c>
      <c r="K519" t="s">
        <v>131</v>
      </c>
      <c r="L519" t="s">
        <v>82</v>
      </c>
      <c r="M519" t="s">
        <v>132</v>
      </c>
      <c r="N519" t="s">
        <v>82</v>
      </c>
      <c r="O519" t="s">
        <v>179</v>
      </c>
      <c r="P519" t="s">
        <v>82</v>
      </c>
      <c r="Q519" t="s">
        <v>103</v>
      </c>
      <c r="R519" t="s">
        <v>82</v>
      </c>
      <c r="S519" t="s">
        <v>296</v>
      </c>
      <c r="T519" t="s">
        <v>85</v>
      </c>
      <c r="U519" t="s">
        <v>79</v>
      </c>
      <c r="V519" t="s">
        <v>297</v>
      </c>
      <c r="W519" t="s">
        <v>120</v>
      </c>
      <c r="X519" t="s">
        <v>112</v>
      </c>
      <c r="Y519" t="s">
        <v>95</v>
      </c>
      <c r="Z519" t="s">
        <v>92</v>
      </c>
      <c r="AA519" t="s">
        <v>92</v>
      </c>
      <c r="AB519" t="s">
        <v>93</v>
      </c>
      <c r="AC519" t="s">
        <v>93</v>
      </c>
      <c r="AD519" t="s">
        <v>93</v>
      </c>
      <c r="AE519" t="s">
        <v>93</v>
      </c>
      <c r="AF519" t="s">
        <v>93</v>
      </c>
      <c r="AG519" t="s">
        <v>93</v>
      </c>
      <c r="AH519" t="s">
        <v>93</v>
      </c>
      <c r="AI519" t="s">
        <v>93</v>
      </c>
      <c r="AJ519" t="s">
        <v>93</v>
      </c>
      <c r="AK519" t="s">
        <v>93</v>
      </c>
      <c r="AL519" t="s">
        <v>92</v>
      </c>
      <c r="AM519" t="s">
        <v>92</v>
      </c>
      <c r="AN519" t="s">
        <v>93</v>
      </c>
      <c r="AO519" t="s">
        <v>92</v>
      </c>
      <c r="AP519" t="s">
        <v>93</v>
      </c>
      <c r="AQ519" t="s">
        <v>94</v>
      </c>
      <c r="AR519" t="s">
        <v>94</v>
      </c>
      <c r="AS519" t="s">
        <v>92</v>
      </c>
      <c r="AT519" t="s">
        <v>93</v>
      </c>
      <c r="AU519" t="s">
        <v>93</v>
      </c>
      <c r="AV519" t="s">
        <v>93</v>
      </c>
      <c r="AW519" t="s">
        <v>93</v>
      </c>
      <c r="AX519" t="s">
        <v>95</v>
      </c>
      <c r="AY519" t="s">
        <v>95</v>
      </c>
      <c r="AZ519" t="s">
        <v>95</v>
      </c>
      <c r="BA519" t="s">
        <v>92</v>
      </c>
      <c r="BB519" t="s">
        <v>92</v>
      </c>
      <c r="BC519" t="s">
        <v>92</v>
      </c>
      <c r="BD519" t="s">
        <v>92</v>
      </c>
      <c r="BE519" t="s">
        <v>92</v>
      </c>
      <c r="BF519" t="s">
        <v>92</v>
      </c>
      <c r="BG519" t="s">
        <v>92</v>
      </c>
      <c r="BH519" t="s">
        <v>92</v>
      </c>
    </row>
    <row r="520" spans="1:60" x14ac:dyDescent="0.3">
      <c r="A520">
        <v>20</v>
      </c>
      <c r="B520" t="s">
        <v>70</v>
      </c>
      <c r="C520" t="s">
        <v>157</v>
      </c>
      <c r="D520" t="s">
        <v>149</v>
      </c>
      <c r="E520" t="s">
        <v>73</v>
      </c>
      <c r="F520" t="s">
        <v>74</v>
      </c>
      <c r="G520" t="s">
        <v>298</v>
      </c>
      <c r="H520" t="s">
        <v>74</v>
      </c>
      <c r="I520" t="s">
        <v>160</v>
      </c>
      <c r="J520" t="s">
        <v>77</v>
      </c>
      <c r="K520" t="s">
        <v>122</v>
      </c>
      <c r="L520" t="s">
        <v>79</v>
      </c>
      <c r="M520" t="s">
        <v>80</v>
      </c>
      <c r="N520" t="s">
        <v>79</v>
      </c>
      <c r="O520" t="s">
        <v>133</v>
      </c>
      <c r="P520" t="s">
        <v>79</v>
      </c>
      <c r="Q520" t="s">
        <v>103</v>
      </c>
      <c r="R520" t="s">
        <v>82</v>
      </c>
      <c r="S520" t="s">
        <v>223</v>
      </c>
      <c r="T520" t="s">
        <v>152</v>
      </c>
      <c r="U520" t="s">
        <v>79</v>
      </c>
      <c r="V520" t="s">
        <v>86</v>
      </c>
      <c r="W520" t="s">
        <v>141</v>
      </c>
      <c r="X520" t="s">
        <v>112</v>
      </c>
      <c r="Y520" t="s">
        <v>94</v>
      </c>
      <c r="Z520" t="s">
        <v>93</v>
      </c>
      <c r="AA520" t="s">
        <v>93</v>
      </c>
      <c r="AB520" t="s">
        <v>93</v>
      </c>
      <c r="AC520" t="s">
        <v>93</v>
      </c>
      <c r="AD520" t="s">
        <v>94</v>
      </c>
      <c r="AE520" t="s">
        <v>92</v>
      </c>
      <c r="AF520" t="s">
        <v>93</v>
      </c>
      <c r="AG520" t="s">
        <v>92</v>
      </c>
      <c r="AH520" t="s">
        <v>94</v>
      </c>
      <c r="AI520" t="s">
        <v>93</v>
      </c>
      <c r="AJ520" t="s">
        <v>94</v>
      </c>
      <c r="AK520" t="s">
        <v>92</v>
      </c>
      <c r="AL520" t="s">
        <v>94</v>
      </c>
      <c r="AM520" t="s">
        <v>92</v>
      </c>
      <c r="AN520" t="s">
        <v>93</v>
      </c>
      <c r="AO520" t="s">
        <v>93</v>
      </c>
      <c r="AP520" t="s">
        <v>93</v>
      </c>
      <c r="AQ520" t="s">
        <v>95</v>
      </c>
      <c r="AR520" t="s">
        <v>95</v>
      </c>
      <c r="AS520" t="s">
        <v>95</v>
      </c>
      <c r="AT520" t="s">
        <v>95</v>
      </c>
      <c r="AU520" t="s">
        <v>94</v>
      </c>
      <c r="AV520" t="s">
        <v>95</v>
      </c>
      <c r="AW520" t="s">
        <v>92</v>
      </c>
      <c r="AX520" t="s">
        <v>94</v>
      </c>
      <c r="AY520" t="s">
        <v>94</v>
      </c>
      <c r="AZ520" t="s">
        <v>92</v>
      </c>
      <c r="BA520" t="s">
        <v>92</v>
      </c>
      <c r="BB520" t="s">
        <v>94</v>
      </c>
      <c r="BC520" t="s">
        <v>95</v>
      </c>
      <c r="BD520" t="s">
        <v>95</v>
      </c>
      <c r="BE520" t="s">
        <v>95</v>
      </c>
      <c r="BF520" t="s">
        <v>94</v>
      </c>
      <c r="BG520" t="s">
        <v>94</v>
      </c>
      <c r="BH520" t="s">
        <v>94</v>
      </c>
    </row>
    <row r="521" spans="1:60" x14ac:dyDescent="0.3">
      <c r="A521">
        <v>22</v>
      </c>
      <c r="B521" t="s">
        <v>70</v>
      </c>
      <c r="C521" t="s">
        <v>113</v>
      </c>
      <c r="D521" t="s">
        <v>97</v>
      </c>
      <c r="E521" t="s">
        <v>108</v>
      </c>
      <c r="F521" t="s">
        <v>136</v>
      </c>
      <c r="G521" t="s">
        <v>115</v>
      </c>
      <c r="H521" t="s">
        <v>136</v>
      </c>
      <c r="I521" t="s">
        <v>76</v>
      </c>
      <c r="J521" t="s">
        <v>77</v>
      </c>
      <c r="K521" t="s">
        <v>78</v>
      </c>
      <c r="L521" t="s">
        <v>79</v>
      </c>
      <c r="M521" t="s">
        <v>102</v>
      </c>
      <c r="N521" t="s">
        <v>79</v>
      </c>
      <c r="O521" t="s">
        <v>81</v>
      </c>
      <c r="P521" t="s">
        <v>82</v>
      </c>
      <c r="Q521" t="s">
        <v>83</v>
      </c>
      <c r="R521" t="s">
        <v>82</v>
      </c>
      <c r="S521" t="s">
        <v>84</v>
      </c>
      <c r="T521" t="s">
        <v>111</v>
      </c>
      <c r="U521" t="s">
        <v>82</v>
      </c>
      <c r="V521" t="s">
        <v>86</v>
      </c>
      <c r="W521" t="s">
        <v>141</v>
      </c>
      <c r="X521" t="s">
        <v>112</v>
      </c>
      <c r="Y521" t="s">
        <v>93</v>
      </c>
      <c r="Z521" t="s">
        <v>93</v>
      </c>
      <c r="AA521" t="s">
        <v>93</v>
      </c>
      <c r="AB521" t="s">
        <v>93</v>
      </c>
      <c r="AC521" t="s">
        <v>95</v>
      </c>
      <c r="AD521" t="s">
        <v>94</v>
      </c>
      <c r="AE521" t="s">
        <v>95</v>
      </c>
      <c r="AF521" t="s">
        <v>93</v>
      </c>
      <c r="AG521" t="s">
        <v>92</v>
      </c>
      <c r="AH521" t="s">
        <v>93</v>
      </c>
      <c r="AI521" t="s">
        <v>93</v>
      </c>
      <c r="AJ521" t="s">
        <v>94</v>
      </c>
      <c r="AK521" t="s">
        <v>92</v>
      </c>
      <c r="AL521" t="s">
        <v>94</v>
      </c>
      <c r="AM521" t="s">
        <v>94</v>
      </c>
      <c r="AN521" t="s">
        <v>93</v>
      </c>
      <c r="AO521" t="s">
        <v>93</v>
      </c>
      <c r="AP521" t="s">
        <v>93</v>
      </c>
      <c r="AQ521" t="s">
        <v>94</v>
      </c>
      <c r="AR521" t="s">
        <v>95</v>
      </c>
      <c r="AS521" t="s">
        <v>95</v>
      </c>
      <c r="AT521" t="s">
        <v>95</v>
      </c>
      <c r="AU521" t="s">
        <v>93</v>
      </c>
      <c r="AV521" t="s">
        <v>92</v>
      </c>
      <c r="AW521" t="s">
        <v>94</v>
      </c>
      <c r="AX521" t="s">
        <v>94</v>
      </c>
      <c r="AY521" t="s">
        <v>95</v>
      </c>
      <c r="AZ521" t="s">
        <v>95</v>
      </c>
      <c r="BA521" t="s">
        <v>93</v>
      </c>
      <c r="BB521" t="s">
        <v>93</v>
      </c>
      <c r="BC521" t="s">
        <v>93</v>
      </c>
      <c r="BD521" t="s">
        <v>93</v>
      </c>
      <c r="BE521" t="s">
        <v>93</v>
      </c>
      <c r="BF521" t="s">
        <v>95</v>
      </c>
      <c r="BG521" t="s">
        <v>95</v>
      </c>
      <c r="BH521" t="s">
        <v>94</v>
      </c>
    </row>
    <row r="522" spans="1:60" x14ac:dyDescent="0.3">
      <c r="A522">
        <v>22</v>
      </c>
      <c r="B522" t="s">
        <v>70</v>
      </c>
      <c r="C522" t="s">
        <v>113</v>
      </c>
      <c r="D522" t="s">
        <v>72</v>
      </c>
      <c r="E522" t="s">
        <v>73</v>
      </c>
      <c r="F522" t="s">
        <v>136</v>
      </c>
      <c r="G522" t="s">
        <v>146</v>
      </c>
      <c r="H522" t="s">
        <v>98</v>
      </c>
      <c r="I522" t="s">
        <v>76</v>
      </c>
      <c r="J522" t="s">
        <v>77</v>
      </c>
      <c r="K522" t="s">
        <v>122</v>
      </c>
      <c r="L522" t="s">
        <v>79</v>
      </c>
      <c r="M522" t="s">
        <v>102</v>
      </c>
      <c r="N522" t="s">
        <v>79</v>
      </c>
      <c r="O522" t="s">
        <v>117</v>
      </c>
      <c r="P522" t="s">
        <v>79</v>
      </c>
      <c r="Q522" t="s">
        <v>83</v>
      </c>
      <c r="R522" t="s">
        <v>79</v>
      </c>
      <c r="S522" t="s">
        <v>84</v>
      </c>
      <c r="T522" t="s">
        <v>181</v>
      </c>
      <c r="U522" t="s">
        <v>82</v>
      </c>
      <c r="V522" t="s">
        <v>106</v>
      </c>
      <c r="W522" t="s">
        <v>141</v>
      </c>
      <c r="X522" t="s">
        <v>112</v>
      </c>
      <c r="Y522" t="s">
        <v>94</v>
      </c>
      <c r="Z522" t="s">
        <v>92</v>
      </c>
      <c r="AA522" t="s">
        <v>94</v>
      </c>
      <c r="AB522" t="s">
        <v>94</v>
      </c>
      <c r="AC522" t="s">
        <v>94</v>
      </c>
      <c r="AD522" t="s">
        <v>94</v>
      </c>
      <c r="AE522" t="s">
        <v>94</v>
      </c>
      <c r="AF522" t="s">
        <v>94</v>
      </c>
      <c r="AG522" t="s">
        <v>94</v>
      </c>
      <c r="AH522" t="s">
        <v>94</v>
      </c>
      <c r="AI522" t="s">
        <v>94</v>
      </c>
      <c r="AJ522" t="s">
        <v>94</v>
      </c>
      <c r="AK522" t="s">
        <v>94</v>
      </c>
      <c r="AL522" t="s">
        <v>94</v>
      </c>
      <c r="AM522" t="s">
        <v>94</v>
      </c>
      <c r="AN522" t="s">
        <v>94</v>
      </c>
      <c r="AO522" t="s">
        <v>94</v>
      </c>
      <c r="AP522" t="s">
        <v>94</v>
      </c>
      <c r="AQ522" t="s">
        <v>94</v>
      </c>
      <c r="AR522" t="s">
        <v>94</v>
      </c>
      <c r="AS522" t="s">
        <v>94</v>
      </c>
      <c r="AT522" t="s">
        <v>94</v>
      </c>
      <c r="AU522" t="s">
        <v>94</v>
      </c>
      <c r="AV522" t="s">
        <v>94</v>
      </c>
      <c r="AW522" t="s">
        <v>94</v>
      </c>
      <c r="AX522" t="s">
        <v>94</v>
      </c>
      <c r="AY522" t="s">
        <v>94</v>
      </c>
      <c r="AZ522" t="s">
        <v>94</v>
      </c>
      <c r="BA522" t="s">
        <v>94</v>
      </c>
      <c r="BB522" t="s">
        <v>94</v>
      </c>
      <c r="BC522" t="s">
        <v>94</v>
      </c>
      <c r="BD522" t="s">
        <v>92</v>
      </c>
      <c r="BE522" t="s">
        <v>92</v>
      </c>
      <c r="BF522" t="s">
        <v>92</v>
      </c>
      <c r="BG522" t="s">
        <v>92</v>
      </c>
      <c r="BH522" t="s">
        <v>92</v>
      </c>
    </row>
    <row r="523" spans="1:60" x14ac:dyDescent="0.3">
      <c r="A523">
        <v>21</v>
      </c>
      <c r="B523" t="s">
        <v>70</v>
      </c>
      <c r="C523" t="s">
        <v>157</v>
      </c>
      <c r="D523" t="s">
        <v>72</v>
      </c>
      <c r="E523" t="s">
        <v>114</v>
      </c>
      <c r="F523" t="s">
        <v>74</v>
      </c>
      <c r="G523" t="s">
        <v>115</v>
      </c>
      <c r="H523" t="s">
        <v>74</v>
      </c>
      <c r="I523" t="s">
        <v>115</v>
      </c>
      <c r="J523" t="s">
        <v>77</v>
      </c>
      <c r="K523" t="s">
        <v>122</v>
      </c>
      <c r="L523" t="s">
        <v>82</v>
      </c>
      <c r="M523" t="s">
        <v>80</v>
      </c>
      <c r="N523" t="s">
        <v>79</v>
      </c>
      <c r="O523" t="s">
        <v>109</v>
      </c>
      <c r="P523" t="s">
        <v>82</v>
      </c>
      <c r="Q523" t="s">
        <v>83</v>
      </c>
      <c r="R523" t="s">
        <v>82</v>
      </c>
      <c r="S523" t="s">
        <v>84</v>
      </c>
      <c r="T523" t="s">
        <v>124</v>
      </c>
      <c r="U523" t="s">
        <v>82</v>
      </c>
      <c r="V523" t="s">
        <v>106</v>
      </c>
      <c r="W523" t="s">
        <v>87</v>
      </c>
      <c r="X523" t="s">
        <v>112</v>
      </c>
      <c r="Y523" t="s">
        <v>93</v>
      </c>
      <c r="Z523" t="s">
        <v>93</v>
      </c>
      <c r="AA523" t="s">
        <v>92</v>
      </c>
      <c r="AB523" t="s">
        <v>93</v>
      </c>
      <c r="AC523" t="s">
        <v>92</v>
      </c>
      <c r="AD523" t="s">
        <v>92</v>
      </c>
      <c r="AE523" t="s">
        <v>92</v>
      </c>
      <c r="AF523" t="s">
        <v>94</v>
      </c>
      <c r="AG523" t="s">
        <v>92</v>
      </c>
      <c r="AH523" t="s">
        <v>95</v>
      </c>
      <c r="AI523" t="s">
        <v>93</v>
      </c>
      <c r="AJ523" t="s">
        <v>93</v>
      </c>
      <c r="AK523" t="s">
        <v>93</v>
      </c>
      <c r="AL523" t="s">
        <v>92</v>
      </c>
      <c r="AM523" t="s">
        <v>92</v>
      </c>
      <c r="AN523" t="s">
        <v>93</v>
      </c>
      <c r="AO523" t="s">
        <v>93</v>
      </c>
      <c r="AP523" t="s">
        <v>93</v>
      </c>
      <c r="AQ523" t="s">
        <v>94</v>
      </c>
      <c r="AR523" t="s">
        <v>95</v>
      </c>
      <c r="AS523" t="s">
        <v>95</v>
      </c>
      <c r="AT523" t="s">
        <v>95</v>
      </c>
      <c r="AU523" t="s">
        <v>93</v>
      </c>
      <c r="AV523" t="s">
        <v>93</v>
      </c>
      <c r="AW523" t="s">
        <v>93</v>
      </c>
      <c r="AX523" t="s">
        <v>95</v>
      </c>
      <c r="AY523" t="s">
        <v>95</v>
      </c>
      <c r="AZ523" t="s">
        <v>95</v>
      </c>
      <c r="BA523" t="s">
        <v>93</v>
      </c>
      <c r="BB523" t="s">
        <v>93</v>
      </c>
      <c r="BC523" t="s">
        <v>93</v>
      </c>
      <c r="BD523" t="s">
        <v>93</v>
      </c>
      <c r="BE523" t="s">
        <v>93</v>
      </c>
      <c r="BF523" t="s">
        <v>95</v>
      </c>
      <c r="BG523" t="s">
        <v>95</v>
      </c>
      <c r="BH523" t="s">
        <v>95</v>
      </c>
    </row>
    <row r="524" spans="1:60" x14ac:dyDescent="0.3">
      <c r="A524">
        <v>23</v>
      </c>
      <c r="B524" t="s">
        <v>70</v>
      </c>
      <c r="C524" t="s">
        <v>113</v>
      </c>
      <c r="D524" t="s">
        <v>149</v>
      </c>
      <c r="E524" t="s">
        <v>108</v>
      </c>
      <c r="F524" t="s">
        <v>74</v>
      </c>
      <c r="G524" t="s">
        <v>135</v>
      </c>
      <c r="H524" t="s">
        <v>136</v>
      </c>
      <c r="I524" t="s">
        <v>76</v>
      </c>
      <c r="J524" t="s">
        <v>77</v>
      </c>
      <c r="K524" t="s">
        <v>122</v>
      </c>
      <c r="L524" t="s">
        <v>82</v>
      </c>
      <c r="M524" t="s">
        <v>80</v>
      </c>
      <c r="N524" t="s">
        <v>79</v>
      </c>
      <c r="O524" t="s">
        <v>133</v>
      </c>
      <c r="P524" t="s">
        <v>82</v>
      </c>
      <c r="Q524" t="s">
        <v>83</v>
      </c>
      <c r="R524" t="s">
        <v>82</v>
      </c>
      <c r="S524" t="s">
        <v>84</v>
      </c>
      <c r="T524" t="s">
        <v>205</v>
      </c>
      <c r="U524" t="s">
        <v>82</v>
      </c>
      <c r="V524" t="s">
        <v>106</v>
      </c>
      <c r="W524" t="s">
        <v>141</v>
      </c>
      <c r="Y524" t="s">
        <v>92</v>
      </c>
      <c r="Z524" t="s">
        <v>93</v>
      </c>
      <c r="AA524" t="s">
        <v>93</v>
      </c>
      <c r="AB524" t="s">
        <v>93</v>
      </c>
      <c r="AC524" t="s">
        <v>95</v>
      </c>
      <c r="AD524" t="s">
        <v>94</v>
      </c>
      <c r="AE524" t="s">
        <v>95</v>
      </c>
      <c r="AF524" t="s">
        <v>93</v>
      </c>
      <c r="AG524" t="s">
        <v>93</v>
      </c>
      <c r="AH524" t="s">
        <v>93</v>
      </c>
      <c r="AI524" t="s">
        <v>93</v>
      </c>
      <c r="AJ524" t="s">
        <v>93</v>
      </c>
      <c r="AK524" t="s">
        <v>93</v>
      </c>
      <c r="AL524" t="s">
        <v>95</v>
      </c>
      <c r="AM524" t="s">
        <v>95</v>
      </c>
      <c r="AN524" t="s">
        <v>93</v>
      </c>
      <c r="AO524" t="s">
        <v>93</v>
      </c>
      <c r="AP524" t="s">
        <v>93</v>
      </c>
      <c r="AQ524" t="s">
        <v>95</v>
      </c>
      <c r="AR524" t="s">
        <v>95</v>
      </c>
      <c r="AS524" t="s">
        <v>95</v>
      </c>
      <c r="AT524" t="s">
        <v>95</v>
      </c>
      <c r="AU524" t="s">
        <v>92</v>
      </c>
      <c r="AV524" t="s">
        <v>92</v>
      </c>
      <c r="AW524" t="s">
        <v>92</v>
      </c>
      <c r="AX524" t="s">
        <v>94</v>
      </c>
      <c r="AY524" t="s">
        <v>94</v>
      </c>
      <c r="AZ524" t="s">
        <v>95</v>
      </c>
    </row>
    <row r="525" spans="1:60" x14ac:dyDescent="0.3">
      <c r="A525">
        <v>21</v>
      </c>
      <c r="B525" t="s">
        <v>70</v>
      </c>
      <c r="C525" t="s">
        <v>113</v>
      </c>
      <c r="D525" t="s">
        <v>72</v>
      </c>
      <c r="E525" t="s">
        <v>108</v>
      </c>
      <c r="F525" t="s">
        <v>74</v>
      </c>
      <c r="G525" t="s">
        <v>75</v>
      </c>
      <c r="H525" t="s">
        <v>74</v>
      </c>
      <c r="I525" t="s">
        <v>76</v>
      </c>
      <c r="J525" t="s">
        <v>77</v>
      </c>
      <c r="K525" t="s">
        <v>125</v>
      </c>
      <c r="L525" t="s">
        <v>82</v>
      </c>
      <c r="M525" t="s">
        <v>80</v>
      </c>
      <c r="N525" t="s">
        <v>79</v>
      </c>
      <c r="O525" t="s">
        <v>81</v>
      </c>
      <c r="P525" t="s">
        <v>82</v>
      </c>
      <c r="Q525" t="s">
        <v>83</v>
      </c>
      <c r="R525" t="s">
        <v>82</v>
      </c>
      <c r="S525" t="s">
        <v>84</v>
      </c>
      <c r="T525" t="s">
        <v>159</v>
      </c>
      <c r="U525" t="s">
        <v>82</v>
      </c>
      <c r="V525" t="s">
        <v>106</v>
      </c>
      <c r="W525" t="s">
        <v>87</v>
      </c>
      <c r="X525" t="s">
        <v>112</v>
      </c>
      <c r="Y525" t="s">
        <v>94</v>
      </c>
      <c r="Z525" t="s">
        <v>94</v>
      </c>
      <c r="AA525" t="s">
        <v>93</v>
      </c>
      <c r="AB525" t="s">
        <v>93</v>
      </c>
      <c r="AC525" t="s">
        <v>94</v>
      </c>
      <c r="AD525" t="s">
        <v>94</v>
      </c>
      <c r="AE525" t="s">
        <v>94</v>
      </c>
      <c r="AF525" t="s">
        <v>95</v>
      </c>
      <c r="AG525" t="s">
        <v>95</v>
      </c>
      <c r="AH525" t="s">
        <v>95</v>
      </c>
      <c r="AI525" t="s">
        <v>93</v>
      </c>
      <c r="AJ525" t="s">
        <v>93</v>
      </c>
      <c r="AK525" t="s">
        <v>93</v>
      </c>
      <c r="AL525" t="s">
        <v>95</v>
      </c>
      <c r="AM525" t="s">
        <v>95</v>
      </c>
      <c r="AN525" t="s">
        <v>93</v>
      </c>
      <c r="AO525" t="s">
        <v>93</v>
      </c>
      <c r="AP525" t="s">
        <v>93</v>
      </c>
      <c r="AQ525" t="s">
        <v>95</v>
      </c>
      <c r="AR525" t="s">
        <v>95</v>
      </c>
      <c r="AS525" t="s">
        <v>95</v>
      </c>
      <c r="AT525" t="s">
        <v>95</v>
      </c>
      <c r="AU525" t="s">
        <v>92</v>
      </c>
      <c r="AV525" t="s">
        <v>94</v>
      </c>
      <c r="AW525" t="s">
        <v>93</v>
      </c>
      <c r="AX525" t="s">
        <v>94</v>
      </c>
      <c r="AY525" t="s">
        <v>94</v>
      </c>
      <c r="AZ525" t="s">
        <v>95</v>
      </c>
    </row>
    <row r="526" spans="1:60" x14ac:dyDescent="0.3">
      <c r="A526">
        <v>22</v>
      </c>
      <c r="B526" t="s">
        <v>70</v>
      </c>
      <c r="C526" t="s">
        <v>113</v>
      </c>
      <c r="D526" t="s">
        <v>97</v>
      </c>
      <c r="E526" t="s">
        <v>108</v>
      </c>
      <c r="F526" t="s">
        <v>74</v>
      </c>
      <c r="G526" t="s">
        <v>75</v>
      </c>
      <c r="H526" t="s">
        <v>74</v>
      </c>
      <c r="I526" t="s">
        <v>115</v>
      </c>
      <c r="J526" t="s">
        <v>77</v>
      </c>
      <c r="K526" t="s">
        <v>122</v>
      </c>
      <c r="L526" t="s">
        <v>79</v>
      </c>
      <c r="M526" t="s">
        <v>80</v>
      </c>
      <c r="N526" t="s">
        <v>79</v>
      </c>
      <c r="O526" t="s">
        <v>117</v>
      </c>
      <c r="P526" t="s">
        <v>79</v>
      </c>
      <c r="Q526" t="s">
        <v>83</v>
      </c>
      <c r="R526" t="s">
        <v>79</v>
      </c>
      <c r="S526" t="s">
        <v>84</v>
      </c>
      <c r="T526" t="s">
        <v>119</v>
      </c>
      <c r="U526" t="s">
        <v>79</v>
      </c>
      <c r="V526" t="s">
        <v>106</v>
      </c>
      <c r="W526" t="s">
        <v>120</v>
      </c>
      <c r="X526" t="s">
        <v>112</v>
      </c>
      <c r="Y526" t="s">
        <v>92</v>
      </c>
      <c r="Z526" t="s">
        <v>92</v>
      </c>
      <c r="AA526" t="s">
        <v>92</v>
      </c>
      <c r="AB526" t="s">
        <v>92</v>
      </c>
      <c r="AC526" t="s">
        <v>92</v>
      </c>
      <c r="AD526" t="s">
        <v>92</v>
      </c>
      <c r="AE526" t="s">
        <v>92</v>
      </c>
      <c r="AF526" t="s">
        <v>92</v>
      </c>
      <c r="AG526" t="s">
        <v>92</v>
      </c>
      <c r="AH526" t="s">
        <v>92</v>
      </c>
      <c r="AI526" t="s">
        <v>92</v>
      </c>
      <c r="AJ526" t="s">
        <v>92</v>
      </c>
      <c r="AK526" t="s">
        <v>92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92</v>
      </c>
      <c r="AS526" t="s">
        <v>92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92</v>
      </c>
      <c r="BA526" t="s">
        <v>92</v>
      </c>
      <c r="BB526" t="s">
        <v>92</v>
      </c>
      <c r="BC526" t="s">
        <v>92</v>
      </c>
      <c r="BD526" t="s">
        <v>92</v>
      </c>
      <c r="BE526" t="s">
        <v>92</v>
      </c>
      <c r="BF526" t="s">
        <v>92</v>
      </c>
      <c r="BG526" t="s">
        <v>92</v>
      </c>
      <c r="BH526" t="s">
        <v>92</v>
      </c>
    </row>
    <row r="527" spans="1:60" x14ac:dyDescent="0.3">
      <c r="A527">
        <v>22</v>
      </c>
      <c r="B527" t="s">
        <v>70</v>
      </c>
      <c r="C527" t="s">
        <v>113</v>
      </c>
      <c r="D527" t="s">
        <v>72</v>
      </c>
      <c r="E527" t="s">
        <v>114</v>
      </c>
      <c r="F527" t="s">
        <v>136</v>
      </c>
      <c r="G527" t="s">
        <v>115</v>
      </c>
      <c r="H527" t="s">
        <v>98</v>
      </c>
      <c r="I527" t="s">
        <v>76</v>
      </c>
      <c r="J527" t="s">
        <v>77</v>
      </c>
      <c r="K527" t="s">
        <v>125</v>
      </c>
      <c r="L527" t="s">
        <v>82</v>
      </c>
      <c r="M527" t="s">
        <v>102</v>
      </c>
      <c r="N527" t="s">
        <v>79</v>
      </c>
      <c r="O527" t="s">
        <v>117</v>
      </c>
      <c r="P527" t="s">
        <v>82</v>
      </c>
      <c r="Q527" t="s">
        <v>83</v>
      </c>
      <c r="R527" t="s">
        <v>79</v>
      </c>
      <c r="S527" t="s">
        <v>126</v>
      </c>
      <c r="T527" t="s">
        <v>124</v>
      </c>
      <c r="U527" t="s">
        <v>82</v>
      </c>
      <c r="V527" t="s">
        <v>86</v>
      </c>
      <c r="W527" t="s">
        <v>87</v>
      </c>
      <c r="X527" t="s">
        <v>112</v>
      </c>
      <c r="Y527" t="s">
        <v>94</v>
      </c>
      <c r="Z527" t="s">
        <v>93</v>
      </c>
      <c r="AA527" t="s">
        <v>93</v>
      </c>
      <c r="AB527" t="s">
        <v>92</v>
      </c>
      <c r="AC527" t="s">
        <v>94</v>
      </c>
      <c r="AD527" t="s">
        <v>94</v>
      </c>
      <c r="AE527" t="s">
        <v>95</v>
      </c>
      <c r="AF527" t="s">
        <v>94</v>
      </c>
      <c r="AG527" t="s">
        <v>94</v>
      </c>
      <c r="AH527" t="s">
        <v>93</v>
      </c>
      <c r="AI527" t="s">
        <v>92</v>
      </c>
      <c r="AJ527" t="s">
        <v>92</v>
      </c>
      <c r="AK527" t="s">
        <v>92</v>
      </c>
      <c r="AL527" t="s">
        <v>94</v>
      </c>
      <c r="AM527" t="s">
        <v>95</v>
      </c>
      <c r="AN527" t="s">
        <v>94</v>
      </c>
      <c r="AO527" t="s">
        <v>92</v>
      </c>
      <c r="AP527" t="s">
        <v>92</v>
      </c>
      <c r="AQ527" t="s">
        <v>95</v>
      </c>
      <c r="AR527" t="s">
        <v>95</v>
      </c>
      <c r="AS527" t="s">
        <v>95</v>
      </c>
      <c r="AT527" t="s">
        <v>95</v>
      </c>
      <c r="AU527" t="s">
        <v>94</v>
      </c>
      <c r="AV527" t="s">
        <v>94</v>
      </c>
      <c r="AW527" t="s">
        <v>94</v>
      </c>
      <c r="AX527" t="s">
        <v>94</v>
      </c>
      <c r="AY527" t="s">
        <v>95</v>
      </c>
      <c r="AZ527" t="s">
        <v>95</v>
      </c>
      <c r="BA527" t="s">
        <v>93</v>
      </c>
      <c r="BB527" t="s">
        <v>94</v>
      </c>
      <c r="BC527" t="s">
        <v>94</v>
      </c>
      <c r="BD527" t="s">
        <v>93</v>
      </c>
      <c r="BE527" t="s">
        <v>93</v>
      </c>
      <c r="BF527" t="s">
        <v>94</v>
      </c>
      <c r="BG527" t="s">
        <v>94</v>
      </c>
      <c r="BH527" t="s">
        <v>94</v>
      </c>
    </row>
    <row r="528" spans="1:60" x14ac:dyDescent="0.3">
      <c r="A528">
        <v>21</v>
      </c>
      <c r="B528" t="s">
        <v>128</v>
      </c>
      <c r="C528" t="s">
        <v>157</v>
      </c>
      <c r="D528" t="s">
        <v>72</v>
      </c>
      <c r="E528" t="s">
        <v>108</v>
      </c>
      <c r="F528" t="s">
        <v>74</v>
      </c>
      <c r="G528" t="s">
        <v>135</v>
      </c>
      <c r="H528" t="s">
        <v>74</v>
      </c>
      <c r="I528" t="s">
        <v>76</v>
      </c>
      <c r="J528" t="s">
        <v>77</v>
      </c>
      <c r="K528" t="s">
        <v>125</v>
      </c>
      <c r="L528" t="s">
        <v>79</v>
      </c>
      <c r="M528" t="s">
        <v>80</v>
      </c>
      <c r="N528" t="s">
        <v>79</v>
      </c>
      <c r="O528" t="s">
        <v>81</v>
      </c>
      <c r="P528" t="s">
        <v>79</v>
      </c>
      <c r="Q528" t="s">
        <v>103</v>
      </c>
      <c r="R528" t="s">
        <v>79</v>
      </c>
      <c r="S528" t="s">
        <v>84</v>
      </c>
      <c r="T528" t="s">
        <v>119</v>
      </c>
      <c r="U528" t="s">
        <v>79</v>
      </c>
      <c r="V528" t="s">
        <v>106</v>
      </c>
      <c r="W528" t="s">
        <v>141</v>
      </c>
      <c r="X528" t="s">
        <v>112</v>
      </c>
      <c r="Y528" t="s">
        <v>92</v>
      </c>
      <c r="Z528" t="s">
        <v>93</v>
      </c>
      <c r="AA528" t="s">
        <v>95</v>
      </c>
      <c r="AB528" t="s">
        <v>93</v>
      </c>
      <c r="AC528" t="s">
        <v>93</v>
      </c>
      <c r="AD528" t="s">
        <v>94</v>
      </c>
      <c r="AE528" t="s">
        <v>94</v>
      </c>
      <c r="AF528" t="s">
        <v>93</v>
      </c>
      <c r="AG528" t="s">
        <v>93</v>
      </c>
      <c r="AH528" t="s">
        <v>94</v>
      </c>
      <c r="AI528" t="s">
        <v>93</v>
      </c>
      <c r="AJ528" t="s">
        <v>93</v>
      </c>
      <c r="AK528" t="s">
        <v>93</v>
      </c>
      <c r="AL528" t="s">
        <v>94</v>
      </c>
      <c r="AM528" t="s">
        <v>94</v>
      </c>
      <c r="AN528" t="s">
        <v>93</v>
      </c>
      <c r="AO528" t="s">
        <v>93</v>
      </c>
      <c r="AP528" t="s">
        <v>93</v>
      </c>
      <c r="AQ528" t="s">
        <v>94</v>
      </c>
      <c r="AR528" t="s">
        <v>95</v>
      </c>
      <c r="AS528" t="s">
        <v>95</v>
      </c>
      <c r="AT528" t="s">
        <v>95</v>
      </c>
      <c r="AU528" t="s">
        <v>94</v>
      </c>
      <c r="AV528" t="s">
        <v>92</v>
      </c>
      <c r="AW528" t="s">
        <v>94</v>
      </c>
      <c r="AX528" t="s">
        <v>92</v>
      </c>
      <c r="AY528" t="s">
        <v>95</v>
      </c>
      <c r="AZ528" t="s">
        <v>95</v>
      </c>
      <c r="BA528" t="s">
        <v>92</v>
      </c>
      <c r="BB528" t="s">
        <v>92</v>
      </c>
      <c r="BC528" t="s">
        <v>92</v>
      </c>
      <c r="BD528" t="s">
        <v>93</v>
      </c>
      <c r="BE528" t="s">
        <v>93</v>
      </c>
      <c r="BF528" t="s">
        <v>95</v>
      </c>
      <c r="BG528" t="s">
        <v>92</v>
      </c>
      <c r="BH528" t="s">
        <v>95</v>
      </c>
    </row>
    <row r="529" spans="1:60" x14ac:dyDescent="0.3">
      <c r="A529">
        <v>19</v>
      </c>
      <c r="B529" t="s">
        <v>70</v>
      </c>
      <c r="C529" t="s">
        <v>157</v>
      </c>
      <c r="D529" t="s">
        <v>97</v>
      </c>
      <c r="E529" t="s">
        <v>114</v>
      </c>
      <c r="F529" t="s">
        <v>100</v>
      </c>
      <c r="G529" t="s">
        <v>146</v>
      </c>
      <c r="H529" t="s">
        <v>100</v>
      </c>
      <c r="I529" t="s">
        <v>76</v>
      </c>
      <c r="J529" t="s">
        <v>77</v>
      </c>
      <c r="K529" t="s">
        <v>125</v>
      </c>
      <c r="L529" t="s">
        <v>79</v>
      </c>
      <c r="M529" t="s">
        <v>80</v>
      </c>
      <c r="N529" t="s">
        <v>79</v>
      </c>
      <c r="O529" t="s">
        <v>109</v>
      </c>
      <c r="P529" t="s">
        <v>82</v>
      </c>
      <c r="Q529" t="s">
        <v>83</v>
      </c>
      <c r="R529" t="s">
        <v>82</v>
      </c>
      <c r="S529" t="s">
        <v>84</v>
      </c>
      <c r="T529" t="s">
        <v>85</v>
      </c>
      <c r="U529" t="s">
        <v>82</v>
      </c>
      <c r="V529" t="s">
        <v>106</v>
      </c>
      <c r="W529" t="s">
        <v>87</v>
      </c>
      <c r="X529" t="s">
        <v>112</v>
      </c>
      <c r="Y529" t="s">
        <v>93</v>
      </c>
      <c r="Z529" t="s">
        <v>92</v>
      </c>
      <c r="AA529" t="s">
        <v>92</v>
      </c>
      <c r="AB529" t="s">
        <v>93</v>
      </c>
      <c r="AC529" t="s">
        <v>92</v>
      </c>
      <c r="AD529" t="s">
        <v>93</v>
      </c>
      <c r="AE529" t="s">
        <v>92</v>
      </c>
      <c r="AF529" t="s">
        <v>93</v>
      </c>
      <c r="AG529" t="s">
        <v>92</v>
      </c>
      <c r="AH529" t="s">
        <v>92</v>
      </c>
      <c r="AI529" t="s">
        <v>92</v>
      </c>
      <c r="AJ529" t="s">
        <v>92</v>
      </c>
      <c r="AK529" t="s">
        <v>92</v>
      </c>
      <c r="AL529" t="s">
        <v>92</v>
      </c>
      <c r="AM529" t="s">
        <v>92</v>
      </c>
      <c r="AN529" t="s">
        <v>93</v>
      </c>
      <c r="AO529" t="s">
        <v>92</v>
      </c>
      <c r="AP529" t="s">
        <v>93</v>
      </c>
      <c r="AQ529" t="s">
        <v>93</v>
      </c>
      <c r="AR529" t="s">
        <v>93</v>
      </c>
      <c r="AS529" t="s">
        <v>93</v>
      </c>
      <c r="AT529" t="s">
        <v>92</v>
      </c>
      <c r="AU529" t="s">
        <v>93</v>
      </c>
      <c r="AV529" t="s">
        <v>93</v>
      </c>
      <c r="AW529" t="s">
        <v>93</v>
      </c>
      <c r="AX529" t="s">
        <v>93</v>
      </c>
      <c r="AY529" t="s">
        <v>93</v>
      </c>
      <c r="AZ529" t="s">
        <v>93</v>
      </c>
      <c r="BA529" t="s">
        <v>92</v>
      </c>
      <c r="BB529" t="s">
        <v>93</v>
      </c>
      <c r="BC529" t="s">
        <v>92</v>
      </c>
      <c r="BD529" t="s">
        <v>93</v>
      </c>
      <c r="BE529" t="s">
        <v>92</v>
      </c>
      <c r="BF529" t="s">
        <v>93</v>
      </c>
      <c r="BG529" t="s">
        <v>93</v>
      </c>
      <c r="BH529" t="s">
        <v>93</v>
      </c>
    </row>
    <row r="530" spans="1:60" x14ac:dyDescent="0.3">
      <c r="A530">
        <v>20</v>
      </c>
      <c r="B530" t="s">
        <v>70</v>
      </c>
      <c r="C530" t="s">
        <v>157</v>
      </c>
      <c r="D530" t="s">
        <v>149</v>
      </c>
      <c r="E530" t="s">
        <v>114</v>
      </c>
      <c r="F530" t="s">
        <v>74</v>
      </c>
      <c r="G530" t="s">
        <v>75</v>
      </c>
      <c r="H530" t="s">
        <v>74</v>
      </c>
      <c r="I530" t="s">
        <v>76</v>
      </c>
      <c r="J530" t="s">
        <v>77</v>
      </c>
      <c r="K530" t="s">
        <v>125</v>
      </c>
      <c r="L530" t="s">
        <v>79</v>
      </c>
      <c r="M530" t="s">
        <v>80</v>
      </c>
      <c r="N530" t="s">
        <v>82</v>
      </c>
      <c r="O530" t="s">
        <v>117</v>
      </c>
      <c r="P530" t="s">
        <v>82</v>
      </c>
      <c r="Q530" t="s">
        <v>103</v>
      </c>
      <c r="R530" t="s">
        <v>82</v>
      </c>
      <c r="S530" t="s">
        <v>84</v>
      </c>
      <c r="T530" t="s">
        <v>124</v>
      </c>
      <c r="U530" t="s">
        <v>82</v>
      </c>
      <c r="V530" t="s">
        <v>106</v>
      </c>
      <c r="W530" t="s">
        <v>141</v>
      </c>
      <c r="X530" t="s">
        <v>255</v>
      </c>
      <c r="Y530" t="s">
        <v>92</v>
      </c>
      <c r="Z530" t="s">
        <v>92</v>
      </c>
      <c r="AA530" t="s">
        <v>92</v>
      </c>
      <c r="AB530" t="s">
        <v>92</v>
      </c>
      <c r="AC530" t="s">
        <v>94</v>
      </c>
      <c r="AD530" t="s">
        <v>94</v>
      </c>
      <c r="AE530" t="s">
        <v>94</v>
      </c>
      <c r="AF530" t="s">
        <v>95</v>
      </c>
      <c r="AG530" t="s">
        <v>94</v>
      </c>
      <c r="AH530" t="s">
        <v>94</v>
      </c>
      <c r="AI530" t="s">
        <v>92</v>
      </c>
      <c r="AJ530" t="s">
        <v>94</v>
      </c>
      <c r="AK530" t="s">
        <v>94</v>
      </c>
      <c r="AL530" t="s">
        <v>94</v>
      </c>
      <c r="AM530" t="s">
        <v>94</v>
      </c>
      <c r="AN530" t="s">
        <v>94</v>
      </c>
      <c r="AO530" t="s">
        <v>94</v>
      </c>
      <c r="AP530" t="s">
        <v>94</v>
      </c>
      <c r="AQ530" t="s">
        <v>94</v>
      </c>
      <c r="AR530" t="s">
        <v>94</v>
      </c>
      <c r="AS530" t="s">
        <v>94</v>
      </c>
      <c r="AT530" t="s">
        <v>94</v>
      </c>
      <c r="AU530" t="s">
        <v>94</v>
      </c>
      <c r="AV530" t="s">
        <v>94</v>
      </c>
      <c r="AW530" t="s">
        <v>94</v>
      </c>
      <c r="AX530" t="s">
        <v>94</v>
      </c>
      <c r="AY530" t="s">
        <v>94</v>
      </c>
      <c r="AZ530" t="s">
        <v>94</v>
      </c>
      <c r="BA530" t="s">
        <v>94</v>
      </c>
      <c r="BB530" t="s">
        <v>94</v>
      </c>
      <c r="BC530" t="s">
        <v>94</v>
      </c>
      <c r="BD530" t="s">
        <v>94</v>
      </c>
      <c r="BE530" t="s">
        <v>94</v>
      </c>
      <c r="BF530" t="s">
        <v>94</v>
      </c>
      <c r="BG530" t="s">
        <v>94</v>
      </c>
      <c r="BH530" t="s">
        <v>94</v>
      </c>
    </row>
    <row r="531" spans="1:60" x14ac:dyDescent="0.3">
      <c r="A531">
        <v>20</v>
      </c>
      <c r="B531" t="s">
        <v>70</v>
      </c>
      <c r="C531" t="s">
        <v>157</v>
      </c>
      <c r="D531" t="s">
        <v>149</v>
      </c>
      <c r="E531" t="s">
        <v>114</v>
      </c>
      <c r="F531" t="s">
        <v>74</v>
      </c>
      <c r="G531" t="s">
        <v>135</v>
      </c>
      <c r="H531" t="s">
        <v>74</v>
      </c>
      <c r="I531" t="s">
        <v>115</v>
      </c>
      <c r="J531" t="s">
        <v>77</v>
      </c>
      <c r="K531" t="s">
        <v>125</v>
      </c>
      <c r="L531" t="s">
        <v>79</v>
      </c>
      <c r="M531" t="s">
        <v>80</v>
      </c>
      <c r="N531" t="s">
        <v>82</v>
      </c>
      <c r="O531" t="s">
        <v>117</v>
      </c>
      <c r="P531" t="s">
        <v>82</v>
      </c>
      <c r="Q531" t="s">
        <v>103</v>
      </c>
      <c r="R531" t="s">
        <v>82</v>
      </c>
      <c r="S531" t="s">
        <v>84</v>
      </c>
      <c r="T531" t="s">
        <v>124</v>
      </c>
      <c r="U531" t="s">
        <v>82</v>
      </c>
      <c r="V531" t="s">
        <v>106</v>
      </c>
      <c r="W531" t="s">
        <v>141</v>
      </c>
      <c r="X531" t="s">
        <v>237</v>
      </c>
      <c r="Y531" t="s">
        <v>92</v>
      </c>
      <c r="Z531" t="s">
        <v>92</v>
      </c>
      <c r="AA531" t="s">
        <v>92</v>
      </c>
      <c r="AB531" t="s">
        <v>92</v>
      </c>
      <c r="AC531" t="s">
        <v>94</v>
      </c>
      <c r="AD531" t="s">
        <v>94</v>
      </c>
      <c r="AE531" t="s">
        <v>94</v>
      </c>
      <c r="AF531" t="s">
        <v>95</v>
      </c>
      <c r="AG531" t="s">
        <v>94</v>
      </c>
      <c r="AH531" t="s">
        <v>94</v>
      </c>
      <c r="AI531" t="s">
        <v>92</v>
      </c>
      <c r="AJ531" t="s">
        <v>94</v>
      </c>
      <c r="AK531" t="s">
        <v>94</v>
      </c>
      <c r="AL531" t="s">
        <v>94</v>
      </c>
      <c r="AM531" t="s">
        <v>94</v>
      </c>
      <c r="AN531" t="s">
        <v>94</v>
      </c>
      <c r="AO531" t="s">
        <v>94</v>
      </c>
      <c r="AP531" t="s">
        <v>94</v>
      </c>
      <c r="AQ531" t="s">
        <v>94</v>
      </c>
      <c r="AR531" t="s">
        <v>94</v>
      </c>
      <c r="AS531" t="s">
        <v>94</v>
      </c>
      <c r="AT531" t="s">
        <v>94</v>
      </c>
      <c r="AU531" t="s">
        <v>94</v>
      </c>
      <c r="AV531" t="s">
        <v>94</v>
      </c>
      <c r="AW531" t="s">
        <v>94</v>
      </c>
      <c r="AX531" t="s">
        <v>94</v>
      </c>
      <c r="AY531" t="s">
        <v>94</v>
      </c>
      <c r="AZ531" t="s">
        <v>94</v>
      </c>
      <c r="BA531" t="s">
        <v>94</v>
      </c>
      <c r="BB531" t="s">
        <v>94</v>
      </c>
      <c r="BC531" t="s">
        <v>94</v>
      </c>
      <c r="BD531" t="s">
        <v>94</v>
      </c>
      <c r="BE531" t="s">
        <v>94</v>
      </c>
      <c r="BF531" t="s">
        <v>94</v>
      </c>
      <c r="BG531" t="s">
        <v>94</v>
      </c>
      <c r="BH531" t="s">
        <v>94</v>
      </c>
    </row>
    <row r="532" spans="1:60" x14ac:dyDescent="0.3">
      <c r="A532">
        <v>24</v>
      </c>
      <c r="B532" t="s">
        <v>70</v>
      </c>
      <c r="C532" t="s">
        <v>113</v>
      </c>
      <c r="D532" t="s">
        <v>97</v>
      </c>
      <c r="E532" t="s">
        <v>108</v>
      </c>
      <c r="F532" t="s">
        <v>74</v>
      </c>
      <c r="G532" t="s">
        <v>115</v>
      </c>
      <c r="H532" t="s">
        <v>98</v>
      </c>
      <c r="I532" t="s">
        <v>76</v>
      </c>
      <c r="J532" t="s">
        <v>77</v>
      </c>
      <c r="K532" t="s">
        <v>125</v>
      </c>
      <c r="L532" t="s">
        <v>79</v>
      </c>
      <c r="M532" t="s">
        <v>80</v>
      </c>
      <c r="N532" t="s">
        <v>79</v>
      </c>
      <c r="O532" t="s">
        <v>109</v>
      </c>
      <c r="P532" t="s">
        <v>82</v>
      </c>
      <c r="Q532" t="s">
        <v>103</v>
      </c>
      <c r="R532" t="s">
        <v>82</v>
      </c>
      <c r="S532" t="s">
        <v>142</v>
      </c>
      <c r="T532" t="s">
        <v>159</v>
      </c>
      <c r="U532" t="s">
        <v>82</v>
      </c>
      <c r="V532" t="s">
        <v>106</v>
      </c>
      <c r="W532" t="s">
        <v>87</v>
      </c>
      <c r="X532" t="s">
        <v>112</v>
      </c>
      <c r="Y532" t="s">
        <v>94</v>
      </c>
      <c r="Z532" t="s">
        <v>94</v>
      </c>
      <c r="AA532" t="s">
        <v>95</v>
      </c>
      <c r="AB532" t="s">
        <v>95</v>
      </c>
      <c r="AC532" t="s">
        <v>92</v>
      </c>
      <c r="AD532" t="s">
        <v>92</v>
      </c>
      <c r="AE532" t="s">
        <v>92</v>
      </c>
      <c r="AF532" t="s">
        <v>92</v>
      </c>
      <c r="AG532" t="s">
        <v>94</v>
      </c>
      <c r="AH532" t="s">
        <v>92</v>
      </c>
      <c r="AI532" t="s">
        <v>94</v>
      </c>
      <c r="AJ532" t="s">
        <v>94</v>
      </c>
      <c r="AK532" t="s">
        <v>94</v>
      </c>
      <c r="AL532" t="s">
        <v>94</v>
      </c>
      <c r="AM532" t="s">
        <v>92</v>
      </c>
      <c r="AN532" t="s">
        <v>92</v>
      </c>
      <c r="AO532" t="s">
        <v>93</v>
      </c>
      <c r="AP532" t="s">
        <v>93</v>
      </c>
      <c r="AQ532" t="s">
        <v>94</v>
      </c>
      <c r="AR532" t="s">
        <v>95</v>
      </c>
      <c r="AS532" t="s">
        <v>95</v>
      </c>
      <c r="AT532" t="s">
        <v>95</v>
      </c>
      <c r="AU532" t="s">
        <v>95</v>
      </c>
      <c r="AV532" t="s">
        <v>94</v>
      </c>
      <c r="AW532" t="s">
        <v>95</v>
      </c>
      <c r="AX532" t="s">
        <v>93</v>
      </c>
      <c r="AY532" t="s">
        <v>95</v>
      </c>
      <c r="AZ532" t="s">
        <v>95</v>
      </c>
      <c r="BA532" t="s">
        <v>93</v>
      </c>
      <c r="BB532" t="s">
        <v>93</v>
      </c>
      <c r="BC532" t="s">
        <v>93</v>
      </c>
      <c r="BD532" t="s">
        <v>93</v>
      </c>
      <c r="BE532" t="s">
        <v>93</v>
      </c>
      <c r="BF532" t="s">
        <v>95</v>
      </c>
      <c r="BG532" t="s">
        <v>92</v>
      </c>
      <c r="BH532" t="s">
        <v>95</v>
      </c>
    </row>
    <row r="533" spans="1:60" x14ac:dyDescent="0.3">
      <c r="A533">
        <v>22</v>
      </c>
      <c r="B533" t="s">
        <v>70</v>
      </c>
      <c r="C533" t="s">
        <v>113</v>
      </c>
      <c r="D533" t="s">
        <v>72</v>
      </c>
      <c r="E533" t="s">
        <v>114</v>
      </c>
      <c r="F533" t="s">
        <v>74</v>
      </c>
      <c r="G533" t="s">
        <v>99</v>
      </c>
      <c r="H533" t="s">
        <v>136</v>
      </c>
      <c r="I533" t="s">
        <v>76</v>
      </c>
      <c r="J533" t="s">
        <v>77</v>
      </c>
      <c r="K533" t="s">
        <v>125</v>
      </c>
      <c r="L533" t="s">
        <v>79</v>
      </c>
      <c r="M533" t="s">
        <v>80</v>
      </c>
      <c r="N533" t="s">
        <v>79</v>
      </c>
      <c r="O533" t="s">
        <v>133</v>
      </c>
      <c r="P533" t="s">
        <v>82</v>
      </c>
      <c r="Q533" t="s">
        <v>83</v>
      </c>
      <c r="R533" t="s">
        <v>82</v>
      </c>
      <c r="S533" t="s">
        <v>84</v>
      </c>
      <c r="T533" t="s">
        <v>85</v>
      </c>
      <c r="U533" t="s">
        <v>82</v>
      </c>
      <c r="V533" t="s">
        <v>106</v>
      </c>
      <c r="W533" t="s">
        <v>141</v>
      </c>
      <c r="X533" t="s">
        <v>112</v>
      </c>
      <c r="Y533" t="s">
        <v>94</v>
      </c>
      <c r="Z533" t="s">
        <v>94</v>
      </c>
      <c r="AA533" t="s">
        <v>94</v>
      </c>
      <c r="AB533" t="s">
        <v>95</v>
      </c>
      <c r="AC533" t="s">
        <v>92</v>
      </c>
      <c r="AD533" t="s">
        <v>94</v>
      </c>
      <c r="AE533" t="s">
        <v>95</v>
      </c>
      <c r="AF533" t="s">
        <v>94</v>
      </c>
      <c r="AG533" t="s">
        <v>92</v>
      </c>
      <c r="AH533" t="s">
        <v>94</v>
      </c>
      <c r="AI533" t="s">
        <v>94</v>
      </c>
      <c r="AJ533" t="s">
        <v>92</v>
      </c>
      <c r="AK533" t="s">
        <v>94</v>
      </c>
      <c r="AL533" t="s">
        <v>95</v>
      </c>
      <c r="AM533" t="s">
        <v>94</v>
      </c>
      <c r="AN533" t="s">
        <v>95</v>
      </c>
      <c r="AO533" t="s">
        <v>95</v>
      </c>
      <c r="AP533" t="s">
        <v>92</v>
      </c>
      <c r="AQ533" t="s">
        <v>94</v>
      </c>
      <c r="AR533" t="s">
        <v>94</v>
      </c>
      <c r="AS533" t="s">
        <v>92</v>
      </c>
      <c r="AT533" t="s">
        <v>95</v>
      </c>
      <c r="AU533" t="s">
        <v>92</v>
      </c>
      <c r="AV533" t="s">
        <v>94</v>
      </c>
      <c r="AW533" t="s">
        <v>92</v>
      </c>
      <c r="AX533" t="s">
        <v>93</v>
      </c>
      <c r="AY533" t="s">
        <v>94</v>
      </c>
      <c r="AZ533" t="s">
        <v>92</v>
      </c>
      <c r="BA533" t="s">
        <v>95</v>
      </c>
      <c r="BB533" t="s">
        <v>94</v>
      </c>
      <c r="BC533" t="s">
        <v>95</v>
      </c>
      <c r="BD533" t="s">
        <v>92</v>
      </c>
      <c r="BE533" t="s">
        <v>93</v>
      </c>
      <c r="BF533" t="s">
        <v>94</v>
      </c>
      <c r="BG533" t="s">
        <v>94</v>
      </c>
      <c r="BH533" t="s">
        <v>92</v>
      </c>
    </row>
    <row r="534" spans="1:60" x14ac:dyDescent="0.3">
      <c r="A534">
        <v>21</v>
      </c>
      <c r="B534" t="s">
        <v>70</v>
      </c>
      <c r="C534" t="s">
        <v>113</v>
      </c>
      <c r="D534" t="s">
        <v>72</v>
      </c>
      <c r="E534" t="s">
        <v>108</v>
      </c>
      <c r="F534" t="s">
        <v>74</v>
      </c>
      <c r="G534" t="s">
        <v>135</v>
      </c>
      <c r="H534" t="s">
        <v>98</v>
      </c>
      <c r="I534" t="s">
        <v>76</v>
      </c>
      <c r="J534" t="s">
        <v>101</v>
      </c>
      <c r="K534" t="s">
        <v>125</v>
      </c>
      <c r="L534" t="s">
        <v>82</v>
      </c>
      <c r="M534" t="s">
        <v>132</v>
      </c>
      <c r="N534" t="s">
        <v>79</v>
      </c>
      <c r="O534" t="s">
        <v>133</v>
      </c>
      <c r="P534" t="s">
        <v>79</v>
      </c>
      <c r="Q534" t="s">
        <v>83</v>
      </c>
      <c r="R534" t="s">
        <v>82</v>
      </c>
      <c r="S534" t="s">
        <v>84</v>
      </c>
      <c r="T534" t="s">
        <v>159</v>
      </c>
      <c r="U534" t="s">
        <v>82</v>
      </c>
      <c r="V534" t="s">
        <v>106</v>
      </c>
      <c r="W534" t="s">
        <v>120</v>
      </c>
      <c r="X534" t="s">
        <v>88</v>
      </c>
      <c r="Y534" t="s">
        <v>94</v>
      </c>
      <c r="Z534" t="s">
        <v>95</v>
      </c>
      <c r="AA534" t="s">
        <v>94</v>
      </c>
      <c r="AB534" t="s">
        <v>95</v>
      </c>
      <c r="AC534" t="s">
        <v>92</v>
      </c>
      <c r="AD534" t="s">
        <v>92</v>
      </c>
      <c r="AE534" t="s">
        <v>92</v>
      </c>
      <c r="AF534" t="s">
        <v>95</v>
      </c>
      <c r="AG534" t="s">
        <v>95</v>
      </c>
      <c r="AH534" t="s">
        <v>92</v>
      </c>
      <c r="AI534" t="s">
        <v>95</v>
      </c>
      <c r="AJ534" t="s">
        <v>94</v>
      </c>
      <c r="AK534" t="s">
        <v>95</v>
      </c>
      <c r="AL534" t="s">
        <v>94</v>
      </c>
      <c r="AM534" t="s">
        <v>92</v>
      </c>
      <c r="AN534" t="s">
        <v>95</v>
      </c>
      <c r="AO534" t="s">
        <v>94</v>
      </c>
      <c r="AP534" t="s">
        <v>95</v>
      </c>
      <c r="AQ534" t="s">
        <v>95</v>
      </c>
      <c r="AR534" t="s">
        <v>95</v>
      </c>
      <c r="AS534" t="s">
        <v>95</v>
      </c>
      <c r="AT534" t="s">
        <v>94</v>
      </c>
      <c r="AU534" t="s">
        <v>95</v>
      </c>
      <c r="AV534" t="s">
        <v>95</v>
      </c>
      <c r="AW534" t="s">
        <v>95</v>
      </c>
      <c r="AX534" t="s">
        <v>93</v>
      </c>
      <c r="AY534" t="s">
        <v>93</v>
      </c>
      <c r="AZ534" t="s">
        <v>93</v>
      </c>
      <c r="BA534" t="s">
        <v>93</v>
      </c>
      <c r="BB534" t="s">
        <v>95</v>
      </c>
      <c r="BC534" t="s">
        <v>93</v>
      </c>
      <c r="BD534" t="s">
        <v>93</v>
      </c>
      <c r="BE534" t="s">
        <v>94</v>
      </c>
      <c r="BF534" t="s">
        <v>95</v>
      </c>
      <c r="BG534" t="s">
        <v>95</v>
      </c>
      <c r="BH534" t="s">
        <v>93</v>
      </c>
    </row>
    <row r="535" spans="1:60" x14ac:dyDescent="0.3">
      <c r="A535">
        <v>23</v>
      </c>
      <c r="B535" t="s">
        <v>70</v>
      </c>
      <c r="C535" t="s">
        <v>71</v>
      </c>
      <c r="D535" t="s">
        <v>72</v>
      </c>
      <c r="E535" t="s">
        <v>108</v>
      </c>
      <c r="F535" t="s">
        <v>74</v>
      </c>
      <c r="G535" t="s">
        <v>115</v>
      </c>
      <c r="H535" t="s">
        <v>74</v>
      </c>
      <c r="I535" t="s">
        <v>76</v>
      </c>
      <c r="J535" t="s">
        <v>77</v>
      </c>
      <c r="K535" t="s">
        <v>122</v>
      </c>
      <c r="L535" t="s">
        <v>79</v>
      </c>
      <c r="M535" t="s">
        <v>80</v>
      </c>
      <c r="N535" t="s">
        <v>79</v>
      </c>
      <c r="O535" t="s">
        <v>117</v>
      </c>
      <c r="P535" t="s">
        <v>82</v>
      </c>
      <c r="Q535" t="s">
        <v>83</v>
      </c>
      <c r="R535" t="s">
        <v>79</v>
      </c>
      <c r="S535" t="s">
        <v>84</v>
      </c>
      <c r="T535" t="s">
        <v>152</v>
      </c>
      <c r="U535" t="s">
        <v>82</v>
      </c>
      <c r="V535" t="s">
        <v>86</v>
      </c>
      <c r="W535" t="s">
        <v>87</v>
      </c>
      <c r="X535" t="s">
        <v>112</v>
      </c>
      <c r="Y535" t="s">
        <v>92</v>
      </c>
      <c r="Z535" t="s">
        <v>94</v>
      </c>
      <c r="AA535" t="s">
        <v>92</v>
      </c>
      <c r="AB535" t="s">
        <v>92</v>
      </c>
      <c r="AC535" t="s">
        <v>94</v>
      </c>
      <c r="AD535" t="s">
        <v>92</v>
      </c>
      <c r="AE535" t="s">
        <v>94</v>
      </c>
      <c r="AF535" t="s">
        <v>94</v>
      </c>
      <c r="AG535" t="s">
        <v>92</v>
      </c>
      <c r="AH535" t="s">
        <v>92</v>
      </c>
      <c r="AI535" t="s">
        <v>92</v>
      </c>
      <c r="AJ535" t="s">
        <v>92</v>
      </c>
      <c r="AK535" t="s">
        <v>92</v>
      </c>
      <c r="AL535" t="s">
        <v>94</v>
      </c>
      <c r="AM535" t="s">
        <v>94</v>
      </c>
      <c r="AN535" t="s">
        <v>92</v>
      </c>
      <c r="AO535" t="s">
        <v>92</v>
      </c>
      <c r="AP535" t="s">
        <v>95</v>
      </c>
      <c r="AQ535" t="s">
        <v>92</v>
      </c>
      <c r="AR535" t="s">
        <v>95</v>
      </c>
      <c r="AS535" t="s">
        <v>95</v>
      </c>
      <c r="AT535" t="s">
        <v>95</v>
      </c>
      <c r="AU535" t="s">
        <v>94</v>
      </c>
      <c r="AV535" t="s">
        <v>94</v>
      </c>
      <c r="AW535" t="s">
        <v>94</v>
      </c>
      <c r="AX535" t="s">
        <v>94</v>
      </c>
      <c r="AY535" t="s">
        <v>95</v>
      </c>
      <c r="AZ535" t="s">
        <v>95</v>
      </c>
    </row>
    <row r="536" spans="1:60" x14ac:dyDescent="0.3">
      <c r="A536" t="s">
        <v>268</v>
      </c>
      <c r="B536" t="s">
        <v>70</v>
      </c>
      <c r="C536" t="s">
        <v>113</v>
      </c>
      <c r="D536" t="s">
        <v>72</v>
      </c>
      <c r="E536" t="s">
        <v>108</v>
      </c>
      <c r="F536" t="s">
        <v>74</v>
      </c>
      <c r="G536" t="s">
        <v>75</v>
      </c>
      <c r="H536" t="s">
        <v>136</v>
      </c>
      <c r="I536" t="s">
        <v>76</v>
      </c>
      <c r="J536" t="s">
        <v>77</v>
      </c>
      <c r="K536" t="s">
        <v>125</v>
      </c>
      <c r="L536" t="s">
        <v>79</v>
      </c>
      <c r="M536" t="s">
        <v>80</v>
      </c>
      <c r="N536" t="s">
        <v>79</v>
      </c>
      <c r="O536" t="s">
        <v>117</v>
      </c>
      <c r="P536" t="s">
        <v>79</v>
      </c>
      <c r="Q536" t="s">
        <v>83</v>
      </c>
      <c r="R536" t="s">
        <v>79</v>
      </c>
      <c r="S536" t="s">
        <v>154</v>
      </c>
      <c r="T536" t="s">
        <v>119</v>
      </c>
      <c r="U536" t="s">
        <v>79</v>
      </c>
      <c r="V536" t="s">
        <v>106</v>
      </c>
      <c r="W536" t="s">
        <v>141</v>
      </c>
      <c r="X536" t="s">
        <v>112</v>
      </c>
      <c r="Y536" t="s">
        <v>94</v>
      </c>
      <c r="Z536" t="s">
        <v>94</v>
      </c>
      <c r="AA536" t="s">
        <v>95</v>
      </c>
      <c r="AB536" t="s">
        <v>92</v>
      </c>
      <c r="AC536" t="s">
        <v>95</v>
      </c>
      <c r="AD536" t="s">
        <v>94</v>
      </c>
      <c r="AE536" t="s">
        <v>94</v>
      </c>
      <c r="AF536" t="s">
        <v>92</v>
      </c>
      <c r="AG536" t="s">
        <v>95</v>
      </c>
      <c r="AH536" t="s">
        <v>95</v>
      </c>
      <c r="AI536" t="s">
        <v>95</v>
      </c>
      <c r="AJ536" t="s">
        <v>92</v>
      </c>
      <c r="AK536" t="s">
        <v>95</v>
      </c>
      <c r="AL536" t="s">
        <v>92</v>
      </c>
      <c r="AM536" t="s">
        <v>95</v>
      </c>
      <c r="AN536" t="s">
        <v>94</v>
      </c>
      <c r="AO536" t="s">
        <v>92</v>
      </c>
      <c r="AP536" t="s">
        <v>94</v>
      </c>
      <c r="AQ536" t="s">
        <v>93</v>
      </c>
      <c r="AR536" t="s">
        <v>94</v>
      </c>
      <c r="AS536" t="s">
        <v>93</v>
      </c>
      <c r="AT536" t="s">
        <v>95</v>
      </c>
      <c r="AU536" t="s">
        <v>92</v>
      </c>
      <c r="AV536" t="s">
        <v>95</v>
      </c>
      <c r="AW536" t="s">
        <v>95</v>
      </c>
      <c r="AX536" t="s">
        <v>92</v>
      </c>
      <c r="AY536" t="s">
        <v>94</v>
      </c>
      <c r="AZ536" t="s">
        <v>94</v>
      </c>
      <c r="BB536" t="s">
        <v>94</v>
      </c>
      <c r="BC536" t="s">
        <v>92</v>
      </c>
      <c r="BE536" t="s">
        <v>95</v>
      </c>
      <c r="BF536" t="s">
        <v>92</v>
      </c>
      <c r="BH536" t="s">
        <v>95</v>
      </c>
    </row>
    <row r="537" spans="1:60" x14ac:dyDescent="0.3">
      <c r="A537">
        <v>23</v>
      </c>
      <c r="B537" t="s">
        <v>70</v>
      </c>
      <c r="C537" t="s">
        <v>113</v>
      </c>
      <c r="D537" t="s">
        <v>72</v>
      </c>
      <c r="E537" t="s">
        <v>114</v>
      </c>
      <c r="F537" t="s">
        <v>74</v>
      </c>
      <c r="G537" t="s">
        <v>75</v>
      </c>
      <c r="H537" t="s">
        <v>74</v>
      </c>
      <c r="I537" t="s">
        <v>76</v>
      </c>
      <c r="J537" t="s">
        <v>77</v>
      </c>
      <c r="K537" t="s">
        <v>125</v>
      </c>
      <c r="L537" t="s">
        <v>79</v>
      </c>
      <c r="M537" t="s">
        <v>80</v>
      </c>
      <c r="N537" t="s">
        <v>79</v>
      </c>
      <c r="O537" t="s">
        <v>81</v>
      </c>
      <c r="P537" t="s">
        <v>82</v>
      </c>
      <c r="Q537" t="s">
        <v>103</v>
      </c>
      <c r="R537" t="s">
        <v>79</v>
      </c>
      <c r="S537" t="s">
        <v>84</v>
      </c>
      <c r="T537" t="s">
        <v>164</v>
      </c>
      <c r="U537" t="s">
        <v>82</v>
      </c>
      <c r="V537" t="s">
        <v>106</v>
      </c>
      <c r="W537" t="s">
        <v>87</v>
      </c>
      <c r="X537" t="s">
        <v>112</v>
      </c>
      <c r="Y537" t="s">
        <v>93</v>
      </c>
      <c r="Z537" t="s">
        <v>93</v>
      </c>
      <c r="AA537" t="s">
        <v>93</v>
      </c>
      <c r="AB537" t="s">
        <v>93</v>
      </c>
      <c r="AC537" t="s">
        <v>94</v>
      </c>
      <c r="AD537" t="s">
        <v>94</v>
      </c>
      <c r="AE537" t="s">
        <v>95</v>
      </c>
      <c r="AF537" t="s">
        <v>93</v>
      </c>
      <c r="AG537" t="s">
        <v>93</v>
      </c>
      <c r="AH537" t="s">
        <v>95</v>
      </c>
      <c r="AI537" t="s">
        <v>93</v>
      </c>
      <c r="AJ537" t="s">
        <v>94</v>
      </c>
      <c r="AK537" t="s">
        <v>92</v>
      </c>
      <c r="AL537" t="s">
        <v>95</v>
      </c>
      <c r="AM537" t="s">
        <v>95</v>
      </c>
      <c r="AN537" t="s">
        <v>93</v>
      </c>
      <c r="AO537" t="s">
        <v>93</v>
      </c>
      <c r="AP537" t="s">
        <v>93</v>
      </c>
      <c r="AQ537" t="s">
        <v>95</v>
      </c>
      <c r="AR537" t="s">
        <v>95</v>
      </c>
      <c r="AS537" t="s">
        <v>95</v>
      </c>
      <c r="AT537" t="s">
        <v>95</v>
      </c>
      <c r="AU537" t="s">
        <v>93</v>
      </c>
      <c r="AV537" t="s">
        <v>93</v>
      </c>
      <c r="AW537" t="s">
        <v>93</v>
      </c>
      <c r="AX537" t="s">
        <v>95</v>
      </c>
      <c r="AY537" t="s">
        <v>95</v>
      </c>
      <c r="AZ537" t="s">
        <v>95</v>
      </c>
      <c r="BA537" t="s">
        <v>93</v>
      </c>
      <c r="BB537" t="s">
        <v>93</v>
      </c>
      <c r="BC537" t="s">
        <v>93</v>
      </c>
      <c r="BD537" t="s">
        <v>93</v>
      </c>
      <c r="BE537" t="s">
        <v>93</v>
      </c>
      <c r="BF537" t="s">
        <v>95</v>
      </c>
      <c r="BG537" t="s">
        <v>95</v>
      </c>
      <c r="BH537" t="s">
        <v>95</v>
      </c>
    </row>
    <row r="538" spans="1:60" x14ac:dyDescent="0.3">
      <c r="A538">
        <v>22</v>
      </c>
      <c r="B538" t="s">
        <v>70</v>
      </c>
      <c r="C538" t="s">
        <v>113</v>
      </c>
      <c r="D538" t="s">
        <v>72</v>
      </c>
      <c r="E538" t="s">
        <v>108</v>
      </c>
      <c r="F538" t="s">
        <v>74</v>
      </c>
      <c r="G538" t="s">
        <v>75</v>
      </c>
      <c r="H538" t="s">
        <v>136</v>
      </c>
      <c r="I538" t="s">
        <v>76</v>
      </c>
      <c r="J538" t="s">
        <v>77</v>
      </c>
      <c r="K538" t="s">
        <v>122</v>
      </c>
      <c r="L538" t="s">
        <v>82</v>
      </c>
      <c r="M538" t="s">
        <v>80</v>
      </c>
      <c r="N538" t="s">
        <v>79</v>
      </c>
      <c r="O538" t="s">
        <v>109</v>
      </c>
      <c r="P538" t="s">
        <v>82</v>
      </c>
      <c r="Q538" t="s">
        <v>83</v>
      </c>
      <c r="R538" t="s">
        <v>82</v>
      </c>
      <c r="S538" t="s">
        <v>123</v>
      </c>
      <c r="T538" t="s">
        <v>150</v>
      </c>
      <c r="U538" t="s">
        <v>82</v>
      </c>
      <c r="V538" t="s">
        <v>106</v>
      </c>
      <c r="W538" t="s">
        <v>87</v>
      </c>
      <c r="Y538" t="s">
        <v>93</v>
      </c>
      <c r="Z538" t="s">
        <v>93</v>
      </c>
      <c r="AA538" t="s">
        <v>93</v>
      </c>
      <c r="AB538" t="s">
        <v>93</v>
      </c>
      <c r="AC538" t="s">
        <v>94</v>
      </c>
      <c r="AD538" t="s">
        <v>94</v>
      </c>
      <c r="AE538" t="s">
        <v>93</v>
      </c>
      <c r="AF538" t="s">
        <v>92</v>
      </c>
      <c r="AG538" t="s">
        <v>93</v>
      </c>
      <c r="AH538" t="s">
        <v>92</v>
      </c>
      <c r="AI538" t="s">
        <v>93</v>
      </c>
      <c r="AJ538" t="s">
        <v>93</v>
      </c>
      <c r="AK538" t="s">
        <v>92</v>
      </c>
      <c r="AL538" t="s">
        <v>92</v>
      </c>
      <c r="AM538" t="s">
        <v>95</v>
      </c>
      <c r="AN538" t="s">
        <v>93</v>
      </c>
      <c r="AO538" t="s">
        <v>93</v>
      </c>
      <c r="AP538" t="s">
        <v>93</v>
      </c>
      <c r="AQ538" t="s">
        <v>95</v>
      </c>
      <c r="AR538" t="s">
        <v>95</v>
      </c>
      <c r="AS538" t="s">
        <v>95</v>
      </c>
      <c r="AT538" t="s">
        <v>95</v>
      </c>
      <c r="AU538" t="s">
        <v>93</v>
      </c>
      <c r="AV538" t="s">
        <v>93</v>
      </c>
      <c r="AW538" t="s">
        <v>93</v>
      </c>
      <c r="AX538" t="s">
        <v>95</v>
      </c>
      <c r="AY538" t="s">
        <v>95</v>
      </c>
      <c r="AZ538" t="s">
        <v>95</v>
      </c>
    </row>
    <row r="539" spans="1:60" x14ac:dyDescent="0.3">
      <c r="A539">
        <v>20</v>
      </c>
      <c r="B539" t="s">
        <v>70</v>
      </c>
      <c r="C539" t="s">
        <v>113</v>
      </c>
      <c r="D539" t="s">
        <v>72</v>
      </c>
      <c r="E539" t="s">
        <v>73</v>
      </c>
      <c r="F539" t="s">
        <v>74</v>
      </c>
      <c r="G539" t="s">
        <v>115</v>
      </c>
      <c r="H539" t="s">
        <v>74</v>
      </c>
      <c r="I539" t="s">
        <v>75</v>
      </c>
      <c r="J539" t="s">
        <v>77</v>
      </c>
      <c r="K539" t="s">
        <v>78</v>
      </c>
      <c r="L539" t="s">
        <v>79</v>
      </c>
      <c r="M539" t="s">
        <v>80</v>
      </c>
      <c r="N539" t="s">
        <v>79</v>
      </c>
      <c r="O539" t="s">
        <v>133</v>
      </c>
      <c r="P539" t="s">
        <v>82</v>
      </c>
      <c r="Q539" t="s">
        <v>83</v>
      </c>
      <c r="R539" t="s">
        <v>82</v>
      </c>
      <c r="S539" t="s">
        <v>84</v>
      </c>
      <c r="T539" t="s">
        <v>150</v>
      </c>
      <c r="U539" t="s">
        <v>79</v>
      </c>
      <c r="V539" t="s">
        <v>86</v>
      </c>
      <c r="W539" t="s">
        <v>87</v>
      </c>
      <c r="X539" t="s">
        <v>112</v>
      </c>
      <c r="Y539" t="s">
        <v>93</v>
      </c>
      <c r="Z539" t="s">
        <v>93</v>
      </c>
      <c r="AA539" t="s">
        <v>93</v>
      </c>
      <c r="AB539" t="s">
        <v>92</v>
      </c>
      <c r="AC539" t="s">
        <v>94</v>
      </c>
      <c r="AD539" t="s">
        <v>94</v>
      </c>
      <c r="AE539" t="s">
        <v>95</v>
      </c>
      <c r="AF539" t="s">
        <v>93</v>
      </c>
      <c r="AG539" t="s">
        <v>93</v>
      </c>
      <c r="AH539" t="s">
        <v>93</v>
      </c>
      <c r="AI539" t="s">
        <v>92</v>
      </c>
      <c r="AJ539" t="s">
        <v>92</v>
      </c>
      <c r="AK539" t="s">
        <v>92</v>
      </c>
      <c r="AL539" t="s">
        <v>94</v>
      </c>
      <c r="AM539" t="s">
        <v>95</v>
      </c>
      <c r="AN539" t="s">
        <v>93</v>
      </c>
      <c r="AO539" t="s">
        <v>93</v>
      </c>
      <c r="AP539" t="s">
        <v>93</v>
      </c>
      <c r="AQ539" t="s">
        <v>95</v>
      </c>
      <c r="AR539" t="s">
        <v>95</v>
      </c>
      <c r="AS539" t="s">
        <v>95</v>
      </c>
      <c r="AT539" t="s">
        <v>95</v>
      </c>
      <c r="AU539" t="s">
        <v>92</v>
      </c>
      <c r="AV539" t="s">
        <v>92</v>
      </c>
      <c r="AW539" t="s">
        <v>94</v>
      </c>
      <c r="AX539" t="s">
        <v>94</v>
      </c>
      <c r="AY539" t="s">
        <v>94</v>
      </c>
      <c r="AZ539" t="s">
        <v>94</v>
      </c>
      <c r="BA539" t="s">
        <v>93</v>
      </c>
      <c r="BB539" t="s">
        <v>93</v>
      </c>
      <c r="BC539" t="s">
        <v>93</v>
      </c>
      <c r="BD539" t="s">
        <v>93</v>
      </c>
      <c r="BE539" t="s">
        <v>93</v>
      </c>
      <c r="BF539" t="s">
        <v>95</v>
      </c>
      <c r="BG539" t="s">
        <v>95</v>
      </c>
      <c r="BH539" t="s">
        <v>95</v>
      </c>
    </row>
    <row r="540" spans="1:60" x14ac:dyDescent="0.3">
      <c r="A540">
        <v>22</v>
      </c>
      <c r="B540" t="s">
        <v>70</v>
      </c>
      <c r="C540" t="s">
        <v>113</v>
      </c>
      <c r="D540" t="s">
        <v>72</v>
      </c>
      <c r="E540" t="s">
        <v>108</v>
      </c>
      <c r="F540" t="s">
        <v>74</v>
      </c>
      <c r="G540" t="s">
        <v>99</v>
      </c>
      <c r="H540" t="s">
        <v>74</v>
      </c>
      <c r="I540" t="s">
        <v>76</v>
      </c>
      <c r="J540" t="s">
        <v>77</v>
      </c>
      <c r="K540" t="s">
        <v>122</v>
      </c>
      <c r="L540" t="s">
        <v>79</v>
      </c>
      <c r="M540" t="s">
        <v>80</v>
      </c>
      <c r="N540" t="s">
        <v>79</v>
      </c>
      <c r="O540" t="s">
        <v>109</v>
      </c>
      <c r="P540" t="s">
        <v>82</v>
      </c>
      <c r="Q540" t="s">
        <v>103</v>
      </c>
      <c r="R540" t="s">
        <v>82</v>
      </c>
      <c r="S540" t="s">
        <v>84</v>
      </c>
      <c r="T540" t="s">
        <v>152</v>
      </c>
      <c r="U540" t="s">
        <v>82</v>
      </c>
      <c r="V540" t="s">
        <v>106</v>
      </c>
      <c r="W540" t="s">
        <v>141</v>
      </c>
      <c r="X540" t="s">
        <v>112</v>
      </c>
      <c r="Y540" t="s">
        <v>94</v>
      </c>
      <c r="Z540" t="s">
        <v>92</v>
      </c>
      <c r="AA540" t="s">
        <v>92</v>
      </c>
      <c r="AB540" t="s">
        <v>94</v>
      </c>
      <c r="AC540" t="s">
        <v>94</v>
      </c>
      <c r="AD540" t="s">
        <v>93</v>
      </c>
      <c r="AE540" t="s">
        <v>94</v>
      </c>
      <c r="AF540" t="s">
        <v>92</v>
      </c>
      <c r="AG540" t="s">
        <v>92</v>
      </c>
      <c r="AH540" t="s">
        <v>93</v>
      </c>
      <c r="AI540" t="s">
        <v>93</v>
      </c>
      <c r="AJ540" t="s">
        <v>93</v>
      </c>
      <c r="AK540" t="s">
        <v>93</v>
      </c>
      <c r="AL540" t="s">
        <v>95</v>
      </c>
      <c r="AM540" t="s">
        <v>94</v>
      </c>
      <c r="AN540" t="s">
        <v>93</v>
      </c>
      <c r="AO540" t="s">
        <v>93</v>
      </c>
      <c r="AP540" t="s">
        <v>93</v>
      </c>
      <c r="AQ540" t="s">
        <v>95</v>
      </c>
      <c r="AR540" t="s">
        <v>95</v>
      </c>
      <c r="AS540" t="s">
        <v>95</v>
      </c>
      <c r="AT540" t="s">
        <v>95</v>
      </c>
      <c r="AU540" t="s">
        <v>93</v>
      </c>
      <c r="AV540" t="s">
        <v>94</v>
      </c>
      <c r="AW540" t="s">
        <v>92</v>
      </c>
      <c r="AX540" t="s">
        <v>95</v>
      </c>
      <c r="AY540" t="s">
        <v>94</v>
      </c>
      <c r="AZ540" t="s">
        <v>95</v>
      </c>
      <c r="BA540" t="s">
        <v>93</v>
      </c>
      <c r="BB540" t="s">
        <v>93</v>
      </c>
      <c r="BD540" t="s">
        <v>93</v>
      </c>
      <c r="BE540" t="s">
        <v>93</v>
      </c>
      <c r="BF540" t="s">
        <v>95</v>
      </c>
      <c r="BG540" t="s">
        <v>94</v>
      </c>
      <c r="BH540" t="s">
        <v>93</v>
      </c>
    </row>
    <row r="541" spans="1:60" x14ac:dyDescent="0.3">
      <c r="A541">
        <v>23</v>
      </c>
      <c r="B541" t="s">
        <v>70</v>
      </c>
      <c r="C541" t="s">
        <v>113</v>
      </c>
      <c r="D541" t="s">
        <v>72</v>
      </c>
      <c r="E541" t="s">
        <v>73</v>
      </c>
      <c r="F541" t="s">
        <v>98</v>
      </c>
      <c r="G541" t="s">
        <v>135</v>
      </c>
      <c r="H541" t="s">
        <v>98</v>
      </c>
      <c r="I541" t="s">
        <v>76</v>
      </c>
      <c r="J541" t="s">
        <v>77</v>
      </c>
      <c r="K541" t="s">
        <v>78</v>
      </c>
      <c r="L541" t="s">
        <v>82</v>
      </c>
      <c r="M541" t="s">
        <v>80</v>
      </c>
      <c r="N541" t="s">
        <v>79</v>
      </c>
      <c r="O541" t="s">
        <v>109</v>
      </c>
      <c r="P541" t="s">
        <v>79</v>
      </c>
      <c r="Q541" t="s">
        <v>83</v>
      </c>
      <c r="R541" t="s">
        <v>79</v>
      </c>
      <c r="S541" t="s">
        <v>84</v>
      </c>
      <c r="T541" t="s">
        <v>130</v>
      </c>
      <c r="U541" t="s">
        <v>82</v>
      </c>
      <c r="V541" t="s">
        <v>86</v>
      </c>
      <c r="W541" t="s">
        <v>120</v>
      </c>
      <c r="Y541" t="s">
        <v>94</v>
      </c>
      <c r="Z541" t="s">
        <v>93</v>
      </c>
      <c r="AA541" t="s">
        <v>93</v>
      </c>
      <c r="AB541" t="s">
        <v>92</v>
      </c>
      <c r="AC541" t="s">
        <v>94</v>
      </c>
      <c r="AD541" t="s">
        <v>92</v>
      </c>
      <c r="AE541" t="s">
        <v>92</v>
      </c>
      <c r="AF541" t="s">
        <v>93</v>
      </c>
      <c r="AG541" t="s">
        <v>92</v>
      </c>
      <c r="AH541" t="s">
        <v>93</v>
      </c>
      <c r="AI541" t="s">
        <v>93</v>
      </c>
      <c r="AJ541" t="s">
        <v>93</v>
      </c>
      <c r="AK541" t="s">
        <v>92</v>
      </c>
      <c r="AL541" t="s">
        <v>93</v>
      </c>
      <c r="AM541" t="s">
        <v>93</v>
      </c>
      <c r="AN541" t="s">
        <v>92</v>
      </c>
      <c r="AO541" t="s">
        <v>92</v>
      </c>
      <c r="AP541" t="s">
        <v>94</v>
      </c>
      <c r="AQ541" t="s">
        <v>92</v>
      </c>
      <c r="AR541" t="s">
        <v>94</v>
      </c>
      <c r="AS541" t="s">
        <v>92</v>
      </c>
      <c r="AT541" t="s">
        <v>94</v>
      </c>
      <c r="AU541" t="s">
        <v>94</v>
      </c>
      <c r="AV541" t="s">
        <v>92</v>
      </c>
      <c r="AW541" t="s">
        <v>92</v>
      </c>
      <c r="AX541" t="s">
        <v>94</v>
      </c>
      <c r="AY541" t="s">
        <v>94</v>
      </c>
      <c r="AZ541" t="s">
        <v>92</v>
      </c>
      <c r="BA541" t="s">
        <v>92</v>
      </c>
      <c r="BB541" t="s">
        <v>94</v>
      </c>
      <c r="BC541" t="s">
        <v>92</v>
      </c>
      <c r="BD541" t="s">
        <v>92</v>
      </c>
      <c r="BE541" t="s">
        <v>92</v>
      </c>
      <c r="BF541" t="s">
        <v>93</v>
      </c>
      <c r="BG541" t="s">
        <v>93</v>
      </c>
      <c r="BH541" t="s">
        <v>92</v>
      </c>
    </row>
    <row r="542" spans="1:60" x14ac:dyDescent="0.3">
      <c r="A542">
        <v>20</v>
      </c>
      <c r="B542" t="s">
        <v>70</v>
      </c>
      <c r="C542" t="s">
        <v>157</v>
      </c>
      <c r="D542" t="s">
        <v>149</v>
      </c>
      <c r="E542" t="s">
        <v>108</v>
      </c>
      <c r="F542" t="s">
        <v>74</v>
      </c>
      <c r="G542" t="s">
        <v>75</v>
      </c>
      <c r="H542" t="s">
        <v>136</v>
      </c>
      <c r="I542" t="s">
        <v>76</v>
      </c>
      <c r="J542" t="s">
        <v>77</v>
      </c>
      <c r="K542" t="s">
        <v>122</v>
      </c>
      <c r="L542" t="s">
        <v>79</v>
      </c>
      <c r="M542" t="s">
        <v>80</v>
      </c>
      <c r="N542" t="s">
        <v>79</v>
      </c>
      <c r="O542" t="s">
        <v>81</v>
      </c>
      <c r="P542" t="s">
        <v>82</v>
      </c>
      <c r="Q542" t="s">
        <v>83</v>
      </c>
      <c r="R542" t="s">
        <v>79</v>
      </c>
      <c r="S542" t="s">
        <v>84</v>
      </c>
      <c r="T542" t="s">
        <v>140</v>
      </c>
      <c r="U542" t="s">
        <v>79</v>
      </c>
      <c r="V542" t="s">
        <v>86</v>
      </c>
      <c r="W542" t="s">
        <v>87</v>
      </c>
      <c r="X542" t="s">
        <v>112</v>
      </c>
      <c r="Y542" t="s">
        <v>94</v>
      </c>
      <c r="Z542" t="s">
        <v>94</v>
      </c>
      <c r="AA542" t="s">
        <v>94</v>
      </c>
      <c r="AB542" t="s">
        <v>93</v>
      </c>
      <c r="AC542" t="s">
        <v>92</v>
      </c>
      <c r="AD542" t="s">
        <v>92</v>
      </c>
      <c r="AE542" t="s">
        <v>92</v>
      </c>
      <c r="AF542" t="s">
        <v>92</v>
      </c>
      <c r="AG542" t="s">
        <v>92</v>
      </c>
      <c r="AH542" t="s">
        <v>93</v>
      </c>
      <c r="AI542" t="s">
        <v>94</v>
      </c>
      <c r="AJ542" t="s">
        <v>94</v>
      </c>
      <c r="AK542" t="s">
        <v>94</v>
      </c>
      <c r="AL542" t="s">
        <v>94</v>
      </c>
      <c r="AM542" t="s">
        <v>92</v>
      </c>
      <c r="AN542" t="s">
        <v>93</v>
      </c>
      <c r="AO542" t="s">
        <v>93</v>
      </c>
      <c r="AP542" t="s">
        <v>93</v>
      </c>
      <c r="AQ542" t="s">
        <v>93</v>
      </c>
      <c r="AR542" t="s">
        <v>93</v>
      </c>
      <c r="AS542" t="s">
        <v>93</v>
      </c>
      <c r="AT542" t="s">
        <v>93</v>
      </c>
      <c r="AU542" t="s">
        <v>94</v>
      </c>
      <c r="AV542" t="s">
        <v>94</v>
      </c>
      <c r="AW542" t="s">
        <v>93</v>
      </c>
      <c r="AX542" t="s">
        <v>94</v>
      </c>
      <c r="AY542" t="s">
        <v>94</v>
      </c>
      <c r="AZ542" t="s">
        <v>94</v>
      </c>
      <c r="BA542" t="s">
        <v>93</v>
      </c>
      <c r="BB542" t="s">
        <v>95</v>
      </c>
      <c r="BC542" t="s">
        <v>94</v>
      </c>
      <c r="BD542" t="s">
        <v>94</v>
      </c>
      <c r="BE542" t="s">
        <v>94</v>
      </c>
      <c r="BF542" t="s">
        <v>95</v>
      </c>
      <c r="BG542" t="s">
        <v>94</v>
      </c>
      <c r="BH542" t="s">
        <v>93</v>
      </c>
    </row>
    <row r="543" spans="1:60" x14ac:dyDescent="0.3">
      <c r="A543">
        <v>22</v>
      </c>
      <c r="B543" t="s">
        <v>70</v>
      </c>
      <c r="C543" t="s">
        <v>113</v>
      </c>
      <c r="D543" t="s">
        <v>97</v>
      </c>
      <c r="E543" t="s">
        <v>108</v>
      </c>
      <c r="F543" t="s">
        <v>74</v>
      </c>
      <c r="G543" t="s">
        <v>115</v>
      </c>
      <c r="H543" t="s">
        <v>74</v>
      </c>
      <c r="I543" t="s">
        <v>76</v>
      </c>
      <c r="J543" t="s">
        <v>77</v>
      </c>
      <c r="K543" t="s">
        <v>78</v>
      </c>
      <c r="L543" t="s">
        <v>82</v>
      </c>
      <c r="M543" t="s">
        <v>80</v>
      </c>
      <c r="N543" t="s">
        <v>79</v>
      </c>
      <c r="O543" t="s">
        <v>109</v>
      </c>
      <c r="P543" t="s">
        <v>82</v>
      </c>
      <c r="Q543" t="s">
        <v>83</v>
      </c>
      <c r="R543" t="s">
        <v>82</v>
      </c>
      <c r="S543" t="s">
        <v>84</v>
      </c>
      <c r="T543" t="s">
        <v>159</v>
      </c>
      <c r="U543" t="s">
        <v>82</v>
      </c>
      <c r="V543" t="s">
        <v>106</v>
      </c>
      <c r="W543" t="s">
        <v>141</v>
      </c>
      <c r="X543" t="s">
        <v>112</v>
      </c>
      <c r="Y543" t="s">
        <v>95</v>
      </c>
      <c r="Z543" t="s">
        <v>93</v>
      </c>
      <c r="AA543" t="s">
        <v>93</v>
      </c>
      <c r="AB543" t="s">
        <v>93</v>
      </c>
      <c r="AC543" t="s">
        <v>92</v>
      </c>
      <c r="AD543" t="s">
        <v>92</v>
      </c>
      <c r="AE543" t="s">
        <v>92</v>
      </c>
      <c r="AF543" t="s">
        <v>95</v>
      </c>
      <c r="AG543" t="s">
        <v>93</v>
      </c>
      <c r="AH543" t="s">
        <v>95</v>
      </c>
      <c r="AI543" t="s">
        <v>93</v>
      </c>
      <c r="AJ543" t="s">
        <v>93</v>
      </c>
      <c r="AK543" t="s">
        <v>93</v>
      </c>
      <c r="AL543" t="s">
        <v>93</v>
      </c>
      <c r="AM543" t="s">
        <v>93</v>
      </c>
      <c r="AN543" t="s">
        <v>92</v>
      </c>
      <c r="AO543" t="s">
        <v>92</v>
      </c>
      <c r="AP543" t="s">
        <v>92</v>
      </c>
      <c r="AQ543" t="s">
        <v>92</v>
      </c>
      <c r="AR543" t="s">
        <v>92</v>
      </c>
      <c r="AS543" t="s">
        <v>92</v>
      </c>
      <c r="AT543" t="s">
        <v>92</v>
      </c>
      <c r="AU543" t="s">
        <v>92</v>
      </c>
      <c r="AV543" t="s">
        <v>92</v>
      </c>
      <c r="AW543" t="s">
        <v>92</v>
      </c>
      <c r="AX543" t="s">
        <v>92</v>
      </c>
      <c r="AY543" t="s">
        <v>92</v>
      </c>
      <c r="AZ543" t="s">
        <v>92</v>
      </c>
      <c r="BA543" t="s">
        <v>92</v>
      </c>
      <c r="BB543" t="s">
        <v>92</v>
      </c>
      <c r="BC543" t="s">
        <v>92</v>
      </c>
      <c r="BD543" t="s">
        <v>92</v>
      </c>
      <c r="BE543" t="s">
        <v>92</v>
      </c>
      <c r="BF543" t="s">
        <v>92</v>
      </c>
      <c r="BG543" t="s">
        <v>92</v>
      </c>
      <c r="BH543" t="s">
        <v>92</v>
      </c>
    </row>
    <row r="544" spans="1:60" x14ac:dyDescent="0.3">
      <c r="A544">
        <v>22</v>
      </c>
      <c r="B544" t="s">
        <v>70</v>
      </c>
      <c r="C544" t="s">
        <v>113</v>
      </c>
      <c r="D544" t="s">
        <v>72</v>
      </c>
      <c r="E544" t="s">
        <v>108</v>
      </c>
      <c r="F544" t="s">
        <v>74</v>
      </c>
      <c r="G544" t="s">
        <v>115</v>
      </c>
      <c r="H544" t="s">
        <v>74</v>
      </c>
      <c r="I544" t="s">
        <v>115</v>
      </c>
      <c r="J544" t="s">
        <v>101</v>
      </c>
      <c r="K544" t="s">
        <v>131</v>
      </c>
      <c r="L544" t="s">
        <v>82</v>
      </c>
      <c r="M544" t="s">
        <v>132</v>
      </c>
      <c r="N544" t="s">
        <v>82</v>
      </c>
      <c r="O544" t="s">
        <v>81</v>
      </c>
      <c r="P544" t="s">
        <v>79</v>
      </c>
      <c r="Q544" t="s">
        <v>103</v>
      </c>
      <c r="R544" t="s">
        <v>82</v>
      </c>
      <c r="S544" t="s">
        <v>84</v>
      </c>
      <c r="T544" t="s">
        <v>266</v>
      </c>
      <c r="U544" t="s">
        <v>82</v>
      </c>
      <c r="V544" t="s">
        <v>106</v>
      </c>
      <c r="W544" t="s">
        <v>141</v>
      </c>
      <c r="X544" t="s">
        <v>112</v>
      </c>
      <c r="Y544" t="s">
        <v>93</v>
      </c>
      <c r="Z544" t="s">
        <v>93</v>
      </c>
      <c r="AA544" t="s">
        <v>93</v>
      </c>
      <c r="AB544" t="s">
        <v>93</v>
      </c>
      <c r="AC544" t="s">
        <v>94</v>
      </c>
      <c r="AD544" t="s">
        <v>94</v>
      </c>
      <c r="AE544" t="s">
        <v>95</v>
      </c>
      <c r="AF544" t="s">
        <v>92</v>
      </c>
      <c r="AG544" t="s">
        <v>93</v>
      </c>
      <c r="AH544" t="s">
        <v>93</v>
      </c>
      <c r="AI544" t="s">
        <v>93</v>
      </c>
      <c r="AJ544" t="s">
        <v>93</v>
      </c>
      <c r="AK544" t="s">
        <v>93</v>
      </c>
      <c r="AL544" t="s">
        <v>93</v>
      </c>
      <c r="AM544" t="s">
        <v>94</v>
      </c>
      <c r="AN544" t="s">
        <v>93</v>
      </c>
      <c r="AO544" t="s">
        <v>93</v>
      </c>
      <c r="AP544" t="s">
        <v>93</v>
      </c>
      <c r="AQ544" t="s">
        <v>95</v>
      </c>
      <c r="AR544" t="s">
        <v>95</v>
      </c>
      <c r="AS544" t="s">
        <v>95</v>
      </c>
      <c r="AT544" t="s">
        <v>95</v>
      </c>
      <c r="AU544" t="s">
        <v>95</v>
      </c>
      <c r="AV544" t="s">
        <v>95</v>
      </c>
      <c r="AW544" t="s">
        <v>95</v>
      </c>
      <c r="AX544" t="s">
        <v>94</v>
      </c>
      <c r="AY544" t="s">
        <v>95</v>
      </c>
      <c r="AZ544" t="s">
        <v>95</v>
      </c>
    </row>
    <row r="545" spans="1:60" x14ac:dyDescent="0.3">
      <c r="A545">
        <v>21</v>
      </c>
      <c r="B545" t="s">
        <v>70</v>
      </c>
      <c r="C545" t="s">
        <v>96</v>
      </c>
      <c r="D545" t="s">
        <v>72</v>
      </c>
      <c r="E545" t="s">
        <v>73</v>
      </c>
      <c r="F545" t="s">
        <v>98</v>
      </c>
      <c r="G545" t="s">
        <v>75</v>
      </c>
      <c r="H545" t="s">
        <v>98</v>
      </c>
      <c r="I545" t="s">
        <v>76</v>
      </c>
      <c r="J545" t="s">
        <v>77</v>
      </c>
      <c r="K545" t="s">
        <v>125</v>
      </c>
      <c r="L545" t="s">
        <v>79</v>
      </c>
      <c r="M545" t="s">
        <v>80</v>
      </c>
      <c r="N545" t="s">
        <v>82</v>
      </c>
      <c r="O545" t="s">
        <v>138</v>
      </c>
      <c r="P545" t="s">
        <v>82</v>
      </c>
      <c r="Q545" t="s">
        <v>83</v>
      </c>
      <c r="R545" t="s">
        <v>79</v>
      </c>
      <c r="S545" t="s">
        <v>299</v>
      </c>
      <c r="T545" t="s">
        <v>111</v>
      </c>
      <c r="U545" t="s">
        <v>82</v>
      </c>
      <c r="V545" t="s">
        <v>106</v>
      </c>
      <c r="W545" t="s">
        <v>87</v>
      </c>
      <c r="X545" t="s">
        <v>112</v>
      </c>
      <c r="Y545" t="s">
        <v>92</v>
      </c>
      <c r="Z545" t="s">
        <v>93</v>
      </c>
      <c r="AA545" t="s">
        <v>93</v>
      </c>
      <c r="AB545" t="s">
        <v>93</v>
      </c>
      <c r="AC545" t="s">
        <v>92</v>
      </c>
      <c r="AD545" t="s">
        <v>92</v>
      </c>
      <c r="AE545" t="s">
        <v>93</v>
      </c>
      <c r="AF545" t="s">
        <v>92</v>
      </c>
      <c r="AG545" t="s">
        <v>93</v>
      </c>
      <c r="AH545" t="s">
        <v>92</v>
      </c>
      <c r="AI545" t="s">
        <v>92</v>
      </c>
      <c r="AJ545" t="s">
        <v>93</v>
      </c>
      <c r="AK545" t="s">
        <v>92</v>
      </c>
      <c r="AL545" t="s">
        <v>92</v>
      </c>
      <c r="AM545" t="s">
        <v>93</v>
      </c>
      <c r="AN545" t="s">
        <v>94</v>
      </c>
      <c r="AO545" t="s">
        <v>92</v>
      </c>
      <c r="AP545" t="s">
        <v>94</v>
      </c>
      <c r="AQ545" t="s">
        <v>95</v>
      </c>
      <c r="AR545" t="s">
        <v>95</v>
      </c>
      <c r="AS545" t="s">
        <v>94</v>
      </c>
      <c r="AT545" t="s">
        <v>92</v>
      </c>
      <c r="AU545" t="s">
        <v>94</v>
      </c>
      <c r="AV545" t="s">
        <v>94</v>
      </c>
      <c r="AW545" t="s">
        <v>92</v>
      </c>
      <c r="AX545" t="s">
        <v>94</v>
      </c>
      <c r="AY545" t="s">
        <v>94</v>
      </c>
      <c r="AZ545" t="s">
        <v>94</v>
      </c>
      <c r="BA545" t="s">
        <v>94</v>
      </c>
      <c r="BB545" t="s">
        <v>92</v>
      </c>
      <c r="BC545" t="s">
        <v>94</v>
      </c>
      <c r="BD545" t="s">
        <v>94</v>
      </c>
      <c r="BE545" t="s">
        <v>94</v>
      </c>
      <c r="BF545" t="s">
        <v>92</v>
      </c>
      <c r="BG545" t="s">
        <v>94</v>
      </c>
      <c r="BH545" t="s">
        <v>94</v>
      </c>
    </row>
    <row r="546" spans="1:60" x14ac:dyDescent="0.3">
      <c r="A546">
        <v>23</v>
      </c>
      <c r="B546" t="s">
        <v>70</v>
      </c>
      <c r="C546" t="s">
        <v>113</v>
      </c>
      <c r="D546" t="s">
        <v>97</v>
      </c>
      <c r="E546" t="s">
        <v>108</v>
      </c>
      <c r="F546" t="s">
        <v>74</v>
      </c>
      <c r="G546" t="s">
        <v>166</v>
      </c>
      <c r="H546" t="s">
        <v>136</v>
      </c>
      <c r="I546" t="s">
        <v>76</v>
      </c>
      <c r="J546" t="s">
        <v>77</v>
      </c>
      <c r="K546" t="s">
        <v>125</v>
      </c>
      <c r="L546" t="s">
        <v>79</v>
      </c>
      <c r="M546" t="s">
        <v>80</v>
      </c>
      <c r="N546" t="s">
        <v>79</v>
      </c>
      <c r="O546" t="s">
        <v>109</v>
      </c>
      <c r="P546" t="s">
        <v>79</v>
      </c>
      <c r="Q546" t="s">
        <v>83</v>
      </c>
      <c r="R546" t="s">
        <v>79</v>
      </c>
      <c r="S546" t="s">
        <v>84</v>
      </c>
      <c r="T546" t="s">
        <v>85</v>
      </c>
      <c r="U546" t="s">
        <v>79</v>
      </c>
      <c r="V546" t="s">
        <v>106</v>
      </c>
      <c r="W546" t="s">
        <v>87</v>
      </c>
      <c r="X546" t="s">
        <v>112</v>
      </c>
      <c r="Y546" t="s">
        <v>92</v>
      </c>
      <c r="Z546" t="s">
        <v>94</v>
      </c>
      <c r="AA546" t="s">
        <v>94</v>
      </c>
      <c r="AB546" t="s">
        <v>94</v>
      </c>
      <c r="AC546" t="s">
        <v>94</v>
      </c>
      <c r="AD546" t="s">
        <v>94</v>
      </c>
      <c r="AE546" t="s">
        <v>94</v>
      </c>
      <c r="AF546" t="s">
        <v>94</v>
      </c>
      <c r="AG546" t="s">
        <v>94</v>
      </c>
      <c r="AH546" t="s">
        <v>94</v>
      </c>
      <c r="AI546" t="s">
        <v>94</v>
      </c>
      <c r="AJ546" t="s">
        <v>94</v>
      </c>
      <c r="AK546" t="s">
        <v>94</v>
      </c>
      <c r="AL546" t="s">
        <v>94</v>
      </c>
      <c r="AM546" t="s">
        <v>94</v>
      </c>
      <c r="AN546" t="s">
        <v>94</v>
      </c>
      <c r="AO546" t="s">
        <v>94</v>
      </c>
      <c r="AP546" t="s">
        <v>94</v>
      </c>
      <c r="AQ546" t="s">
        <v>94</v>
      </c>
      <c r="AR546" t="s">
        <v>94</v>
      </c>
      <c r="AS546" t="s">
        <v>94</v>
      </c>
      <c r="AT546" t="s">
        <v>94</v>
      </c>
      <c r="AU546" t="s">
        <v>94</v>
      </c>
      <c r="AV546" t="s">
        <v>94</v>
      </c>
      <c r="AW546" t="s">
        <v>94</v>
      </c>
      <c r="AX546" t="s">
        <v>94</v>
      </c>
      <c r="AY546" t="s">
        <v>94</v>
      </c>
      <c r="AZ546" t="s">
        <v>94</v>
      </c>
      <c r="BA546" t="s">
        <v>94</v>
      </c>
      <c r="BB546" t="s">
        <v>94</v>
      </c>
      <c r="BC546" t="s">
        <v>94</v>
      </c>
      <c r="BD546" t="s">
        <v>95</v>
      </c>
      <c r="BE546" t="s">
        <v>94</v>
      </c>
      <c r="BF546" t="s">
        <v>94</v>
      </c>
      <c r="BG546" t="s">
        <v>94</v>
      </c>
      <c r="BH546" t="s">
        <v>95</v>
      </c>
    </row>
    <row r="547" spans="1:60" x14ac:dyDescent="0.3">
      <c r="A547">
        <v>23</v>
      </c>
      <c r="B547" t="s">
        <v>70</v>
      </c>
      <c r="C547" t="s">
        <v>113</v>
      </c>
      <c r="D547" t="s">
        <v>72</v>
      </c>
      <c r="E547" t="s">
        <v>114</v>
      </c>
      <c r="F547" t="s">
        <v>100</v>
      </c>
      <c r="G547" t="s">
        <v>210</v>
      </c>
      <c r="H547" t="s">
        <v>100</v>
      </c>
      <c r="I547" t="s">
        <v>76</v>
      </c>
      <c r="J547" t="s">
        <v>101</v>
      </c>
      <c r="K547" t="s">
        <v>125</v>
      </c>
      <c r="L547" t="s">
        <v>82</v>
      </c>
      <c r="M547" t="s">
        <v>80</v>
      </c>
      <c r="N547" t="s">
        <v>79</v>
      </c>
      <c r="O547" t="s">
        <v>109</v>
      </c>
      <c r="P547" t="s">
        <v>82</v>
      </c>
      <c r="Q547" t="s">
        <v>103</v>
      </c>
      <c r="R547" t="s">
        <v>79</v>
      </c>
      <c r="S547" t="s">
        <v>223</v>
      </c>
      <c r="T547" t="s">
        <v>139</v>
      </c>
      <c r="U547" t="s">
        <v>82</v>
      </c>
      <c r="V547" t="s">
        <v>86</v>
      </c>
      <c r="W547" t="s">
        <v>141</v>
      </c>
      <c r="X547" t="s">
        <v>112</v>
      </c>
      <c r="Y547" t="s">
        <v>93</v>
      </c>
      <c r="Z547" t="s">
        <v>93</v>
      </c>
      <c r="AA547" t="s">
        <v>93</v>
      </c>
      <c r="AB547" t="s">
        <v>92</v>
      </c>
      <c r="AC547" t="s">
        <v>93</v>
      </c>
      <c r="AD547" t="s">
        <v>92</v>
      </c>
      <c r="AE547" t="s">
        <v>93</v>
      </c>
      <c r="AF547" t="s">
        <v>93</v>
      </c>
      <c r="AG547" t="s">
        <v>93</v>
      </c>
      <c r="AH547" t="s">
        <v>93</v>
      </c>
      <c r="AI547" t="s">
        <v>93</v>
      </c>
      <c r="AJ547" t="s">
        <v>92</v>
      </c>
      <c r="AK547" t="s">
        <v>92</v>
      </c>
      <c r="AL547" t="s">
        <v>92</v>
      </c>
      <c r="AM547" t="s">
        <v>93</v>
      </c>
      <c r="AN547" t="s">
        <v>93</v>
      </c>
      <c r="AO547" t="s">
        <v>93</v>
      </c>
      <c r="AP547" t="s">
        <v>93</v>
      </c>
      <c r="AQ547" t="s">
        <v>95</v>
      </c>
      <c r="AR547" t="s">
        <v>92</v>
      </c>
      <c r="AS547" t="s">
        <v>92</v>
      </c>
      <c r="AT547" t="s">
        <v>92</v>
      </c>
      <c r="AU547" t="s">
        <v>92</v>
      </c>
      <c r="AV547" t="s">
        <v>92</v>
      </c>
      <c r="AW547" t="s">
        <v>93</v>
      </c>
      <c r="AX547" t="s">
        <v>93</v>
      </c>
      <c r="AY547" t="s">
        <v>92</v>
      </c>
      <c r="AZ547" t="s">
        <v>93</v>
      </c>
      <c r="BA547" t="s">
        <v>93</v>
      </c>
      <c r="BB547" t="s">
        <v>93</v>
      </c>
      <c r="BC547" t="s">
        <v>93</v>
      </c>
      <c r="BD547" t="s">
        <v>93</v>
      </c>
      <c r="BE547" t="s">
        <v>93</v>
      </c>
      <c r="BF547" t="s">
        <v>92</v>
      </c>
      <c r="BG547" t="s">
        <v>95</v>
      </c>
      <c r="BH547" t="s">
        <v>93</v>
      </c>
    </row>
    <row r="548" spans="1:60" x14ac:dyDescent="0.3">
      <c r="A548">
        <v>23</v>
      </c>
      <c r="B548" t="s">
        <v>70</v>
      </c>
      <c r="C548" t="s">
        <v>113</v>
      </c>
      <c r="D548" t="s">
        <v>72</v>
      </c>
      <c r="E548" t="s">
        <v>73</v>
      </c>
      <c r="F548" t="s">
        <v>136</v>
      </c>
      <c r="G548" t="s">
        <v>135</v>
      </c>
      <c r="H548" t="s">
        <v>98</v>
      </c>
      <c r="I548" t="s">
        <v>76</v>
      </c>
      <c r="J548" t="s">
        <v>77</v>
      </c>
      <c r="K548" t="s">
        <v>125</v>
      </c>
      <c r="L548" t="s">
        <v>79</v>
      </c>
      <c r="M548" t="s">
        <v>102</v>
      </c>
      <c r="N548" t="s">
        <v>79</v>
      </c>
      <c r="O548" t="s">
        <v>109</v>
      </c>
      <c r="P548" t="s">
        <v>82</v>
      </c>
      <c r="Q548" t="s">
        <v>103</v>
      </c>
      <c r="R548" t="s">
        <v>79</v>
      </c>
      <c r="S548" t="s">
        <v>84</v>
      </c>
      <c r="T548" t="s">
        <v>158</v>
      </c>
      <c r="U548" t="s">
        <v>82</v>
      </c>
      <c r="V548" t="s">
        <v>106</v>
      </c>
      <c r="W548" t="s">
        <v>141</v>
      </c>
      <c r="X548" t="s">
        <v>112</v>
      </c>
      <c r="Y548" t="s">
        <v>93</v>
      </c>
      <c r="Z548" t="s">
        <v>93</v>
      </c>
      <c r="AA548" t="s">
        <v>93</v>
      </c>
      <c r="AB548" t="s">
        <v>93</v>
      </c>
      <c r="AC548" t="s">
        <v>93</v>
      </c>
      <c r="AD548" t="s">
        <v>93</v>
      </c>
      <c r="AE548" t="s">
        <v>93</v>
      </c>
      <c r="AF548" t="s">
        <v>93</v>
      </c>
      <c r="AG548" t="s">
        <v>93</v>
      </c>
      <c r="AH548" t="s">
        <v>93</v>
      </c>
      <c r="AI548" t="s">
        <v>93</v>
      </c>
      <c r="AJ548" t="s">
        <v>93</v>
      </c>
      <c r="AK548" t="s">
        <v>93</v>
      </c>
      <c r="AL548" t="s">
        <v>93</v>
      </c>
      <c r="AM548" t="s">
        <v>93</v>
      </c>
      <c r="AN548" t="s">
        <v>93</v>
      </c>
      <c r="AO548" t="s">
        <v>93</v>
      </c>
      <c r="AP548" t="s">
        <v>93</v>
      </c>
      <c r="AQ548" t="s">
        <v>93</v>
      </c>
      <c r="AR548" t="s">
        <v>93</v>
      </c>
      <c r="AS548" t="s">
        <v>93</v>
      </c>
      <c r="AT548" t="s">
        <v>93</v>
      </c>
      <c r="AU548" t="s">
        <v>92</v>
      </c>
      <c r="AV548" t="s">
        <v>92</v>
      </c>
      <c r="AW548" t="s">
        <v>92</v>
      </c>
      <c r="AX548" t="s">
        <v>92</v>
      </c>
      <c r="AY548" t="s">
        <v>92</v>
      </c>
      <c r="AZ548" t="s">
        <v>92</v>
      </c>
      <c r="BA548" t="s">
        <v>92</v>
      </c>
      <c r="BB548" t="s">
        <v>92</v>
      </c>
      <c r="BC548" t="s">
        <v>92</v>
      </c>
      <c r="BD548" t="s">
        <v>92</v>
      </c>
      <c r="BF548" t="s">
        <v>92</v>
      </c>
      <c r="BG548" t="s">
        <v>92</v>
      </c>
      <c r="BH548" t="s">
        <v>92</v>
      </c>
    </row>
    <row r="549" spans="1:60" x14ac:dyDescent="0.3">
      <c r="A549">
        <v>23</v>
      </c>
      <c r="B549" t="s">
        <v>70</v>
      </c>
      <c r="C549" t="s">
        <v>113</v>
      </c>
      <c r="D549" t="s">
        <v>72</v>
      </c>
      <c r="E549" t="s">
        <v>73</v>
      </c>
      <c r="F549" t="s">
        <v>74</v>
      </c>
      <c r="G549" t="s">
        <v>75</v>
      </c>
      <c r="H549" t="s">
        <v>136</v>
      </c>
      <c r="I549" t="s">
        <v>76</v>
      </c>
      <c r="J549" t="s">
        <v>77</v>
      </c>
      <c r="K549" t="s">
        <v>122</v>
      </c>
      <c r="L549" t="s">
        <v>79</v>
      </c>
      <c r="M549" t="s">
        <v>80</v>
      </c>
      <c r="N549" t="s">
        <v>79</v>
      </c>
      <c r="O549" t="s">
        <v>117</v>
      </c>
      <c r="P549" t="s">
        <v>82</v>
      </c>
      <c r="Q549" t="s">
        <v>83</v>
      </c>
      <c r="R549" t="s">
        <v>79</v>
      </c>
      <c r="S549" t="s">
        <v>84</v>
      </c>
      <c r="T549" t="s">
        <v>124</v>
      </c>
      <c r="U549" t="s">
        <v>82</v>
      </c>
      <c r="V549" t="s">
        <v>106</v>
      </c>
      <c r="W549" t="s">
        <v>87</v>
      </c>
      <c r="X549" t="s">
        <v>112</v>
      </c>
      <c r="Y549" t="s">
        <v>94</v>
      </c>
      <c r="Z549" t="s">
        <v>92</v>
      </c>
      <c r="AA549" t="s">
        <v>93</v>
      </c>
      <c r="AB549" t="s">
        <v>92</v>
      </c>
      <c r="AC549" t="s">
        <v>93</v>
      </c>
      <c r="AD549" t="s">
        <v>93</v>
      </c>
      <c r="AE549" t="s">
        <v>93</v>
      </c>
      <c r="AF549" t="s">
        <v>93</v>
      </c>
      <c r="AG549" t="s">
        <v>92</v>
      </c>
      <c r="AH549" t="s">
        <v>94</v>
      </c>
      <c r="AI549" t="s">
        <v>93</v>
      </c>
      <c r="AJ549" t="s">
        <v>92</v>
      </c>
      <c r="AK549" t="s">
        <v>92</v>
      </c>
      <c r="AL549" t="s">
        <v>92</v>
      </c>
      <c r="AM549" t="s">
        <v>93</v>
      </c>
      <c r="AN549" t="s">
        <v>93</v>
      </c>
      <c r="AO549" t="s">
        <v>93</v>
      </c>
      <c r="AP549" t="s">
        <v>93</v>
      </c>
      <c r="AQ549" t="s">
        <v>93</v>
      </c>
      <c r="AR549" t="s">
        <v>93</v>
      </c>
      <c r="AS549" t="s">
        <v>93</v>
      </c>
      <c r="AT549" t="s">
        <v>93</v>
      </c>
      <c r="AU549" t="s">
        <v>93</v>
      </c>
      <c r="AV549" t="s">
        <v>93</v>
      </c>
      <c r="AW549" t="s">
        <v>93</v>
      </c>
      <c r="AX549" t="s">
        <v>93</v>
      </c>
      <c r="AY549" t="s">
        <v>93</v>
      </c>
      <c r="AZ549" t="s">
        <v>93</v>
      </c>
      <c r="BA549" t="s">
        <v>93</v>
      </c>
      <c r="BB549" t="s">
        <v>93</v>
      </c>
      <c r="BC549" t="s">
        <v>93</v>
      </c>
      <c r="BD549" t="s">
        <v>93</v>
      </c>
      <c r="BE549" t="s">
        <v>93</v>
      </c>
      <c r="BF549" t="s">
        <v>93</v>
      </c>
      <c r="BG549" t="s">
        <v>93</v>
      </c>
      <c r="BH549" t="s">
        <v>93</v>
      </c>
    </row>
    <row r="550" spans="1:60" x14ac:dyDescent="0.3">
      <c r="A550">
        <v>22</v>
      </c>
      <c r="B550" t="s">
        <v>128</v>
      </c>
      <c r="C550" t="s">
        <v>113</v>
      </c>
      <c r="D550" t="s">
        <v>72</v>
      </c>
      <c r="E550" t="s">
        <v>73</v>
      </c>
      <c r="F550" t="s">
        <v>74</v>
      </c>
      <c r="G550" t="s">
        <v>75</v>
      </c>
      <c r="H550" t="s">
        <v>74</v>
      </c>
      <c r="I550" t="s">
        <v>76</v>
      </c>
      <c r="J550" t="s">
        <v>77</v>
      </c>
      <c r="K550" t="s">
        <v>122</v>
      </c>
      <c r="L550" t="s">
        <v>79</v>
      </c>
      <c r="M550" t="s">
        <v>80</v>
      </c>
      <c r="N550" t="s">
        <v>79</v>
      </c>
      <c r="O550" t="s">
        <v>117</v>
      </c>
      <c r="P550" t="s">
        <v>82</v>
      </c>
      <c r="Q550" t="s">
        <v>83</v>
      </c>
      <c r="R550" t="s">
        <v>82</v>
      </c>
      <c r="S550" t="s">
        <v>84</v>
      </c>
      <c r="T550" t="s">
        <v>85</v>
      </c>
      <c r="U550" t="s">
        <v>82</v>
      </c>
      <c r="V550" t="s">
        <v>106</v>
      </c>
      <c r="W550" t="s">
        <v>87</v>
      </c>
      <c r="X550" t="s">
        <v>88</v>
      </c>
      <c r="Y550" t="s">
        <v>94</v>
      </c>
      <c r="Z550" t="s">
        <v>92</v>
      </c>
      <c r="AA550" t="s">
        <v>94</v>
      </c>
      <c r="AB550" t="s">
        <v>94</v>
      </c>
      <c r="AC550" t="s">
        <v>94</v>
      </c>
      <c r="AD550" t="s">
        <v>94</v>
      </c>
      <c r="AE550" t="s">
        <v>92</v>
      </c>
      <c r="AF550" t="s">
        <v>94</v>
      </c>
      <c r="AG550" t="s">
        <v>94</v>
      </c>
      <c r="AH550" t="s">
        <v>95</v>
      </c>
      <c r="AI550" t="s">
        <v>94</v>
      </c>
      <c r="AJ550" t="s">
        <v>94</v>
      </c>
      <c r="AK550" t="s">
        <v>92</v>
      </c>
      <c r="AL550" t="s">
        <v>94</v>
      </c>
      <c r="AM550" t="s">
        <v>95</v>
      </c>
      <c r="AN550" t="s">
        <v>93</v>
      </c>
      <c r="AO550" t="s">
        <v>93</v>
      </c>
      <c r="AP550" t="s">
        <v>93</v>
      </c>
      <c r="AQ550" t="s">
        <v>92</v>
      </c>
      <c r="AR550" t="s">
        <v>93</v>
      </c>
      <c r="AS550" t="s">
        <v>92</v>
      </c>
      <c r="AT550" t="s">
        <v>93</v>
      </c>
      <c r="AU550" t="s">
        <v>93</v>
      </c>
      <c r="AV550" t="s">
        <v>93</v>
      </c>
      <c r="AW550" t="s">
        <v>93</v>
      </c>
      <c r="AX550" t="s">
        <v>93</v>
      </c>
      <c r="AY550" t="s">
        <v>93</v>
      </c>
      <c r="AZ550" t="s">
        <v>93</v>
      </c>
      <c r="BA550" t="s">
        <v>93</v>
      </c>
      <c r="BB550" t="s">
        <v>92</v>
      </c>
      <c r="BC550" t="s">
        <v>93</v>
      </c>
      <c r="BD550" t="s">
        <v>93</v>
      </c>
      <c r="BE550" t="s">
        <v>93</v>
      </c>
      <c r="BF550" t="s">
        <v>93</v>
      </c>
      <c r="BG550" t="s">
        <v>92</v>
      </c>
      <c r="BH550" t="s">
        <v>92</v>
      </c>
    </row>
    <row r="551" spans="1:60" x14ac:dyDescent="0.3">
      <c r="A551">
        <v>21</v>
      </c>
      <c r="B551" t="s">
        <v>70</v>
      </c>
      <c r="C551" t="s">
        <v>96</v>
      </c>
      <c r="D551" t="s">
        <v>72</v>
      </c>
      <c r="E551" t="s">
        <v>73</v>
      </c>
      <c r="F551" t="s">
        <v>74</v>
      </c>
      <c r="G551" t="s">
        <v>135</v>
      </c>
      <c r="H551" t="s">
        <v>74</v>
      </c>
      <c r="I551" t="s">
        <v>99</v>
      </c>
      <c r="J551" t="s">
        <v>77</v>
      </c>
      <c r="K551" t="s">
        <v>78</v>
      </c>
      <c r="L551" t="s">
        <v>79</v>
      </c>
      <c r="M551" t="s">
        <v>80</v>
      </c>
      <c r="N551" t="s">
        <v>79</v>
      </c>
      <c r="O551" t="s">
        <v>109</v>
      </c>
      <c r="P551" t="s">
        <v>79</v>
      </c>
      <c r="Q551" t="s">
        <v>83</v>
      </c>
      <c r="R551" t="s">
        <v>79</v>
      </c>
      <c r="S551" t="s">
        <v>84</v>
      </c>
      <c r="T551" t="s">
        <v>151</v>
      </c>
      <c r="U551" t="s">
        <v>79</v>
      </c>
      <c r="V551" t="s">
        <v>106</v>
      </c>
      <c r="W551" t="s">
        <v>87</v>
      </c>
      <c r="X551" t="s">
        <v>112</v>
      </c>
      <c r="Y551" t="s">
        <v>92</v>
      </c>
      <c r="Z551" t="s">
        <v>92</v>
      </c>
      <c r="AA551" t="s">
        <v>92</v>
      </c>
      <c r="AB551" t="s">
        <v>93</v>
      </c>
      <c r="AC551" t="s">
        <v>93</v>
      </c>
      <c r="AD551" t="s">
        <v>93</v>
      </c>
      <c r="AE551" t="s">
        <v>93</v>
      </c>
      <c r="AF551" t="s">
        <v>93</v>
      </c>
      <c r="AG551" t="s">
        <v>94</v>
      </c>
      <c r="AH551" t="s">
        <v>92</v>
      </c>
      <c r="AI551" t="s">
        <v>92</v>
      </c>
      <c r="AJ551" t="s">
        <v>92</v>
      </c>
      <c r="AK551" t="s">
        <v>92</v>
      </c>
      <c r="AL551" t="s">
        <v>92</v>
      </c>
      <c r="AM551" t="s">
        <v>92</v>
      </c>
      <c r="AN551" t="s">
        <v>93</v>
      </c>
      <c r="AO551" t="s">
        <v>93</v>
      </c>
      <c r="AP551" t="s">
        <v>93</v>
      </c>
      <c r="AQ551" t="s">
        <v>93</v>
      </c>
      <c r="AR551" t="s">
        <v>95</v>
      </c>
      <c r="AS551" t="s">
        <v>95</v>
      </c>
      <c r="AT551" t="s">
        <v>95</v>
      </c>
      <c r="AU551" t="s">
        <v>93</v>
      </c>
      <c r="AV551" t="s">
        <v>93</v>
      </c>
      <c r="AW551" t="s">
        <v>93</v>
      </c>
      <c r="AX551" t="s">
        <v>93</v>
      </c>
      <c r="AY551" t="s">
        <v>93</v>
      </c>
      <c r="AZ551" t="s">
        <v>93</v>
      </c>
      <c r="BA551" t="s">
        <v>93</v>
      </c>
      <c r="BB551" t="s">
        <v>93</v>
      </c>
      <c r="BC551" t="s">
        <v>93</v>
      </c>
      <c r="BD551" t="s">
        <v>93</v>
      </c>
      <c r="BE551" t="s">
        <v>93</v>
      </c>
      <c r="BF551" t="s">
        <v>93</v>
      </c>
      <c r="BG551" t="s">
        <v>93</v>
      </c>
      <c r="BH551" t="s">
        <v>93</v>
      </c>
    </row>
    <row r="552" spans="1:60" x14ac:dyDescent="0.3">
      <c r="A552">
        <v>21</v>
      </c>
      <c r="B552" t="s">
        <v>70</v>
      </c>
      <c r="C552" t="s">
        <v>96</v>
      </c>
      <c r="D552" t="s">
        <v>72</v>
      </c>
      <c r="E552" t="s">
        <v>73</v>
      </c>
      <c r="F552" t="s">
        <v>74</v>
      </c>
      <c r="G552" t="s">
        <v>115</v>
      </c>
      <c r="H552" t="s">
        <v>74</v>
      </c>
      <c r="I552" t="s">
        <v>75</v>
      </c>
      <c r="J552" t="s">
        <v>77</v>
      </c>
      <c r="K552" t="s">
        <v>78</v>
      </c>
      <c r="L552" t="s">
        <v>79</v>
      </c>
      <c r="M552" t="s">
        <v>80</v>
      </c>
      <c r="N552" t="s">
        <v>79</v>
      </c>
      <c r="O552" t="s">
        <v>81</v>
      </c>
      <c r="P552" t="s">
        <v>79</v>
      </c>
      <c r="Q552" t="s">
        <v>83</v>
      </c>
      <c r="R552" t="s">
        <v>79</v>
      </c>
      <c r="S552" t="s">
        <v>84</v>
      </c>
      <c r="T552" t="s">
        <v>124</v>
      </c>
      <c r="U552" t="s">
        <v>82</v>
      </c>
      <c r="V552" t="s">
        <v>86</v>
      </c>
      <c r="W552" t="s">
        <v>120</v>
      </c>
      <c r="X552" t="s">
        <v>112</v>
      </c>
      <c r="Y552" t="s">
        <v>95</v>
      </c>
      <c r="Z552" t="s">
        <v>94</v>
      </c>
      <c r="AA552" t="s">
        <v>92</v>
      </c>
      <c r="AB552" t="s">
        <v>93</v>
      </c>
      <c r="AC552" t="s">
        <v>93</v>
      </c>
      <c r="AD552" t="s">
        <v>93</v>
      </c>
      <c r="AE552" t="s">
        <v>93</v>
      </c>
      <c r="AF552" t="s">
        <v>93</v>
      </c>
      <c r="AG552" t="s">
        <v>92</v>
      </c>
      <c r="AH552" t="s">
        <v>92</v>
      </c>
      <c r="AI552" t="s">
        <v>93</v>
      </c>
      <c r="AJ552" t="s">
        <v>93</v>
      </c>
      <c r="AK552" t="s">
        <v>93</v>
      </c>
      <c r="AL552" t="s">
        <v>93</v>
      </c>
      <c r="AM552" t="s">
        <v>92</v>
      </c>
      <c r="AN552" t="s">
        <v>93</v>
      </c>
      <c r="AO552" t="s">
        <v>93</v>
      </c>
      <c r="AP552" t="s">
        <v>93</v>
      </c>
      <c r="AQ552" t="s">
        <v>95</v>
      </c>
      <c r="AR552" t="s">
        <v>95</v>
      </c>
      <c r="AS552" t="s">
        <v>95</v>
      </c>
      <c r="AT552" t="s">
        <v>95</v>
      </c>
      <c r="AU552" t="s">
        <v>93</v>
      </c>
      <c r="AV552" t="s">
        <v>93</v>
      </c>
      <c r="AW552" t="s">
        <v>93</v>
      </c>
      <c r="AX552" t="s">
        <v>95</v>
      </c>
      <c r="AY552" t="s">
        <v>95</v>
      </c>
      <c r="AZ552" t="s">
        <v>95</v>
      </c>
      <c r="BA552" t="s">
        <v>92</v>
      </c>
      <c r="BB552" t="s">
        <v>92</v>
      </c>
      <c r="BC552" t="s">
        <v>93</v>
      </c>
      <c r="BD552" t="s">
        <v>92</v>
      </c>
      <c r="BE552" t="s">
        <v>92</v>
      </c>
      <c r="BF552" t="s">
        <v>95</v>
      </c>
      <c r="BG552" t="s">
        <v>94</v>
      </c>
      <c r="BH552" t="s">
        <v>95</v>
      </c>
    </row>
    <row r="553" spans="1:60" x14ac:dyDescent="0.3">
      <c r="A553">
        <v>24</v>
      </c>
      <c r="B553" t="s">
        <v>70</v>
      </c>
      <c r="C553" t="s">
        <v>113</v>
      </c>
      <c r="D553" t="s">
        <v>72</v>
      </c>
      <c r="E553" t="s">
        <v>114</v>
      </c>
      <c r="F553" t="s">
        <v>136</v>
      </c>
      <c r="G553" t="s">
        <v>135</v>
      </c>
      <c r="H553" t="s">
        <v>136</v>
      </c>
      <c r="I553" t="s">
        <v>76</v>
      </c>
      <c r="J553" t="s">
        <v>77</v>
      </c>
      <c r="K553" t="s">
        <v>125</v>
      </c>
      <c r="L553" t="s">
        <v>79</v>
      </c>
      <c r="M553" t="s">
        <v>102</v>
      </c>
      <c r="N553" t="s">
        <v>79</v>
      </c>
      <c r="O553" t="s">
        <v>81</v>
      </c>
      <c r="P553" t="s">
        <v>82</v>
      </c>
      <c r="Q553" t="s">
        <v>83</v>
      </c>
      <c r="R553" t="s">
        <v>82</v>
      </c>
      <c r="S553" t="s">
        <v>84</v>
      </c>
      <c r="T553" t="s">
        <v>85</v>
      </c>
      <c r="U553" t="s">
        <v>82</v>
      </c>
      <c r="V553" t="s">
        <v>106</v>
      </c>
      <c r="W553" t="s">
        <v>141</v>
      </c>
      <c r="X553" t="s">
        <v>127</v>
      </c>
      <c r="Y553" t="s">
        <v>94</v>
      </c>
      <c r="Z553" t="s">
        <v>95</v>
      </c>
      <c r="AA553" t="s">
        <v>95</v>
      </c>
      <c r="AB553" t="s">
        <v>95</v>
      </c>
      <c r="AC553" t="s">
        <v>94</v>
      </c>
      <c r="AD553" t="s">
        <v>94</v>
      </c>
      <c r="AE553" t="s">
        <v>94</v>
      </c>
      <c r="AF553" t="s">
        <v>94</v>
      </c>
      <c r="AG553" t="s">
        <v>94</v>
      </c>
      <c r="AH553" t="s">
        <v>94</v>
      </c>
      <c r="AI553" t="s">
        <v>94</v>
      </c>
      <c r="AJ553" t="s">
        <v>94</v>
      </c>
      <c r="AK553" t="s">
        <v>94</v>
      </c>
      <c r="AL553" t="s">
        <v>94</v>
      </c>
      <c r="AM553" t="s">
        <v>94</v>
      </c>
      <c r="AN553" t="s">
        <v>95</v>
      </c>
      <c r="AO553" t="s">
        <v>95</v>
      </c>
      <c r="AP553" t="s">
        <v>95</v>
      </c>
      <c r="AQ553" t="s">
        <v>95</v>
      </c>
      <c r="AR553" t="s">
        <v>95</v>
      </c>
      <c r="AS553" t="s">
        <v>95</v>
      </c>
      <c r="AT553" t="s">
        <v>95</v>
      </c>
      <c r="AU553" t="s">
        <v>94</v>
      </c>
      <c r="AV553" t="s">
        <v>94</v>
      </c>
      <c r="AW553" t="s">
        <v>94</v>
      </c>
      <c r="AX553" t="s">
        <v>94</v>
      </c>
      <c r="AY553" t="s">
        <v>94</v>
      </c>
      <c r="AZ553" t="s">
        <v>94</v>
      </c>
      <c r="BA553" t="s">
        <v>93</v>
      </c>
      <c r="BB553" t="s">
        <v>93</v>
      </c>
      <c r="BC553" t="s">
        <v>93</v>
      </c>
      <c r="BD553" t="s">
        <v>93</v>
      </c>
      <c r="BE553" t="s">
        <v>93</v>
      </c>
      <c r="BF553" t="s">
        <v>93</v>
      </c>
      <c r="BG553" t="s">
        <v>93</v>
      </c>
      <c r="BH553" t="s">
        <v>93</v>
      </c>
    </row>
    <row r="554" spans="1:60" x14ac:dyDescent="0.3">
      <c r="A554">
        <v>23</v>
      </c>
      <c r="B554" t="s">
        <v>70</v>
      </c>
      <c r="C554" t="s">
        <v>96</v>
      </c>
      <c r="D554" t="s">
        <v>72</v>
      </c>
      <c r="E554" t="s">
        <v>108</v>
      </c>
      <c r="F554" t="s">
        <v>136</v>
      </c>
      <c r="G554" t="s">
        <v>135</v>
      </c>
      <c r="H554" t="s">
        <v>98</v>
      </c>
      <c r="I554" t="s">
        <v>76</v>
      </c>
      <c r="J554" t="s">
        <v>77</v>
      </c>
      <c r="K554" t="s">
        <v>125</v>
      </c>
      <c r="L554" t="s">
        <v>79</v>
      </c>
      <c r="M554" t="s">
        <v>80</v>
      </c>
      <c r="N554" t="s">
        <v>79</v>
      </c>
      <c r="O554" t="s">
        <v>117</v>
      </c>
      <c r="P554" t="s">
        <v>82</v>
      </c>
      <c r="Q554" t="s">
        <v>83</v>
      </c>
      <c r="R554" t="s">
        <v>79</v>
      </c>
      <c r="S554" t="s">
        <v>193</v>
      </c>
      <c r="T554" t="s">
        <v>206</v>
      </c>
      <c r="U554" t="s">
        <v>82</v>
      </c>
      <c r="V554" t="s">
        <v>106</v>
      </c>
      <c r="W554" t="s">
        <v>141</v>
      </c>
      <c r="X554" t="s">
        <v>112</v>
      </c>
      <c r="Y554" t="s">
        <v>92</v>
      </c>
      <c r="Z554" t="s">
        <v>92</v>
      </c>
      <c r="AA554" t="s">
        <v>94</v>
      </c>
      <c r="AB554" t="s">
        <v>94</v>
      </c>
      <c r="AC554" t="s">
        <v>94</v>
      </c>
      <c r="AD554" t="s">
        <v>94</v>
      </c>
      <c r="AE554" t="s">
        <v>92</v>
      </c>
      <c r="AF554" t="s">
        <v>94</v>
      </c>
      <c r="AG554" t="s">
        <v>94</v>
      </c>
      <c r="AH554" t="s">
        <v>92</v>
      </c>
      <c r="AI554" t="s">
        <v>94</v>
      </c>
      <c r="AJ554" t="s">
        <v>92</v>
      </c>
      <c r="AK554" t="s">
        <v>92</v>
      </c>
      <c r="AL554" t="s">
        <v>92</v>
      </c>
      <c r="AM554" t="s">
        <v>94</v>
      </c>
      <c r="AN554" t="s">
        <v>92</v>
      </c>
      <c r="AO554" t="s">
        <v>92</v>
      </c>
      <c r="AP554" t="s">
        <v>94</v>
      </c>
      <c r="AQ554" t="s">
        <v>94</v>
      </c>
      <c r="AR554" t="s">
        <v>94</v>
      </c>
      <c r="AS554" t="s">
        <v>94</v>
      </c>
      <c r="AT554" t="s">
        <v>94</v>
      </c>
      <c r="AU554" t="s">
        <v>94</v>
      </c>
      <c r="AV554" t="s">
        <v>94</v>
      </c>
      <c r="AW554" t="s">
        <v>94</v>
      </c>
      <c r="AX554" t="s">
        <v>92</v>
      </c>
      <c r="AY554" t="s">
        <v>92</v>
      </c>
      <c r="AZ554" t="s">
        <v>94</v>
      </c>
      <c r="BA554" t="s">
        <v>94</v>
      </c>
      <c r="BB554" t="s">
        <v>94</v>
      </c>
      <c r="BC554" t="s">
        <v>94</v>
      </c>
      <c r="BD554" t="s">
        <v>94</v>
      </c>
      <c r="BE554" t="s">
        <v>94</v>
      </c>
      <c r="BF554" t="s">
        <v>92</v>
      </c>
      <c r="BG554" t="s">
        <v>92</v>
      </c>
      <c r="BH554" t="s">
        <v>94</v>
      </c>
    </row>
    <row r="555" spans="1:60" x14ac:dyDescent="0.3">
      <c r="A555">
        <v>22</v>
      </c>
      <c r="B555" t="s">
        <v>70</v>
      </c>
      <c r="C555" t="s">
        <v>113</v>
      </c>
      <c r="D555" t="s">
        <v>72</v>
      </c>
      <c r="E555" t="s">
        <v>108</v>
      </c>
      <c r="F555" t="s">
        <v>136</v>
      </c>
      <c r="G555" t="s">
        <v>115</v>
      </c>
      <c r="H555" t="s">
        <v>100</v>
      </c>
      <c r="I555" t="s">
        <v>76</v>
      </c>
      <c r="J555" t="s">
        <v>77</v>
      </c>
      <c r="K555" t="s">
        <v>78</v>
      </c>
      <c r="L555" t="s">
        <v>79</v>
      </c>
      <c r="M555" t="s">
        <v>102</v>
      </c>
      <c r="N555" t="s">
        <v>79</v>
      </c>
      <c r="O555" t="s">
        <v>81</v>
      </c>
      <c r="P555" t="s">
        <v>79</v>
      </c>
      <c r="Q555" t="s">
        <v>83</v>
      </c>
      <c r="R555" t="s">
        <v>79</v>
      </c>
      <c r="S555" t="s">
        <v>142</v>
      </c>
      <c r="T555" t="s">
        <v>300</v>
      </c>
      <c r="U555" t="s">
        <v>82</v>
      </c>
      <c r="V555" t="s">
        <v>106</v>
      </c>
      <c r="W555" t="s">
        <v>87</v>
      </c>
      <c r="X555" t="s">
        <v>88</v>
      </c>
      <c r="Y555" t="s">
        <v>94</v>
      </c>
      <c r="Z555" t="s">
        <v>94</v>
      </c>
      <c r="AA555" t="s">
        <v>94</v>
      </c>
      <c r="AB555" t="s">
        <v>94</v>
      </c>
      <c r="AC555" t="s">
        <v>92</v>
      </c>
      <c r="AD555" t="s">
        <v>92</v>
      </c>
      <c r="AE555" t="s">
        <v>92</v>
      </c>
      <c r="AF555" t="s">
        <v>92</v>
      </c>
      <c r="AG555" t="s">
        <v>92</v>
      </c>
      <c r="AH555" t="s">
        <v>92</v>
      </c>
      <c r="AI555" t="s">
        <v>94</v>
      </c>
      <c r="AJ555" t="s">
        <v>95</v>
      </c>
      <c r="AK555" t="s">
        <v>94</v>
      </c>
      <c r="AL555" t="s">
        <v>94</v>
      </c>
      <c r="AM555" t="s">
        <v>94</v>
      </c>
      <c r="AN555" t="s">
        <v>92</v>
      </c>
      <c r="AO555" t="s">
        <v>92</v>
      </c>
      <c r="AP555" t="s">
        <v>92</v>
      </c>
      <c r="AQ555" t="s">
        <v>94</v>
      </c>
      <c r="AR555" t="s">
        <v>94</v>
      </c>
      <c r="AS555" t="s">
        <v>95</v>
      </c>
      <c r="AT555" t="s">
        <v>94</v>
      </c>
      <c r="AU555" t="s">
        <v>94</v>
      </c>
      <c r="AV555" t="s">
        <v>95</v>
      </c>
      <c r="AW555" t="s">
        <v>94</v>
      </c>
      <c r="AX555" t="s">
        <v>92</v>
      </c>
      <c r="AY555" t="s">
        <v>92</v>
      </c>
      <c r="AZ555" t="s">
        <v>94</v>
      </c>
      <c r="BA555" t="s">
        <v>92</v>
      </c>
      <c r="BB555" t="s">
        <v>94</v>
      </c>
      <c r="BC555" t="s">
        <v>92</v>
      </c>
      <c r="BD555" t="s">
        <v>92</v>
      </c>
      <c r="BE555" t="s">
        <v>92</v>
      </c>
      <c r="BF555" t="s">
        <v>93</v>
      </c>
      <c r="BG555" t="s">
        <v>93</v>
      </c>
      <c r="BH555" t="s">
        <v>93</v>
      </c>
    </row>
    <row r="556" spans="1:60" x14ac:dyDescent="0.3">
      <c r="A556">
        <v>23</v>
      </c>
      <c r="B556" t="s">
        <v>70</v>
      </c>
      <c r="C556" t="s">
        <v>113</v>
      </c>
      <c r="D556" t="s">
        <v>149</v>
      </c>
      <c r="E556" t="s">
        <v>73</v>
      </c>
      <c r="F556" t="s">
        <v>74</v>
      </c>
      <c r="G556" t="s">
        <v>135</v>
      </c>
      <c r="H556" t="s">
        <v>74</v>
      </c>
      <c r="I556" t="s">
        <v>75</v>
      </c>
      <c r="J556" t="s">
        <v>77</v>
      </c>
      <c r="K556" t="s">
        <v>122</v>
      </c>
      <c r="L556" t="s">
        <v>82</v>
      </c>
      <c r="M556" t="s">
        <v>132</v>
      </c>
      <c r="N556" t="s">
        <v>82</v>
      </c>
      <c r="O556" t="s">
        <v>109</v>
      </c>
      <c r="P556" t="s">
        <v>82</v>
      </c>
      <c r="Q556" t="s">
        <v>83</v>
      </c>
      <c r="R556" t="s">
        <v>82</v>
      </c>
      <c r="S556" t="s">
        <v>84</v>
      </c>
      <c r="T556" t="s">
        <v>159</v>
      </c>
      <c r="U556" t="s">
        <v>82</v>
      </c>
      <c r="V556" t="s">
        <v>106</v>
      </c>
      <c r="W556" t="s">
        <v>87</v>
      </c>
      <c r="X556" t="s">
        <v>88</v>
      </c>
      <c r="Y556" t="s">
        <v>92</v>
      </c>
      <c r="Z556" t="s">
        <v>92</v>
      </c>
      <c r="AA556" t="s">
        <v>92</v>
      </c>
      <c r="AB556" t="s">
        <v>92</v>
      </c>
      <c r="AC556" t="s">
        <v>94</v>
      </c>
      <c r="AD556" t="s">
        <v>94</v>
      </c>
      <c r="AE556" t="s">
        <v>95</v>
      </c>
      <c r="AF556" t="s">
        <v>92</v>
      </c>
      <c r="AG556" t="s">
        <v>94</v>
      </c>
      <c r="AH556" t="s">
        <v>94</v>
      </c>
      <c r="AI556" t="s">
        <v>94</v>
      </c>
      <c r="AJ556" t="s">
        <v>94</v>
      </c>
      <c r="AK556" t="s">
        <v>92</v>
      </c>
      <c r="AL556" t="s">
        <v>94</v>
      </c>
      <c r="AM556" t="s">
        <v>94</v>
      </c>
      <c r="AN556" t="s">
        <v>92</v>
      </c>
      <c r="AO556" t="s">
        <v>92</v>
      </c>
      <c r="AP556" t="s">
        <v>92</v>
      </c>
      <c r="AQ556" t="s">
        <v>95</v>
      </c>
      <c r="AR556" t="s">
        <v>95</v>
      </c>
      <c r="AS556" t="s">
        <v>95</v>
      </c>
      <c r="AT556" t="s">
        <v>95</v>
      </c>
      <c r="AU556" t="s">
        <v>95</v>
      </c>
      <c r="AV556" t="s">
        <v>95</v>
      </c>
      <c r="AW556" t="s">
        <v>95</v>
      </c>
      <c r="AX556" t="s">
        <v>92</v>
      </c>
      <c r="AY556" t="s">
        <v>94</v>
      </c>
      <c r="AZ556" t="s">
        <v>95</v>
      </c>
      <c r="BA556" t="s">
        <v>93</v>
      </c>
      <c r="BB556" t="s">
        <v>92</v>
      </c>
      <c r="BC556" t="s">
        <v>92</v>
      </c>
      <c r="BD556" t="s">
        <v>93</v>
      </c>
      <c r="BE556" t="s">
        <v>92</v>
      </c>
      <c r="BF556" t="s">
        <v>94</v>
      </c>
      <c r="BG556" t="s">
        <v>95</v>
      </c>
      <c r="BH556" t="s">
        <v>92</v>
      </c>
    </row>
    <row r="557" spans="1:60" x14ac:dyDescent="0.3">
      <c r="A557">
        <v>22</v>
      </c>
      <c r="B557" t="s">
        <v>70</v>
      </c>
      <c r="C557" t="s">
        <v>113</v>
      </c>
      <c r="D557" t="s">
        <v>72</v>
      </c>
      <c r="E557" t="s">
        <v>114</v>
      </c>
      <c r="F557" t="s">
        <v>98</v>
      </c>
      <c r="G557" t="s">
        <v>146</v>
      </c>
      <c r="H557" t="s">
        <v>165</v>
      </c>
      <c r="I557" t="s">
        <v>76</v>
      </c>
      <c r="J557" t="s">
        <v>77</v>
      </c>
      <c r="K557" t="s">
        <v>125</v>
      </c>
      <c r="L557" t="s">
        <v>82</v>
      </c>
      <c r="M557" t="s">
        <v>102</v>
      </c>
      <c r="N557" t="s">
        <v>79</v>
      </c>
      <c r="O557" t="s">
        <v>117</v>
      </c>
      <c r="P557" t="s">
        <v>79</v>
      </c>
      <c r="Q557" t="s">
        <v>83</v>
      </c>
      <c r="R557" t="s">
        <v>79</v>
      </c>
      <c r="S557" t="s">
        <v>192</v>
      </c>
      <c r="T557" t="s">
        <v>188</v>
      </c>
      <c r="U557" t="s">
        <v>82</v>
      </c>
      <c r="V557" t="s">
        <v>106</v>
      </c>
      <c r="W557" t="s">
        <v>141</v>
      </c>
      <c r="X557" t="s">
        <v>88</v>
      </c>
      <c r="Y557" t="s">
        <v>95</v>
      </c>
      <c r="Z557" t="s">
        <v>94</v>
      </c>
      <c r="AA557" t="s">
        <v>93</v>
      </c>
      <c r="AB557" t="s">
        <v>94</v>
      </c>
      <c r="AC557" t="s">
        <v>92</v>
      </c>
      <c r="AD557" t="s">
        <v>92</v>
      </c>
      <c r="AE557" t="s">
        <v>94</v>
      </c>
      <c r="AF557" t="s">
        <v>95</v>
      </c>
      <c r="AG557" t="s">
        <v>95</v>
      </c>
      <c r="AH557" t="s">
        <v>94</v>
      </c>
      <c r="AI557" t="s">
        <v>94</v>
      </c>
      <c r="AJ557" t="s">
        <v>94</v>
      </c>
      <c r="AK557" t="s">
        <v>94</v>
      </c>
      <c r="AL557" t="s">
        <v>94</v>
      </c>
      <c r="AM557" t="s">
        <v>95</v>
      </c>
      <c r="AN557" t="s">
        <v>93</v>
      </c>
      <c r="AO557" t="s">
        <v>93</v>
      </c>
      <c r="AP557" t="s">
        <v>93</v>
      </c>
      <c r="AQ557" t="s">
        <v>94</v>
      </c>
      <c r="AR557" t="s">
        <v>94</v>
      </c>
      <c r="AS557" t="s">
        <v>94</v>
      </c>
      <c r="AT557" t="s">
        <v>94</v>
      </c>
      <c r="AU557" t="s">
        <v>94</v>
      </c>
      <c r="AV557" t="s">
        <v>95</v>
      </c>
      <c r="AW557" t="s">
        <v>95</v>
      </c>
      <c r="AX557" t="s">
        <v>94</v>
      </c>
      <c r="AY557" t="s">
        <v>95</v>
      </c>
      <c r="AZ557" t="s">
        <v>95</v>
      </c>
      <c r="BA557" t="s">
        <v>93</v>
      </c>
      <c r="BB557" t="s">
        <v>93</v>
      </c>
      <c r="BC557" t="s">
        <v>93</v>
      </c>
      <c r="BD557" t="s">
        <v>93</v>
      </c>
      <c r="BE557" t="s">
        <v>94</v>
      </c>
      <c r="BF557" t="s">
        <v>95</v>
      </c>
      <c r="BG557" t="s">
        <v>95</v>
      </c>
      <c r="BH557" t="s">
        <v>95</v>
      </c>
    </row>
    <row r="558" spans="1:60" x14ac:dyDescent="0.3">
      <c r="A558">
        <v>26</v>
      </c>
      <c r="B558" t="s">
        <v>70</v>
      </c>
      <c r="C558" t="s">
        <v>153</v>
      </c>
      <c r="D558" t="s">
        <v>72</v>
      </c>
      <c r="E558" t="s">
        <v>108</v>
      </c>
      <c r="F558" t="s">
        <v>74</v>
      </c>
      <c r="G558" t="s">
        <v>301</v>
      </c>
      <c r="H558" t="s">
        <v>136</v>
      </c>
      <c r="I558" t="s">
        <v>76</v>
      </c>
      <c r="J558" t="s">
        <v>77</v>
      </c>
      <c r="K558" t="s">
        <v>78</v>
      </c>
      <c r="L558" t="s">
        <v>82</v>
      </c>
      <c r="M558" t="s">
        <v>132</v>
      </c>
      <c r="N558" t="s">
        <v>79</v>
      </c>
      <c r="O558" t="s">
        <v>138</v>
      </c>
      <c r="P558" t="s">
        <v>82</v>
      </c>
      <c r="Q558" t="s">
        <v>83</v>
      </c>
      <c r="R558" t="s">
        <v>82</v>
      </c>
      <c r="S558" t="s">
        <v>84</v>
      </c>
      <c r="T558" t="s">
        <v>152</v>
      </c>
      <c r="U558" t="s">
        <v>82</v>
      </c>
      <c r="V558" t="s">
        <v>86</v>
      </c>
      <c r="W558" t="s">
        <v>141</v>
      </c>
      <c r="X558" t="s">
        <v>88</v>
      </c>
      <c r="Y558" t="s">
        <v>92</v>
      </c>
      <c r="Z558" t="s">
        <v>92</v>
      </c>
      <c r="AA558" t="s">
        <v>92</v>
      </c>
      <c r="AB558" t="s">
        <v>93</v>
      </c>
      <c r="AC558" t="s">
        <v>94</v>
      </c>
      <c r="AD558" t="s">
        <v>94</v>
      </c>
      <c r="AE558" t="s">
        <v>94</v>
      </c>
      <c r="AF558" t="s">
        <v>92</v>
      </c>
      <c r="AG558" t="s">
        <v>92</v>
      </c>
      <c r="AH558" t="s">
        <v>92</v>
      </c>
      <c r="AI558" t="s">
        <v>94</v>
      </c>
      <c r="AJ558" t="s">
        <v>95</v>
      </c>
      <c r="AK558" t="s">
        <v>95</v>
      </c>
      <c r="AL558" t="s">
        <v>92</v>
      </c>
      <c r="AM558" t="s">
        <v>95</v>
      </c>
      <c r="AN558" t="s">
        <v>93</v>
      </c>
      <c r="AO558" t="s">
        <v>93</v>
      </c>
      <c r="AP558" t="s">
        <v>93</v>
      </c>
      <c r="AQ558" t="s">
        <v>95</v>
      </c>
      <c r="AR558" t="s">
        <v>95</v>
      </c>
      <c r="AS558" t="s">
        <v>95</v>
      </c>
      <c r="AT558" t="s">
        <v>95</v>
      </c>
      <c r="AU558" t="s">
        <v>92</v>
      </c>
      <c r="AV558" t="s">
        <v>94</v>
      </c>
      <c r="AW558" t="s">
        <v>92</v>
      </c>
      <c r="AX558" t="s">
        <v>95</v>
      </c>
      <c r="AY558" t="s">
        <v>92</v>
      </c>
      <c r="AZ558" t="s">
        <v>95</v>
      </c>
      <c r="BA558" t="s">
        <v>93</v>
      </c>
      <c r="BB558" t="s">
        <v>93</v>
      </c>
      <c r="BC558" t="s">
        <v>93</v>
      </c>
      <c r="BD558" t="s">
        <v>93</v>
      </c>
      <c r="BE558" t="s">
        <v>93</v>
      </c>
      <c r="BF558" t="s">
        <v>95</v>
      </c>
      <c r="BG558" t="s">
        <v>95</v>
      </c>
      <c r="BH558" t="s">
        <v>95</v>
      </c>
    </row>
    <row r="559" spans="1:60" x14ac:dyDescent="0.3">
      <c r="A559">
        <v>20</v>
      </c>
      <c r="B559" t="s">
        <v>70</v>
      </c>
      <c r="C559" t="s">
        <v>157</v>
      </c>
      <c r="D559" t="s">
        <v>97</v>
      </c>
      <c r="E559" t="s">
        <v>108</v>
      </c>
      <c r="F559" t="s">
        <v>74</v>
      </c>
      <c r="G559" t="s">
        <v>75</v>
      </c>
      <c r="H559" t="s">
        <v>74</v>
      </c>
      <c r="I559" t="s">
        <v>75</v>
      </c>
      <c r="J559" t="s">
        <v>77</v>
      </c>
      <c r="K559" t="s">
        <v>78</v>
      </c>
      <c r="L559" t="s">
        <v>82</v>
      </c>
      <c r="M559" t="s">
        <v>80</v>
      </c>
      <c r="N559" t="s">
        <v>79</v>
      </c>
      <c r="O559" t="s">
        <v>81</v>
      </c>
      <c r="P559" t="s">
        <v>82</v>
      </c>
      <c r="Q559" t="s">
        <v>83</v>
      </c>
      <c r="R559" t="s">
        <v>82</v>
      </c>
      <c r="S559" t="s">
        <v>84</v>
      </c>
      <c r="T559" t="s">
        <v>119</v>
      </c>
      <c r="U559" t="s">
        <v>82</v>
      </c>
      <c r="V559" t="s">
        <v>106</v>
      </c>
      <c r="W559" t="s">
        <v>141</v>
      </c>
      <c r="X559" t="s">
        <v>112</v>
      </c>
      <c r="Y559" t="s">
        <v>93</v>
      </c>
      <c r="Z559" t="s">
        <v>93</v>
      </c>
      <c r="AA559" t="s">
        <v>93</v>
      </c>
      <c r="AB559" t="s">
        <v>93</v>
      </c>
      <c r="AC559" t="s">
        <v>95</v>
      </c>
      <c r="AD559" t="s">
        <v>95</v>
      </c>
      <c r="AE559" t="s">
        <v>95</v>
      </c>
      <c r="AF559" t="s">
        <v>93</v>
      </c>
      <c r="AG559" t="s">
        <v>94</v>
      </c>
      <c r="AH559" t="s">
        <v>95</v>
      </c>
      <c r="AI559" t="s">
        <v>95</v>
      </c>
      <c r="AJ559" t="s">
        <v>95</v>
      </c>
      <c r="AK559" t="s">
        <v>95</v>
      </c>
      <c r="AL559" t="s">
        <v>93</v>
      </c>
      <c r="AM559" t="s">
        <v>95</v>
      </c>
      <c r="AN559" t="s">
        <v>93</v>
      </c>
      <c r="AO559" t="s">
        <v>93</v>
      </c>
      <c r="AP559" t="s">
        <v>93</v>
      </c>
      <c r="AQ559" t="s">
        <v>95</v>
      </c>
      <c r="AR559" t="s">
        <v>95</v>
      </c>
      <c r="AS559" t="s">
        <v>95</v>
      </c>
      <c r="AT559" t="s">
        <v>95</v>
      </c>
      <c r="AU559" t="s">
        <v>93</v>
      </c>
      <c r="AV559" t="s">
        <v>93</v>
      </c>
      <c r="AW559" t="s">
        <v>93</v>
      </c>
      <c r="AX559" t="s">
        <v>95</v>
      </c>
      <c r="AY559" t="s">
        <v>95</v>
      </c>
      <c r="AZ559" t="s">
        <v>95</v>
      </c>
      <c r="BA559" t="s">
        <v>93</v>
      </c>
      <c r="BB559" t="s">
        <v>93</v>
      </c>
      <c r="BC559" t="s">
        <v>93</v>
      </c>
      <c r="BD559" t="s">
        <v>93</v>
      </c>
      <c r="BE559" t="s">
        <v>93</v>
      </c>
      <c r="BF559" t="s">
        <v>95</v>
      </c>
      <c r="BG559" t="s">
        <v>95</v>
      </c>
      <c r="BH559" t="s">
        <v>95</v>
      </c>
    </row>
    <row r="560" spans="1:60" x14ac:dyDescent="0.3">
      <c r="A560">
        <v>22</v>
      </c>
      <c r="B560" t="s">
        <v>70</v>
      </c>
      <c r="C560" t="s">
        <v>113</v>
      </c>
      <c r="D560" t="s">
        <v>149</v>
      </c>
      <c r="E560" t="s">
        <v>108</v>
      </c>
      <c r="F560" t="s">
        <v>98</v>
      </c>
      <c r="G560" t="s">
        <v>99</v>
      </c>
      <c r="H560" t="s">
        <v>98</v>
      </c>
      <c r="I560" t="s">
        <v>76</v>
      </c>
      <c r="J560" t="s">
        <v>77</v>
      </c>
      <c r="K560" t="s">
        <v>122</v>
      </c>
      <c r="L560" t="s">
        <v>82</v>
      </c>
      <c r="M560" t="s">
        <v>80</v>
      </c>
      <c r="N560" t="s">
        <v>79</v>
      </c>
      <c r="O560" t="s">
        <v>109</v>
      </c>
      <c r="P560" t="s">
        <v>82</v>
      </c>
      <c r="Q560" t="s">
        <v>103</v>
      </c>
      <c r="R560" t="s">
        <v>79</v>
      </c>
      <c r="S560" t="s">
        <v>84</v>
      </c>
      <c r="T560" t="s">
        <v>119</v>
      </c>
      <c r="U560" t="s">
        <v>79</v>
      </c>
      <c r="V560" t="s">
        <v>106</v>
      </c>
      <c r="W560" t="s">
        <v>141</v>
      </c>
      <c r="Y560" t="s">
        <v>93</v>
      </c>
      <c r="Z560" t="s">
        <v>93</v>
      </c>
      <c r="AA560" t="s">
        <v>93</v>
      </c>
      <c r="AB560" t="s">
        <v>93</v>
      </c>
      <c r="AC560" t="s">
        <v>92</v>
      </c>
      <c r="AD560" t="s">
        <v>95</v>
      </c>
      <c r="AE560" t="s">
        <v>95</v>
      </c>
      <c r="AF560" t="s">
        <v>93</v>
      </c>
      <c r="AG560" t="s">
        <v>93</v>
      </c>
      <c r="AH560" t="s">
        <v>93</v>
      </c>
      <c r="AI560" t="s">
        <v>93</v>
      </c>
      <c r="AJ560" t="s">
        <v>92</v>
      </c>
      <c r="AK560" t="s">
        <v>93</v>
      </c>
      <c r="AL560" t="s">
        <v>95</v>
      </c>
      <c r="AM560" t="s">
        <v>95</v>
      </c>
      <c r="AN560" t="s">
        <v>93</v>
      </c>
      <c r="AO560" t="s">
        <v>93</v>
      </c>
      <c r="AP560" t="s">
        <v>93</v>
      </c>
      <c r="AQ560" t="s">
        <v>95</v>
      </c>
      <c r="AR560" t="s">
        <v>95</v>
      </c>
      <c r="AS560" t="s">
        <v>95</v>
      </c>
      <c r="AT560" t="s">
        <v>95</v>
      </c>
      <c r="AU560" t="s">
        <v>93</v>
      </c>
      <c r="AV560" t="s">
        <v>93</v>
      </c>
      <c r="AW560" t="s">
        <v>93</v>
      </c>
      <c r="AX560" t="s">
        <v>95</v>
      </c>
      <c r="AY560" t="s">
        <v>95</v>
      </c>
      <c r="AZ560" t="s">
        <v>95</v>
      </c>
    </row>
    <row r="561" spans="1:60" x14ac:dyDescent="0.3">
      <c r="A561">
        <v>23</v>
      </c>
      <c r="B561" t="s">
        <v>70</v>
      </c>
      <c r="C561" t="s">
        <v>71</v>
      </c>
      <c r="D561" t="s">
        <v>72</v>
      </c>
      <c r="E561" t="s">
        <v>114</v>
      </c>
      <c r="F561" t="s">
        <v>136</v>
      </c>
      <c r="G561" t="s">
        <v>302</v>
      </c>
      <c r="H561" t="s">
        <v>136</v>
      </c>
      <c r="I561" t="s">
        <v>115</v>
      </c>
      <c r="J561" t="s">
        <v>77</v>
      </c>
      <c r="K561" t="s">
        <v>125</v>
      </c>
      <c r="L561" t="s">
        <v>79</v>
      </c>
      <c r="M561" t="s">
        <v>132</v>
      </c>
      <c r="N561" t="s">
        <v>79</v>
      </c>
      <c r="O561" t="s">
        <v>81</v>
      </c>
      <c r="P561" t="s">
        <v>82</v>
      </c>
      <c r="Q561" t="s">
        <v>83</v>
      </c>
      <c r="R561" t="s">
        <v>82</v>
      </c>
      <c r="S561" t="s">
        <v>145</v>
      </c>
      <c r="T561" t="s">
        <v>85</v>
      </c>
      <c r="U561" t="s">
        <v>82</v>
      </c>
      <c r="V561" t="s">
        <v>106</v>
      </c>
      <c r="W561" t="s">
        <v>87</v>
      </c>
      <c r="X561" t="s">
        <v>260</v>
      </c>
      <c r="Y561" t="s">
        <v>92</v>
      </c>
      <c r="Z561" t="s">
        <v>93</v>
      </c>
      <c r="AA561" t="s">
        <v>93</v>
      </c>
      <c r="AB561" t="s">
        <v>93</v>
      </c>
      <c r="AC561" t="s">
        <v>94</v>
      </c>
      <c r="AD561" t="s">
        <v>94</v>
      </c>
      <c r="AE561" t="s">
        <v>94</v>
      </c>
      <c r="AF561" t="s">
        <v>95</v>
      </c>
      <c r="AG561" t="s">
        <v>95</v>
      </c>
      <c r="AH561" t="s">
        <v>94</v>
      </c>
      <c r="AI561" t="s">
        <v>93</v>
      </c>
      <c r="AJ561" t="s">
        <v>93</v>
      </c>
      <c r="AK561" t="s">
        <v>93</v>
      </c>
      <c r="AL561" t="s">
        <v>94</v>
      </c>
      <c r="AM561" t="s">
        <v>94</v>
      </c>
      <c r="AN561" t="s">
        <v>93</v>
      </c>
      <c r="AO561" t="s">
        <v>93</v>
      </c>
      <c r="AP561" t="s">
        <v>93</v>
      </c>
      <c r="AQ561" t="s">
        <v>95</v>
      </c>
      <c r="AR561" t="s">
        <v>95</v>
      </c>
      <c r="AS561" t="s">
        <v>95</v>
      </c>
      <c r="AT561" t="s">
        <v>95</v>
      </c>
      <c r="AU561" t="s">
        <v>95</v>
      </c>
      <c r="AV561" t="s">
        <v>94</v>
      </c>
      <c r="AW561" t="s">
        <v>94</v>
      </c>
      <c r="AX561" t="s">
        <v>94</v>
      </c>
      <c r="AY561" t="s">
        <v>95</v>
      </c>
      <c r="AZ561" t="s">
        <v>95</v>
      </c>
      <c r="BA561" t="s">
        <v>93</v>
      </c>
      <c r="BB561" t="s">
        <v>93</v>
      </c>
      <c r="BC561" t="s">
        <v>93</v>
      </c>
      <c r="BD561" t="s">
        <v>93</v>
      </c>
      <c r="BE561" t="s">
        <v>93</v>
      </c>
      <c r="BF561" t="s">
        <v>95</v>
      </c>
      <c r="BG561" t="s">
        <v>94</v>
      </c>
      <c r="BH561" t="s">
        <v>95</v>
      </c>
    </row>
    <row r="562" spans="1:60" x14ac:dyDescent="0.3">
      <c r="A562">
        <v>24</v>
      </c>
      <c r="B562" t="s">
        <v>70</v>
      </c>
      <c r="C562" t="s">
        <v>71</v>
      </c>
      <c r="D562" t="s">
        <v>149</v>
      </c>
      <c r="E562" t="s">
        <v>114</v>
      </c>
      <c r="F562" t="s">
        <v>136</v>
      </c>
      <c r="G562" t="s">
        <v>135</v>
      </c>
      <c r="H562" t="s">
        <v>98</v>
      </c>
      <c r="I562" t="s">
        <v>76</v>
      </c>
      <c r="J562" t="s">
        <v>77</v>
      </c>
      <c r="K562" t="s">
        <v>125</v>
      </c>
      <c r="L562" t="s">
        <v>82</v>
      </c>
      <c r="M562" t="s">
        <v>80</v>
      </c>
      <c r="N562" t="s">
        <v>79</v>
      </c>
      <c r="O562" t="s">
        <v>109</v>
      </c>
      <c r="P562" t="s">
        <v>79</v>
      </c>
      <c r="Q562" t="s">
        <v>103</v>
      </c>
      <c r="R562" t="s">
        <v>79</v>
      </c>
      <c r="S562" t="s">
        <v>84</v>
      </c>
      <c r="T562" t="s">
        <v>152</v>
      </c>
      <c r="U562" t="s">
        <v>82</v>
      </c>
      <c r="V562" t="s">
        <v>86</v>
      </c>
      <c r="W562" t="s">
        <v>120</v>
      </c>
      <c r="X562" t="s">
        <v>112</v>
      </c>
      <c r="Y562" t="s">
        <v>93</v>
      </c>
      <c r="Z562" t="s">
        <v>93</v>
      </c>
      <c r="AA562" t="s">
        <v>94</v>
      </c>
      <c r="AB562" t="s">
        <v>93</v>
      </c>
      <c r="AC562" t="s">
        <v>95</v>
      </c>
      <c r="AD562" t="s">
        <v>94</v>
      </c>
      <c r="AE562" t="s">
        <v>93</v>
      </c>
      <c r="AF562" t="s">
        <v>92</v>
      </c>
      <c r="AG562" t="s">
        <v>94</v>
      </c>
      <c r="AH562" t="s">
        <v>92</v>
      </c>
      <c r="AI562" t="s">
        <v>92</v>
      </c>
      <c r="AJ562" t="s">
        <v>94</v>
      </c>
      <c r="AK562" t="s">
        <v>94</v>
      </c>
      <c r="AL562" t="s">
        <v>94</v>
      </c>
      <c r="AM562" t="s">
        <v>93</v>
      </c>
      <c r="AN562" t="s">
        <v>93</v>
      </c>
      <c r="AO562" t="s">
        <v>93</v>
      </c>
      <c r="AP562" t="s">
        <v>93</v>
      </c>
      <c r="AQ562" t="s">
        <v>95</v>
      </c>
      <c r="AR562" t="s">
        <v>95</v>
      </c>
      <c r="AS562" t="s">
        <v>95</v>
      </c>
      <c r="AT562" t="s">
        <v>95</v>
      </c>
      <c r="AU562" t="s">
        <v>92</v>
      </c>
      <c r="AV562" t="s">
        <v>95</v>
      </c>
      <c r="AW562" t="s">
        <v>95</v>
      </c>
      <c r="AX562" t="s">
        <v>94</v>
      </c>
      <c r="AY562" t="s">
        <v>93</v>
      </c>
      <c r="AZ562" t="s">
        <v>94</v>
      </c>
      <c r="BA562" t="s">
        <v>93</v>
      </c>
      <c r="BB562" t="s">
        <v>94</v>
      </c>
      <c r="BC562" t="s">
        <v>93</v>
      </c>
      <c r="BD562" t="s">
        <v>93</v>
      </c>
      <c r="BE562" t="s">
        <v>93</v>
      </c>
      <c r="BF562" t="s">
        <v>94</v>
      </c>
      <c r="BG562" t="s">
        <v>94</v>
      </c>
      <c r="BH562" t="s">
        <v>94</v>
      </c>
    </row>
    <row r="563" spans="1:60" x14ac:dyDescent="0.3">
      <c r="A563">
        <v>22</v>
      </c>
      <c r="B563" t="s">
        <v>70</v>
      </c>
      <c r="C563" t="s">
        <v>113</v>
      </c>
      <c r="D563" t="s">
        <v>97</v>
      </c>
      <c r="E563" t="s">
        <v>114</v>
      </c>
      <c r="F563" t="s">
        <v>74</v>
      </c>
      <c r="G563" t="s">
        <v>99</v>
      </c>
      <c r="H563" t="s">
        <v>98</v>
      </c>
      <c r="I563" t="s">
        <v>76</v>
      </c>
      <c r="J563" t="s">
        <v>77</v>
      </c>
      <c r="K563" t="s">
        <v>122</v>
      </c>
      <c r="L563" t="s">
        <v>82</v>
      </c>
      <c r="M563" t="s">
        <v>80</v>
      </c>
      <c r="N563" t="s">
        <v>79</v>
      </c>
      <c r="O563" t="s">
        <v>117</v>
      </c>
      <c r="P563" t="s">
        <v>79</v>
      </c>
      <c r="Q563" t="s">
        <v>83</v>
      </c>
      <c r="R563" t="s">
        <v>82</v>
      </c>
      <c r="S563" t="s">
        <v>253</v>
      </c>
      <c r="T563" t="s">
        <v>159</v>
      </c>
      <c r="U563" t="s">
        <v>82</v>
      </c>
      <c r="V563" t="s">
        <v>106</v>
      </c>
      <c r="W563" t="s">
        <v>87</v>
      </c>
      <c r="X563" t="s">
        <v>112</v>
      </c>
      <c r="Y563" t="s">
        <v>93</v>
      </c>
      <c r="Z563" t="s">
        <v>93</v>
      </c>
      <c r="AA563" t="s">
        <v>93</v>
      </c>
      <c r="AB563" t="s">
        <v>93</v>
      </c>
      <c r="AC563" t="s">
        <v>93</v>
      </c>
      <c r="AD563" t="s">
        <v>93</v>
      </c>
      <c r="AE563" t="s">
        <v>94</v>
      </c>
      <c r="AF563" t="s">
        <v>93</v>
      </c>
      <c r="AG563" t="s">
        <v>93</v>
      </c>
      <c r="AH563" t="s">
        <v>93</v>
      </c>
      <c r="AI563" t="s">
        <v>93</v>
      </c>
      <c r="AJ563" t="s">
        <v>93</v>
      </c>
      <c r="AK563" t="s">
        <v>93</v>
      </c>
      <c r="AL563" t="s">
        <v>95</v>
      </c>
      <c r="AM563" t="s">
        <v>94</v>
      </c>
      <c r="AN563" t="s">
        <v>93</v>
      </c>
      <c r="AO563" t="s">
        <v>93</v>
      </c>
      <c r="AP563" t="s">
        <v>95</v>
      </c>
      <c r="AQ563" t="s">
        <v>95</v>
      </c>
      <c r="AR563" t="s">
        <v>94</v>
      </c>
      <c r="AS563" t="s">
        <v>95</v>
      </c>
      <c r="AT563" t="s">
        <v>95</v>
      </c>
      <c r="AU563" t="s">
        <v>93</v>
      </c>
      <c r="AV563" t="s">
        <v>94</v>
      </c>
      <c r="AW563" t="s">
        <v>95</v>
      </c>
      <c r="AX563" t="s">
        <v>95</v>
      </c>
      <c r="AY563" t="s">
        <v>95</v>
      </c>
      <c r="AZ563" t="s">
        <v>95</v>
      </c>
      <c r="BA563" t="s">
        <v>93</v>
      </c>
      <c r="BB563" t="s">
        <v>93</v>
      </c>
      <c r="BC563" t="s">
        <v>93</v>
      </c>
      <c r="BD563" t="s">
        <v>93</v>
      </c>
      <c r="BE563" t="s">
        <v>93</v>
      </c>
      <c r="BF563" t="s">
        <v>95</v>
      </c>
      <c r="BG563" t="s">
        <v>95</v>
      </c>
      <c r="BH563" t="s">
        <v>94</v>
      </c>
    </row>
    <row r="564" spans="1:60" x14ac:dyDescent="0.3">
      <c r="A564">
        <v>23</v>
      </c>
      <c r="B564" t="s">
        <v>128</v>
      </c>
      <c r="C564" t="s">
        <v>113</v>
      </c>
      <c r="D564" t="s">
        <v>72</v>
      </c>
      <c r="E564" t="s">
        <v>114</v>
      </c>
      <c r="F564" t="s">
        <v>74</v>
      </c>
      <c r="G564" t="s">
        <v>75</v>
      </c>
      <c r="H564" t="s">
        <v>74</v>
      </c>
      <c r="I564" t="s">
        <v>75</v>
      </c>
      <c r="J564" t="s">
        <v>77</v>
      </c>
      <c r="K564" t="s">
        <v>78</v>
      </c>
      <c r="L564" t="s">
        <v>82</v>
      </c>
      <c r="M564" t="s">
        <v>80</v>
      </c>
      <c r="N564" t="s">
        <v>79</v>
      </c>
      <c r="O564" t="s">
        <v>133</v>
      </c>
      <c r="P564" t="s">
        <v>82</v>
      </c>
      <c r="Q564" t="s">
        <v>103</v>
      </c>
      <c r="R564" t="s">
        <v>79</v>
      </c>
      <c r="S564" t="s">
        <v>84</v>
      </c>
      <c r="T564" t="s">
        <v>159</v>
      </c>
      <c r="U564" t="s">
        <v>82</v>
      </c>
      <c r="V564" t="s">
        <v>86</v>
      </c>
      <c r="W564" t="s">
        <v>87</v>
      </c>
      <c r="X564" t="s">
        <v>112</v>
      </c>
      <c r="Y564" t="s">
        <v>94</v>
      </c>
      <c r="Z564" t="s">
        <v>94</v>
      </c>
      <c r="AA564" t="s">
        <v>94</v>
      </c>
      <c r="AB564" t="s">
        <v>94</v>
      </c>
      <c r="AC564" t="s">
        <v>94</v>
      </c>
      <c r="AD564" t="s">
        <v>94</v>
      </c>
      <c r="AE564" t="s">
        <v>94</v>
      </c>
      <c r="AF564" t="s">
        <v>94</v>
      </c>
      <c r="AG564" t="s">
        <v>94</v>
      </c>
      <c r="AH564" t="s">
        <v>94</v>
      </c>
      <c r="AI564" t="s">
        <v>94</v>
      </c>
      <c r="AJ564" t="s">
        <v>94</v>
      </c>
      <c r="AK564" t="s">
        <v>94</v>
      </c>
      <c r="AL564" t="s">
        <v>94</v>
      </c>
      <c r="AM564" t="s">
        <v>94</v>
      </c>
      <c r="AN564" t="s">
        <v>94</v>
      </c>
      <c r="AO564" t="s">
        <v>94</v>
      </c>
      <c r="AP564" t="s">
        <v>94</v>
      </c>
      <c r="AQ564" t="s">
        <v>94</v>
      </c>
      <c r="AR564" t="s">
        <v>94</v>
      </c>
      <c r="AS564" t="s">
        <v>94</v>
      </c>
      <c r="AT564" t="s">
        <v>94</v>
      </c>
      <c r="AU564" t="s">
        <v>94</v>
      </c>
      <c r="AV564" t="s">
        <v>94</v>
      </c>
      <c r="AW564" t="s">
        <v>94</v>
      </c>
      <c r="AX564" t="s">
        <v>94</v>
      </c>
      <c r="AY564" t="s">
        <v>94</v>
      </c>
      <c r="AZ564" t="s">
        <v>94</v>
      </c>
      <c r="BA564" t="s">
        <v>95</v>
      </c>
      <c r="BB564" t="s">
        <v>92</v>
      </c>
      <c r="BC564" t="s">
        <v>92</v>
      </c>
      <c r="BD564" t="s">
        <v>92</v>
      </c>
      <c r="BE564" t="s">
        <v>92</v>
      </c>
      <c r="BF564" t="s">
        <v>92</v>
      </c>
      <c r="BG564" t="s">
        <v>92</v>
      </c>
      <c r="BH564" t="s">
        <v>92</v>
      </c>
    </row>
    <row r="565" spans="1:60" x14ac:dyDescent="0.3">
      <c r="A565">
        <v>22</v>
      </c>
      <c r="B565" t="s">
        <v>70</v>
      </c>
      <c r="C565" t="s">
        <v>113</v>
      </c>
      <c r="D565" t="s">
        <v>72</v>
      </c>
      <c r="E565" t="s">
        <v>108</v>
      </c>
      <c r="F565" t="s">
        <v>74</v>
      </c>
      <c r="G565" t="s">
        <v>115</v>
      </c>
      <c r="H565" t="s">
        <v>136</v>
      </c>
      <c r="I565" t="s">
        <v>76</v>
      </c>
      <c r="J565" t="s">
        <v>77</v>
      </c>
      <c r="K565" t="s">
        <v>125</v>
      </c>
      <c r="L565" t="s">
        <v>79</v>
      </c>
      <c r="M565" t="s">
        <v>80</v>
      </c>
      <c r="N565" t="s">
        <v>79</v>
      </c>
      <c r="O565" t="s">
        <v>81</v>
      </c>
      <c r="P565" t="s">
        <v>82</v>
      </c>
      <c r="Q565" t="s">
        <v>83</v>
      </c>
      <c r="R565" t="s">
        <v>82</v>
      </c>
      <c r="S565" t="s">
        <v>84</v>
      </c>
      <c r="T565" t="s">
        <v>85</v>
      </c>
      <c r="U565" t="s">
        <v>82</v>
      </c>
      <c r="V565" t="s">
        <v>106</v>
      </c>
      <c r="W565" t="s">
        <v>120</v>
      </c>
      <c r="X565" t="s">
        <v>88</v>
      </c>
      <c r="Y565" t="s">
        <v>93</v>
      </c>
      <c r="Z565" t="s">
        <v>94</v>
      </c>
      <c r="AA565" t="s">
        <v>92</v>
      </c>
      <c r="AB565" t="s">
        <v>93</v>
      </c>
      <c r="AC565" t="s">
        <v>94</v>
      </c>
      <c r="AD565" t="s">
        <v>94</v>
      </c>
      <c r="AE565" t="s">
        <v>92</v>
      </c>
      <c r="AF565" t="s">
        <v>94</v>
      </c>
      <c r="AG565" t="s">
        <v>92</v>
      </c>
      <c r="AH565" t="s">
        <v>94</v>
      </c>
      <c r="AI565" t="s">
        <v>92</v>
      </c>
      <c r="AJ565" t="s">
        <v>94</v>
      </c>
      <c r="AK565" t="s">
        <v>92</v>
      </c>
      <c r="AL565" t="s">
        <v>94</v>
      </c>
      <c r="AM565" t="s">
        <v>92</v>
      </c>
      <c r="AN565" t="s">
        <v>94</v>
      </c>
      <c r="AO565" t="s">
        <v>92</v>
      </c>
      <c r="AP565" t="s">
        <v>94</v>
      </c>
      <c r="AQ565" t="s">
        <v>92</v>
      </c>
      <c r="AR565" t="s">
        <v>94</v>
      </c>
      <c r="AS565" t="s">
        <v>92</v>
      </c>
      <c r="AT565" t="s">
        <v>92</v>
      </c>
      <c r="AU565" t="s">
        <v>92</v>
      </c>
      <c r="AV565" t="s">
        <v>92</v>
      </c>
      <c r="AW565" t="s">
        <v>94</v>
      </c>
      <c r="AX565" t="s">
        <v>92</v>
      </c>
      <c r="AY565" t="s">
        <v>92</v>
      </c>
      <c r="AZ565" t="s">
        <v>92</v>
      </c>
      <c r="BA565" t="s">
        <v>94</v>
      </c>
      <c r="BB565" t="s">
        <v>92</v>
      </c>
      <c r="BC565" t="s">
        <v>94</v>
      </c>
      <c r="BD565" t="s">
        <v>92</v>
      </c>
      <c r="BE565" t="s">
        <v>92</v>
      </c>
      <c r="BF565" t="s">
        <v>94</v>
      </c>
      <c r="BG565" t="s">
        <v>92</v>
      </c>
      <c r="BH565" t="s">
        <v>94</v>
      </c>
    </row>
    <row r="566" spans="1:60" x14ac:dyDescent="0.3">
      <c r="A566">
        <v>23</v>
      </c>
      <c r="B566" t="s">
        <v>70</v>
      </c>
      <c r="C566" t="s">
        <v>71</v>
      </c>
      <c r="D566" t="s">
        <v>149</v>
      </c>
      <c r="E566" t="s">
        <v>108</v>
      </c>
      <c r="F566" t="s">
        <v>74</v>
      </c>
      <c r="G566" t="s">
        <v>75</v>
      </c>
      <c r="H566" t="s">
        <v>74</v>
      </c>
      <c r="I566" t="s">
        <v>115</v>
      </c>
      <c r="J566" t="s">
        <v>77</v>
      </c>
      <c r="K566" t="s">
        <v>122</v>
      </c>
      <c r="L566" t="s">
        <v>79</v>
      </c>
      <c r="M566" t="s">
        <v>80</v>
      </c>
      <c r="N566" t="s">
        <v>79</v>
      </c>
      <c r="O566" t="s">
        <v>138</v>
      </c>
      <c r="P566" t="s">
        <v>82</v>
      </c>
      <c r="Q566" t="s">
        <v>103</v>
      </c>
      <c r="R566" t="s">
        <v>79</v>
      </c>
      <c r="S566" t="s">
        <v>84</v>
      </c>
      <c r="T566" t="s">
        <v>124</v>
      </c>
      <c r="U566" t="s">
        <v>82</v>
      </c>
      <c r="V566" t="s">
        <v>86</v>
      </c>
      <c r="W566" t="s">
        <v>87</v>
      </c>
      <c r="X566" t="s">
        <v>303</v>
      </c>
      <c r="Y566" t="s">
        <v>93</v>
      </c>
      <c r="Z566" t="s">
        <v>93</v>
      </c>
      <c r="AA566" t="s">
        <v>93</v>
      </c>
      <c r="AB566" t="s">
        <v>93</v>
      </c>
      <c r="AC566" t="s">
        <v>94</v>
      </c>
      <c r="AD566" t="s">
        <v>94</v>
      </c>
      <c r="AE566" t="s">
        <v>94</v>
      </c>
      <c r="AF566" t="s">
        <v>93</v>
      </c>
      <c r="AG566" t="s">
        <v>93</v>
      </c>
      <c r="AH566" t="s">
        <v>93</v>
      </c>
      <c r="AI566" t="s">
        <v>93</v>
      </c>
      <c r="AJ566" t="s">
        <v>93</v>
      </c>
      <c r="AK566" t="s">
        <v>93</v>
      </c>
      <c r="AL566" t="s">
        <v>95</v>
      </c>
      <c r="AM566" t="s">
        <v>95</v>
      </c>
      <c r="AN566" t="s">
        <v>93</v>
      </c>
      <c r="AO566" t="s">
        <v>93</v>
      </c>
      <c r="AP566" t="s">
        <v>93</v>
      </c>
      <c r="AQ566" t="s">
        <v>95</v>
      </c>
      <c r="AR566" t="s">
        <v>95</v>
      </c>
      <c r="AS566" t="s">
        <v>95</v>
      </c>
      <c r="AT566" t="s">
        <v>95</v>
      </c>
      <c r="AU566" t="s">
        <v>93</v>
      </c>
      <c r="AV566" t="s">
        <v>94</v>
      </c>
      <c r="AW566" t="s">
        <v>94</v>
      </c>
      <c r="AX566" t="s">
        <v>95</v>
      </c>
      <c r="AY566" t="s">
        <v>95</v>
      </c>
      <c r="AZ566" t="s">
        <v>95</v>
      </c>
      <c r="BA566" t="s">
        <v>93</v>
      </c>
      <c r="BB566" t="s">
        <v>93</v>
      </c>
      <c r="BC566" t="s">
        <v>93</v>
      </c>
      <c r="BD566" t="s">
        <v>93</v>
      </c>
      <c r="BE566" t="s">
        <v>95</v>
      </c>
      <c r="BF566" t="s">
        <v>95</v>
      </c>
      <c r="BG566" t="s">
        <v>95</v>
      </c>
      <c r="BH566" t="s">
        <v>94</v>
      </c>
    </row>
    <row r="567" spans="1:60" x14ac:dyDescent="0.3">
      <c r="A567">
        <v>23</v>
      </c>
      <c r="B567" t="s">
        <v>70</v>
      </c>
      <c r="C567" t="s">
        <v>113</v>
      </c>
      <c r="D567" t="s">
        <v>72</v>
      </c>
      <c r="E567" t="s">
        <v>108</v>
      </c>
      <c r="F567" t="s">
        <v>74</v>
      </c>
      <c r="G567" t="s">
        <v>75</v>
      </c>
      <c r="H567" t="s">
        <v>136</v>
      </c>
      <c r="I567" t="s">
        <v>76</v>
      </c>
      <c r="J567" t="s">
        <v>77</v>
      </c>
      <c r="K567" t="s">
        <v>122</v>
      </c>
      <c r="L567" t="s">
        <v>79</v>
      </c>
      <c r="M567" t="s">
        <v>80</v>
      </c>
      <c r="N567" t="s">
        <v>82</v>
      </c>
      <c r="O567" t="s">
        <v>109</v>
      </c>
      <c r="P567" t="s">
        <v>82</v>
      </c>
      <c r="Q567" t="s">
        <v>83</v>
      </c>
      <c r="R567" t="s">
        <v>82</v>
      </c>
      <c r="S567" t="s">
        <v>84</v>
      </c>
      <c r="T567" t="s">
        <v>85</v>
      </c>
      <c r="U567" t="s">
        <v>82</v>
      </c>
      <c r="V567" t="s">
        <v>106</v>
      </c>
      <c r="W567" t="s">
        <v>141</v>
      </c>
      <c r="X567" t="s">
        <v>112</v>
      </c>
      <c r="Y567" t="s">
        <v>93</v>
      </c>
      <c r="Z567" t="s">
        <v>93</v>
      </c>
      <c r="AA567" t="s">
        <v>93</v>
      </c>
      <c r="AB567" t="s">
        <v>93</v>
      </c>
      <c r="AC567" t="s">
        <v>93</v>
      </c>
      <c r="AD567" t="s">
        <v>93</v>
      </c>
      <c r="AE567" t="s">
        <v>93</v>
      </c>
      <c r="AF567" t="s">
        <v>93</v>
      </c>
      <c r="AG567" t="s">
        <v>93</v>
      </c>
      <c r="AH567" t="s">
        <v>93</v>
      </c>
      <c r="AI567" t="s">
        <v>93</v>
      </c>
      <c r="AJ567" t="s">
        <v>93</v>
      </c>
      <c r="AK567" t="s">
        <v>93</v>
      </c>
      <c r="AL567" t="s">
        <v>93</v>
      </c>
      <c r="AM567" t="s">
        <v>93</v>
      </c>
      <c r="AN567" t="s">
        <v>93</v>
      </c>
      <c r="AO567" t="s">
        <v>93</v>
      </c>
      <c r="AP567" t="s">
        <v>93</v>
      </c>
      <c r="AQ567" t="s">
        <v>93</v>
      </c>
      <c r="AR567" t="s">
        <v>93</v>
      </c>
      <c r="AS567" t="s">
        <v>93</v>
      </c>
      <c r="AT567" t="s">
        <v>93</v>
      </c>
      <c r="AU567" t="s">
        <v>93</v>
      </c>
      <c r="AV567" t="s">
        <v>93</v>
      </c>
      <c r="AW567" t="s">
        <v>93</v>
      </c>
      <c r="AX567" t="s">
        <v>93</v>
      </c>
      <c r="AY567" t="s">
        <v>93</v>
      </c>
      <c r="AZ567" t="s">
        <v>93</v>
      </c>
      <c r="BA567" t="s">
        <v>93</v>
      </c>
      <c r="BB567" t="s">
        <v>95</v>
      </c>
      <c r="BC567" t="s">
        <v>93</v>
      </c>
      <c r="BD567" t="s">
        <v>93</v>
      </c>
      <c r="BE567" t="s">
        <v>93</v>
      </c>
      <c r="BF567" t="s">
        <v>93</v>
      </c>
      <c r="BG567" t="s">
        <v>93</v>
      </c>
      <c r="BH567" t="s">
        <v>93</v>
      </c>
    </row>
    <row r="568" spans="1:60" x14ac:dyDescent="0.3">
      <c r="A568">
        <v>23</v>
      </c>
      <c r="B568" t="s">
        <v>70</v>
      </c>
      <c r="C568" t="s">
        <v>71</v>
      </c>
      <c r="D568" t="s">
        <v>72</v>
      </c>
      <c r="E568" t="s">
        <v>114</v>
      </c>
      <c r="F568" t="s">
        <v>136</v>
      </c>
      <c r="G568" t="s">
        <v>135</v>
      </c>
      <c r="H568" t="s">
        <v>136</v>
      </c>
      <c r="I568" t="s">
        <v>76</v>
      </c>
      <c r="J568" t="s">
        <v>101</v>
      </c>
      <c r="K568" t="s">
        <v>125</v>
      </c>
      <c r="L568" t="s">
        <v>82</v>
      </c>
      <c r="M568" t="s">
        <v>80</v>
      </c>
      <c r="N568" t="s">
        <v>79</v>
      </c>
      <c r="O568" t="s">
        <v>117</v>
      </c>
      <c r="P568" t="s">
        <v>82</v>
      </c>
      <c r="Q568" t="s">
        <v>83</v>
      </c>
      <c r="R568" t="s">
        <v>79</v>
      </c>
      <c r="S568" t="s">
        <v>145</v>
      </c>
      <c r="T568" t="s">
        <v>152</v>
      </c>
      <c r="U568" t="s">
        <v>79</v>
      </c>
      <c r="V568" t="s">
        <v>86</v>
      </c>
      <c r="W568" t="s">
        <v>141</v>
      </c>
      <c r="X568" t="s">
        <v>88</v>
      </c>
      <c r="Y568" t="s">
        <v>92</v>
      </c>
      <c r="Z568" t="s">
        <v>93</v>
      </c>
      <c r="AA568" t="s">
        <v>93</v>
      </c>
      <c r="AB568" t="s">
        <v>93</v>
      </c>
      <c r="AC568" t="s">
        <v>94</v>
      </c>
      <c r="AD568" t="s">
        <v>94</v>
      </c>
      <c r="AE568" t="s">
        <v>92</v>
      </c>
      <c r="AF568" t="s">
        <v>94</v>
      </c>
      <c r="AG568" t="s">
        <v>93</v>
      </c>
      <c r="AH568" t="s">
        <v>93</v>
      </c>
      <c r="AI568" t="s">
        <v>93</v>
      </c>
      <c r="AJ568" t="s">
        <v>93</v>
      </c>
      <c r="AK568" t="s">
        <v>93</v>
      </c>
      <c r="AL568" t="s">
        <v>94</v>
      </c>
      <c r="AM568" t="s">
        <v>94</v>
      </c>
      <c r="AN568" t="s">
        <v>93</v>
      </c>
      <c r="AO568" t="s">
        <v>93</v>
      </c>
      <c r="AP568" t="s">
        <v>92</v>
      </c>
      <c r="AQ568" t="s">
        <v>94</v>
      </c>
      <c r="AR568" t="s">
        <v>95</v>
      </c>
      <c r="AS568" t="s">
        <v>95</v>
      </c>
      <c r="AT568" t="s">
        <v>94</v>
      </c>
      <c r="AU568" t="s">
        <v>93</v>
      </c>
      <c r="AV568" t="s">
        <v>93</v>
      </c>
      <c r="AW568" t="s">
        <v>93</v>
      </c>
      <c r="AX568" t="s">
        <v>94</v>
      </c>
      <c r="AY568" t="s">
        <v>94</v>
      </c>
      <c r="AZ568" t="s">
        <v>94</v>
      </c>
      <c r="BA568" t="s">
        <v>93</v>
      </c>
      <c r="BB568" t="s">
        <v>93</v>
      </c>
      <c r="BC568" t="s">
        <v>93</v>
      </c>
      <c r="BD568" t="s">
        <v>93</v>
      </c>
      <c r="BE568" t="s">
        <v>93</v>
      </c>
      <c r="BF568" t="s">
        <v>94</v>
      </c>
      <c r="BG568" t="s">
        <v>94</v>
      </c>
      <c r="BH568" t="s">
        <v>94</v>
      </c>
    </row>
    <row r="569" spans="1:60" x14ac:dyDescent="0.3">
      <c r="A569">
        <v>22</v>
      </c>
      <c r="B569" t="s">
        <v>70</v>
      </c>
      <c r="C569" t="s">
        <v>96</v>
      </c>
      <c r="D569" t="s">
        <v>72</v>
      </c>
      <c r="E569" t="s">
        <v>108</v>
      </c>
      <c r="F569" t="s">
        <v>136</v>
      </c>
      <c r="G569" t="s">
        <v>135</v>
      </c>
      <c r="H569" t="s">
        <v>98</v>
      </c>
      <c r="I569" t="s">
        <v>76</v>
      </c>
      <c r="J569" t="s">
        <v>101</v>
      </c>
      <c r="K569" t="s">
        <v>78</v>
      </c>
      <c r="L569" t="s">
        <v>79</v>
      </c>
      <c r="M569" t="s">
        <v>102</v>
      </c>
      <c r="N569" t="s">
        <v>79</v>
      </c>
      <c r="O569" t="s">
        <v>117</v>
      </c>
      <c r="P569" t="s">
        <v>82</v>
      </c>
      <c r="Q569" t="s">
        <v>83</v>
      </c>
      <c r="R569" t="s">
        <v>82</v>
      </c>
      <c r="S569" t="s">
        <v>84</v>
      </c>
      <c r="T569" t="s">
        <v>159</v>
      </c>
      <c r="U569" t="s">
        <v>82</v>
      </c>
      <c r="V569" t="s">
        <v>106</v>
      </c>
      <c r="W569" t="s">
        <v>141</v>
      </c>
      <c r="X569" t="s">
        <v>112</v>
      </c>
      <c r="Y569" t="s">
        <v>93</v>
      </c>
      <c r="Z569" t="s">
        <v>94</v>
      </c>
      <c r="AA569" t="s">
        <v>92</v>
      </c>
      <c r="AB569" t="s">
        <v>93</v>
      </c>
      <c r="AC569" t="s">
        <v>93</v>
      </c>
      <c r="AD569" t="s">
        <v>94</v>
      </c>
      <c r="AE569" t="s">
        <v>93</v>
      </c>
      <c r="AF569" t="s">
        <v>93</v>
      </c>
      <c r="AG569" t="s">
        <v>93</v>
      </c>
      <c r="AH569" t="s">
        <v>93</v>
      </c>
      <c r="AI569" t="s">
        <v>93</v>
      </c>
      <c r="AJ569" t="s">
        <v>94</v>
      </c>
      <c r="AK569" t="s">
        <v>92</v>
      </c>
      <c r="AL569" t="s">
        <v>93</v>
      </c>
      <c r="AM569" t="s">
        <v>95</v>
      </c>
      <c r="AN569" t="s">
        <v>93</v>
      </c>
      <c r="AO569" t="s">
        <v>93</v>
      </c>
      <c r="AP569" t="s">
        <v>93</v>
      </c>
      <c r="AQ569" t="s">
        <v>92</v>
      </c>
      <c r="AR569" t="s">
        <v>95</v>
      </c>
      <c r="AS569" t="s">
        <v>95</v>
      </c>
      <c r="AT569" t="s">
        <v>95</v>
      </c>
      <c r="AU569" t="s">
        <v>92</v>
      </c>
      <c r="AV569" t="s">
        <v>93</v>
      </c>
      <c r="AW569" t="s">
        <v>93</v>
      </c>
      <c r="AX569" t="s">
        <v>92</v>
      </c>
      <c r="AY569" t="s">
        <v>95</v>
      </c>
      <c r="AZ569" t="s">
        <v>95</v>
      </c>
      <c r="BA569" t="s">
        <v>93</v>
      </c>
      <c r="BB569" t="s">
        <v>93</v>
      </c>
      <c r="BC569" t="s">
        <v>93</v>
      </c>
      <c r="BD569" t="s">
        <v>93</v>
      </c>
      <c r="BE569" t="s">
        <v>93</v>
      </c>
      <c r="BF569" t="s">
        <v>95</v>
      </c>
      <c r="BG569" t="s">
        <v>92</v>
      </c>
      <c r="BH569" t="s">
        <v>94</v>
      </c>
    </row>
    <row r="570" spans="1:60" x14ac:dyDescent="0.3">
      <c r="A570">
        <v>20</v>
      </c>
      <c r="B570" t="s">
        <v>128</v>
      </c>
      <c r="C570" t="s">
        <v>157</v>
      </c>
      <c r="D570" t="s">
        <v>72</v>
      </c>
      <c r="E570" t="s">
        <v>73</v>
      </c>
      <c r="F570" t="s">
        <v>74</v>
      </c>
      <c r="G570" t="s">
        <v>115</v>
      </c>
      <c r="H570" t="s">
        <v>74</v>
      </c>
      <c r="I570" t="s">
        <v>76</v>
      </c>
      <c r="J570" t="s">
        <v>77</v>
      </c>
      <c r="K570" t="s">
        <v>78</v>
      </c>
      <c r="L570" t="s">
        <v>79</v>
      </c>
      <c r="M570" t="s">
        <v>80</v>
      </c>
      <c r="N570" t="s">
        <v>82</v>
      </c>
      <c r="O570" t="s">
        <v>117</v>
      </c>
      <c r="P570" t="s">
        <v>82</v>
      </c>
      <c r="Q570" t="s">
        <v>83</v>
      </c>
      <c r="R570" t="s">
        <v>79</v>
      </c>
      <c r="S570" t="s">
        <v>145</v>
      </c>
      <c r="T570" t="s">
        <v>124</v>
      </c>
      <c r="U570" t="s">
        <v>82</v>
      </c>
      <c r="V570" t="s">
        <v>106</v>
      </c>
      <c r="W570" t="s">
        <v>141</v>
      </c>
      <c r="X570" t="s">
        <v>160</v>
      </c>
      <c r="Y570" t="s">
        <v>93</v>
      </c>
      <c r="Z570" t="s">
        <v>92</v>
      </c>
      <c r="AA570" t="s">
        <v>93</v>
      </c>
      <c r="AB570" t="s">
        <v>92</v>
      </c>
      <c r="AC570" t="s">
        <v>94</v>
      </c>
      <c r="AD570" t="s">
        <v>94</v>
      </c>
      <c r="AE570" t="s">
        <v>94</v>
      </c>
      <c r="AF570" t="s">
        <v>93</v>
      </c>
      <c r="AG570" t="s">
        <v>92</v>
      </c>
      <c r="AH570" t="s">
        <v>93</v>
      </c>
      <c r="AI570" t="s">
        <v>93</v>
      </c>
      <c r="AJ570" t="s">
        <v>93</v>
      </c>
      <c r="AK570" t="s">
        <v>93</v>
      </c>
      <c r="AL570" t="s">
        <v>94</v>
      </c>
      <c r="AM570" t="s">
        <v>94</v>
      </c>
      <c r="AN570" t="s">
        <v>92</v>
      </c>
      <c r="AO570" t="s">
        <v>92</v>
      </c>
      <c r="AP570" t="s">
        <v>93</v>
      </c>
      <c r="AQ570" t="s">
        <v>94</v>
      </c>
      <c r="AR570" t="s">
        <v>95</v>
      </c>
      <c r="AS570" t="s">
        <v>95</v>
      </c>
      <c r="AT570" t="s">
        <v>95</v>
      </c>
      <c r="AU570" t="s">
        <v>93</v>
      </c>
      <c r="AV570" t="s">
        <v>93</v>
      </c>
      <c r="AW570" t="s">
        <v>92</v>
      </c>
      <c r="AX570" t="s">
        <v>95</v>
      </c>
      <c r="AY570" t="s">
        <v>95</v>
      </c>
      <c r="AZ570" t="s">
        <v>95</v>
      </c>
      <c r="BA570" t="s">
        <v>93</v>
      </c>
      <c r="BB570" t="s">
        <v>93</v>
      </c>
      <c r="BC570" t="s">
        <v>93</v>
      </c>
      <c r="BD570" t="s">
        <v>93</v>
      </c>
      <c r="BE570" t="s">
        <v>93</v>
      </c>
      <c r="BF570" t="s">
        <v>95</v>
      </c>
      <c r="BG570" t="s">
        <v>94</v>
      </c>
      <c r="BH570" t="s">
        <v>95</v>
      </c>
    </row>
    <row r="571" spans="1:60" x14ac:dyDescent="0.3">
      <c r="A571" t="s">
        <v>304</v>
      </c>
      <c r="B571" t="s">
        <v>70</v>
      </c>
      <c r="C571" t="s">
        <v>157</v>
      </c>
      <c r="D571" t="s">
        <v>72</v>
      </c>
      <c r="E571" t="s">
        <v>114</v>
      </c>
      <c r="F571" t="s">
        <v>136</v>
      </c>
      <c r="G571" t="s">
        <v>75</v>
      </c>
      <c r="H571" t="s">
        <v>98</v>
      </c>
      <c r="I571" t="s">
        <v>76</v>
      </c>
      <c r="J571" t="s">
        <v>77</v>
      </c>
      <c r="K571" t="s">
        <v>125</v>
      </c>
      <c r="L571" t="s">
        <v>82</v>
      </c>
      <c r="M571" t="s">
        <v>80</v>
      </c>
      <c r="N571" t="s">
        <v>79</v>
      </c>
      <c r="O571" t="s">
        <v>117</v>
      </c>
      <c r="P571" t="s">
        <v>82</v>
      </c>
      <c r="Q571" t="s">
        <v>83</v>
      </c>
      <c r="R571" t="s">
        <v>79</v>
      </c>
      <c r="S571" t="s">
        <v>84</v>
      </c>
      <c r="T571" t="s">
        <v>140</v>
      </c>
      <c r="U571" t="s">
        <v>82</v>
      </c>
      <c r="V571" t="s">
        <v>86</v>
      </c>
      <c r="W571" t="s">
        <v>141</v>
      </c>
      <c r="X571" t="s">
        <v>112</v>
      </c>
      <c r="Y571" t="s">
        <v>92</v>
      </c>
      <c r="Z571" t="s">
        <v>94</v>
      </c>
      <c r="AA571" t="s">
        <v>92</v>
      </c>
      <c r="AB571" t="s">
        <v>92</v>
      </c>
      <c r="AC571" t="s">
        <v>92</v>
      </c>
      <c r="AD571" t="s">
        <v>92</v>
      </c>
      <c r="AE571" t="s">
        <v>92</v>
      </c>
      <c r="AF571" t="s">
        <v>92</v>
      </c>
      <c r="AG571" t="s">
        <v>92</v>
      </c>
      <c r="AH571" t="s">
        <v>92</v>
      </c>
      <c r="AI571" t="s">
        <v>92</v>
      </c>
      <c r="AJ571" t="s">
        <v>92</v>
      </c>
      <c r="AK571" t="s">
        <v>92</v>
      </c>
      <c r="AL571" t="s">
        <v>94</v>
      </c>
      <c r="AM571" t="s">
        <v>94</v>
      </c>
      <c r="AN571" t="s">
        <v>92</v>
      </c>
      <c r="AO571" t="s">
        <v>92</v>
      </c>
      <c r="AP571" t="s">
        <v>92</v>
      </c>
      <c r="AQ571" t="s">
        <v>92</v>
      </c>
      <c r="AR571" t="s">
        <v>95</v>
      </c>
      <c r="AS571" t="s">
        <v>95</v>
      </c>
      <c r="AT571" t="s">
        <v>94</v>
      </c>
      <c r="AU571" t="s">
        <v>93</v>
      </c>
      <c r="AV571" t="s">
        <v>93</v>
      </c>
      <c r="AW571" t="s">
        <v>93</v>
      </c>
      <c r="AX571" t="s">
        <v>95</v>
      </c>
      <c r="AY571" t="s">
        <v>95</v>
      </c>
      <c r="AZ571" t="s">
        <v>92</v>
      </c>
      <c r="BA571" t="s">
        <v>93</v>
      </c>
      <c r="BB571" t="s">
        <v>93</v>
      </c>
      <c r="BC571" t="s">
        <v>93</v>
      </c>
      <c r="BD571" t="s">
        <v>93</v>
      </c>
      <c r="BE571" t="s">
        <v>93</v>
      </c>
      <c r="BF571" t="s">
        <v>94</v>
      </c>
      <c r="BG571" t="s">
        <v>94</v>
      </c>
      <c r="BH571" t="s">
        <v>94</v>
      </c>
    </row>
    <row r="572" spans="1:60" x14ac:dyDescent="0.3">
      <c r="A572">
        <v>22</v>
      </c>
      <c r="B572" t="s">
        <v>128</v>
      </c>
      <c r="C572" t="s">
        <v>71</v>
      </c>
      <c r="D572" t="s">
        <v>72</v>
      </c>
      <c r="E572" t="s">
        <v>114</v>
      </c>
      <c r="F572" t="s">
        <v>98</v>
      </c>
      <c r="G572" t="s">
        <v>135</v>
      </c>
      <c r="H572" t="s">
        <v>98</v>
      </c>
      <c r="I572" t="s">
        <v>166</v>
      </c>
      <c r="J572" t="s">
        <v>77</v>
      </c>
      <c r="K572" t="s">
        <v>125</v>
      </c>
      <c r="L572" t="s">
        <v>82</v>
      </c>
      <c r="M572" t="s">
        <v>80</v>
      </c>
      <c r="N572" t="s">
        <v>82</v>
      </c>
      <c r="O572" t="s">
        <v>81</v>
      </c>
      <c r="P572" t="s">
        <v>82</v>
      </c>
      <c r="Q572" t="s">
        <v>118</v>
      </c>
      <c r="R572" t="s">
        <v>82</v>
      </c>
      <c r="S572" t="s">
        <v>126</v>
      </c>
      <c r="T572" t="s">
        <v>159</v>
      </c>
      <c r="U572" t="s">
        <v>82</v>
      </c>
      <c r="V572" t="s">
        <v>86</v>
      </c>
      <c r="W572" t="s">
        <v>87</v>
      </c>
      <c r="X572" t="s">
        <v>112</v>
      </c>
      <c r="Y572" t="s">
        <v>94</v>
      </c>
      <c r="Z572" t="s">
        <v>94</v>
      </c>
      <c r="AA572" t="s">
        <v>94</v>
      </c>
      <c r="AB572" t="s">
        <v>94</v>
      </c>
      <c r="AC572" t="s">
        <v>94</v>
      </c>
      <c r="AD572" t="s">
        <v>94</v>
      </c>
      <c r="AE572" t="s">
        <v>94</v>
      </c>
      <c r="AF572" t="s">
        <v>94</v>
      </c>
      <c r="AG572" t="s">
        <v>94</v>
      </c>
      <c r="AH572" t="s">
        <v>94</v>
      </c>
      <c r="AI572" t="s">
        <v>94</v>
      </c>
      <c r="AJ572" t="s">
        <v>94</v>
      </c>
      <c r="AK572" t="s">
        <v>94</v>
      </c>
      <c r="AL572" t="s">
        <v>94</v>
      </c>
      <c r="AM572" t="s">
        <v>94</v>
      </c>
      <c r="AN572" t="s">
        <v>95</v>
      </c>
      <c r="AO572" t="s">
        <v>95</v>
      </c>
      <c r="AP572" t="s">
        <v>95</v>
      </c>
      <c r="AQ572" t="s">
        <v>95</v>
      </c>
      <c r="AR572" t="s">
        <v>95</v>
      </c>
      <c r="AS572" t="s">
        <v>95</v>
      </c>
      <c r="AT572" t="s">
        <v>95</v>
      </c>
      <c r="AU572" t="s">
        <v>95</v>
      </c>
      <c r="AV572" t="s">
        <v>94</v>
      </c>
      <c r="AW572" t="s">
        <v>94</v>
      </c>
      <c r="AX572" t="s">
        <v>94</v>
      </c>
      <c r="AY572" t="s">
        <v>94</v>
      </c>
      <c r="AZ572" t="s">
        <v>94</v>
      </c>
      <c r="BA572" t="s">
        <v>94</v>
      </c>
      <c r="BB572" t="s">
        <v>94</v>
      </c>
      <c r="BC572" t="s">
        <v>95</v>
      </c>
      <c r="BD572" t="s">
        <v>94</v>
      </c>
      <c r="BE572" t="s">
        <v>94</v>
      </c>
      <c r="BF572" t="s">
        <v>94</v>
      </c>
      <c r="BG572" t="s">
        <v>94</v>
      </c>
      <c r="BH572" t="s">
        <v>95</v>
      </c>
    </row>
    <row r="573" spans="1:60" x14ac:dyDescent="0.3">
      <c r="A573">
        <v>23</v>
      </c>
      <c r="B573" t="s">
        <v>128</v>
      </c>
      <c r="C573" t="s">
        <v>71</v>
      </c>
      <c r="D573" t="s">
        <v>72</v>
      </c>
      <c r="E573" t="s">
        <v>108</v>
      </c>
      <c r="F573" t="s">
        <v>98</v>
      </c>
      <c r="G573" t="s">
        <v>135</v>
      </c>
      <c r="H573" t="s">
        <v>98</v>
      </c>
      <c r="I573" t="s">
        <v>76</v>
      </c>
      <c r="J573" t="s">
        <v>77</v>
      </c>
      <c r="K573" t="s">
        <v>122</v>
      </c>
      <c r="L573" t="s">
        <v>79</v>
      </c>
      <c r="M573" t="s">
        <v>80</v>
      </c>
      <c r="N573" t="s">
        <v>79</v>
      </c>
      <c r="O573" t="s">
        <v>81</v>
      </c>
      <c r="P573" t="s">
        <v>82</v>
      </c>
      <c r="Q573" t="s">
        <v>83</v>
      </c>
      <c r="R573" t="s">
        <v>82</v>
      </c>
      <c r="S573" t="s">
        <v>84</v>
      </c>
      <c r="T573" t="s">
        <v>140</v>
      </c>
      <c r="U573" t="s">
        <v>82</v>
      </c>
      <c r="V573" t="s">
        <v>106</v>
      </c>
      <c r="W573" t="s">
        <v>87</v>
      </c>
      <c r="X573" t="s">
        <v>121</v>
      </c>
      <c r="Y573" t="s">
        <v>94</v>
      </c>
      <c r="Z573" t="s">
        <v>94</v>
      </c>
      <c r="AA573" t="s">
        <v>94</v>
      </c>
      <c r="AB573" t="s">
        <v>94</v>
      </c>
      <c r="AC573" t="s">
        <v>94</v>
      </c>
      <c r="AD573" t="s">
        <v>94</v>
      </c>
      <c r="AE573" t="s">
        <v>94</v>
      </c>
      <c r="AF573" t="s">
        <v>94</v>
      </c>
      <c r="AG573" t="s">
        <v>94</v>
      </c>
      <c r="AH573" t="s">
        <v>94</v>
      </c>
      <c r="AI573" t="s">
        <v>94</v>
      </c>
      <c r="AJ573" t="s">
        <v>94</v>
      </c>
      <c r="AK573" t="s">
        <v>94</v>
      </c>
      <c r="AL573" t="s">
        <v>94</v>
      </c>
      <c r="AM573" t="s">
        <v>94</v>
      </c>
      <c r="AN573" t="s">
        <v>93</v>
      </c>
      <c r="AO573" t="s">
        <v>93</v>
      </c>
      <c r="AP573" t="s">
        <v>93</v>
      </c>
      <c r="AQ573" t="s">
        <v>93</v>
      </c>
      <c r="AR573" t="s">
        <v>93</v>
      </c>
      <c r="AS573" t="s">
        <v>93</v>
      </c>
      <c r="AT573" t="s">
        <v>93</v>
      </c>
      <c r="AU573" t="s">
        <v>95</v>
      </c>
      <c r="AV573" t="s">
        <v>95</v>
      </c>
      <c r="AW573" t="s">
        <v>95</v>
      </c>
      <c r="AX573" t="s">
        <v>95</v>
      </c>
      <c r="AY573" t="s">
        <v>95</v>
      </c>
      <c r="AZ573" t="s">
        <v>95</v>
      </c>
      <c r="BA573" t="s">
        <v>93</v>
      </c>
      <c r="BB573" t="s">
        <v>93</v>
      </c>
      <c r="BC573" t="s">
        <v>93</v>
      </c>
      <c r="BD573" t="s">
        <v>93</v>
      </c>
      <c r="BE573" t="s">
        <v>93</v>
      </c>
      <c r="BF573" t="s">
        <v>93</v>
      </c>
      <c r="BG573" t="s">
        <v>93</v>
      </c>
      <c r="BH573" t="s">
        <v>93</v>
      </c>
    </row>
    <row r="574" spans="1:60" x14ac:dyDescent="0.3">
      <c r="A574" t="s">
        <v>305</v>
      </c>
      <c r="B574" t="s">
        <v>70</v>
      </c>
      <c r="C574" t="s">
        <v>96</v>
      </c>
      <c r="D574" t="s">
        <v>97</v>
      </c>
      <c r="E574" t="s">
        <v>114</v>
      </c>
      <c r="F574" t="s">
        <v>98</v>
      </c>
      <c r="G574" t="s">
        <v>306</v>
      </c>
      <c r="H574" t="s">
        <v>100</v>
      </c>
      <c r="I574" t="s">
        <v>76</v>
      </c>
      <c r="J574" t="s">
        <v>77</v>
      </c>
      <c r="K574" t="s">
        <v>125</v>
      </c>
      <c r="L574" t="s">
        <v>79</v>
      </c>
      <c r="M574" t="s">
        <v>80</v>
      </c>
      <c r="N574" t="s">
        <v>79</v>
      </c>
      <c r="O574" t="s">
        <v>179</v>
      </c>
      <c r="P574" t="s">
        <v>79</v>
      </c>
      <c r="Q574" t="s">
        <v>83</v>
      </c>
      <c r="R574" t="s">
        <v>79</v>
      </c>
      <c r="S574" t="s">
        <v>84</v>
      </c>
      <c r="T574" t="s">
        <v>238</v>
      </c>
      <c r="U574" t="s">
        <v>79</v>
      </c>
      <c r="V574" t="s">
        <v>106</v>
      </c>
      <c r="W574" t="s">
        <v>87</v>
      </c>
      <c r="X574" t="s">
        <v>307</v>
      </c>
      <c r="Y574" t="s">
        <v>94</v>
      </c>
      <c r="Z574" t="s">
        <v>95</v>
      </c>
      <c r="AA574" t="s">
        <v>92</v>
      </c>
      <c r="AB574" t="s">
        <v>94</v>
      </c>
      <c r="AC574" t="s">
        <v>95</v>
      </c>
      <c r="AD574" t="s">
        <v>94</v>
      </c>
      <c r="AE574" t="s">
        <v>92</v>
      </c>
      <c r="AF574" t="s">
        <v>95</v>
      </c>
      <c r="AG574" t="s">
        <v>94</v>
      </c>
      <c r="AH574" t="s">
        <v>94</v>
      </c>
      <c r="AI574" t="s">
        <v>95</v>
      </c>
      <c r="AJ574" t="s">
        <v>94</v>
      </c>
      <c r="AK574" t="s">
        <v>95</v>
      </c>
      <c r="AL574" t="s">
        <v>94</v>
      </c>
      <c r="AM574" t="s">
        <v>95</v>
      </c>
      <c r="AN574" t="s">
        <v>94</v>
      </c>
      <c r="AO574" t="s">
        <v>94</v>
      </c>
      <c r="AP574" t="s">
        <v>95</v>
      </c>
      <c r="AQ574" t="s">
        <v>92</v>
      </c>
      <c r="AR574" t="s">
        <v>92</v>
      </c>
      <c r="AS574" t="s">
        <v>93</v>
      </c>
      <c r="AT574" t="s">
        <v>94</v>
      </c>
      <c r="AU574" t="s">
        <v>94</v>
      </c>
      <c r="AV574" t="s">
        <v>94</v>
      </c>
      <c r="AW574" t="s">
        <v>92</v>
      </c>
      <c r="AX574" t="s">
        <v>94</v>
      </c>
      <c r="AY574" t="s">
        <v>93</v>
      </c>
      <c r="AZ574" t="s">
        <v>94</v>
      </c>
      <c r="BA574" t="s">
        <v>95</v>
      </c>
      <c r="BB574" t="s">
        <v>94</v>
      </c>
      <c r="BD574" t="s">
        <v>94</v>
      </c>
      <c r="BE574" t="s">
        <v>92</v>
      </c>
      <c r="BF574" t="s">
        <v>92</v>
      </c>
      <c r="BG574" t="s">
        <v>92</v>
      </c>
      <c r="BH574" t="s">
        <v>94</v>
      </c>
    </row>
    <row r="575" spans="1:60" x14ac:dyDescent="0.3">
      <c r="A575">
        <v>23</v>
      </c>
      <c r="B575" t="s">
        <v>70</v>
      </c>
      <c r="C575" t="s">
        <v>113</v>
      </c>
      <c r="D575" t="s">
        <v>72</v>
      </c>
      <c r="E575" t="s">
        <v>73</v>
      </c>
      <c r="F575" t="s">
        <v>74</v>
      </c>
      <c r="G575" t="s">
        <v>115</v>
      </c>
      <c r="H575" t="s">
        <v>136</v>
      </c>
      <c r="I575" t="s">
        <v>115</v>
      </c>
      <c r="J575" t="s">
        <v>77</v>
      </c>
      <c r="K575" t="s">
        <v>131</v>
      </c>
      <c r="L575" t="s">
        <v>79</v>
      </c>
      <c r="M575" t="s">
        <v>80</v>
      </c>
      <c r="N575" t="s">
        <v>79</v>
      </c>
      <c r="O575" t="s">
        <v>81</v>
      </c>
      <c r="P575" t="s">
        <v>82</v>
      </c>
      <c r="Q575" t="s">
        <v>83</v>
      </c>
      <c r="R575" t="s">
        <v>79</v>
      </c>
      <c r="S575" t="s">
        <v>145</v>
      </c>
      <c r="T575" t="s">
        <v>266</v>
      </c>
      <c r="U575" t="s">
        <v>79</v>
      </c>
      <c r="V575" t="s">
        <v>86</v>
      </c>
      <c r="W575" t="s">
        <v>141</v>
      </c>
      <c r="X575" t="s">
        <v>112</v>
      </c>
      <c r="Y575" t="s">
        <v>92</v>
      </c>
      <c r="Z575" t="s">
        <v>93</v>
      </c>
      <c r="AA575" t="s">
        <v>93</v>
      </c>
      <c r="AB575" t="s">
        <v>92</v>
      </c>
      <c r="AC575" t="s">
        <v>94</v>
      </c>
      <c r="AD575" t="s">
        <v>95</v>
      </c>
      <c r="AE575" t="s">
        <v>95</v>
      </c>
      <c r="AF575" t="s">
        <v>94</v>
      </c>
      <c r="AG575" t="s">
        <v>94</v>
      </c>
      <c r="AH575" t="s">
        <v>92</v>
      </c>
      <c r="AI575" t="s">
        <v>93</v>
      </c>
      <c r="AJ575" t="s">
        <v>94</v>
      </c>
      <c r="AK575" t="s">
        <v>94</v>
      </c>
      <c r="AL575" t="s">
        <v>95</v>
      </c>
      <c r="AM575" t="s">
        <v>94</v>
      </c>
      <c r="AN575" t="s">
        <v>93</v>
      </c>
      <c r="AO575" t="s">
        <v>93</v>
      </c>
      <c r="AP575" t="s">
        <v>93</v>
      </c>
      <c r="AQ575" t="s">
        <v>95</v>
      </c>
      <c r="AR575" t="s">
        <v>95</v>
      </c>
      <c r="AS575" t="s">
        <v>95</v>
      </c>
      <c r="AT575" t="s">
        <v>95</v>
      </c>
      <c r="AU575" t="s">
        <v>92</v>
      </c>
      <c r="AV575" t="s">
        <v>94</v>
      </c>
      <c r="AW575" t="s">
        <v>92</v>
      </c>
      <c r="AX575" t="s">
        <v>94</v>
      </c>
      <c r="AY575" t="s">
        <v>94</v>
      </c>
      <c r="AZ575" t="s">
        <v>95</v>
      </c>
      <c r="BA575" t="s">
        <v>93</v>
      </c>
      <c r="BB575" t="s">
        <v>92</v>
      </c>
      <c r="BC575" t="s">
        <v>93</v>
      </c>
      <c r="BD575" t="s">
        <v>92</v>
      </c>
      <c r="BE575" t="s">
        <v>92</v>
      </c>
      <c r="BF575" t="s">
        <v>92</v>
      </c>
      <c r="BG575" t="s">
        <v>93</v>
      </c>
      <c r="BH575" t="s">
        <v>92</v>
      </c>
    </row>
    <row r="576" spans="1:60" x14ac:dyDescent="0.3">
      <c r="A576">
        <v>23</v>
      </c>
      <c r="B576" t="s">
        <v>70</v>
      </c>
      <c r="C576" t="s">
        <v>113</v>
      </c>
      <c r="D576" t="s">
        <v>72</v>
      </c>
      <c r="E576" t="s">
        <v>73</v>
      </c>
      <c r="F576" t="s">
        <v>136</v>
      </c>
      <c r="G576" t="s">
        <v>135</v>
      </c>
      <c r="H576" t="s">
        <v>136</v>
      </c>
      <c r="I576" t="s">
        <v>76</v>
      </c>
      <c r="J576" t="s">
        <v>77</v>
      </c>
      <c r="K576" t="s">
        <v>131</v>
      </c>
      <c r="L576" t="s">
        <v>82</v>
      </c>
      <c r="M576" t="s">
        <v>80</v>
      </c>
      <c r="N576" t="s">
        <v>79</v>
      </c>
      <c r="O576" t="s">
        <v>117</v>
      </c>
      <c r="P576" t="s">
        <v>82</v>
      </c>
      <c r="Q576" t="s">
        <v>83</v>
      </c>
      <c r="R576" t="s">
        <v>82</v>
      </c>
      <c r="S576" t="s">
        <v>84</v>
      </c>
      <c r="T576" t="s">
        <v>85</v>
      </c>
      <c r="U576" t="s">
        <v>82</v>
      </c>
      <c r="V576" t="s">
        <v>106</v>
      </c>
      <c r="W576" t="s">
        <v>120</v>
      </c>
      <c r="Y576" t="s">
        <v>92</v>
      </c>
      <c r="Z576" t="s">
        <v>92</v>
      </c>
      <c r="AA576" t="s">
        <v>94</v>
      </c>
      <c r="AB576" t="s">
        <v>92</v>
      </c>
      <c r="AC576" t="s">
        <v>94</v>
      </c>
      <c r="AD576" t="s">
        <v>94</v>
      </c>
      <c r="AE576" t="s">
        <v>94</v>
      </c>
      <c r="AF576" t="s">
        <v>94</v>
      </c>
      <c r="AG576" t="s">
        <v>92</v>
      </c>
      <c r="AH576" t="s">
        <v>94</v>
      </c>
      <c r="AI576" t="s">
        <v>93</v>
      </c>
      <c r="AJ576" t="s">
        <v>92</v>
      </c>
      <c r="AK576" t="s">
        <v>92</v>
      </c>
      <c r="AL576" t="s">
        <v>92</v>
      </c>
      <c r="AM576" t="s">
        <v>95</v>
      </c>
      <c r="AN576" t="s">
        <v>92</v>
      </c>
      <c r="AO576" t="s">
        <v>92</v>
      </c>
      <c r="AP576" t="s">
        <v>92</v>
      </c>
      <c r="AQ576" t="s">
        <v>94</v>
      </c>
      <c r="AR576" t="s">
        <v>92</v>
      </c>
      <c r="AS576" t="s">
        <v>95</v>
      </c>
      <c r="AT576" t="s">
        <v>95</v>
      </c>
      <c r="AU576" t="s">
        <v>94</v>
      </c>
      <c r="AV576" t="s">
        <v>92</v>
      </c>
      <c r="AW576" t="s">
        <v>92</v>
      </c>
      <c r="AX576" t="s">
        <v>94</v>
      </c>
      <c r="AY576" t="s">
        <v>94</v>
      </c>
      <c r="AZ576" t="s">
        <v>95</v>
      </c>
      <c r="BA576" t="s">
        <v>93</v>
      </c>
      <c r="BB576" t="s">
        <v>92</v>
      </c>
      <c r="BC576" t="s">
        <v>92</v>
      </c>
      <c r="BD576" t="s">
        <v>92</v>
      </c>
      <c r="BE576" t="s">
        <v>94</v>
      </c>
      <c r="BF576" t="s">
        <v>95</v>
      </c>
      <c r="BG576" t="s">
        <v>92</v>
      </c>
      <c r="BH576" t="s">
        <v>94</v>
      </c>
    </row>
    <row r="577" spans="1:60" x14ac:dyDescent="0.3">
      <c r="A577">
        <v>23</v>
      </c>
      <c r="B577" t="s">
        <v>70</v>
      </c>
      <c r="C577" t="s">
        <v>96</v>
      </c>
      <c r="D577" t="s">
        <v>97</v>
      </c>
      <c r="E577" t="s">
        <v>108</v>
      </c>
      <c r="F577" t="s">
        <v>98</v>
      </c>
      <c r="G577" t="s">
        <v>75</v>
      </c>
      <c r="H577" t="s">
        <v>98</v>
      </c>
      <c r="I577" t="s">
        <v>76</v>
      </c>
      <c r="J577" t="s">
        <v>77</v>
      </c>
      <c r="K577" t="s">
        <v>125</v>
      </c>
      <c r="L577" t="s">
        <v>82</v>
      </c>
      <c r="M577" t="s">
        <v>102</v>
      </c>
      <c r="N577" t="s">
        <v>79</v>
      </c>
      <c r="O577" t="s">
        <v>81</v>
      </c>
      <c r="P577" t="s">
        <v>82</v>
      </c>
      <c r="Q577" t="s">
        <v>83</v>
      </c>
      <c r="R577" t="s">
        <v>82</v>
      </c>
      <c r="S577" t="s">
        <v>308</v>
      </c>
      <c r="T577" t="s">
        <v>85</v>
      </c>
      <c r="U577" t="s">
        <v>82</v>
      </c>
      <c r="V577" t="s">
        <v>106</v>
      </c>
      <c r="W577" t="s">
        <v>141</v>
      </c>
      <c r="Y577" t="s">
        <v>94</v>
      </c>
      <c r="Z577" t="s">
        <v>94</v>
      </c>
      <c r="AA577" t="s">
        <v>94</v>
      </c>
      <c r="AB577" t="s">
        <v>94</v>
      </c>
      <c r="AC577" t="s">
        <v>94</v>
      </c>
      <c r="AD577" t="s">
        <v>94</v>
      </c>
      <c r="AE577" t="s">
        <v>94</v>
      </c>
      <c r="AF577" t="s">
        <v>94</v>
      </c>
      <c r="AG577" t="s">
        <v>94</v>
      </c>
      <c r="AH577" t="s">
        <v>94</v>
      </c>
      <c r="AI577" t="s">
        <v>94</v>
      </c>
      <c r="AJ577" t="s">
        <v>94</v>
      </c>
      <c r="AK577" t="s">
        <v>94</v>
      </c>
      <c r="AL577" t="s">
        <v>94</v>
      </c>
      <c r="AM577" t="s">
        <v>94</v>
      </c>
      <c r="AN577" t="s">
        <v>94</v>
      </c>
      <c r="AO577" t="s">
        <v>94</v>
      </c>
      <c r="AP577" t="s">
        <v>94</v>
      </c>
      <c r="AQ577" t="s">
        <v>94</v>
      </c>
      <c r="AR577" t="s">
        <v>94</v>
      </c>
      <c r="AS577" t="s">
        <v>94</v>
      </c>
      <c r="AT577" t="s">
        <v>94</v>
      </c>
      <c r="AU577" t="s">
        <v>94</v>
      </c>
      <c r="AV577" t="s">
        <v>94</v>
      </c>
      <c r="AW577" t="s">
        <v>94</v>
      </c>
      <c r="AX577" t="s">
        <v>94</v>
      </c>
      <c r="AY577" t="s">
        <v>94</v>
      </c>
      <c r="AZ577" t="s">
        <v>94</v>
      </c>
      <c r="BA577" t="s">
        <v>94</v>
      </c>
      <c r="BB577" t="s">
        <v>94</v>
      </c>
      <c r="BC577" t="s">
        <v>94</v>
      </c>
      <c r="BD577" t="s">
        <v>94</v>
      </c>
      <c r="BE577" t="s">
        <v>94</v>
      </c>
      <c r="BF577" t="s">
        <v>94</v>
      </c>
      <c r="BG577" t="s">
        <v>94</v>
      </c>
      <c r="BH577" t="s">
        <v>94</v>
      </c>
    </row>
    <row r="578" spans="1:60" x14ac:dyDescent="0.3">
      <c r="A578">
        <v>22</v>
      </c>
      <c r="B578" t="s">
        <v>70</v>
      </c>
      <c r="C578" t="s">
        <v>96</v>
      </c>
      <c r="D578" t="s">
        <v>72</v>
      </c>
      <c r="E578" t="s">
        <v>108</v>
      </c>
      <c r="F578" t="s">
        <v>74</v>
      </c>
      <c r="G578" t="s">
        <v>115</v>
      </c>
      <c r="H578" t="s">
        <v>74</v>
      </c>
      <c r="I578" t="s">
        <v>76</v>
      </c>
      <c r="J578" t="s">
        <v>101</v>
      </c>
      <c r="K578" t="s">
        <v>78</v>
      </c>
      <c r="L578" t="s">
        <v>79</v>
      </c>
      <c r="M578" t="s">
        <v>80</v>
      </c>
      <c r="N578" t="s">
        <v>79</v>
      </c>
      <c r="O578" t="s">
        <v>109</v>
      </c>
      <c r="P578" t="s">
        <v>79</v>
      </c>
      <c r="Q578" t="s">
        <v>83</v>
      </c>
      <c r="R578" t="s">
        <v>82</v>
      </c>
      <c r="S578" t="s">
        <v>110</v>
      </c>
      <c r="T578" t="s">
        <v>167</v>
      </c>
      <c r="U578" t="s">
        <v>82</v>
      </c>
      <c r="V578" t="s">
        <v>148</v>
      </c>
      <c r="W578" t="s">
        <v>120</v>
      </c>
      <c r="X578" t="s">
        <v>112</v>
      </c>
      <c r="Y578" t="s">
        <v>95</v>
      </c>
      <c r="Z578" t="s">
        <v>94</v>
      </c>
      <c r="AA578" t="s">
        <v>95</v>
      </c>
      <c r="AB578" t="s">
        <v>94</v>
      </c>
      <c r="AC578" t="s">
        <v>95</v>
      </c>
      <c r="AD578" t="s">
        <v>94</v>
      </c>
      <c r="AE578" t="s">
        <v>95</v>
      </c>
      <c r="AF578" t="s">
        <v>94</v>
      </c>
      <c r="AG578" t="s">
        <v>95</v>
      </c>
      <c r="AH578" t="s">
        <v>94</v>
      </c>
      <c r="AI578" t="s">
        <v>95</v>
      </c>
      <c r="AJ578" t="s">
        <v>94</v>
      </c>
      <c r="AK578" t="s">
        <v>95</v>
      </c>
      <c r="AL578" t="s">
        <v>94</v>
      </c>
      <c r="AM578" t="s">
        <v>95</v>
      </c>
      <c r="AN578" t="s">
        <v>94</v>
      </c>
      <c r="AO578" t="s">
        <v>94</v>
      </c>
      <c r="AP578" t="s">
        <v>94</v>
      </c>
      <c r="AQ578" t="s">
        <v>92</v>
      </c>
      <c r="AR578" t="s">
        <v>94</v>
      </c>
      <c r="AS578" t="s">
        <v>92</v>
      </c>
      <c r="AT578" t="s">
        <v>94</v>
      </c>
      <c r="AU578" t="s">
        <v>95</v>
      </c>
      <c r="AV578" t="s">
        <v>94</v>
      </c>
      <c r="AW578" t="s">
        <v>94</v>
      </c>
      <c r="AX578" t="s">
        <v>94</v>
      </c>
      <c r="AY578" t="s">
        <v>94</v>
      </c>
      <c r="AZ578" t="s">
        <v>94</v>
      </c>
      <c r="BA578" t="s">
        <v>95</v>
      </c>
      <c r="BB578" t="s">
        <v>94</v>
      </c>
      <c r="BC578" t="s">
        <v>95</v>
      </c>
      <c r="BD578" t="s">
        <v>94</v>
      </c>
      <c r="BE578" t="s">
        <v>95</v>
      </c>
      <c r="BF578" t="s">
        <v>94</v>
      </c>
      <c r="BG578" t="s">
        <v>94</v>
      </c>
      <c r="BH578" t="s">
        <v>94</v>
      </c>
    </row>
    <row r="579" spans="1:60" x14ac:dyDescent="0.3">
      <c r="A579">
        <v>22</v>
      </c>
      <c r="B579" t="s">
        <v>128</v>
      </c>
      <c r="C579" t="s">
        <v>96</v>
      </c>
      <c r="D579" t="s">
        <v>72</v>
      </c>
      <c r="E579" t="s">
        <v>73</v>
      </c>
      <c r="F579" t="s">
        <v>98</v>
      </c>
      <c r="G579" t="s">
        <v>135</v>
      </c>
      <c r="H579" t="s">
        <v>165</v>
      </c>
      <c r="I579" t="s">
        <v>76</v>
      </c>
      <c r="J579" t="s">
        <v>77</v>
      </c>
      <c r="K579" t="s">
        <v>125</v>
      </c>
      <c r="L579" t="s">
        <v>79</v>
      </c>
      <c r="M579" t="s">
        <v>102</v>
      </c>
      <c r="N579" t="s">
        <v>79</v>
      </c>
      <c r="O579" t="s">
        <v>109</v>
      </c>
      <c r="P579" t="s">
        <v>79</v>
      </c>
      <c r="Q579" t="s">
        <v>83</v>
      </c>
      <c r="R579" t="s">
        <v>79</v>
      </c>
      <c r="S579" t="s">
        <v>110</v>
      </c>
      <c r="T579" t="s">
        <v>167</v>
      </c>
      <c r="U579" t="s">
        <v>82</v>
      </c>
      <c r="V579" t="s">
        <v>106</v>
      </c>
      <c r="W579" t="s">
        <v>120</v>
      </c>
      <c r="X579" t="s">
        <v>112</v>
      </c>
      <c r="Y579" t="s">
        <v>94</v>
      </c>
      <c r="Z579" t="s">
        <v>94</v>
      </c>
      <c r="AA579" t="s">
        <v>95</v>
      </c>
      <c r="AB579" t="s">
        <v>94</v>
      </c>
      <c r="AC579" t="s">
        <v>92</v>
      </c>
      <c r="AD579" t="s">
        <v>92</v>
      </c>
      <c r="AE579" t="s">
        <v>92</v>
      </c>
      <c r="AF579" t="s">
        <v>92</v>
      </c>
      <c r="AG579" t="s">
        <v>92</v>
      </c>
      <c r="AH579" t="s">
        <v>92</v>
      </c>
      <c r="AI579" t="s">
        <v>92</v>
      </c>
      <c r="AJ579" t="s">
        <v>92</v>
      </c>
      <c r="AK579" t="s">
        <v>92</v>
      </c>
      <c r="AL579" t="s">
        <v>94</v>
      </c>
      <c r="AM579" t="s">
        <v>94</v>
      </c>
      <c r="AN579" t="s">
        <v>92</v>
      </c>
      <c r="AO579" t="s">
        <v>94</v>
      </c>
      <c r="AP579" t="s">
        <v>94</v>
      </c>
      <c r="AQ579" t="s">
        <v>94</v>
      </c>
      <c r="AR579" t="s">
        <v>94</v>
      </c>
      <c r="AS579" t="s">
        <v>92</v>
      </c>
      <c r="AT579" t="s">
        <v>94</v>
      </c>
      <c r="AU579" t="s">
        <v>92</v>
      </c>
      <c r="AV579" t="s">
        <v>92</v>
      </c>
      <c r="AW579" t="s">
        <v>92</v>
      </c>
      <c r="AX579" t="s">
        <v>92</v>
      </c>
      <c r="AY579" t="s">
        <v>92</v>
      </c>
      <c r="AZ579" t="s">
        <v>92</v>
      </c>
      <c r="BA579" t="s">
        <v>92</v>
      </c>
      <c r="BB579" t="s">
        <v>92</v>
      </c>
      <c r="BC579" t="s">
        <v>92</v>
      </c>
      <c r="BD579" t="s">
        <v>94</v>
      </c>
      <c r="BE579" t="s">
        <v>92</v>
      </c>
      <c r="BF579" t="s">
        <v>94</v>
      </c>
      <c r="BG579" t="s">
        <v>92</v>
      </c>
      <c r="BH579" t="s">
        <v>94</v>
      </c>
    </row>
    <row r="580" spans="1:60" x14ac:dyDescent="0.3">
      <c r="A580">
        <v>22</v>
      </c>
      <c r="B580" t="s">
        <v>162</v>
      </c>
      <c r="C580" t="s">
        <v>96</v>
      </c>
      <c r="D580" t="s">
        <v>72</v>
      </c>
      <c r="E580" t="s">
        <v>73</v>
      </c>
      <c r="F580" t="s">
        <v>136</v>
      </c>
      <c r="G580" t="s">
        <v>115</v>
      </c>
      <c r="H580" t="s">
        <v>165</v>
      </c>
      <c r="I580" t="s">
        <v>76</v>
      </c>
      <c r="J580" t="s">
        <v>77</v>
      </c>
      <c r="K580" t="s">
        <v>125</v>
      </c>
      <c r="L580" t="s">
        <v>79</v>
      </c>
      <c r="M580" t="s">
        <v>80</v>
      </c>
      <c r="N580" t="s">
        <v>79</v>
      </c>
      <c r="O580" t="s">
        <v>109</v>
      </c>
      <c r="P580" t="s">
        <v>79</v>
      </c>
      <c r="Q580" t="s">
        <v>83</v>
      </c>
      <c r="R580" t="s">
        <v>82</v>
      </c>
      <c r="S580" t="s">
        <v>110</v>
      </c>
      <c r="T580" t="s">
        <v>167</v>
      </c>
      <c r="U580" t="s">
        <v>79</v>
      </c>
      <c r="V580" t="s">
        <v>106</v>
      </c>
      <c r="W580" t="s">
        <v>120</v>
      </c>
      <c r="X580" t="s">
        <v>112</v>
      </c>
      <c r="Y580" t="s">
        <v>94</v>
      </c>
      <c r="Z580" t="s">
        <v>94</v>
      </c>
      <c r="AA580" t="s">
        <v>94</v>
      </c>
      <c r="AB580" t="s">
        <v>92</v>
      </c>
      <c r="AC580" t="s">
        <v>94</v>
      </c>
      <c r="AD580" t="s">
        <v>92</v>
      </c>
      <c r="AE580" t="s">
        <v>94</v>
      </c>
      <c r="AF580" t="s">
        <v>92</v>
      </c>
      <c r="AG580" t="s">
        <v>94</v>
      </c>
      <c r="AH580" t="s">
        <v>92</v>
      </c>
      <c r="AI580" t="s">
        <v>94</v>
      </c>
      <c r="AJ580" t="s">
        <v>92</v>
      </c>
      <c r="AK580" t="s">
        <v>94</v>
      </c>
      <c r="AL580" t="s">
        <v>92</v>
      </c>
      <c r="AM580" t="s">
        <v>94</v>
      </c>
      <c r="AN580" t="s">
        <v>94</v>
      </c>
      <c r="AO580" t="s">
        <v>94</v>
      </c>
      <c r="AP580" t="s">
        <v>92</v>
      </c>
      <c r="AQ580" t="s">
        <v>94</v>
      </c>
      <c r="AR580" t="s">
        <v>92</v>
      </c>
      <c r="AS580" t="s">
        <v>94</v>
      </c>
      <c r="AT580" t="s">
        <v>94</v>
      </c>
      <c r="AU580" t="s">
        <v>94</v>
      </c>
      <c r="AV580" t="s">
        <v>94</v>
      </c>
      <c r="AW580" t="s">
        <v>94</v>
      </c>
      <c r="AX580" t="s">
        <v>94</v>
      </c>
      <c r="AY580" t="s">
        <v>94</v>
      </c>
      <c r="AZ580" t="s">
        <v>94</v>
      </c>
      <c r="BA580" t="s">
        <v>94</v>
      </c>
      <c r="BB580" t="s">
        <v>94</v>
      </c>
      <c r="BC580" t="s">
        <v>94</v>
      </c>
      <c r="BD580" t="s">
        <v>94</v>
      </c>
      <c r="BE580" t="s">
        <v>94</v>
      </c>
      <c r="BF580" t="s">
        <v>94</v>
      </c>
      <c r="BG580" t="s">
        <v>92</v>
      </c>
      <c r="BH580" t="s">
        <v>94</v>
      </c>
    </row>
    <row r="581" spans="1:60" x14ac:dyDescent="0.3">
      <c r="A581">
        <v>24</v>
      </c>
      <c r="B581" t="s">
        <v>128</v>
      </c>
      <c r="C581" t="s">
        <v>96</v>
      </c>
      <c r="D581" t="s">
        <v>72</v>
      </c>
      <c r="E581" t="s">
        <v>114</v>
      </c>
      <c r="F581" t="s">
        <v>165</v>
      </c>
      <c r="G581" t="s">
        <v>135</v>
      </c>
      <c r="H581" t="s">
        <v>165</v>
      </c>
      <c r="I581" t="s">
        <v>76</v>
      </c>
      <c r="J581" t="s">
        <v>77</v>
      </c>
      <c r="K581" t="s">
        <v>125</v>
      </c>
      <c r="L581" t="s">
        <v>79</v>
      </c>
      <c r="M581" t="s">
        <v>80</v>
      </c>
      <c r="N581" t="s">
        <v>79</v>
      </c>
      <c r="O581" t="s">
        <v>109</v>
      </c>
      <c r="P581" t="s">
        <v>79</v>
      </c>
      <c r="Q581" t="s">
        <v>83</v>
      </c>
      <c r="R581" t="s">
        <v>79</v>
      </c>
      <c r="S581" t="s">
        <v>110</v>
      </c>
      <c r="T581" t="s">
        <v>206</v>
      </c>
      <c r="U581" t="s">
        <v>79</v>
      </c>
      <c r="V581" t="s">
        <v>106</v>
      </c>
      <c r="W581" t="s">
        <v>141</v>
      </c>
      <c r="X581" t="s">
        <v>112</v>
      </c>
      <c r="Y581" t="s">
        <v>92</v>
      </c>
      <c r="Z581" t="s">
        <v>92</v>
      </c>
      <c r="AA581" t="s">
        <v>92</v>
      </c>
      <c r="AB581" t="s">
        <v>92</v>
      </c>
      <c r="AC581" t="s">
        <v>92</v>
      </c>
      <c r="AD581" t="s">
        <v>92</v>
      </c>
      <c r="AE581" t="s">
        <v>92</v>
      </c>
      <c r="AF581" t="s">
        <v>92</v>
      </c>
      <c r="AG581" t="s">
        <v>92</v>
      </c>
      <c r="AH581" t="s">
        <v>92</v>
      </c>
      <c r="AI581" t="s">
        <v>92</v>
      </c>
      <c r="AJ581" t="s">
        <v>92</v>
      </c>
      <c r="AK581" t="s">
        <v>92</v>
      </c>
      <c r="AL581" t="s">
        <v>92</v>
      </c>
      <c r="AM581" t="s">
        <v>92</v>
      </c>
      <c r="AN581" t="s">
        <v>94</v>
      </c>
      <c r="AO581" t="s">
        <v>92</v>
      </c>
      <c r="AP581" t="s">
        <v>94</v>
      </c>
      <c r="AQ581" t="s">
        <v>92</v>
      </c>
      <c r="AR581" t="s">
        <v>94</v>
      </c>
      <c r="AS581" t="s">
        <v>92</v>
      </c>
      <c r="AT581" t="s">
        <v>94</v>
      </c>
      <c r="AU581" t="s">
        <v>94</v>
      </c>
      <c r="AV581" t="s">
        <v>94</v>
      </c>
      <c r="AW581" t="s">
        <v>94</v>
      </c>
      <c r="AX581" t="s">
        <v>94</v>
      </c>
      <c r="AY581" t="s">
        <v>94</v>
      </c>
      <c r="AZ581" t="s">
        <v>94</v>
      </c>
      <c r="BA581" t="s">
        <v>92</v>
      </c>
      <c r="BB581" t="s">
        <v>92</v>
      </c>
      <c r="BC581" t="s">
        <v>92</v>
      </c>
      <c r="BD581" t="s">
        <v>94</v>
      </c>
      <c r="BE581" t="s">
        <v>92</v>
      </c>
      <c r="BF581" t="s">
        <v>92</v>
      </c>
      <c r="BG581" t="s">
        <v>94</v>
      </c>
      <c r="BH581" t="s">
        <v>92</v>
      </c>
    </row>
    <row r="582" spans="1:60" x14ac:dyDescent="0.3">
      <c r="A582">
        <v>23</v>
      </c>
      <c r="B582" t="s">
        <v>128</v>
      </c>
      <c r="C582" t="s">
        <v>96</v>
      </c>
      <c r="D582" t="s">
        <v>72</v>
      </c>
      <c r="E582" t="s">
        <v>114</v>
      </c>
      <c r="F582" t="s">
        <v>136</v>
      </c>
      <c r="G582" t="s">
        <v>135</v>
      </c>
      <c r="H582" t="s">
        <v>165</v>
      </c>
      <c r="I582" t="s">
        <v>76</v>
      </c>
      <c r="J582" t="s">
        <v>77</v>
      </c>
      <c r="K582" t="s">
        <v>125</v>
      </c>
      <c r="L582" t="s">
        <v>79</v>
      </c>
      <c r="M582" t="s">
        <v>80</v>
      </c>
      <c r="N582" t="s">
        <v>82</v>
      </c>
      <c r="O582" t="s">
        <v>109</v>
      </c>
      <c r="P582" t="s">
        <v>79</v>
      </c>
      <c r="Q582" t="s">
        <v>118</v>
      </c>
      <c r="R582" t="s">
        <v>79</v>
      </c>
      <c r="S582" t="s">
        <v>154</v>
      </c>
      <c r="T582" t="s">
        <v>167</v>
      </c>
      <c r="U582" t="s">
        <v>79</v>
      </c>
      <c r="V582" t="s">
        <v>148</v>
      </c>
      <c r="W582" t="s">
        <v>120</v>
      </c>
      <c r="X582" t="s">
        <v>112</v>
      </c>
      <c r="Y582" t="s">
        <v>94</v>
      </c>
      <c r="Z582" t="s">
        <v>94</v>
      </c>
      <c r="AA582" t="s">
        <v>94</v>
      </c>
      <c r="AB582" t="s">
        <v>92</v>
      </c>
      <c r="AC582" t="s">
        <v>92</v>
      </c>
      <c r="AD582" t="s">
        <v>94</v>
      </c>
      <c r="AE582" t="s">
        <v>92</v>
      </c>
      <c r="AF582" t="s">
        <v>94</v>
      </c>
      <c r="AG582" t="s">
        <v>92</v>
      </c>
      <c r="AH582" t="s">
        <v>94</v>
      </c>
      <c r="AI582" t="s">
        <v>92</v>
      </c>
      <c r="AJ582" t="s">
        <v>94</v>
      </c>
      <c r="AK582" t="s">
        <v>92</v>
      </c>
      <c r="AL582" t="s">
        <v>94</v>
      </c>
      <c r="AM582" t="s">
        <v>92</v>
      </c>
      <c r="AN582" t="s">
        <v>94</v>
      </c>
      <c r="AO582" t="s">
        <v>94</v>
      </c>
      <c r="AP582" t="s">
        <v>94</v>
      </c>
      <c r="AQ582" t="s">
        <v>94</v>
      </c>
      <c r="AR582" t="s">
        <v>94</v>
      </c>
      <c r="AS582" t="s">
        <v>94</v>
      </c>
      <c r="AT582" t="s">
        <v>92</v>
      </c>
      <c r="AU582" t="s">
        <v>94</v>
      </c>
      <c r="AV582" t="s">
        <v>92</v>
      </c>
      <c r="AW582" t="s">
        <v>94</v>
      </c>
      <c r="AX582" t="s">
        <v>92</v>
      </c>
      <c r="AY582" t="s">
        <v>94</v>
      </c>
      <c r="AZ582" t="s">
        <v>92</v>
      </c>
      <c r="BA582" t="s">
        <v>94</v>
      </c>
      <c r="BB582" t="s">
        <v>92</v>
      </c>
      <c r="BC582" t="s">
        <v>94</v>
      </c>
      <c r="BD582" t="s">
        <v>92</v>
      </c>
      <c r="BE582" t="s">
        <v>94</v>
      </c>
      <c r="BF582" t="s">
        <v>92</v>
      </c>
      <c r="BG582" t="s">
        <v>94</v>
      </c>
      <c r="BH582" t="s">
        <v>92</v>
      </c>
    </row>
    <row r="583" spans="1:60" x14ac:dyDescent="0.3">
      <c r="A583">
        <v>20</v>
      </c>
      <c r="B583" t="s">
        <v>128</v>
      </c>
      <c r="C583" t="s">
        <v>96</v>
      </c>
      <c r="D583" t="s">
        <v>149</v>
      </c>
      <c r="E583" t="s">
        <v>114</v>
      </c>
      <c r="F583" t="s">
        <v>165</v>
      </c>
      <c r="G583" t="s">
        <v>135</v>
      </c>
      <c r="H583" t="s">
        <v>165</v>
      </c>
      <c r="I583" t="s">
        <v>76</v>
      </c>
      <c r="J583" t="s">
        <v>77</v>
      </c>
      <c r="K583" t="s">
        <v>122</v>
      </c>
      <c r="L583" t="s">
        <v>79</v>
      </c>
      <c r="M583" t="s">
        <v>80</v>
      </c>
      <c r="N583" t="s">
        <v>79</v>
      </c>
      <c r="O583" t="s">
        <v>109</v>
      </c>
      <c r="P583" t="s">
        <v>79</v>
      </c>
      <c r="Q583" t="s">
        <v>118</v>
      </c>
      <c r="R583" t="s">
        <v>79</v>
      </c>
      <c r="S583" t="s">
        <v>154</v>
      </c>
      <c r="T583" t="s">
        <v>167</v>
      </c>
      <c r="U583" t="s">
        <v>79</v>
      </c>
      <c r="V583" t="s">
        <v>106</v>
      </c>
      <c r="W583" t="s">
        <v>141</v>
      </c>
      <c r="X583" t="s">
        <v>112</v>
      </c>
      <c r="Y583" t="s">
        <v>94</v>
      </c>
      <c r="Z583" t="s">
        <v>94</v>
      </c>
      <c r="AA583" t="s">
        <v>92</v>
      </c>
      <c r="AB583" t="s">
        <v>92</v>
      </c>
      <c r="AC583" t="s">
        <v>94</v>
      </c>
      <c r="AD583" t="s">
        <v>92</v>
      </c>
      <c r="AE583" t="s">
        <v>94</v>
      </c>
      <c r="AF583" t="s">
        <v>92</v>
      </c>
      <c r="AG583" t="s">
        <v>94</v>
      </c>
      <c r="AH583" t="s">
        <v>92</v>
      </c>
      <c r="AI583" t="s">
        <v>94</v>
      </c>
      <c r="AJ583" t="s">
        <v>92</v>
      </c>
      <c r="AK583" t="s">
        <v>94</v>
      </c>
      <c r="AL583" t="s">
        <v>92</v>
      </c>
      <c r="AM583" t="s">
        <v>94</v>
      </c>
      <c r="AN583" t="s">
        <v>94</v>
      </c>
      <c r="AO583" t="s">
        <v>94</v>
      </c>
      <c r="AP583" t="s">
        <v>92</v>
      </c>
      <c r="AQ583" t="s">
        <v>92</v>
      </c>
      <c r="AR583" t="s">
        <v>94</v>
      </c>
      <c r="AS583" t="s">
        <v>92</v>
      </c>
      <c r="AT583" t="s">
        <v>94</v>
      </c>
      <c r="AU583" t="s">
        <v>92</v>
      </c>
      <c r="AV583" t="s">
        <v>94</v>
      </c>
      <c r="AW583" t="s">
        <v>94</v>
      </c>
      <c r="AX583" t="s">
        <v>94</v>
      </c>
      <c r="AY583" t="s">
        <v>94</v>
      </c>
      <c r="AZ583" t="s">
        <v>94</v>
      </c>
      <c r="BA583" t="s">
        <v>94</v>
      </c>
      <c r="BB583" t="s">
        <v>94</v>
      </c>
      <c r="BC583" t="s">
        <v>94</v>
      </c>
      <c r="BD583" t="s">
        <v>92</v>
      </c>
      <c r="BE583" t="s">
        <v>94</v>
      </c>
      <c r="BF583" t="s">
        <v>92</v>
      </c>
      <c r="BG583" t="s">
        <v>94</v>
      </c>
      <c r="BH583" t="s">
        <v>92</v>
      </c>
    </row>
    <row r="584" spans="1:60" x14ac:dyDescent="0.3">
      <c r="A584">
        <v>22</v>
      </c>
      <c r="B584" t="s">
        <v>70</v>
      </c>
      <c r="C584" t="s">
        <v>157</v>
      </c>
      <c r="D584" t="s">
        <v>72</v>
      </c>
      <c r="E584" t="s">
        <v>114</v>
      </c>
      <c r="F584" t="s">
        <v>165</v>
      </c>
      <c r="G584" t="s">
        <v>135</v>
      </c>
      <c r="H584" t="s">
        <v>165</v>
      </c>
      <c r="I584" t="s">
        <v>76</v>
      </c>
      <c r="J584" t="s">
        <v>77</v>
      </c>
      <c r="K584" t="s">
        <v>125</v>
      </c>
      <c r="L584" t="s">
        <v>79</v>
      </c>
      <c r="M584" t="s">
        <v>80</v>
      </c>
      <c r="N584" t="s">
        <v>79</v>
      </c>
      <c r="O584" t="s">
        <v>109</v>
      </c>
      <c r="P584" t="s">
        <v>79</v>
      </c>
      <c r="Q584" t="s">
        <v>83</v>
      </c>
      <c r="R584" t="s">
        <v>79</v>
      </c>
      <c r="S584" t="s">
        <v>154</v>
      </c>
      <c r="T584" t="s">
        <v>167</v>
      </c>
      <c r="U584" t="s">
        <v>79</v>
      </c>
      <c r="V584" t="s">
        <v>106</v>
      </c>
      <c r="W584" t="s">
        <v>141</v>
      </c>
      <c r="X584" t="s">
        <v>112</v>
      </c>
      <c r="Y584" t="s">
        <v>94</v>
      </c>
      <c r="Z584" t="s">
        <v>94</v>
      </c>
      <c r="AA584" t="s">
        <v>92</v>
      </c>
      <c r="AB584" t="s">
        <v>94</v>
      </c>
      <c r="AC584" t="s">
        <v>94</v>
      </c>
      <c r="AD584" t="s">
        <v>92</v>
      </c>
      <c r="AE584" t="s">
        <v>94</v>
      </c>
      <c r="AF584" t="s">
        <v>92</v>
      </c>
      <c r="AG584" t="s">
        <v>94</v>
      </c>
      <c r="AH584" t="s">
        <v>92</v>
      </c>
      <c r="AI584" t="s">
        <v>94</v>
      </c>
      <c r="AJ584" t="s">
        <v>92</v>
      </c>
      <c r="AK584" t="s">
        <v>94</v>
      </c>
      <c r="AL584" t="s">
        <v>92</v>
      </c>
      <c r="AM584" t="s">
        <v>94</v>
      </c>
      <c r="AN584" t="s">
        <v>94</v>
      </c>
      <c r="AO584" t="s">
        <v>92</v>
      </c>
      <c r="AP584" t="s">
        <v>92</v>
      </c>
      <c r="AQ584" t="s">
        <v>94</v>
      </c>
      <c r="AR584" t="s">
        <v>92</v>
      </c>
      <c r="AS584" t="s">
        <v>94</v>
      </c>
      <c r="AT584" t="s">
        <v>92</v>
      </c>
      <c r="AU584" t="s">
        <v>94</v>
      </c>
      <c r="AV584" t="s">
        <v>92</v>
      </c>
      <c r="AW584" t="s">
        <v>94</v>
      </c>
      <c r="AX584" t="s">
        <v>92</v>
      </c>
      <c r="AY584" t="s">
        <v>94</v>
      </c>
      <c r="AZ584" t="s">
        <v>92</v>
      </c>
      <c r="BA584" t="s">
        <v>94</v>
      </c>
      <c r="BB584" t="s">
        <v>94</v>
      </c>
      <c r="BC584" t="s">
        <v>92</v>
      </c>
      <c r="BD584" t="s">
        <v>94</v>
      </c>
      <c r="BE584" t="s">
        <v>92</v>
      </c>
      <c r="BF584" t="s">
        <v>94</v>
      </c>
      <c r="BG584" t="s">
        <v>92</v>
      </c>
      <c r="BH584" t="s">
        <v>94</v>
      </c>
    </row>
    <row r="585" spans="1:60" x14ac:dyDescent="0.3">
      <c r="A585">
        <v>22</v>
      </c>
      <c r="B585" t="s">
        <v>70</v>
      </c>
      <c r="C585" t="s">
        <v>113</v>
      </c>
      <c r="D585" t="s">
        <v>72</v>
      </c>
      <c r="E585" t="s">
        <v>114</v>
      </c>
      <c r="F585" t="s">
        <v>136</v>
      </c>
      <c r="G585" t="s">
        <v>135</v>
      </c>
      <c r="H585" t="s">
        <v>136</v>
      </c>
      <c r="I585" t="s">
        <v>76</v>
      </c>
      <c r="J585" t="s">
        <v>77</v>
      </c>
      <c r="K585" t="s">
        <v>122</v>
      </c>
      <c r="L585" t="s">
        <v>82</v>
      </c>
      <c r="M585" t="s">
        <v>102</v>
      </c>
      <c r="N585" t="s">
        <v>79</v>
      </c>
      <c r="O585" t="s">
        <v>81</v>
      </c>
      <c r="P585" t="s">
        <v>82</v>
      </c>
      <c r="Q585" t="s">
        <v>83</v>
      </c>
      <c r="R585" t="s">
        <v>79</v>
      </c>
      <c r="S585" t="s">
        <v>145</v>
      </c>
      <c r="T585" t="s">
        <v>188</v>
      </c>
      <c r="U585" t="s">
        <v>79</v>
      </c>
      <c r="V585" t="s">
        <v>86</v>
      </c>
      <c r="W585" t="s">
        <v>87</v>
      </c>
      <c r="Y585" t="s">
        <v>94</v>
      </c>
      <c r="Z585" t="s">
        <v>94</v>
      </c>
      <c r="AA585" t="s">
        <v>92</v>
      </c>
      <c r="AB585" t="s">
        <v>94</v>
      </c>
      <c r="AC585" t="s">
        <v>94</v>
      </c>
      <c r="AD585" t="s">
        <v>94</v>
      </c>
      <c r="AE585" t="s">
        <v>94</v>
      </c>
      <c r="AF585" t="s">
        <v>94</v>
      </c>
      <c r="AG585" t="s">
        <v>94</v>
      </c>
      <c r="AH585" t="s">
        <v>92</v>
      </c>
      <c r="AI585" t="s">
        <v>92</v>
      </c>
      <c r="AJ585" t="s">
        <v>94</v>
      </c>
      <c r="AK585" t="s">
        <v>92</v>
      </c>
      <c r="AL585" t="s">
        <v>92</v>
      </c>
      <c r="AM585" t="s">
        <v>92</v>
      </c>
      <c r="AN585" t="s">
        <v>94</v>
      </c>
      <c r="AO585" t="s">
        <v>94</v>
      </c>
      <c r="AP585" t="s">
        <v>92</v>
      </c>
      <c r="AQ585" t="s">
        <v>92</v>
      </c>
      <c r="AR585" t="s">
        <v>94</v>
      </c>
      <c r="AS585" t="s">
        <v>94</v>
      </c>
      <c r="AT585" t="s">
        <v>92</v>
      </c>
      <c r="AU585" t="s">
        <v>94</v>
      </c>
      <c r="AV585" t="s">
        <v>92</v>
      </c>
      <c r="AW585" t="s">
        <v>92</v>
      </c>
      <c r="AX585" t="s">
        <v>92</v>
      </c>
      <c r="AY585" t="s">
        <v>92</v>
      </c>
      <c r="AZ585" t="s">
        <v>92</v>
      </c>
      <c r="BA585" t="s">
        <v>94</v>
      </c>
      <c r="BB585" t="s">
        <v>94</v>
      </c>
      <c r="BC585" t="s">
        <v>94</v>
      </c>
      <c r="BD585" t="s">
        <v>92</v>
      </c>
      <c r="BE585" t="s">
        <v>92</v>
      </c>
      <c r="BF585" t="s">
        <v>94</v>
      </c>
      <c r="BG585" t="s">
        <v>94</v>
      </c>
      <c r="BH585" t="s">
        <v>92</v>
      </c>
    </row>
    <row r="586" spans="1:60" x14ac:dyDescent="0.3">
      <c r="A586">
        <v>24</v>
      </c>
      <c r="B586" t="s">
        <v>70</v>
      </c>
      <c r="C586" t="s">
        <v>113</v>
      </c>
      <c r="D586" t="s">
        <v>149</v>
      </c>
      <c r="E586" t="s">
        <v>73</v>
      </c>
      <c r="F586" t="s">
        <v>98</v>
      </c>
      <c r="G586" t="s">
        <v>135</v>
      </c>
      <c r="H586" t="s">
        <v>100</v>
      </c>
      <c r="I586" t="s">
        <v>76</v>
      </c>
      <c r="J586" t="s">
        <v>77</v>
      </c>
      <c r="K586" t="s">
        <v>125</v>
      </c>
      <c r="L586" t="s">
        <v>79</v>
      </c>
      <c r="M586" t="s">
        <v>102</v>
      </c>
      <c r="N586" t="s">
        <v>79</v>
      </c>
      <c r="O586" t="s">
        <v>117</v>
      </c>
      <c r="P586" t="s">
        <v>82</v>
      </c>
      <c r="Q586" t="s">
        <v>118</v>
      </c>
      <c r="R586" t="s">
        <v>82</v>
      </c>
      <c r="S586" t="s">
        <v>84</v>
      </c>
      <c r="T586" t="s">
        <v>167</v>
      </c>
      <c r="U586" t="s">
        <v>79</v>
      </c>
      <c r="V586" t="s">
        <v>86</v>
      </c>
      <c r="W586" t="s">
        <v>120</v>
      </c>
      <c r="X586" t="s">
        <v>88</v>
      </c>
      <c r="Y586" t="s">
        <v>92</v>
      </c>
      <c r="Z586" t="s">
        <v>93</v>
      </c>
      <c r="AA586" t="s">
        <v>93</v>
      </c>
      <c r="AB586" t="s">
        <v>94</v>
      </c>
      <c r="AC586" t="s">
        <v>92</v>
      </c>
      <c r="AD586" t="s">
        <v>92</v>
      </c>
      <c r="AE586" t="s">
        <v>93</v>
      </c>
      <c r="AF586" t="s">
        <v>95</v>
      </c>
      <c r="AG586" t="s">
        <v>95</v>
      </c>
      <c r="AH586" t="s">
        <v>93</v>
      </c>
      <c r="AI586" t="s">
        <v>93</v>
      </c>
      <c r="AJ586" t="s">
        <v>95</v>
      </c>
      <c r="AK586" t="s">
        <v>92</v>
      </c>
      <c r="AL586" t="s">
        <v>93</v>
      </c>
      <c r="AM586" t="s">
        <v>93</v>
      </c>
      <c r="AN586" t="s">
        <v>93</v>
      </c>
      <c r="AO586" t="s">
        <v>93</v>
      </c>
      <c r="AP586" t="s">
        <v>93</v>
      </c>
      <c r="AQ586" t="s">
        <v>93</v>
      </c>
      <c r="AR586" t="s">
        <v>95</v>
      </c>
      <c r="AS586" t="s">
        <v>95</v>
      </c>
      <c r="AT586" t="s">
        <v>95</v>
      </c>
      <c r="AU586" t="s">
        <v>95</v>
      </c>
      <c r="AV586" t="s">
        <v>95</v>
      </c>
      <c r="AW586" t="s">
        <v>95</v>
      </c>
      <c r="AX586" t="s">
        <v>93</v>
      </c>
      <c r="AY586" t="s">
        <v>93</v>
      </c>
      <c r="AZ586" t="s">
        <v>95</v>
      </c>
      <c r="BA586" t="s">
        <v>93</v>
      </c>
      <c r="BB586" t="s">
        <v>93</v>
      </c>
      <c r="BC586" t="s">
        <v>93</v>
      </c>
      <c r="BD586" t="s">
        <v>93</v>
      </c>
      <c r="BE586" t="s">
        <v>93</v>
      </c>
      <c r="BF586" t="s">
        <v>95</v>
      </c>
      <c r="BG586" t="s">
        <v>93</v>
      </c>
      <c r="BH586" t="s">
        <v>93</v>
      </c>
    </row>
    <row r="587" spans="1:60" x14ac:dyDescent="0.3">
      <c r="A587">
        <v>23</v>
      </c>
      <c r="B587" t="s">
        <v>70</v>
      </c>
      <c r="C587" t="s">
        <v>153</v>
      </c>
      <c r="D587" t="s">
        <v>72</v>
      </c>
      <c r="E587" t="s">
        <v>108</v>
      </c>
      <c r="F587" t="s">
        <v>74</v>
      </c>
      <c r="G587" t="s">
        <v>135</v>
      </c>
      <c r="H587" t="s">
        <v>98</v>
      </c>
      <c r="I587" t="s">
        <v>76</v>
      </c>
      <c r="J587" t="s">
        <v>77</v>
      </c>
      <c r="K587" t="s">
        <v>125</v>
      </c>
      <c r="L587" t="s">
        <v>79</v>
      </c>
      <c r="M587" t="s">
        <v>80</v>
      </c>
      <c r="N587" t="s">
        <v>79</v>
      </c>
      <c r="O587" t="s">
        <v>117</v>
      </c>
      <c r="P587" t="s">
        <v>82</v>
      </c>
      <c r="Q587" t="s">
        <v>103</v>
      </c>
      <c r="R587" t="s">
        <v>82</v>
      </c>
      <c r="S587" t="s">
        <v>84</v>
      </c>
      <c r="T587" t="s">
        <v>124</v>
      </c>
      <c r="U587" t="s">
        <v>82</v>
      </c>
      <c r="V587" t="s">
        <v>86</v>
      </c>
      <c r="W587" t="s">
        <v>141</v>
      </c>
      <c r="X587" t="s">
        <v>112</v>
      </c>
      <c r="Y587" t="s">
        <v>92</v>
      </c>
      <c r="Z587" t="s">
        <v>93</v>
      </c>
      <c r="AA587" t="s">
        <v>93</v>
      </c>
      <c r="AB587" t="s">
        <v>93</v>
      </c>
      <c r="AC587" t="s">
        <v>93</v>
      </c>
      <c r="AD587" t="s">
        <v>92</v>
      </c>
      <c r="AE587" t="s">
        <v>93</v>
      </c>
      <c r="AF587" t="s">
        <v>92</v>
      </c>
      <c r="AG587" t="s">
        <v>93</v>
      </c>
      <c r="AH587" t="s">
        <v>93</v>
      </c>
      <c r="AI587" t="s">
        <v>92</v>
      </c>
      <c r="AJ587" t="s">
        <v>92</v>
      </c>
      <c r="AK587" t="s">
        <v>93</v>
      </c>
      <c r="AL587" t="s">
        <v>92</v>
      </c>
      <c r="AM587" t="s">
        <v>93</v>
      </c>
      <c r="AN587" t="s">
        <v>92</v>
      </c>
      <c r="AO587" t="s">
        <v>95</v>
      </c>
      <c r="AP587" t="s">
        <v>94</v>
      </c>
      <c r="AQ587" t="s">
        <v>94</v>
      </c>
      <c r="AR587" t="s">
        <v>94</v>
      </c>
      <c r="AS587" t="s">
        <v>94</v>
      </c>
      <c r="AT587" t="s">
        <v>94</v>
      </c>
      <c r="AU587" t="s">
        <v>95</v>
      </c>
      <c r="AV587" t="s">
        <v>95</v>
      </c>
      <c r="AW587" t="s">
        <v>94</v>
      </c>
      <c r="AX587" t="s">
        <v>95</v>
      </c>
      <c r="AY587" t="s">
        <v>94</v>
      </c>
      <c r="AZ587" t="s">
        <v>95</v>
      </c>
      <c r="BA587" t="s">
        <v>94</v>
      </c>
      <c r="BB587" t="s">
        <v>94</v>
      </c>
      <c r="BC587" t="s">
        <v>95</v>
      </c>
      <c r="BD587" t="s">
        <v>95</v>
      </c>
      <c r="BE587" t="s">
        <v>94</v>
      </c>
      <c r="BF587" t="s">
        <v>94</v>
      </c>
      <c r="BG587" t="s">
        <v>95</v>
      </c>
      <c r="BH587" t="s">
        <v>94</v>
      </c>
    </row>
    <row r="588" spans="1:60" x14ac:dyDescent="0.3">
      <c r="A588">
        <v>23</v>
      </c>
      <c r="B588" t="s">
        <v>70</v>
      </c>
      <c r="C588" t="s">
        <v>113</v>
      </c>
      <c r="D588" t="s">
        <v>72</v>
      </c>
      <c r="E588" t="s">
        <v>108</v>
      </c>
      <c r="F588" t="s">
        <v>136</v>
      </c>
      <c r="G588" t="s">
        <v>115</v>
      </c>
      <c r="H588" t="s">
        <v>136</v>
      </c>
      <c r="I588" t="s">
        <v>76</v>
      </c>
      <c r="J588" t="s">
        <v>77</v>
      </c>
      <c r="K588" t="s">
        <v>122</v>
      </c>
      <c r="L588" t="s">
        <v>79</v>
      </c>
      <c r="M588" t="s">
        <v>132</v>
      </c>
      <c r="N588" t="s">
        <v>82</v>
      </c>
      <c r="O588" t="s">
        <v>138</v>
      </c>
      <c r="P588" t="s">
        <v>82</v>
      </c>
      <c r="Q588" t="s">
        <v>118</v>
      </c>
      <c r="R588" t="s">
        <v>82</v>
      </c>
      <c r="S588" t="s">
        <v>123</v>
      </c>
      <c r="T588" t="s">
        <v>85</v>
      </c>
      <c r="U588" t="s">
        <v>82</v>
      </c>
      <c r="V588" t="s">
        <v>106</v>
      </c>
      <c r="W588" t="s">
        <v>87</v>
      </c>
      <c r="X588" t="s">
        <v>112</v>
      </c>
      <c r="Y588" t="s">
        <v>93</v>
      </c>
      <c r="Z588" t="s">
        <v>93</v>
      </c>
      <c r="AA588" t="s">
        <v>93</v>
      </c>
      <c r="AB588" t="s">
        <v>93</v>
      </c>
      <c r="AC588" t="s">
        <v>93</v>
      </c>
      <c r="AD588" t="s">
        <v>93</v>
      </c>
      <c r="AE588" t="s">
        <v>93</v>
      </c>
      <c r="AF588" t="s">
        <v>93</v>
      </c>
      <c r="AG588" t="s">
        <v>93</v>
      </c>
      <c r="AH588" t="s">
        <v>93</v>
      </c>
      <c r="AI588" t="s">
        <v>93</v>
      </c>
      <c r="AJ588" t="s">
        <v>93</v>
      </c>
      <c r="AK588" t="s">
        <v>93</v>
      </c>
      <c r="AL588" t="s">
        <v>93</v>
      </c>
      <c r="AM588" t="s">
        <v>93</v>
      </c>
      <c r="AN588" t="s">
        <v>93</v>
      </c>
      <c r="AO588" t="s">
        <v>93</v>
      </c>
      <c r="AP588" t="s">
        <v>93</v>
      </c>
      <c r="AQ588" t="s">
        <v>93</v>
      </c>
      <c r="AR588" t="s">
        <v>93</v>
      </c>
      <c r="AS588" t="s">
        <v>93</v>
      </c>
      <c r="AT588" t="s">
        <v>93</v>
      </c>
      <c r="AU588" t="s">
        <v>93</v>
      </c>
      <c r="AV588" t="s">
        <v>93</v>
      </c>
      <c r="AW588" t="s">
        <v>93</v>
      </c>
      <c r="AX588" t="s">
        <v>93</v>
      </c>
      <c r="AY588" t="s">
        <v>93</v>
      </c>
      <c r="AZ588" t="s">
        <v>93</v>
      </c>
      <c r="BA588" t="s">
        <v>93</v>
      </c>
      <c r="BB588" t="s">
        <v>93</v>
      </c>
      <c r="BC588" t="s">
        <v>93</v>
      </c>
      <c r="BD588" t="s">
        <v>93</v>
      </c>
      <c r="BE588" t="s">
        <v>93</v>
      </c>
      <c r="BF588" t="s">
        <v>93</v>
      </c>
      <c r="BG588" t="s">
        <v>93</v>
      </c>
      <c r="BH588" t="s">
        <v>93</v>
      </c>
    </row>
    <row r="589" spans="1:60" x14ac:dyDescent="0.3">
      <c r="A589">
        <v>23</v>
      </c>
      <c r="B589" t="s">
        <v>70</v>
      </c>
      <c r="C589" t="s">
        <v>113</v>
      </c>
      <c r="D589" t="s">
        <v>72</v>
      </c>
      <c r="E589" t="s">
        <v>108</v>
      </c>
      <c r="F589" t="s">
        <v>98</v>
      </c>
      <c r="G589" t="s">
        <v>135</v>
      </c>
      <c r="H589" t="s">
        <v>136</v>
      </c>
      <c r="I589" t="s">
        <v>115</v>
      </c>
      <c r="J589" t="s">
        <v>77</v>
      </c>
      <c r="K589" t="s">
        <v>122</v>
      </c>
      <c r="L589" t="s">
        <v>79</v>
      </c>
      <c r="M589" t="s">
        <v>80</v>
      </c>
      <c r="N589" t="s">
        <v>79</v>
      </c>
      <c r="O589" t="s">
        <v>81</v>
      </c>
      <c r="P589" t="s">
        <v>82</v>
      </c>
      <c r="Q589" t="s">
        <v>83</v>
      </c>
      <c r="R589" t="s">
        <v>82</v>
      </c>
      <c r="S589" t="s">
        <v>84</v>
      </c>
      <c r="T589" t="s">
        <v>167</v>
      </c>
      <c r="U589" t="s">
        <v>82</v>
      </c>
      <c r="V589" t="s">
        <v>86</v>
      </c>
      <c r="W589" t="s">
        <v>141</v>
      </c>
      <c r="X589" t="s">
        <v>112</v>
      </c>
      <c r="Y589" t="s">
        <v>94</v>
      </c>
      <c r="Z589" t="s">
        <v>92</v>
      </c>
      <c r="AA589" t="s">
        <v>94</v>
      </c>
      <c r="AB589" t="s">
        <v>92</v>
      </c>
      <c r="AC589" t="s">
        <v>95</v>
      </c>
      <c r="AD589" t="s">
        <v>94</v>
      </c>
      <c r="AE589" t="s">
        <v>92</v>
      </c>
      <c r="AF589" t="s">
        <v>94</v>
      </c>
      <c r="AG589" t="s">
        <v>94</v>
      </c>
      <c r="AH589" t="s">
        <v>92</v>
      </c>
      <c r="AI589" t="s">
        <v>94</v>
      </c>
      <c r="AJ589" t="s">
        <v>92</v>
      </c>
      <c r="AK589" t="s">
        <v>92</v>
      </c>
      <c r="AL589" t="s">
        <v>94</v>
      </c>
      <c r="AM589" t="s">
        <v>92</v>
      </c>
      <c r="AN589" t="s">
        <v>93</v>
      </c>
      <c r="AO589" t="s">
        <v>95</v>
      </c>
      <c r="AP589" t="s">
        <v>93</v>
      </c>
      <c r="AQ589" t="s">
        <v>92</v>
      </c>
      <c r="AR589" t="s">
        <v>94</v>
      </c>
      <c r="AS589" t="s">
        <v>92</v>
      </c>
      <c r="AT589" t="s">
        <v>92</v>
      </c>
      <c r="AU589" t="s">
        <v>93</v>
      </c>
      <c r="AV589" t="s">
        <v>93</v>
      </c>
      <c r="AW589" t="s">
        <v>95</v>
      </c>
      <c r="AX589" t="s">
        <v>93</v>
      </c>
      <c r="AY589" t="s">
        <v>93</v>
      </c>
      <c r="AZ589" t="s">
        <v>93</v>
      </c>
      <c r="BA589" t="s">
        <v>93</v>
      </c>
      <c r="BB589" t="s">
        <v>95</v>
      </c>
      <c r="BC589" t="s">
        <v>93</v>
      </c>
      <c r="BD589" t="s">
        <v>93</v>
      </c>
      <c r="BE589" t="s">
        <v>93</v>
      </c>
      <c r="BF589" t="s">
        <v>93</v>
      </c>
      <c r="BG589" t="s">
        <v>93</v>
      </c>
      <c r="BH589" t="s">
        <v>93</v>
      </c>
    </row>
    <row r="590" spans="1:60" x14ac:dyDescent="0.3">
      <c r="A590">
        <v>21</v>
      </c>
      <c r="B590" t="s">
        <v>70</v>
      </c>
      <c r="C590" t="s">
        <v>113</v>
      </c>
      <c r="D590" t="s">
        <v>72</v>
      </c>
      <c r="E590" t="s">
        <v>73</v>
      </c>
      <c r="F590" t="s">
        <v>74</v>
      </c>
      <c r="G590" t="s">
        <v>135</v>
      </c>
      <c r="H590" t="s">
        <v>74</v>
      </c>
      <c r="I590" t="s">
        <v>76</v>
      </c>
      <c r="J590" t="s">
        <v>77</v>
      </c>
      <c r="K590" t="s">
        <v>122</v>
      </c>
      <c r="L590" t="s">
        <v>82</v>
      </c>
      <c r="M590" t="s">
        <v>80</v>
      </c>
      <c r="N590" t="s">
        <v>79</v>
      </c>
      <c r="O590" t="s">
        <v>109</v>
      </c>
      <c r="P590" t="s">
        <v>82</v>
      </c>
      <c r="Q590" t="s">
        <v>103</v>
      </c>
      <c r="R590" t="s">
        <v>79</v>
      </c>
      <c r="S590" t="s">
        <v>84</v>
      </c>
      <c r="T590" t="s">
        <v>188</v>
      </c>
      <c r="U590" t="s">
        <v>82</v>
      </c>
      <c r="V590" t="s">
        <v>86</v>
      </c>
      <c r="W590" t="s">
        <v>141</v>
      </c>
      <c r="X590" t="s">
        <v>112</v>
      </c>
      <c r="Y590" t="s">
        <v>92</v>
      </c>
      <c r="Z590" t="s">
        <v>93</v>
      </c>
      <c r="AA590" t="s">
        <v>92</v>
      </c>
      <c r="AB590" t="s">
        <v>93</v>
      </c>
      <c r="AC590" t="s">
        <v>93</v>
      </c>
      <c r="AD590" t="s">
        <v>93</v>
      </c>
      <c r="AE590" t="s">
        <v>92</v>
      </c>
      <c r="AF590" t="s">
        <v>93</v>
      </c>
      <c r="AG590" t="s">
        <v>94</v>
      </c>
      <c r="AH590" t="s">
        <v>92</v>
      </c>
      <c r="AI590" t="s">
        <v>93</v>
      </c>
      <c r="AJ590" t="s">
        <v>93</v>
      </c>
      <c r="AK590" t="s">
        <v>93</v>
      </c>
      <c r="AL590" t="s">
        <v>94</v>
      </c>
      <c r="AM590" t="s">
        <v>94</v>
      </c>
      <c r="AN590" t="s">
        <v>93</v>
      </c>
      <c r="AO590" t="s">
        <v>93</v>
      </c>
      <c r="AP590" t="s">
        <v>93</v>
      </c>
      <c r="AQ590" t="s">
        <v>95</v>
      </c>
      <c r="AR590" t="s">
        <v>95</v>
      </c>
      <c r="AS590" t="s">
        <v>95</v>
      </c>
      <c r="AT590" t="s">
        <v>95</v>
      </c>
      <c r="AU590" t="s">
        <v>94</v>
      </c>
      <c r="AV590" t="s">
        <v>94</v>
      </c>
      <c r="AW590" t="s">
        <v>95</v>
      </c>
      <c r="AX590" t="s">
        <v>94</v>
      </c>
      <c r="AY590" t="s">
        <v>94</v>
      </c>
      <c r="AZ590" t="s">
        <v>94</v>
      </c>
      <c r="BA590" t="s">
        <v>93</v>
      </c>
      <c r="BB590" t="s">
        <v>93</v>
      </c>
      <c r="BC590" t="s">
        <v>93</v>
      </c>
      <c r="BD590" t="s">
        <v>93</v>
      </c>
      <c r="BE590" t="s">
        <v>92</v>
      </c>
      <c r="BF590" t="s">
        <v>94</v>
      </c>
      <c r="BG590" t="s">
        <v>92</v>
      </c>
      <c r="BH590" t="s">
        <v>92</v>
      </c>
    </row>
    <row r="591" spans="1:60" x14ac:dyDescent="0.3">
      <c r="A591">
        <v>23</v>
      </c>
      <c r="B591" t="s">
        <v>70</v>
      </c>
      <c r="C591" t="s">
        <v>113</v>
      </c>
      <c r="D591" t="s">
        <v>72</v>
      </c>
      <c r="E591" t="s">
        <v>114</v>
      </c>
      <c r="F591" t="s">
        <v>100</v>
      </c>
      <c r="G591" t="s">
        <v>146</v>
      </c>
      <c r="H591" t="s">
        <v>100</v>
      </c>
      <c r="I591" t="s">
        <v>76</v>
      </c>
      <c r="J591" t="s">
        <v>101</v>
      </c>
      <c r="K591" t="s">
        <v>125</v>
      </c>
      <c r="L591" t="s">
        <v>79</v>
      </c>
      <c r="M591" t="s">
        <v>80</v>
      </c>
      <c r="N591" t="s">
        <v>82</v>
      </c>
      <c r="O591" t="s">
        <v>179</v>
      </c>
      <c r="P591" t="s">
        <v>79</v>
      </c>
      <c r="Q591" t="s">
        <v>103</v>
      </c>
      <c r="R591" t="s">
        <v>79</v>
      </c>
      <c r="S591" t="s">
        <v>84</v>
      </c>
      <c r="T591" t="s">
        <v>233</v>
      </c>
      <c r="U591" t="s">
        <v>82</v>
      </c>
      <c r="V591" t="s">
        <v>106</v>
      </c>
      <c r="W591" t="s">
        <v>141</v>
      </c>
      <c r="X591" t="s">
        <v>112</v>
      </c>
      <c r="Y591" t="s">
        <v>94</v>
      </c>
      <c r="Z591" t="s">
        <v>94</v>
      </c>
      <c r="AA591" t="s">
        <v>94</v>
      </c>
      <c r="AB591" t="s">
        <v>94</v>
      </c>
      <c r="AC591" t="s">
        <v>93</v>
      </c>
      <c r="AD591" t="s">
        <v>93</v>
      </c>
      <c r="AE591" t="s">
        <v>92</v>
      </c>
      <c r="AF591" t="s">
        <v>92</v>
      </c>
      <c r="AG591" t="s">
        <v>92</v>
      </c>
      <c r="AH591" t="s">
        <v>92</v>
      </c>
      <c r="AI591" t="s">
        <v>92</v>
      </c>
      <c r="AJ591" t="s">
        <v>92</v>
      </c>
      <c r="AK591" t="s">
        <v>92</v>
      </c>
      <c r="AL591" t="s">
        <v>94</v>
      </c>
      <c r="AM591" t="s">
        <v>94</v>
      </c>
      <c r="AN591" t="s">
        <v>94</v>
      </c>
      <c r="AO591" t="s">
        <v>92</v>
      </c>
      <c r="AP591" t="s">
        <v>94</v>
      </c>
      <c r="AQ591" t="s">
        <v>94</v>
      </c>
      <c r="AR591" t="s">
        <v>94</v>
      </c>
      <c r="AS591" t="s">
        <v>94</v>
      </c>
      <c r="AT591" t="s">
        <v>94</v>
      </c>
      <c r="AU591" t="s">
        <v>94</v>
      </c>
      <c r="AV591" t="s">
        <v>94</v>
      </c>
      <c r="AW591" t="s">
        <v>92</v>
      </c>
      <c r="AX591" t="s">
        <v>92</v>
      </c>
      <c r="AY591" t="s">
        <v>92</v>
      </c>
      <c r="AZ591" t="s">
        <v>94</v>
      </c>
      <c r="BA591" t="s">
        <v>94</v>
      </c>
      <c r="BB591" t="s">
        <v>94</v>
      </c>
      <c r="BC591" t="s">
        <v>92</v>
      </c>
      <c r="BD591" t="s">
        <v>94</v>
      </c>
      <c r="BE591" t="s">
        <v>92</v>
      </c>
      <c r="BF591" t="s">
        <v>92</v>
      </c>
      <c r="BG591" t="s">
        <v>94</v>
      </c>
      <c r="BH591" t="s">
        <v>92</v>
      </c>
    </row>
    <row r="592" spans="1:60" x14ac:dyDescent="0.3">
      <c r="A592">
        <v>21</v>
      </c>
      <c r="B592" t="s">
        <v>70</v>
      </c>
      <c r="C592" t="s">
        <v>157</v>
      </c>
      <c r="D592" t="s">
        <v>72</v>
      </c>
      <c r="E592" t="s">
        <v>73</v>
      </c>
      <c r="F592" t="s">
        <v>74</v>
      </c>
      <c r="G592" t="s">
        <v>75</v>
      </c>
      <c r="H592" t="s">
        <v>74</v>
      </c>
      <c r="I592" t="s">
        <v>115</v>
      </c>
      <c r="J592" t="s">
        <v>77</v>
      </c>
      <c r="K592" t="s">
        <v>131</v>
      </c>
      <c r="L592" t="s">
        <v>79</v>
      </c>
      <c r="M592" t="s">
        <v>132</v>
      </c>
      <c r="N592" t="s">
        <v>79</v>
      </c>
      <c r="O592" t="s">
        <v>117</v>
      </c>
      <c r="P592" t="s">
        <v>79</v>
      </c>
      <c r="Q592" t="s">
        <v>83</v>
      </c>
      <c r="R592" t="s">
        <v>79</v>
      </c>
      <c r="S592" t="s">
        <v>183</v>
      </c>
      <c r="T592" t="s">
        <v>232</v>
      </c>
      <c r="U592" t="s">
        <v>82</v>
      </c>
      <c r="V592" t="s">
        <v>106</v>
      </c>
      <c r="W592" t="s">
        <v>120</v>
      </c>
      <c r="X592" t="s">
        <v>112</v>
      </c>
      <c r="Y592" t="s">
        <v>93</v>
      </c>
      <c r="Z592" t="s">
        <v>93</v>
      </c>
      <c r="AA592" t="s">
        <v>93</v>
      </c>
      <c r="AB592" t="s">
        <v>93</v>
      </c>
      <c r="AC592" t="s">
        <v>92</v>
      </c>
      <c r="AD592" t="s">
        <v>95</v>
      </c>
      <c r="AE592" t="s">
        <v>95</v>
      </c>
      <c r="AF592" t="s">
        <v>92</v>
      </c>
      <c r="AG592" t="s">
        <v>92</v>
      </c>
      <c r="AH592" t="s">
        <v>92</v>
      </c>
      <c r="AI592" t="s">
        <v>92</v>
      </c>
      <c r="AJ592" t="s">
        <v>93</v>
      </c>
      <c r="AK592" t="s">
        <v>93</v>
      </c>
      <c r="AL592" t="s">
        <v>92</v>
      </c>
      <c r="AM592" t="s">
        <v>95</v>
      </c>
      <c r="AN592" t="s">
        <v>93</v>
      </c>
      <c r="AO592" t="s">
        <v>93</v>
      </c>
      <c r="AP592" t="s">
        <v>93</v>
      </c>
      <c r="AQ592" t="s">
        <v>95</v>
      </c>
      <c r="AR592" t="s">
        <v>95</v>
      </c>
      <c r="AS592" t="s">
        <v>95</v>
      </c>
      <c r="AT592" t="s">
        <v>95</v>
      </c>
      <c r="AU592" t="s">
        <v>93</v>
      </c>
      <c r="AV592" t="s">
        <v>93</v>
      </c>
      <c r="AW592" t="s">
        <v>93</v>
      </c>
      <c r="AX592" t="s">
        <v>94</v>
      </c>
      <c r="AY592" t="s">
        <v>94</v>
      </c>
      <c r="AZ592" t="s">
        <v>94</v>
      </c>
      <c r="BA592" t="s">
        <v>93</v>
      </c>
      <c r="BB592" t="s">
        <v>93</v>
      </c>
      <c r="BC592" t="s">
        <v>93</v>
      </c>
      <c r="BD592" t="s">
        <v>93</v>
      </c>
      <c r="BE592" t="s">
        <v>93</v>
      </c>
      <c r="BF592" t="s">
        <v>94</v>
      </c>
      <c r="BG592" t="s">
        <v>94</v>
      </c>
      <c r="BH592" t="s">
        <v>94</v>
      </c>
    </row>
    <row r="593" spans="1:60" x14ac:dyDescent="0.3">
      <c r="A593">
        <v>19</v>
      </c>
      <c r="B593" t="s">
        <v>70</v>
      </c>
      <c r="C593" t="s">
        <v>157</v>
      </c>
      <c r="D593" t="s">
        <v>72</v>
      </c>
      <c r="E593" t="s">
        <v>114</v>
      </c>
      <c r="F593" t="s">
        <v>74</v>
      </c>
      <c r="G593" t="s">
        <v>135</v>
      </c>
      <c r="H593" t="s">
        <v>136</v>
      </c>
      <c r="I593" t="s">
        <v>76</v>
      </c>
      <c r="J593" t="s">
        <v>77</v>
      </c>
      <c r="K593" t="s">
        <v>78</v>
      </c>
      <c r="L593" t="s">
        <v>79</v>
      </c>
      <c r="M593" t="s">
        <v>80</v>
      </c>
      <c r="N593" t="s">
        <v>79</v>
      </c>
      <c r="O593" t="s">
        <v>138</v>
      </c>
      <c r="P593" t="s">
        <v>79</v>
      </c>
      <c r="Q593" t="s">
        <v>83</v>
      </c>
      <c r="R593" t="s">
        <v>79</v>
      </c>
      <c r="S593" t="s">
        <v>84</v>
      </c>
      <c r="T593" t="s">
        <v>124</v>
      </c>
      <c r="U593" t="s">
        <v>79</v>
      </c>
      <c r="V593" t="s">
        <v>106</v>
      </c>
      <c r="W593" t="s">
        <v>120</v>
      </c>
      <c r="X593" t="s">
        <v>112</v>
      </c>
      <c r="Y593" t="s">
        <v>93</v>
      </c>
      <c r="Z593" t="s">
        <v>93</v>
      </c>
      <c r="AA593" t="s">
        <v>93</v>
      </c>
      <c r="AB593" t="s">
        <v>93</v>
      </c>
      <c r="AC593" t="s">
        <v>94</v>
      </c>
      <c r="AD593" t="s">
        <v>94</v>
      </c>
      <c r="AE593" t="s">
        <v>95</v>
      </c>
      <c r="AF593" t="s">
        <v>94</v>
      </c>
      <c r="AG593" t="s">
        <v>94</v>
      </c>
      <c r="AH593" t="s">
        <v>95</v>
      </c>
      <c r="AI593" t="s">
        <v>93</v>
      </c>
      <c r="AJ593" t="s">
        <v>93</v>
      </c>
      <c r="AK593" t="s">
        <v>93</v>
      </c>
      <c r="AL593" t="s">
        <v>94</v>
      </c>
      <c r="AM593" t="s">
        <v>94</v>
      </c>
      <c r="AN593" t="s">
        <v>93</v>
      </c>
      <c r="AO593" t="s">
        <v>93</v>
      </c>
      <c r="AP593" t="s">
        <v>93</v>
      </c>
      <c r="AQ593" t="s">
        <v>95</v>
      </c>
      <c r="AR593" t="s">
        <v>94</v>
      </c>
      <c r="AS593" t="s">
        <v>95</v>
      </c>
      <c r="AT593" t="s">
        <v>93</v>
      </c>
      <c r="AU593" t="s">
        <v>92</v>
      </c>
      <c r="AV593" t="s">
        <v>92</v>
      </c>
      <c r="AW593" t="s">
        <v>93</v>
      </c>
      <c r="AX593" t="s">
        <v>94</v>
      </c>
      <c r="AY593" t="s">
        <v>94</v>
      </c>
      <c r="AZ593" t="s">
        <v>95</v>
      </c>
    </row>
    <row r="594" spans="1:60" x14ac:dyDescent="0.3">
      <c r="A594">
        <v>20</v>
      </c>
      <c r="B594" t="s">
        <v>162</v>
      </c>
      <c r="C594" t="s">
        <v>157</v>
      </c>
      <c r="D594" t="s">
        <v>72</v>
      </c>
      <c r="E594" t="s">
        <v>73</v>
      </c>
      <c r="F594" t="s">
        <v>74</v>
      </c>
      <c r="G594" t="s">
        <v>99</v>
      </c>
      <c r="H594" t="s">
        <v>136</v>
      </c>
      <c r="I594" t="s">
        <v>76</v>
      </c>
      <c r="J594" t="s">
        <v>77</v>
      </c>
      <c r="K594" t="s">
        <v>122</v>
      </c>
      <c r="L594" t="s">
        <v>79</v>
      </c>
      <c r="M594" t="s">
        <v>80</v>
      </c>
      <c r="N594" t="s">
        <v>79</v>
      </c>
      <c r="O594" t="s">
        <v>81</v>
      </c>
      <c r="P594" t="s">
        <v>82</v>
      </c>
      <c r="Q594" t="s">
        <v>83</v>
      </c>
      <c r="R594" t="s">
        <v>82</v>
      </c>
      <c r="S594" t="s">
        <v>309</v>
      </c>
      <c r="T594" t="s">
        <v>158</v>
      </c>
      <c r="U594" t="s">
        <v>82</v>
      </c>
      <c r="V594" t="s">
        <v>106</v>
      </c>
      <c r="W594" t="s">
        <v>141</v>
      </c>
      <c r="X594" t="s">
        <v>112</v>
      </c>
      <c r="Y594" t="s">
        <v>93</v>
      </c>
      <c r="Z594" t="s">
        <v>93</v>
      </c>
      <c r="AA594" t="s">
        <v>93</v>
      </c>
      <c r="AB594" t="s">
        <v>93</v>
      </c>
      <c r="AC594" t="s">
        <v>93</v>
      </c>
      <c r="AD594" t="s">
        <v>93</v>
      </c>
      <c r="AE594" t="s">
        <v>93</v>
      </c>
      <c r="AF594" t="s">
        <v>93</v>
      </c>
      <c r="AG594" t="s">
        <v>93</v>
      </c>
      <c r="AH594" t="s">
        <v>93</v>
      </c>
      <c r="AI594" t="s">
        <v>93</v>
      </c>
      <c r="AJ594" t="s">
        <v>93</v>
      </c>
      <c r="AK594" t="s">
        <v>93</v>
      </c>
      <c r="AL594" t="s">
        <v>93</v>
      </c>
      <c r="AM594" t="s">
        <v>93</v>
      </c>
      <c r="AN594" t="s">
        <v>93</v>
      </c>
      <c r="AO594" t="s">
        <v>93</v>
      </c>
      <c r="AP594" t="s">
        <v>93</v>
      </c>
      <c r="AQ594" t="s">
        <v>93</v>
      </c>
      <c r="AR594" t="s">
        <v>93</v>
      </c>
      <c r="AS594" t="s">
        <v>93</v>
      </c>
      <c r="AT594" t="s">
        <v>93</v>
      </c>
      <c r="AU594" t="s">
        <v>93</v>
      </c>
      <c r="AV594" t="s">
        <v>93</v>
      </c>
      <c r="AW594" t="s">
        <v>93</v>
      </c>
      <c r="AX594" t="s">
        <v>93</v>
      </c>
      <c r="AY594" t="s">
        <v>93</v>
      </c>
      <c r="AZ594" t="s">
        <v>93</v>
      </c>
      <c r="BA594" t="s">
        <v>93</v>
      </c>
      <c r="BB594" t="s">
        <v>93</v>
      </c>
      <c r="BC594" t="s">
        <v>93</v>
      </c>
      <c r="BD594" t="s">
        <v>93</v>
      </c>
      <c r="BE594" t="s">
        <v>93</v>
      </c>
      <c r="BF594" t="s">
        <v>93</v>
      </c>
      <c r="BG594" t="s">
        <v>93</v>
      </c>
      <c r="BH594" t="s">
        <v>93</v>
      </c>
    </row>
    <row r="595" spans="1:60" x14ac:dyDescent="0.3">
      <c r="A595">
        <v>20</v>
      </c>
      <c r="B595" t="s">
        <v>70</v>
      </c>
      <c r="C595" t="s">
        <v>157</v>
      </c>
      <c r="D595" t="s">
        <v>72</v>
      </c>
      <c r="E595" t="s">
        <v>114</v>
      </c>
      <c r="F595" t="s">
        <v>165</v>
      </c>
      <c r="G595" t="s">
        <v>210</v>
      </c>
      <c r="H595" t="s">
        <v>165</v>
      </c>
      <c r="I595" t="s">
        <v>76</v>
      </c>
      <c r="J595" t="s">
        <v>101</v>
      </c>
      <c r="K595" t="s">
        <v>125</v>
      </c>
      <c r="L595" t="s">
        <v>79</v>
      </c>
      <c r="M595" t="s">
        <v>80</v>
      </c>
      <c r="N595" t="s">
        <v>79</v>
      </c>
      <c r="O595" t="s">
        <v>109</v>
      </c>
      <c r="P595" t="s">
        <v>79</v>
      </c>
      <c r="Q595" t="s">
        <v>83</v>
      </c>
      <c r="R595" t="s">
        <v>79</v>
      </c>
      <c r="S595" t="s">
        <v>84</v>
      </c>
      <c r="T595" t="s">
        <v>151</v>
      </c>
      <c r="U595" t="s">
        <v>82</v>
      </c>
      <c r="V595" t="s">
        <v>106</v>
      </c>
      <c r="W595" t="s">
        <v>87</v>
      </c>
      <c r="X595" t="s">
        <v>112</v>
      </c>
      <c r="Y595" t="s">
        <v>94</v>
      </c>
      <c r="Z595" t="s">
        <v>94</v>
      </c>
      <c r="AA595" t="s">
        <v>94</v>
      </c>
      <c r="AB595" t="s">
        <v>94</v>
      </c>
      <c r="AC595" t="s">
        <v>94</v>
      </c>
      <c r="AD595" t="s">
        <v>94</v>
      </c>
      <c r="AE595" t="s">
        <v>94</v>
      </c>
      <c r="AF595" t="s">
        <v>94</v>
      </c>
      <c r="AG595" t="s">
        <v>94</v>
      </c>
      <c r="AH595" t="s">
        <v>94</v>
      </c>
      <c r="AI595" t="s">
        <v>94</v>
      </c>
      <c r="AJ595" t="s">
        <v>94</v>
      </c>
      <c r="AK595" t="s">
        <v>94</v>
      </c>
      <c r="AL595" t="s">
        <v>94</v>
      </c>
      <c r="AM595" t="s">
        <v>95</v>
      </c>
      <c r="AN595" t="s">
        <v>94</v>
      </c>
      <c r="AO595" t="s">
        <v>94</v>
      </c>
      <c r="AP595" t="s">
        <v>94</v>
      </c>
      <c r="AQ595" t="s">
        <v>94</v>
      </c>
      <c r="AR595" t="s">
        <v>95</v>
      </c>
      <c r="AS595" t="s">
        <v>94</v>
      </c>
      <c r="AT595" t="s">
        <v>95</v>
      </c>
      <c r="AU595" t="s">
        <v>94</v>
      </c>
      <c r="AV595" t="s">
        <v>95</v>
      </c>
      <c r="AW595" t="s">
        <v>94</v>
      </c>
      <c r="AX595" t="s">
        <v>95</v>
      </c>
      <c r="AY595" t="s">
        <v>94</v>
      </c>
      <c r="AZ595" t="s">
        <v>95</v>
      </c>
      <c r="BA595" t="s">
        <v>94</v>
      </c>
      <c r="BB595" t="s">
        <v>95</v>
      </c>
      <c r="BC595" t="s">
        <v>94</v>
      </c>
      <c r="BD595" t="s">
        <v>94</v>
      </c>
      <c r="BE595" t="s">
        <v>94</v>
      </c>
      <c r="BF595" t="s">
        <v>94</v>
      </c>
      <c r="BG595" t="s">
        <v>95</v>
      </c>
      <c r="BH595" t="s">
        <v>94</v>
      </c>
    </row>
    <row r="596" spans="1:60" x14ac:dyDescent="0.3">
      <c r="A596">
        <v>21</v>
      </c>
      <c r="B596" t="s">
        <v>70</v>
      </c>
      <c r="C596" t="s">
        <v>157</v>
      </c>
      <c r="D596" t="s">
        <v>97</v>
      </c>
      <c r="E596" t="s">
        <v>108</v>
      </c>
      <c r="F596" t="s">
        <v>74</v>
      </c>
      <c r="G596" t="s">
        <v>75</v>
      </c>
      <c r="H596" t="s">
        <v>74</v>
      </c>
      <c r="I596" t="s">
        <v>76</v>
      </c>
      <c r="J596" t="s">
        <v>77</v>
      </c>
      <c r="K596" t="s">
        <v>131</v>
      </c>
      <c r="L596" t="s">
        <v>79</v>
      </c>
      <c r="M596" t="s">
        <v>80</v>
      </c>
      <c r="N596" t="s">
        <v>79</v>
      </c>
      <c r="O596" t="s">
        <v>117</v>
      </c>
      <c r="P596" t="s">
        <v>82</v>
      </c>
      <c r="Q596" t="s">
        <v>83</v>
      </c>
      <c r="R596" t="s">
        <v>82</v>
      </c>
      <c r="S596" t="s">
        <v>84</v>
      </c>
      <c r="T596" t="s">
        <v>206</v>
      </c>
      <c r="U596" t="s">
        <v>82</v>
      </c>
      <c r="V596" t="s">
        <v>106</v>
      </c>
      <c r="W596" t="s">
        <v>87</v>
      </c>
      <c r="X596" t="s">
        <v>112</v>
      </c>
      <c r="Y596" t="s">
        <v>93</v>
      </c>
      <c r="Z596" t="s">
        <v>93</v>
      </c>
      <c r="AA596" t="s">
        <v>93</v>
      </c>
      <c r="AB596" t="s">
        <v>93</v>
      </c>
      <c r="AC596" t="s">
        <v>93</v>
      </c>
      <c r="AD596" t="s">
        <v>93</v>
      </c>
      <c r="AE596" t="s">
        <v>93</v>
      </c>
      <c r="AF596" t="s">
        <v>93</v>
      </c>
      <c r="AG596" t="s">
        <v>93</v>
      </c>
      <c r="AH596" t="s">
        <v>93</v>
      </c>
      <c r="AI596" t="s">
        <v>93</v>
      </c>
      <c r="AJ596" t="s">
        <v>92</v>
      </c>
      <c r="AK596" t="s">
        <v>92</v>
      </c>
      <c r="AL596" t="s">
        <v>92</v>
      </c>
      <c r="AM596" t="s">
        <v>92</v>
      </c>
      <c r="AN596" t="s">
        <v>93</v>
      </c>
      <c r="AO596" t="s">
        <v>93</v>
      </c>
      <c r="AP596" t="s">
        <v>93</v>
      </c>
      <c r="AQ596" t="s">
        <v>93</v>
      </c>
      <c r="AR596" t="s">
        <v>92</v>
      </c>
      <c r="AS596" t="s">
        <v>94</v>
      </c>
      <c r="AT596" t="s">
        <v>94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92</v>
      </c>
      <c r="BA596" t="s">
        <v>93</v>
      </c>
      <c r="BB596" t="s">
        <v>93</v>
      </c>
      <c r="BC596" t="s">
        <v>93</v>
      </c>
      <c r="BD596" t="s">
        <v>93</v>
      </c>
      <c r="BE596" t="s">
        <v>93</v>
      </c>
      <c r="BF596" t="s">
        <v>92</v>
      </c>
      <c r="BG596" t="s">
        <v>92</v>
      </c>
      <c r="BH596" t="s">
        <v>93</v>
      </c>
    </row>
    <row r="597" spans="1:60" x14ac:dyDescent="0.3">
      <c r="A597">
        <v>22</v>
      </c>
      <c r="B597" t="s">
        <v>70</v>
      </c>
      <c r="C597" t="s">
        <v>157</v>
      </c>
      <c r="D597" t="s">
        <v>72</v>
      </c>
      <c r="E597" t="s">
        <v>114</v>
      </c>
      <c r="F597" t="s">
        <v>98</v>
      </c>
      <c r="G597" t="s">
        <v>135</v>
      </c>
      <c r="H597" t="s">
        <v>98</v>
      </c>
      <c r="I597" t="s">
        <v>76</v>
      </c>
      <c r="J597" t="s">
        <v>77</v>
      </c>
      <c r="K597" t="s">
        <v>125</v>
      </c>
      <c r="L597" t="s">
        <v>79</v>
      </c>
      <c r="M597" t="s">
        <v>102</v>
      </c>
      <c r="N597" t="s">
        <v>79</v>
      </c>
      <c r="O597" t="s">
        <v>117</v>
      </c>
      <c r="P597" t="s">
        <v>82</v>
      </c>
      <c r="Q597" t="s">
        <v>83</v>
      </c>
      <c r="R597" t="s">
        <v>82</v>
      </c>
      <c r="S597" t="s">
        <v>84</v>
      </c>
      <c r="T597" t="s">
        <v>124</v>
      </c>
      <c r="U597" t="s">
        <v>82</v>
      </c>
      <c r="V597" t="s">
        <v>86</v>
      </c>
      <c r="W597" t="s">
        <v>87</v>
      </c>
      <c r="X597" t="s">
        <v>88</v>
      </c>
      <c r="Y597" t="s">
        <v>93</v>
      </c>
      <c r="Z597" t="s">
        <v>93</v>
      </c>
      <c r="AA597" t="s">
        <v>93</v>
      </c>
      <c r="AB597" t="s">
        <v>93</v>
      </c>
      <c r="AC597" t="s">
        <v>94</v>
      </c>
      <c r="AD597" t="s">
        <v>94</v>
      </c>
      <c r="AE597" t="s">
        <v>95</v>
      </c>
      <c r="AF597" t="s">
        <v>93</v>
      </c>
      <c r="AG597" t="s">
        <v>93</v>
      </c>
      <c r="AH597" t="s">
        <v>93</v>
      </c>
      <c r="AI597" t="s">
        <v>93</v>
      </c>
      <c r="AJ597" t="s">
        <v>93</v>
      </c>
      <c r="AK597" t="s">
        <v>93</v>
      </c>
      <c r="AL597" t="s">
        <v>95</v>
      </c>
      <c r="AM597" t="s">
        <v>95</v>
      </c>
      <c r="AN597" t="s">
        <v>93</v>
      </c>
      <c r="AO597" t="s">
        <v>93</v>
      </c>
      <c r="AP597" t="s">
        <v>93</v>
      </c>
      <c r="AQ597" t="s">
        <v>95</v>
      </c>
      <c r="AR597" t="s">
        <v>95</v>
      </c>
      <c r="AS597" t="s">
        <v>95</v>
      </c>
      <c r="AT597" t="s">
        <v>95</v>
      </c>
      <c r="AU597" t="s">
        <v>93</v>
      </c>
      <c r="AV597" t="s">
        <v>93</v>
      </c>
      <c r="AW597" t="s">
        <v>93</v>
      </c>
      <c r="AX597" t="s">
        <v>95</v>
      </c>
      <c r="AY597" t="s">
        <v>95</v>
      </c>
      <c r="AZ597" t="s">
        <v>95</v>
      </c>
      <c r="BA597" t="s">
        <v>93</v>
      </c>
      <c r="BB597" t="s">
        <v>93</v>
      </c>
      <c r="BC597" t="s">
        <v>93</v>
      </c>
      <c r="BD597" t="s">
        <v>93</v>
      </c>
      <c r="BE597" t="s">
        <v>93</v>
      </c>
      <c r="BF597" t="s">
        <v>95</v>
      </c>
      <c r="BG597" t="s">
        <v>95</v>
      </c>
      <c r="BH597" t="s">
        <v>95</v>
      </c>
    </row>
    <row r="598" spans="1:60" x14ac:dyDescent="0.3">
      <c r="A598">
        <v>22</v>
      </c>
      <c r="B598" t="s">
        <v>128</v>
      </c>
      <c r="C598" t="s">
        <v>96</v>
      </c>
      <c r="D598" t="s">
        <v>97</v>
      </c>
      <c r="E598" t="s">
        <v>114</v>
      </c>
      <c r="F598" t="s">
        <v>74</v>
      </c>
      <c r="G598" t="s">
        <v>135</v>
      </c>
      <c r="H598" t="s">
        <v>74</v>
      </c>
      <c r="I598" t="s">
        <v>75</v>
      </c>
      <c r="J598" t="s">
        <v>101</v>
      </c>
      <c r="K598" t="s">
        <v>125</v>
      </c>
      <c r="L598" t="s">
        <v>79</v>
      </c>
      <c r="M598" t="s">
        <v>80</v>
      </c>
      <c r="N598" t="s">
        <v>82</v>
      </c>
      <c r="O598" t="s">
        <v>117</v>
      </c>
      <c r="P598" t="s">
        <v>82</v>
      </c>
      <c r="Q598" t="s">
        <v>118</v>
      </c>
      <c r="R598" t="s">
        <v>82</v>
      </c>
      <c r="S598" t="s">
        <v>84</v>
      </c>
      <c r="T598" t="s">
        <v>310</v>
      </c>
      <c r="U598" t="s">
        <v>82</v>
      </c>
      <c r="V598" t="s">
        <v>106</v>
      </c>
      <c r="W598" t="s">
        <v>87</v>
      </c>
      <c r="X598" t="s">
        <v>127</v>
      </c>
      <c r="Y598" t="s">
        <v>93</v>
      </c>
      <c r="Z598" t="s">
        <v>93</v>
      </c>
      <c r="AA598" t="s">
        <v>93</v>
      </c>
      <c r="AB598" t="s">
        <v>92</v>
      </c>
      <c r="AC598" t="s">
        <v>94</v>
      </c>
      <c r="AD598" t="s">
        <v>95</v>
      </c>
      <c r="AE598" t="s">
        <v>94</v>
      </c>
      <c r="AF598" t="s">
        <v>93</v>
      </c>
      <c r="AG598" t="s">
        <v>92</v>
      </c>
      <c r="AH598" t="s">
        <v>95</v>
      </c>
      <c r="AI598" t="s">
        <v>93</v>
      </c>
      <c r="AJ598" t="s">
        <v>93</v>
      </c>
      <c r="AK598" t="s">
        <v>93</v>
      </c>
      <c r="AL598" t="s">
        <v>95</v>
      </c>
      <c r="AM598" t="s">
        <v>95</v>
      </c>
      <c r="AN598" t="s">
        <v>93</v>
      </c>
      <c r="AO598" t="s">
        <v>93</v>
      </c>
      <c r="AP598" t="s">
        <v>93</v>
      </c>
      <c r="AQ598" t="s">
        <v>95</v>
      </c>
      <c r="AR598" t="s">
        <v>95</v>
      </c>
      <c r="AS598" t="s">
        <v>95</v>
      </c>
      <c r="AT598" t="s">
        <v>92</v>
      </c>
      <c r="AU598" t="s">
        <v>93</v>
      </c>
      <c r="AV598" t="s">
        <v>93</v>
      </c>
      <c r="AW598" t="s">
        <v>93</v>
      </c>
      <c r="AX598" t="s">
        <v>95</v>
      </c>
      <c r="AY598" t="s">
        <v>93</v>
      </c>
      <c r="AZ598" t="s">
        <v>92</v>
      </c>
      <c r="BA598" t="s">
        <v>93</v>
      </c>
      <c r="BB598" t="s">
        <v>95</v>
      </c>
      <c r="BC598" t="s">
        <v>93</v>
      </c>
      <c r="BD598" t="s">
        <v>93</v>
      </c>
      <c r="BE598" t="s">
        <v>93</v>
      </c>
      <c r="BF598" t="s">
        <v>95</v>
      </c>
      <c r="BG598" t="s">
        <v>95</v>
      </c>
      <c r="BH598" t="s">
        <v>95</v>
      </c>
    </row>
    <row r="599" spans="1:60" x14ac:dyDescent="0.3">
      <c r="A599">
        <v>23</v>
      </c>
      <c r="B599" t="s">
        <v>70</v>
      </c>
      <c r="C599" t="s">
        <v>113</v>
      </c>
      <c r="D599" t="s">
        <v>72</v>
      </c>
      <c r="E599" t="s">
        <v>114</v>
      </c>
      <c r="F599" t="s">
        <v>136</v>
      </c>
      <c r="G599" t="s">
        <v>135</v>
      </c>
      <c r="H599" t="s">
        <v>98</v>
      </c>
      <c r="I599" t="s">
        <v>76</v>
      </c>
      <c r="J599" t="s">
        <v>101</v>
      </c>
      <c r="K599" t="s">
        <v>122</v>
      </c>
      <c r="L599" t="s">
        <v>82</v>
      </c>
      <c r="M599" t="s">
        <v>80</v>
      </c>
      <c r="N599" t="s">
        <v>79</v>
      </c>
      <c r="O599" t="s">
        <v>81</v>
      </c>
      <c r="P599" t="s">
        <v>79</v>
      </c>
      <c r="Q599" t="s">
        <v>83</v>
      </c>
      <c r="R599" t="s">
        <v>79</v>
      </c>
      <c r="S599" t="s">
        <v>84</v>
      </c>
      <c r="T599" t="s">
        <v>140</v>
      </c>
      <c r="U599" t="s">
        <v>82</v>
      </c>
      <c r="V599" t="s">
        <v>106</v>
      </c>
      <c r="W599" t="s">
        <v>87</v>
      </c>
      <c r="X599" t="s">
        <v>112</v>
      </c>
      <c r="Y599" t="s">
        <v>93</v>
      </c>
      <c r="Z599" t="s">
        <v>93</v>
      </c>
      <c r="AA599" t="s">
        <v>93</v>
      </c>
      <c r="AB599" t="s">
        <v>93</v>
      </c>
      <c r="AC599" t="s">
        <v>95</v>
      </c>
      <c r="AD599" t="s">
        <v>95</v>
      </c>
      <c r="AE599" t="s">
        <v>95</v>
      </c>
      <c r="AF599" t="s">
        <v>93</v>
      </c>
      <c r="AG599" t="s">
        <v>93</v>
      </c>
      <c r="AH599" t="s">
        <v>93</v>
      </c>
      <c r="AI599" t="s">
        <v>93</v>
      </c>
      <c r="AJ599" t="s">
        <v>93</v>
      </c>
      <c r="AK599" t="s">
        <v>92</v>
      </c>
      <c r="AL599" t="s">
        <v>92</v>
      </c>
      <c r="AM599" t="s">
        <v>95</v>
      </c>
      <c r="AN599" t="s">
        <v>92</v>
      </c>
      <c r="AO599" t="s">
        <v>94</v>
      </c>
      <c r="AP599" t="s">
        <v>93</v>
      </c>
      <c r="AQ599" t="s">
        <v>92</v>
      </c>
      <c r="AR599" t="s">
        <v>95</v>
      </c>
      <c r="AS599" t="s">
        <v>95</v>
      </c>
      <c r="AT599" t="s">
        <v>95</v>
      </c>
      <c r="AU599" t="s">
        <v>93</v>
      </c>
      <c r="AV599" t="s">
        <v>93</v>
      </c>
      <c r="AW599" t="s">
        <v>93</v>
      </c>
      <c r="AX599" t="s">
        <v>92</v>
      </c>
      <c r="AY599" t="s">
        <v>95</v>
      </c>
      <c r="AZ599" t="s">
        <v>95</v>
      </c>
      <c r="BA599" t="s">
        <v>93</v>
      </c>
      <c r="BB599" t="s">
        <v>93</v>
      </c>
      <c r="BC599" t="s">
        <v>93</v>
      </c>
      <c r="BD599" t="s">
        <v>93</v>
      </c>
      <c r="BE599" t="s">
        <v>93</v>
      </c>
      <c r="BF599" t="s">
        <v>95</v>
      </c>
      <c r="BG599" t="s">
        <v>92</v>
      </c>
      <c r="BH599" t="s">
        <v>95</v>
      </c>
    </row>
    <row r="600" spans="1:60" x14ac:dyDescent="0.3">
      <c r="A600">
        <v>24</v>
      </c>
      <c r="B600" t="s">
        <v>70</v>
      </c>
      <c r="C600" t="s">
        <v>113</v>
      </c>
      <c r="D600" t="s">
        <v>72</v>
      </c>
      <c r="E600" t="s">
        <v>114</v>
      </c>
      <c r="F600" t="s">
        <v>136</v>
      </c>
      <c r="G600" t="s">
        <v>115</v>
      </c>
      <c r="H600" t="s">
        <v>100</v>
      </c>
      <c r="I600" t="s">
        <v>76</v>
      </c>
      <c r="J600" t="s">
        <v>77</v>
      </c>
      <c r="K600" t="s">
        <v>122</v>
      </c>
      <c r="L600" t="s">
        <v>79</v>
      </c>
      <c r="M600" t="s">
        <v>80</v>
      </c>
      <c r="N600" t="s">
        <v>79</v>
      </c>
      <c r="O600" t="s">
        <v>138</v>
      </c>
      <c r="P600" t="s">
        <v>79</v>
      </c>
      <c r="Q600" t="s">
        <v>83</v>
      </c>
      <c r="R600" t="s">
        <v>79</v>
      </c>
      <c r="S600" t="s">
        <v>84</v>
      </c>
      <c r="T600" t="s">
        <v>167</v>
      </c>
      <c r="U600" t="s">
        <v>79</v>
      </c>
      <c r="V600" t="s">
        <v>86</v>
      </c>
      <c r="W600" t="s">
        <v>141</v>
      </c>
      <c r="X600" t="s">
        <v>112</v>
      </c>
      <c r="Y600" t="s">
        <v>95</v>
      </c>
      <c r="Z600" t="s">
        <v>92</v>
      </c>
      <c r="AA600" t="s">
        <v>94</v>
      </c>
      <c r="AB600" t="s">
        <v>94</v>
      </c>
      <c r="AC600" t="s">
        <v>94</v>
      </c>
      <c r="AD600" t="s">
        <v>94</v>
      </c>
      <c r="AE600" t="s">
        <v>94</v>
      </c>
      <c r="AF600" t="s">
        <v>92</v>
      </c>
      <c r="AG600" t="s">
        <v>92</v>
      </c>
      <c r="AH600" t="s">
        <v>92</v>
      </c>
      <c r="AI600" t="s">
        <v>94</v>
      </c>
      <c r="AJ600" t="s">
        <v>92</v>
      </c>
      <c r="AK600" t="s">
        <v>94</v>
      </c>
      <c r="AL600" t="s">
        <v>92</v>
      </c>
      <c r="AM600" t="s">
        <v>92</v>
      </c>
      <c r="AN600" t="s">
        <v>94</v>
      </c>
      <c r="AO600" t="s">
        <v>92</v>
      </c>
      <c r="AP600" t="s">
        <v>94</v>
      </c>
      <c r="AQ600" t="s">
        <v>94</v>
      </c>
      <c r="AR600" t="s">
        <v>94</v>
      </c>
      <c r="AS600" t="s">
        <v>94</v>
      </c>
      <c r="AT600" t="s">
        <v>94</v>
      </c>
      <c r="AU600" t="s">
        <v>92</v>
      </c>
      <c r="AV600" t="s">
        <v>92</v>
      </c>
      <c r="AW600" t="s">
        <v>94</v>
      </c>
      <c r="AX600" t="s">
        <v>92</v>
      </c>
      <c r="AY600" t="s">
        <v>94</v>
      </c>
      <c r="AZ600" t="s">
        <v>95</v>
      </c>
      <c r="BA600" t="s">
        <v>94</v>
      </c>
      <c r="BB600" t="s">
        <v>95</v>
      </c>
      <c r="BC600" t="s">
        <v>94</v>
      </c>
      <c r="BD600" t="s">
        <v>94</v>
      </c>
      <c r="BE600" t="s">
        <v>92</v>
      </c>
      <c r="BF600" t="s">
        <v>95</v>
      </c>
      <c r="BG600" t="s">
        <v>94</v>
      </c>
      <c r="BH600" t="s">
        <v>94</v>
      </c>
    </row>
    <row r="601" spans="1:60" x14ac:dyDescent="0.3">
      <c r="A601">
        <v>22</v>
      </c>
      <c r="B601" t="s">
        <v>128</v>
      </c>
      <c r="C601" t="s">
        <v>96</v>
      </c>
      <c r="D601" t="s">
        <v>72</v>
      </c>
      <c r="E601" t="s">
        <v>108</v>
      </c>
      <c r="F601" t="s">
        <v>100</v>
      </c>
      <c r="G601" t="s">
        <v>135</v>
      </c>
      <c r="H601" t="s">
        <v>100</v>
      </c>
      <c r="I601" t="s">
        <v>76</v>
      </c>
      <c r="J601" t="s">
        <v>77</v>
      </c>
      <c r="K601" t="s">
        <v>125</v>
      </c>
      <c r="L601" t="s">
        <v>79</v>
      </c>
      <c r="M601" t="s">
        <v>80</v>
      </c>
      <c r="N601" t="s">
        <v>79</v>
      </c>
      <c r="O601" t="s">
        <v>117</v>
      </c>
      <c r="P601" t="s">
        <v>79</v>
      </c>
      <c r="Q601" t="s">
        <v>118</v>
      </c>
      <c r="R601" t="s">
        <v>82</v>
      </c>
      <c r="S601" t="s">
        <v>84</v>
      </c>
      <c r="T601" t="s">
        <v>140</v>
      </c>
      <c r="U601" t="s">
        <v>82</v>
      </c>
      <c r="V601" t="s">
        <v>106</v>
      </c>
      <c r="W601" t="s">
        <v>87</v>
      </c>
      <c r="X601" t="s">
        <v>88</v>
      </c>
      <c r="Y601" t="s">
        <v>92</v>
      </c>
      <c r="Z601" t="s">
        <v>93</v>
      </c>
      <c r="AA601" t="s">
        <v>92</v>
      </c>
      <c r="AB601" t="s">
        <v>93</v>
      </c>
      <c r="AC601" t="s">
        <v>92</v>
      </c>
      <c r="AD601" t="s">
        <v>94</v>
      </c>
      <c r="AE601" t="s">
        <v>94</v>
      </c>
      <c r="AF601" t="s">
        <v>94</v>
      </c>
      <c r="AG601" t="s">
        <v>94</v>
      </c>
      <c r="AH601" t="s">
        <v>94</v>
      </c>
      <c r="AI601" t="s">
        <v>94</v>
      </c>
      <c r="AJ601" t="s">
        <v>94</v>
      </c>
      <c r="AK601" t="s">
        <v>94</v>
      </c>
      <c r="AL601" t="s">
        <v>92</v>
      </c>
      <c r="AM601" t="s">
        <v>94</v>
      </c>
      <c r="AN601" t="s">
        <v>93</v>
      </c>
      <c r="AO601" t="s">
        <v>92</v>
      </c>
      <c r="AP601" t="s">
        <v>92</v>
      </c>
      <c r="AQ601" t="s">
        <v>92</v>
      </c>
      <c r="AR601" t="s">
        <v>92</v>
      </c>
      <c r="AS601" t="s">
        <v>92</v>
      </c>
      <c r="AT601" t="s">
        <v>92</v>
      </c>
      <c r="AU601" t="s">
        <v>92</v>
      </c>
      <c r="AV601" t="s">
        <v>92</v>
      </c>
      <c r="AW601" t="s">
        <v>92</v>
      </c>
      <c r="AX601" t="s">
        <v>92</v>
      </c>
      <c r="AY601" t="s">
        <v>92</v>
      </c>
      <c r="AZ601" t="s">
        <v>92</v>
      </c>
      <c r="BA601" t="s">
        <v>92</v>
      </c>
      <c r="BB601" t="s">
        <v>92</v>
      </c>
      <c r="BC601" t="s">
        <v>92</v>
      </c>
      <c r="BD601" t="s">
        <v>92</v>
      </c>
      <c r="BE601" t="s">
        <v>92</v>
      </c>
      <c r="BF601" t="s">
        <v>92</v>
      </c>
      <c r="BG601" t="s">
        <v>92</v>
      </c>
      <c r="BH601" t="s">
        <v>92</v>
      </c>
    </row>
    <row r="602" spans="1:60" x14ac:dyDescent="0.3">
      <c r="A602">
        <v>23</v>
      </c>
      <c r="B602" t="s">
        <v>70</v>
      </c>
      <c r="C602" t="s">
        <v>113</v>
      </c>
      <c r="D602" t="s">
        <v>72</v>
      </c>
      <c r="E602" t="s">
        <v>73</v>
      </c>
      <c r="F602" t="s">
        <v>136</v>
      </c>
      <c r="G602" t="s">
        <v>135</v>
      </c>
      <c r="H602" t="s">
        <v>136</v>
      </c>
      <c r="I602" t="s">
        <v>76</v>
      </c>
      <c r="J602" t="s">
        <v>77</v>
      </c>
      <c r="K602" t="s">
        <v>131</v>
      </c>
      <c r="L602" t="s">
        <v>79</v>
      </c>
      <c r="M602" t="s">
        <v>80</v>
      </c>
      <c r="N602" t="s">
        <v>79</v>
      </c>
      <c r="O602" t="s">
        <v>117</v>
      </c>
      <c r="P602" t="s">
        <v>82</v>
      </c>
      <c r="Q602" t="s">
        <v>83</v>
      </c>
      <c r="R602" t="s">
        <v>82</v>
      </c>
      <c r="S602" t="s">
        <v>145</v>
      </c>
      <c r="T602" t="s">
        <v>156</v>
      </c>
      <c r="U602" t="s">
        <v>82</v>
      </c>
      <c r="V602" t="s">
        <v>106</v>
      </c>
      <c r="W602" t="s">
        <v>120</v>
      </c>
      <c r="X602" t="s">
        <v>112</v>
      </c>
      <c r="Y602" t="s">
        <v>92</v>
      </c>
      <c r="Z602" t="s">
        <v>92</v>
      </c>
      <c r="AA602" t="s">
        <v>92</v>
      </c>
      <c r="AB602" t="s">
        <v>94</v>
      </c>
      <c r="AC602" t="s">
        <v>94</v>
      </c>
      <c r="AD602" t="s">
        <v>94</v>
      </c>
      <c r="AE602" t="s">
        <v>92</v>
      </c>
      <c r="AF602" t="s">
        <v>94</v>
      </c>
      <c r="AG602" t="s">
        <v>95</v>
      </c>
      <c r="AH602" t="s">
        <v>95</v>
      </c>
      <c r="AI602" t="s">
        <v>92</v>
      </c>
      <c r="AJ602" t="s">
        <v>94</v>
      </c>
      <c r="AK602" t="s">
        <v>94</v>
      </c>
      <c r="AL602" t="s">
        <v>94</v>
      </c>
      <c r="AM602" t="s">
        <v>95</v>
      </c>
      <c r="AN602" t="s">
        <v>92</v>
      </c>
      <c r="AO602" t="s">
        <v>92</v>
      </c>
      <c r="AP602" t="s">
        <v>93</v>
      </c>
      <c r="AQ602" t="s">
        <v>93</v>
      </c>
      <c r="AR602" t="s">
        <v>94</v>
      </c>
      <c r="AS602" t="s">
        <v>94</v>
      </c>
      <c r="AT602" t="s">
        <v>95</v>
      </c>
      <c r="AU602" t="s">
        <v>92</v>
      </c>
      <c r="AV602" t="s">
        <v>92</v>
      </c>
      <c r="AW602" t="s">
        <v>92</v>
      </c>
      <c r="AX602" t="s">
        <v>94</v>
      </c>
      <c r="AY602" t="s">
        <v>94</v>
      </c>
      <c r="AZ602" t="s">
        <v>95</v>
      </c>
      <c r="BA602" t="s">
        <v>92</v>
      </c>
      <c r="BB602" t="s">
        <v>94</v>
      </c>
      <c r="BC602" t="s">
        <v>92</v>
      </c>
      <c r="BD602" t="s">
        <v>92</v>
      </c>
      <c r="BE602" t="s">
        <v>94</v>
      </c>
      <c r="BF602" t="s">
        <v>95</v>
      </c>
      <c r="BG602" t="s">
        <v>94</v>
      </c>
      <c r="BH602" t="s">
        <v>95</v>
      </c>
    </row>
    <row r="603" spans="1:60" x14ac:dyDescent="0.3">
      <c r="A603">
        <v>23</v>
      </c>
      <c r="B603" t="s">
        <v>70</v>
      </c>
      <c r="C603" t="s">
        <v>113</v>
      </c>
      <c r="D603" t="s">
        <v>72</v>
      </c>
      <c r="E603" t="s">
        <v>114</v>
      </c>
      <c r="F603" t="s">
        <v>136</v>
      </c>
      <c r="G603" t="s">
        <v>135</v>
      </c>
      <c r="H603" t="s">
        <v>136</v>
      </c>
      <c r="I603" t="s">
        <v>76</v>
      </c>
      <c r="J603" t="s">
        <v>101</v>
      </c>
      <c r="K603" t="s">
        <v>131</v>
      </c>
      <c r="L603" t="s">
        <v>82</v>
      </c>
      <c r="M603" t="s">
        <v>80</v>
      </c>
      <c r="N603" t="s">
        <v>82</v>
      </c>
      <c r="O603" t="s">
        <v>138</v>
      </c>
      <c r="P603" t="s">
        <v>79</v>
      </c>
      <c r="Q603" t="s">
        <v>103</v>
      </c>
      <c r="R603" t="s">
        <v>79</v>
      </c>
      <c r="S603" t="s">
        <v>126</v>
      </c>
      <c r="T603" t="s">
        <v>175</v>
      </c>
      <c r="U603" t="s">
        <v>79</v>
      </c>
      <c r="V603" t="s">
        <v>86</v>
      </c>
      <c r="W603" t="s">
        <v>141</v>
      </c>
      <c r="Y603" t="s">
        <v>92</v>
      </c>
      <c r="Z603" t="s">
        <v>92</v>
      </c>
      <c r="AA603" t="s">
        <v>92</v>
      </c>
      <c r="AB603" t="s">
        <v>92</v>
      </c>
      <c r="AC603" t="s">
        <v>94</v>
      </c>
      <c r="AD603" t="s">
        <v>94</v>
      </c>
      <c r="AE603" t="s">
        <v>94</v>
      </c>
      <c r="AF603" t="s">
        <v>94</v>
      </c>
      <c r="AG603" t="s">
        <v>94</v>
      </c>
      <c r="AH603" t="s">
        <v>94</v>
      </c>
      <c r="AI603" t="s">
        <v>92</v>
      </c>
      <c r="AJ603" t="s">
        <v>94</v>
      </c>
      <c r="AK603" t="s">
        <v>94</v>
      </c>
      <c r="AL603" t="s">
        <v>94</v>
      </c>
      <c r="AM603" t="s">
        <v>94</v>
      </c>
      <c r="AN603" t="s">
        <v>92</v>
      </c>
      <c r="AO603" t="s">
        <v>92</v>
      </c>
      <c r="AP603" t="s">
        <v>92</v>
      </c>
      <c r="AQ603" t="s">
        <v>92</v>
      </c>
      <c r="AR603" t="s">
        <v>95</v>
      </c>
      <c r="AS603" t="s">
        <v>95</v>
      </c>
      <c r="AT603" t="s">
        <v>95</v>
      </c>
      <c r="AU603" t="s">
        <v>92</v>
      </c>
      <c r="AV603" t="s">
        <v>92</v>
      </c>
      <c r="AW603" t="s">
        <v>92</v>
      </c>
      <c r="AX603" t="s">
        <v>94</v>
      </c>
      <c r="AY603" t="s">
        <v>94</v>
      </c>
      <c r="AZ603" t="s">
        <v>95</v>
      </c>
      <c r="BA603" t="s">
        <v>92</v>
      </c>
      <c r="BB603" t="s">
        <v>94</v>
      </c>
      <c r="BC603" t="s">
        <v>94</v>
      </c>
      <c r="BD603" t="s">
        <v>94</v>
      </c>
      <c r="BE603" t="s">
        <v>94</v>
      </c>
      <c r="BF603" t="s">
        <v>94</v>
      </c>
      <c r="BG603" t="s">
        <v>94</v>
      </c>
      <c r="BH603" t="s">
        <v>94</v>
      </c>
    </row>
    <row r="604" spans="1:60" x14ac:dyDescent="0.3">
      <c r="A604">
        <v>22</v>
      </c>
      <c r="B604" t="s">
        <v>128</v>
      </c>
      <c r="C604" t="s">
        <v>96</v>
      </c>
      <c r="D604" t="s">
        <v>72</v>
      </c>
      <c r="E604" t="s">
        <v>73</v>
      </c>
      <c r="F604" t="s">
        <v>74</v>
      </c>
      <c r="G604" t="s">
        <v>99</v>
      </c>
      <c r="H604" t="s">
        <v>98</v>
      </c>
      <c r="I604" t="s">
        <v>76</v>
      </c>
      <c r="J604" t="s">
        <v>77</v>
      </c>
      <c r="K604" t="s">
        <v>125</v>
      </c>
      <c r="L604" t="s">
        <v>79</v>
      </c>
      <c r="M604" t="s">
        <v>80</v>
      </c>
      <c r="N604" t="s">
        <v>79</v>
      </c>
      <c r="O604" t="s">
        <v>117</v>
      </c>
      <c r="P604" t="s">
        <v>79</v>
      </c>
      <c r="Q604" t="s">
        <v>83</v>
      </c>
      <c r="R604" t="s">
        <v>79</v>
      </c>
      <c r="S604" t="s">
        <v>126</v>
      </c>
      <c r="T604" t="s">
        <v>111</v>
      </c>
      <c r="U604" t="s">
        <v>82</v>
      </c>
      <c r="V604" t="s">
        <v>106</v>
      </c>
      <c r="W604" t="s">
        <v>141</v>
      </c>
      <c r="X604" t="s">
        <v>112</v>
      </c>
      <c r="Y604" t="s">
        <v>94</v>
      </c>
      <c r="Z604" t="s">
        <v>92</v>
      </c>
      <c r="AA604" t="s">
        <v>94</v>
      </c>
      <c r="AB604" t="s">
        <v>94</v>
      </c>
      <c r="AC604" t="s">
        <v>94</v>
      </c>
      <c r="AD604" t="s">
        <v>94</v>
      </c>
      <c r="AE604" t="s">
        <v>94</v>
      </c>
      <c r="AF604" t="s">
        <v>92</v>
      </c>
      <c r="AG604" t="s">
        <v>92</v>
      </c>
      <c r="AH604" t="s">
        <v>92</v>
      </c>
      <c r="AI604" t="s">
        <v>94</v>
      </c>
      <c r="AJ604" t="s">
        <v>92</v>
      </c>
      <c r="AK604" t="s">
        <v>94</v>
      </c>
      <c r="AL604" t="s">
        <v>92</v>
      </c>
      <c r="AM604" t="s">
        <v>92</v>
      </c>
      <c r="AN604" t="s">
        <v>93</v>
      </c>
      <c r="AO604" t="s">
        <v>93</v>
      </c>
      <c r="AP604" t="s">
        <v>93</v>
      </c>
      <c r="AQ604" t="s">
        <v>93</v>
      </c>
      <c r="AR604" t="s">
        <v>93</v>
      </c>
      <c r="AS604" t="s">
        <v>93</v>
      </c>
      <c r="AT604" t="s">
        <v>93</v>
      </c>
      <c r="AU604" t="s">
        <v>92</v>
      </c>
      <c r="AV604" t="s">
        <v>93</v>
      </c>
      <c r="AW604" t="s">
        <v>93</v>
      </c>
      <c r="AX604" t="s">
        <v>92</v>
      </c>
      <c r="AY604" t="s">
        <v>92</v>
      </c>
      <c r="AZ604" t="s">
        <v>92</v>
      </c>
      <c r="BA604" t="s">
        <v>93</v>
      </c>
      <c r="BB604" t="s">
        <v>92</v>
      </c>
      <c r="BC604" t="s">
        <v>92</v>
      </c>
      <c r="BD604" t="s">
        <v>92</v>
      </c>
      <c r="BE604" t="s">
        <v>92</v>
      </c>
      <c r="BF604" t="s">
        <v>92</v>
      </c>
      <c r="BG604" t="s">
        <v>92</v>
      </c>
      <c r="BH604" t="s">
        <v>92</v>
      </c>
    </row>
    <row r="605" spans="1:60" x14ac:dyDescent="0.3">
      <c r="A605">
        <v>22</v>
      </c>
      <c r="B605" t="s">
        <v>70</v>
      </c>
      <c r="C605" t="s">
        <v>113</v>
      </c>
      <c r="D605" t="s">
        <v>72</v>
      </c>
      <c r="E605" t="s">
        <v>73</v>
      </c>
      <c r="F605" t="s">
        <v>74</v>
      </c>
      <c r="G605" t="s">
        <v>115</v>
      </c>
      <c r="H605" t="s">
        <v>74</v>
      </c>
      <c r="I605" t="s">
        <v>76</v>
      </c>
      <c r="J605" t="s">
        <v>77</v>
      </c>
      <c r="K605" t="s">
        <v>122</v>
      </c>
      <c r="L605" t="s">
        <v>79</v>
      </c>
      <c r="M605" t="s">
        <v>102</v>
      </c>
      <c r="N605" t="s">
        <v>79</v>
      </c>
      <c r="O605" t="s">
        <v>81</v>
      </c>
      <c r="P605" t="s">
        <v>79</v>
      </c>
      <c r="Q605" t="s">
        <v>83</v>
      </c>
      <c r="R605" t="s">
        <v>79</v>
      </c>
      <c r="S605" t="s">
        <v>84</v>
      </c>
      <c r="T605" t="s">
        <v>190</v>
      </c>
      <c r="U605" t="s">
        <v>82</v>
      </c>
      <c r="V605" t="s">
        <v>148</v>
      </c>
      <c r="W605" t="s">
        <v>141</v>
      </c>
      <c r="X605" t="s">
        <v>112</v>
      </c>
      <c r="Y605" t="s">
        <v>92</v>
      </c>
      <c r="Z605" t="s">
        <v>92</v>
      </c>
      <c r="AA605" t="s">
        <v>92</v>
      </c>
      <c r="AB605" t="s">
        <v>92</v>
      </c>
      <c r="AC605" t="s">
        <v>92</v>
      </c>
      <c r="AD605" t="s">
        <v>92</v>
      </c>
      <c r="AE605" t="s">
        <v>92</v>
      </c>
      <c r="AF605" t="s">
        <v>92</v>
      </c>
      <c r="AG605" t="s">
        <v>92</v>
      </c>
      <c r="AH605" t="s">
        <v>92</v>
      </c>
      <c r="AI605" t="s">
        <v>92</v>
      </c>
      <c r="AJ605" t="s">
        <v>92</v>
      </c>
      <c r="AK605" t="s">
        <v>92</v>
      </c>
      <c r="AL605" t="s">
        <v>92</v>
      </c>
      <c r="AM605" t="s">
        <v>92</v>
      </c>
      <c r="AN605" t="s">
        <v>92</v>
      </c>
      <c r="AO605" t="s">
        <v>92</v>
      </c>
      <c r="AP605" t="s">
        <v>92</v>
      </c>
      <c r="AQ605" t="s">
        <v>92</v>
      </c>
      <c r="AR605" t="s">
        <v>92</v>
      </c>
      <c r="AS605" t="s">
        <v>92</v>
      </c>
      <c r="AT605" t="s">
        <v>92</v>
      </c>
      <c r="AU605" t="s">
        <v>92</v>
      </c>
      <c r="AV605" t="s">
        <v>92</v>
      </c>
      <c r="AW605" t="s">
        <v>92</v>
      </c>
      <c r="AX605" t="s">
        <v>92</v>
      </c>
      <c r="AY605" t="s">
        <v>92</v>
      </c>
      <c r="AZ605" t="s">
        <v>92</v>
      </c>
      <c r="BA605" t="s">
        <v>92</v>
      </c>
      <c r="BB605" t="s">
        <v>92</v>
      </c>
      <c r="BC605" t="s">
        <v>92</v>
      </c>
      <c r="BD605" t="s">
        <v>92</v>
      </c>
      <c r="BE605" t="s">
        <v>92</v>
      </c>
      <c r="BF605" t="s">
        <v>92</v>
      </c>
      <c r="BG605" t="s">
        <v>92</v>
      </c>
      <c r="BH605" t="s">
        <v>92</v>
      </c>
    </row>
    <row r="606" spans="1:60" x14ac:dyDescent="0.3">
      <c r="A606">
        <v>23</v>
      </c>
      <c r="B606" t="s">
        <v>70</v>
      </c>
      <c r="C606" t="s">
        <v>71</v>
      </c>
      <c r="D606" t="s">
        <v>72</v>
      </c>
      <c r="E606" t="s">
        <v>114</v>
      </c>
      <c r="F606" t="s">
        <v>74</v>
      </c>
      <c r="G606" t="s">
        <v>135</v>
      </c>
      <c r="H606" t="s">
        <v>74</v>
      </c>
      <c r="I606" t="s">
        <v>76</v>
      </c>
      <c r="J606" t="s">
        <v>77</v>
      </c>
      <c r="K606" t="s">
        <v>78</v>
      </c>
      <c r="L606" t="s">
        <v>79</v>
      </c>
      <c r="M606" t="s">
        <v>102</v>
      </c>
      <c r="N606" t="s">
        <v>79</v>
      </c>
      <c r="O606" t="s">
        <v>81</v>
      </c>
      <c r="P606" t="s">
        <v>79</v>
      </c>
      <c r="Q606" t="s">
        <v>83</v>
      </c>
      <c r="R606" t="s">
        <v>79</v>
      </c>
      <c r="S606" t="s">
        <v>137</v>
      </c>
      <c r="T606" t="s">
        <v>263</v>
      </c>
      <c r="U606" t="s">
        <v>79</v>
      </c>
      <c r="V606" t="s">
        <v>86</v>
      </c>
      <c r="W606" t="s">
        <v>141</v>
      </c>
      <c r="X606" t="s">
        <v>112</v>
      </c>
      <c r="Y606" t="s">
        <v>92</v>
      </c>
      <c r="Z606" t="s">
        <v>92</v>
      </c>
      <c r="AA606" t="s">
        <v>92</v>
      </c>
      <c r="AB606" t="s">
        <v>92</v>
      </c>
      <c r="AC606" t="s">
        <v>92</v>
      </c>
      <c r="AD606" t="s">
        <v>92</v>
      </c>
      <c r="AE606" t="s">
        <v>92</v>
      </c>
      <c r="AF606" t="s">
        <v>92</v>
      </c>
      <c r="AG606" t="s">
        <v>92</v>
      </c>
      <c r="AH606" t="s">
        <v>92</v>
      </c>
      <c r="AI606" t="s">
        <v>92</v>
      </c>
      <c r="AJ606" t="s">
        <v>92</v>
      </c>
      <c r="AK606" t="s">
        <v>92</v>
      </c>
      <c r="AL606" t="s">
        <v>92</v>
      </c>
      <c r="AM606" t="s">
        <v>92</v>
      </c>
      <c r="AN606" t="s">
        <v>92</v>
      </c>
      <c r="AO606" t="s">
        <v>92</v>
      </c>
      <c r="AP606" t="s">
        <v>92</v>
      </c>
      <c r="AQ606" t="s">
        <v>92</v>
      </c>
      <c r="AR606" t="s">
        <v>92</v>
      </c>
      <c r="AS606" t="s">
        <v>92</v>
      </c>
      <c r="AT606" t="s">
        <v>92</v>
      </c>
      <c r="AU606" t="s">
        <v>92</v>
      </c>
      <c r="AV606" t="s">
        <v>92</v>
      </c>
      <c r="AW606" t="s">
        <v>92</v>
      </c>
      <c r="AX606" t="s">
        <v>92</v>
      </c>
      <c r="AY606" t="s">
        <v>92</v>
      </c>
      <c r="AZ606" t="s">
        <v>92</v>
      </c>
      <c r="BA606" t="s">
        <v>92</v>
      </c>
      <c r="BB606" t="s">
        <v>92</v>
      </c>
      <c r="BC606" t="s">
        <v>92</v>
      </c>
      <c r="BD606" t="s">
        <v>92</v>
      </c>
      <c r="BE606" t="s">
        <v>92</v>
      </c>
      <c r="BF606" t="s">
        <v>92</v>
      </c>
      <c r="BG606" t="s">
        <v>92</v>
      </c>
      <c r="BH606" t="s">
        <v>92</v>
      </c>
    </row>
    <row r="607" spans="1:60" x14ac:dyDescent="0.3">
      <c r="A607">
        <v>21</v>
      </c>
      <c r="B607" t="s">
        <v>70</v>
      </c>
      <c r="C607" t="s">
        <v>96</v>
      </c>
      <c r="D607" t="s">
        <v>72</v>
      </c>
      <c r="E607" t="s">
        <v>73</v>
      </c>
      <c r="F607" t="s">
        <v>74</v>
      </c>
      <c r="G607" t="s">
        <v>115</v>
      </c>
      <c r="H607" t="s">
        <v>74</v>
      </c>
      <c r="I607" t="s">
        <v>76</v>
      </c>
      <c r="J607" t="s">
        <v>77</v>
      </c>
      <c r="K607" t="s">
        <v>122</v>
      </c>
      <c r="L607" t="s">
        <v>79</v>
      </c>
      <c r="M607" t="s">
        <v>80</v>
      </c>
      <c r="N607" t="s">
        <v>79</v>
      </c>
      <c r="O607" t="s">
        <v>81</v>
      </c>
      <c r="P607" t="s">
        <v>79</v>
      </c>
      <c r="Q607" t="s">
        <v>83</v>
      </c>
      <c r="R607" t="s">
        <v>79</v>
      </c>
      <c r="S607" t="s">
        <v>137</v>
      </c>
      <c r="T607" t="s">
        <v>105</v>
      </c>
      <c r="U607" t="s">
        <v>82</v>
      </c>
      <c r="V607" t="s">
        <v>86</v>
      </c>
      <c r="W607" t="s">
        <v>141</v>
      </c>
      <c r="X607" t="s">
        <v>112</v>
      </c>
      <c r="Y607" t="s">
        <v>92</v>
      </c>
      <c r="Z607" t="s">
        <v>92</v>
      </c>
      <c r="AA607" t="s">
        <v>92</v>
      </c>
      <c r="AB607" t="s">
        <v>92</v>
      </c>
      <c r="AC607" t="s">
        <v>92</v>
      </c>
      <c r="AD607" t="s">
        <v>92</v>
      </c>
      <c r="AE607" t="s">
        <v>92</v>
      </c>
      <c r="AF607" t="s">
        <v>92</v>
      </c>
      <c r="AG607" t="s">
        <v>92</v>
      </c>
      <c r="AH607" t="s">
        <v>92</v>
      </c>
      <c r="AI607" t="s">
        <v>92</v>
      </c>
      <c r="AJ607" t="s">
        <v>92</v>
      </c>
      <c r="AK607" t="s">
        <v>92</v>
      </c>
      <c r="AL607" t="s">
        <v>92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92</v>
      </c>
      <c r="AS607" t="s">
        <v>92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92</v>
      </c>
      <c r="BA607" t="s">
        <v>92</v>
      </c>
      <c r="BB607" t="s">
        <v>92</v>
      </c>
      <c r="BC607" t="s">
        <v>92</v>
      </c>
      <c r="BD607" t="s">
        <v>92</v>
      </c>
      <c r="BE607" t="s">
        <v>92</v>
      </c>
      <c r="BF607" t="s">
        <v>92</v>
      </c>
      <c r="BG607" t="s">
        <v>92</v>
      </c>
      <c r="BH607" t="s">
        <v>92</v>
      </c>
    </row>
    <row r="608" spans="1:60" x14ac:dyDescent="0.3">
      <c r="A608">
        <v>22</v>
      </c>
      <c r="B608" t="s">
        <v>70</v>
      </c>
      <c r="C608" t="s">
        <v>96</v>
      </c>
      <c r="D608" t="s">
        <v>72</v>
      </c>
      <c r="E608" t="s">
        <v>108</v>
      </c>
      <c r="F608" t="s">
        <v>74</v>
      </c>
      <c r="G608" t="s">
        <v>135</v>
      </c>
      <c r="H608" t="s">
        <v>74</v>
      </c>
      <c r="I608" t="s">
        <v>115</v>
      </c>
      <c r="J608" t="s">
        <v>77</v>
      </c>
      <c r="K608" t="s">
        <v>122</v>
      </c>
      <c r="L608" t="s">
        <v>79</v>
      </c>
      <c r="M608" t="s">
        <v>102</v>
      </c>
      <c r="N608" t="s">
        <v>79</v>
      </c>
      <c r="O608" t="s">
        <v>81</v>
      </c>
      <c r="P608" t="s">
        <v>79</v>
      </c>
      <c r="Q608" t="s">
        <v>83</v>
      </c>
      <c r="R608" t="s">
        <v>79</v>
      </c>
      <c r="S608" t="s">
        <v>137</v>
      </c>
      <c r="T608" t="s">
        <v>105</v>
      </c>
      <c r="U608" t="s">
        <v>82</v>
      </c>
      <c r="V608" t="s">
        <v>86</v>
      </c>
      <c r="W608" t="s">
        <v>141</v>
      </c>
      <c r="X608" t="s">
        <v>112</v>
      </c>
      <c r="Y608" t="s">
        <v>92</v>
      </c>
      <c r="Z608" t="s">
        <v>92</v>
      </c>
      <c r="AA608" t="s">
        <v>92</v>
      </c>
      <c r="AB608" t="s">
        <v>92</v>
      </c>
      <c r="AC608" t="s">
        <v>92</v>
      </c>
      <c r="AD608" t="s">
        <v>92</v>
      </c>
      <c r="AE608" t="s">
        <v>92</v>
      </c>
      <c r="AF608" t="s">
        <v>92</v>
      </c>
      <c r="AG608" t="s">
        <v>92</v>
      </c>
      <c r="AH608" t="s">
        <v>92</v>
      </c>
      <c r="AI608" t="s">
        <v>92</v>
      </c>
      <c r="AJ608" t="s">
        <v>92</v>
      </c>
      <c r="AK608" t="s">
        <v>92</v>
      </c>
      <c r="AL608" t="s">
        <v>92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92</v>
      </c>
      <c r="AS608" t="s">
        <v>92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92</v>
      </c>
      <c r="BA608" t="s">
        <v>92</v>
      </c>
      <c r="BB608" t="s">
        <v>92</v>
      </c>
      <c r="BC608" t="s">
        <v>92</v>
      </c>
      <c r="BD608" t="s">
        <v>92</v>
      </c>
      <c r="BE608" t="s">
        <v>92</v>
      </c>
      <c r="BF608" t="s">
        <v>92</v>
      </c>
      <c r="BG608" t="s">
        <v>92</v>
      </c>
      <c r="BH608" t="s">
        <v>92</v>
      </c>
    </row>
    <row r="609" spans="1:60" x14ac:dyDescent="0.3">
      <c r="A609">
        <v>22</v>
      </c>
      <c r="B609" t="s">
        <v>70</v>
      </c>
      <c r="C609" t="s">
        <v>96</v>
      </c>
      <c r="D609" t="s">
        <v>149</v>
      </c>
      <c r="E609" t="s">
        <v>114</v>
      </c>
      <c r="F609" t="s">
        <v>74</v>
      </c>
      <c r="G609" t="s">
        <v>115</v>
      </c>
      <c r="H609" t="s">
        <v>74</v>
      </c>
      <c r="I609" t="s">
        <v>76</v>
      </c>
      <c r="J609" t="s">
        <v>77</v>
      </c>
      <c r="K609" t="s">
        <v>122</v>
      </c>
      <c r="L609" t="s">
        <v>79</v>
      </c>
      <c r="M609" t="s">
        <v>80</v>
      </c>
      <c r="N609" t="s">
        <v>79</v>
      </c>
      <c r="O609" t="s">
        <v>133</v>
      </c>
      <c r="P609" t="s">
        <v>79</v>
      </c>
      <c r="Q609" t="s">
        <v>103</v>
      </c>
      <c r="R609" t="s">
        <v>79</v>
      </c>
      <c r="S609" t="s">
        <v>204</v>
      </c>
      <c r="T609" t="s">
        <v>124</v>
      </c>
      <c r="U609" t="s">
        <v>79</v>
      </c>
      <c r="V609" t="s">
        <v>106</v>
      </c>
      <c r="W609" t="s">
        <v>87</v>
      </c>
      <c r="X609" t="s">
        <v>311</v>
      </c>
      <c r="Y609" t="s">
        <v>94</v>
      </c>
      <c r="Z609" t="s">
        <v>92</v>
      </c>
      <c r="AA609" t="s">
        <v>93</v>
      </c>
      <c r="AB609" t="s">
        <v>93</v>
      </c>
      <c r="AC609" t="s">
        <v>93</v>
      </c>
      <c r="AD609" t="s">
        <v>92</v>
      </c>
      <c r="AE609" t="s">
        <v>94</v>
      </c>
      <c r="AF609" t="s">
        <v>93</v>
      </c>
      <c r="AG609" t="s">
        <v>93</v>
      </c>
      <c r="AH609" t="s">
        <v>93</v>
      </c>
      <c r="AI609" t="s">
        <v>93</v>
      </c>
      <c r="AJ609" t="s">
        <v>93</v>
      </c>
      <c r="AK609" t="s">
        <v>93</v>
      </c>
      <c r="AL609" t="s">
        <v>94</v>
      </c>
      <c r="AM609" t="s">
        <v>92</v>
      </c>
      <c r="AN609" t="s">
        <v>93</v>
      </c>
      <c r="AO609" t="s">
        <v>93</v>
      </c>
      <c r="AP609" t="s">
        <v>93</v>
      </c>
      <c r="AQ609" t="s">
        <v>95</v>
      </c>
      <c r="AR609" t="s">
        <v>94</v>
      </c>
      <c r="AS609" t="s">
        <v>95</v>
      </c>
      <c r="AT609" t="s">
        <v>94</v>
      </c>
      <c r="AU609" t="s">
        <v>92</v>
      </c>
      <c r="AV609" t="s">
        <v>95</v>
      </c>
      <c r="AW609" t="s">
        <v>95</v>
      </c>
      <c r="AX609" t="s">
        <v>93</v>
      </c>
      <c r="AY609" t="s">
        <v>93</v>
      </c>
      <c r="AZ609" t="s">
        <v>95</v>
      </c>
      <c r="BA609" t="s">
        <v>93</v>
      </c>
      <c r="BB609" t="s">
        <v>93</v>
      </c>
      <c r="BC609" t="s">
        <v>93</v>
      </c>
      <c r="BD609" t="s">
        <v>93</v>
      </c>
      <c r="BE609" t="s">
        <v>93</v>
      </c>
      <c r="BF609" t="s">
        <v>94</v>
      </c>
      <c r="BG609" t="s">
        <v>92</v>
      </c>
      <c r="BH609" t="s">
        <v>92</v>
      </c>
    </row>
    <row r="610" spans="1:60" x14ac:dyDescent="0.3">
      <c r="A610">
        <v>23</v>
      </c>
      <c r="B610" t="s">
        <v>128</v>
      </c>
      <c r="C610" t="s">
        <v>113</v>
      </c>
      <c r="D610" t="s">
        <v>72</v>
      </c>
      <c r="E610" t="s">
        <v>108</v>
      </c>
      <c r="F610" t="s">
        <v>98</v>
      </c>
      <c r="G610" t="s">
        <v>135</v>
      </c>
      <c r="H610" t="s">
        <v>136</v>
      </c>
      <c r="I610" t="s">
        <v>75</v>
      </c>
      <c r="J610" t="s">
        <v>77</v>
      </c>
      <c r="K610" t="s">
        <v>122</v>
      </c>
      <c r="L610" t="s">
        <v>79</v>
      </c>
      <c r="M610" t="s">
        <v>80</v>
      </c>
      <c r="N610" t="s">
        <v>79</v>
      </c>
      <c r="O610" t="s">
        <v>138</v>
      </c>
      <c r="P610" t="s">
        <v>79</v>
      </c>
      <c r="Q610" t="s">
        <v>118</v>
      </c>
      <c r="R610" t="s">
        <v>79</v>
      </c>
      <c r="S610" t="s">
        <v>154</v>
      </c>
      <c r="T610" t="s">
        <v>85</v>
      </c>
      <c r="U610" t="s">
        <v>79</v>
      </c>
      <c r="V610" t="s">
        <v>86</v>
      </c>
      <c r="W610" t="s">
        <v>141</v>
      </c>
      <c r="X610" t="s">
        <v>127</v>
      </c>
      <c r="Y610" t="s">
        <v>94</v>
      </c>
      <c r="Z610" t="s">
        <v>92</v>
      </c>
      <c r="AA610" t="s">
        <v>92</v>
      </c>
      <c r="AB610" t="s">
        <v>94</v>
      </c>
      <c r="AC610" t="s">
        <v>94</v>
      </c>
      <c r="AD610" t="s">
        <v>94</v>
      </c>
      <c r="AE610" t="s">
        <v>94</v>
      </c>
      <c r="AF610" t="s">
        <v>92</v>
      </c>
      <c r="AG610" t="s">
        <v>94</v>
      </c>
      <c r="AH610" t="s">
        <v>92</v>
      </c>
      <c r="AI610" t="s">
        <v>92</v>
      </c>
      <c r="AJ610" t="s">
        <v>94</v>
      </c>
      <c r="AK610" t="s">
        <v>92</v>
      </c>
      <c r="AL610" t="s">
        <v>92</v>
      </c>
      <c r="AM610" t="s">
        <v>93</v>
      </c>
      <c r="AN610" t="s">
        <v>94</v>
      </c>
      <c r="AO610" t="s">
        <v>92</v>
      </c>
      <c r="AP610" t="s">
        <v>94</v>
      </c>
      <c r="AQ610" t="s">
        <v>94</v>
      </c>
      <c r="AR610" t="s">
        <v>94</v>
      </c>
      <c r="AS610" t="s">
        <v>92</v>
      </c>
      <c r="AT610" t="s">
        <v>92</v>
      </c>
      <c r="AU610" t="s">
        <v>94</v>
      </c>
      <c r="AV610" t="s">
        <v>94</v>
      </c>
      <c r="AW610" t="s">
        <v>95</v>
      </c>
      <c r="AX610" t="s">
        <v>94</v>
      </c>
      <c r="AY610" t="s">
        <v>94</v>
      </c>
      <c r="AZ610" t="s">
        <v>94</v>
      </c>
      <c r="BA610" t="s">
        <v>94</v>
      </c>
      <c r="BB610" t="s">
        <v>92</v>
      </c>
      <c r="BC610" t="s">
        <v>92</v>
      </c>
      <c r="BD610" t="s">
        <v>94</v>
      </c>
      <c r="BE610" t="s">
        <v>94</v>
      </c>
      <c r="BF610" t="s">
        <v>95</v>
      </c>
      <c r="BG610" t="s">
        <v>95</v>
      </c>
      <c r="BH610" t="s">
        <v>94</v>
      </c>
    </row>
    <row r="611" spans="1:60" x14ac:dyDescent="0.3">
      <c r="A611">
        <v>22</v>
      </c>
      <c r="B611" t="s">
        <v>70</v>
      </c>
      <c r="C611" t="s">
        <v>113</v>
      </c>
      <c r="D611" t="s">
        <v>149</v>
      </c>
      <c r="E611" t="s">
        <v>73</v>
      </c>
      <c r="F611" t="s">
        <v>100</v>
      </c>
      <c r="G611" t="s">
        <v>115</v>
      </c>
      <c r="H611" t="s">
        <v>98</v>
      </c>
      <c r="I611" t="s">
        <v>166</v>
      </c>
      <c r="J611" t="s">
        <v>77</v>
      </c>
      <c r="K611" t="s">
        <v>122</v>
      </c>
      <c r="L611" t="s">
        <v>79</v>
      </c>
      <c r="M611" t="s">
        <v>80</v>
      </c>
      <c r="N611" t="s">
        <v>79</v>
      </c>
      <c r="O611" t="s">
        <v>138</v>
      </c>
      <c r="P611" t="s">
        <v>79</v>
      </c>
      <c r="Q611" t="s">
        <v>83</v>
      </c>
      <c r="R611" t="s">
        <v>79</v>
      </c>
      <c r="S611" t="s">
        <v>142</v>
      </c>
      <c r="T611" t="s">
        <v>167</v>
      </c>
      <c r="U611" t="s">
        <v>79</v>
      </c>
      <c r="V611" t="s">
        <v>86</v>
      </c>
      <c r="W611" t="s">
        <v>120</v>
      </c>
      <c r="X611" t="s">
        <v>127</v>
      </c>
      <c r="Y611" t="s">
        <v>94</v>
      </c>
      <c r="Z611" t="s">
        <v>92</v>
      </c>
      <c r="AA611" t="s">
        <v>92</v>
      </c>
      <c r="AB611" t="s">
        <v>94</v>
      </c>
      <c r="AC611" t="s">
        <v>94</v>
      </c>
      <c r="AD611" t="s">
        <v>92</v>
      </c>
      <c r="AE611" t="s">
        <v>94</v>
      </c>
      <c r="AF611" t="s">
        <v>92</v>
      </c>
      <c r="AG611" t="s">
        <v>94</v>
      </c>
      <c r="AH611" t="s">
        <v>94</v>
      </c>
      <c r="AI611" t="s">
        <v>94</v>
      </c>
      <c r="AJ611" t="s">
        <v>92</v>
      </c>
      <c r="AK611" t="s">
        <v>92</v>
      </c>
      <c r="AL611" t="s">
        <v>92</v>
      </c>
      <c r="AM611" t="s">
        <v>94</v>
      </c>
      <c r="AN611" t="s">
        <v>94</v>
      </c>
      <c r="AO611" t="s">
        <v>92</v>
      </c>
      <c r="AP611" t="s">
        <v>92</v>
      </c>
      <c r="AQ611" t="s">
        <v>94</v>
      </c>
      <c r="AR611" t="s">
        <v>94</v>
      </c>
      <c r="AS611" t="s">
        <v>94</v>
      </c>
      <c r="AT611" t="s">
        <v>92</v>
      </c>
      <c r="AU611" t="s">
        <v>94</v>
      </c>
      <c r="AV611" t="s">
        <v>94</v>
      </c>
      <c r="AW611" t="s">
        <v>92</v>
      </c>
      <c r="AX611" t="s">
        <v>94</v>
      </c>
      <c r="AY611" t="s">
        <v>95</v>
      </c>
      <c r="AZ611" t="s">
        <v>94</v>
      </c>
      <c r="BA611" t="s">
        <v>94</v>
      </c>
      <c r="BB611" t="s">
        <v>92</v>
      </c>
      <c r="BC611" t="s">
        <v>94</v>
      </c>
      <c r="BD611" t="s">
        <v>94</v>
      </c>
      <c r="BE611" t="s">
        <v>92</v>
      </c>
      <c r="BF611" t="s">
        <v>92</v>
      </c>
      <c r="BG611" t="s">
        <v>94</v>
      </c>
      <c r="BH611" t="s">
        <v>92</v>
      </c>
    </row>
    <row r="612" spans="1:60" x14ac:dyDescent="0.3">
      <c r="A612">
        <v>22</v>
      </c>
      <c r="B612" t="s">
        <v>70</v>
      </c>
      <c r="C612" t="s">
        <v>96</v>
      </c>
      <c r="D612" t="s">
        <v>72</v>
      </c>
      <c r="E612" t="s">
        <v>114</v>
      </c>
      <c r="F612" t="s">
        <v>136</v>
      </c>
      <c r="G612" t="s">
        <v>99</v>
      </c>
      <c r="H612" t="s">
        <v>74</v>
      </c>
      <c r="I612" t="s">
        <v>115</v>
      </c>
      <c r="J612" t="s">
        <v>77</v>
      </c>
      <c r="K612" t="s">
        <v>125</v>
      </c>
      <c r="L612" t="s">
        <v>79</v>
      </c>
      <c r="M612" t="s">
        <v>102</v>
      </c>
      <c r="N612" t="s">
        <v>79</v>
      </c>
      <c r="O612" t="s">
        <v>133</v>
      </c>
      <c r="P612" t="s">
        <v>82</v>
      </c>
      <c r="Q612" t="s">
        <v>83</v>
      </c>
      <c r="R612" t="s">
        <v>79</v>
      </c>
      <c r="S612" t="s">
        <v>253</v>
      </c>
      <c r="T612" t="s">
        <v>85</v>
      </c>
      <c r="U612" t="s">
        <v>79</v>
      </c>
      <c r="V612" t="s">
        <v>106</v>
      </c>
      <c r="W612" t="s">
        <v>87</v>
      </c>
      <c r="X612" t="s">
        <v>112</v>
      </c>
      <c r="Y612" t="s">
        <v>94</v>
      </c>
      <c r="Z612" t="s">
        <v>94</v>
      </c>
      <c r="AA612" t="s">
        <v>92</v>
      </c>
      <c r="AB612" t="s">
        <v>94</v>
      </c>
      <c r="AC612" t="s">
        <v>94</v>
      </c>
      <c r="AD612" t="s">
        <v>94</v>
      </c>
      <c r="AE612" t="s">
        <v>94</v>
      </c>
      <c r="AF612" t="s">
        <v>94</v>
      </c>
      <c r="AG612" t="s">
        <v>94</v>
      </c>
      <c r="AH612" t="s">
        <v>94</v>
      </c>
      <c r="AI612" t="s">
        <v>94</v>
      </c>
      <c r="AJ612" t="s">
        <v>94</v>
      </c>
      <c r="AK612" t="s">
        <v>92</v>
      </c>
      <c r="AL612" t="s">
        <v>94</v>
      </c>
      <c r="AM612" t="s">
        <v>92</v>
      </c>
      <c r="AN612" t="s">
        <v>94</v>
      </c>
      <c r="AO612" t="s">
        <v>94</v>
      </c>
      <c r="AP612" t="s">
        <v>93</v>
      </c>
      <c r="AQ612" t="s">
        <v>94</v>
      </c>
      <c r="AR612" t="s">
        <v>94</v>
      </c>
      <c r="AS612" t="s">
        <v>94</v>
      </c>
      <c r="AT612" t="s">
        <v>92</v>
      </c>
      <c r="AU612" t="s">
        <v>94</v>
      </c>
      <c r="AV612" t="s">
        <v>92</v>
      </c>
      <c r="AW612" t="s">
        <v>94</v>
      </c>
      <c r="AX612" t="s">
        <v>92</v>
      </c>
      <c r="AY612" t="s">
        <v>94</v>
      </c>
      <c r="AZ612" t="s">
        <v>94</v>
      </c>
      <c r="BA612" t="s">
        <v>94</v>
      </c>
      <c r="BB612" t="s">
        <v>92</v>
      </c>
      <c r="BC612" t="s">
        <v>94</v>
      </c>
      <c r="BD612" t="s">
        <v>92</v>
      </c>
      <c r="BE612" t="s">
        <v>94</v>
      </c>
      <c r="BF612" t="s">
        <v>94</v>
      </c>
      <c r="BG612" t="s">
        <v>92</v>
      </c>
      <c r="BH612" t="s">
        <v>94</v>
      </c>
    </row>
    <row r="613" spans="1:60" x14ac:dyDescent="0.3">
      <c r="A613">
        <v>23</v>
      </c>
      <c r="B613" t="s">
        <v>70</v>
      </c>
      <c r="C613" t="s">
        <v>113</v>
      </c>
      <c r="D613" t="s">
        <v>72</v>
      </c>
      <c r="E613" t="s">
        <v>108</v>
      </c>
      <c r="F613" t="s">
        <v>98</v>
      </c>
      <c r="G613" t="s">
        <v>115</v>
      </c>
      <c r="H613" t="s">
        <v>100</v>
      </c>
      <c r="I613" t="s">
        <v>76</v>
      </c>
      <c r="J613" t="s">
        <v>77</v>
      </c>
      <c r="K613" t="s">
        <v>122</v>
      </c>
      <c r="L613" t="s">
        <v>79</v>
      </c>
      <c r="M613" t="s">
        <v>80</v>
      </c>
      <c r="N613" t="s">
        <v>79</v>
      </c>
      <c r="O613" t="s">
        <v>117</v>
      </c>
      <c r="P613" t="s">
        <v>79</v>
      </c>
      <c r="Q613" t="s">
        <v>83</v>
      </c>
      <c r="R613" t="s">
        <v>79</v>
      </c>
      <c r="S613" t="s">
        <v>246</v>
      </c>
      <c r="T613" t="s">
        <v>228</v>
      </c>
      <c r="U613" t="s">
        <v>79</v>
      </c>
      <c r="V613" t="s">
        <v>86</v>
      </c>
      <c r="W613" t="s">
        <v>141</v>
      </c>
      <c r="X613" t="s">
        <v>127</v>
      </c>
      <c r="Y613" t="s">
        <v>94</v>
      </c>
      <c r="Z613" t="s">
        <v>92</v>
      </c>
      <c r="AA613" t="s">
        <v>92</v>
      </c>
      <c r="AB613" t="s">
        <v>92</v>
      </c>
      <c r="AC613" t="s">
        <v>92</v>
      </c>
      <c r="AD613" t="s">
        <v>94</v>
      </c>
      <c r="AE613" t="s">
        <v>94</v>
      </c>
      <c r="AF613" t="s">
        <v>92</v>
      </c>
      <c r="AG613" t="s">
        <v>92</v>
      </c>
      <c r="AH613" t="s">
        <v>94</v>
      </c>
      <c r="AI613" t="s">
        <v>94</v>
      </c>
      <c r="AJ613" t="s">
        <v>94</v>
      </c>
      <c r="AK613" t="s">
        <v>92</v>
      </c>
      <c r="AL613" t="s">
        <v>92</v>
      </c>
      <c r="AM613" t="s">
        <v>92</v>
      </c>
      <c r="AN613" t="s">
        <v>94</v>
      </c>
      <c r="AO613" t="s">
        <v>92</v>
      </c>
      <c r="AP613" t="s">
        <v>92</v>
      </c>
      <c r="AQ613" t="s">
        <v>92</v>
      </c>
      <c r="AR613" t="s">
        <v>94</v>
      </c>
      <c r="AS613" t="s">
        <v>94</v>
      </c>
      <c r="AT613" t="s">
        <v>94</v>
      </c>
      <c r="AU613" t="s">
        <v>94</v>
      </c>
      <c r="AV613" t="s">
        <v>92</v>
      </c>
      <c r="AW613" t="s">
        <v>92</v>
      </c>
      <c r="AX613" t="s">
        <v>93</v>
      </c>
      <c r="AY613" t="s">
        <v>94</v>
      </c>
      <c r="AZ613" t="s">
        <v>92</v>
      </c>
      <c r="BA613" t="s">
        <v>94</v>
      </c>
      <c r="BB613" t="s">
        <v>95</v>
      </c>
      <c r="BC613" t="s">
        <v>94</v>
      </c>
      <c r="BD613" t="s">
        <v>94</v>
      </c>
      <c r="BE613" t="s">
        <v>92</v>
      </c>
      <c r="BF613" t="s">
        <v>92</v>
      </c>
      <c r="BG613" t="s">
        <v>95</v>
      </c>
      <c r="BH613" t="s">
        <v>94</v>
      </c>
    </row>
    <row r="614" spans="1:60" x14ac:dyDescent="0.3">
      <c r="A614">
        <v>23</v>
      </c>
      <c r="B614" t="s">
        <v>70</v>
      </c>
      <c r="C614" t="s">
        <v>113</v>
      </c>
      <c r="D614" t="s">
        <v>72</v>
      </c>
      <c r="E614" t="s">
        <v>108</v>
      </c>
      <c r="F614" t="s">
        <v>100</v>
      </c>
      <c r="G614" t="s">
        <v>135</v>
      </c>
      <c r="H614" t="s">
        <v>100</v>
      </c>
      <c r="I614" t="s">
        <v>115</v>
      </c>
      <c r="J614" t="s">
        <v>77</v>
      </c>
      <c r="K614" t="s">
        <v>122</v>
      </c>
      <c r="L614" t="s">
        <v>79</v>
      </c>
      <c r="M614" t="s">
        <v>80</v>
      </c>
      <c r="N614" t="s">
        <v>79</v>
      </c>
      <c r="O614" t="s">
        <v>138</v>
      </c>
      <c r="P614" t="s">
        <v>79</v>
      </c>
      <c r="Q614" t="s">
        <v>83</v>
      </c>
      <c r="R614" t="s">
        <v>79</v>
      </c>
      <c r="S614" t="s">
        <v>142</v>
      </c>
      <c r="T614" t="s">
        <v>124</v>
      </c>
      <c r="U614" t="s">
        <v>79</v>
      </c>
      <c r="V614" t="s">
        <v>86</v>
      </c>
      <c r="W614" t="s">
        <v>87</v>
      </c>
      <c r="X614" t="s">
        <v>127</v>
      </c>
      <c r="Y614" t="s">
        <v>92</v>
      </c>
      <c r="Z614" t="s">
        <v>93</v>
      </c>
      <c r="AA614" t="s">
        <v>93</v>
      </c>
      <c r="AB614" t="s">
        <v>93</v>
      </c>
      <c r="AC614" t="s">
        <v>93</v>
      </c>
      <c r="AD614" t="s">
        <v>93</v>
      </c>
      <c r="AE614" t="s">
        <v>93</v>
      </c>
      <c r="AF614" t="s">
        <v>93</v>
      </c>
      <c r="AG614" t="s">
        <v>93</v>
      </c>
      <c r="AH614" t="s">
        <v>93</v>
      </c>
      <c r="AI614" t="s">
        <v>93</v>
      </c>
      <c r="AJ614" t="s">
        <v>93</v>
      </c>
      <c r="AK614" t="s">
        <v>93</v>
      </c>
      <c r="AL614" t="s">
        <v>93</v>
      </c>
      <c r="AM614" t="s">
        <v>93</v>
      </c>
      <c r="AN614" t="s">
        <v>95</v>
      </c>
      <c r="AO614" t="s">
        <v>92</v>
      </c>
      <c r="AP614" t="s">
        <v>94</v>
      </c>
      <c r="AQ614" t="s">
        <v>94</v>
      </c>
      <c r="AR614" t="s">
        <v>94</v>
      </c>
      <c r="AS614" t="s">
        <v>92</v>
      </c>
      <c r="AT614" t="s">
        <v>92</v>
      </c>
      <c r="AU614" t="s">
        <v>92</v>
      </c>
      <c r="AV614" t="s">
        <v>92</v>
      </c>
      <c r="AW614" t="s">
        <v>92</v>
      </c>
      <c r="AX614" t="s">
        <v>94</v>
      </c>
      <c r="AY614" t="s">
        <v>94</v>
      </c>
      <c r="AZ614" t="s">
        <v>94</v>
      </c>
      <c r="BA614" t="s">
        <v>94</v>
      </c>
      <c r="BB614" t="s">
        <v>92</v>
      </c>
      <c r="BC614" t="s">
        <v>94</v>
      </c>
      <c r="BD614" t="s">
        <v>94</v>
      </c>
      <c r="BE614" t="s">
        <v>92</v>
      </c>
      <c r="BF614" t="s">
        <v>94</v>
      </c>
      <c r="BG614" t="s">
        <v>92</v>
      </c>
      <c r="BH614" t="s">
        <v>95</v>
      </c>
    </row>
    <row r="615" spans="1:60" x14ac:dyDescent="0.3">
      <c r="A615">
        <v>24</v>
      </c>
      <c r="B615" t="s">
        <v>70</v>
      </c>
      <c r="C615" t="s">
        <v>113</v>
      </c>
      <c r="D615" t="s">
        <v>149</v>
      </c>
      <c r="E615" t="s">
        <v>108</v>
      </c>
      <c r="F615" t="s">
        <v>136</v>
      </c>
      <c r="G615" t="s">
        <v>75</v>
      </c>
      <c r="H615" t="s">
        <v>100</v>
      </c>
      <c r="I615" t="s">
        <v>76</v>
      </c>
      <c r="J615" t="s">
        <v>77</v>
      </c>
      <c r="K615" t="s">
        <v>122</v>
      </c>
      <c r="L615" t="s">
        <v>82</v>
      </c>
      <c r="M615" t="s">
        <v>80</v>
      </c>
      <c r="N615" t="s">
        <v>82</v>
      </c>
      <c r="O615" t="s">
        <v>117</v>
      </c>
      <c r="P615" t="s">
        <v>79</v>
      </c>
      <c r="Q615" t="s">
        <v>83</v>
      </c>
      <c r="R615" t="s">
        <v>79</v>
      </c>
      <c r="S615" t="s">
        <v>142</v>
      </c>
      <c r="T615" t="s">
        <v>155</v>
      </c>
      <c r="U615" t="s">
        <v>79</v>
      </c>
      <c r="V615" t="s">
        <v>106</v>
      </c>
      <c r="W615" t="s">
        <v>141</v>
      </c>
      <c r="X615" t="s">
        <v>112</v>
      </c>
      <c r="Y615" t="s">
        <v>95</v>
      </c>
      <c r="Z615" t="s">
        <v>94</v>
      </c>
      <c r="AA615" t="s">
        <v>95</v>
      </c>
      <c r="AB615" t="s">
        <v>94</v>
      </c>
      <c r="AC615" t="s">
        <v>94</v>
      </c>
      <c r="AD615" t="s">
        <v>94</v>
      </c>
      <c r="AE615" t="s">
        <v>92</v>
      </c>
      <c r="AF615" t="s">
        <v>94</v>
      </c>
      <c r="AG615" t="s">
        <v>94</v>
      </c>
      <c r="AH615" t="s">
        <v>92</v>
      </c>
      <c r="AI615" t="s">
        <v>92</v>
      </c>
      <c r="AJ615" t="s">
        <v>92</v>
      </c>
      <c r="AK615" t="s">
        <v>94</v>
      </c>
      <c r="AL615" t="s">
        <v>92</v>
      </c>
      <c r="AM615" t="s">
        <v>94</v>
      </c>
      <c r="AN615" t="s">
        <v>94</v>
      </c>
      <c r="AO615" t="s">
        <v>94</v>
      </c>
      <c r="AP615" t="s">
        <v>94</v>
      </c>
      <c r="AQ615" t="s">
        <v>94</v>
      </c>
      <c r="AR615" t="s">
        <v>92</v>
      </c>
      <c r="AS615" t="s">
        <v>92</v>
      </c>
      <c r="AT615" t="s">
        <v>94</v>
      </c>
      <c r="AU615" t="s">
        <v>94</v>
      </c>
      <c r="AV615" t="s">
        <v>94</v>
      </c>
      <c r="AW615" t="s">
        <v>94</v>
      </c>
      <c r="AX615" t="s">
        <v>92</v>
      </c>
      <c r="AY615" t="s">
        <v>94</v>
      </c>
      <c r="AZ615" t="s">
        <v>94</v>
      </c>
      <c r="BA615" t="s">
        <v>94</v>
      </c>
      <c r="BB615" t="s">
        <v>94</v>
      </c>
      <c r="BC615" t="s">
        <v>94</v>
      </c>
      <c r="BD615" t="s">
        <v>92</v>
      </c>
      <c r="BE615" t="s">
        <v>94</v>
      </c>
      <c r="BF615" t="s">
        <v>92</v>
      </c>
      <c r="BG615" t="s">
        <v>92</v>
      </c>
      <c r="BH615" t="s">
        <v>94</v>
      </c>
    </row>
    <row r="616" spans="1:60" x14ac:dyDescent="0.3">
      <c r="A616">
        <v>21</v>
      </c>
      <c r="B616" t="s">
        <v>70</v>
      </c>
      <c r="C616" t="s">
        <v>96</v>
      </c>
      <c r="D616" t="s">
        <v>72</v>
      </c>
      <c r="E616" t="s">
        <v>114</v>
      </c>
      <c r="F616" t="s">
        <v>100</v>
      </c>
      <c r="G616" t="s">
        <v>312</v>
      </c>
      <c r="H616" t="s">
        <v>98</v>
      </c>
      <c r="I616" t="s">
        <v>76</v>
      </c>
      <c r="J616" t="s">
        <v>77</v>
      </c>
      <c r="K616" t="s">
        <v>125</v>
      </c>
      <c r="L616" t="s">
        <v>82</v>
      </c>
      <c r="M616" t="s">
        <v>80</v>
      </c>
      <c r="N616" t="s">
        <v>79</v>
      </c>
      <c r="O616" t="s">
        <v>138</v>
      </c>
      <c r="P616" t="s">
        <v>79</v>
      </c>
      <c r="Q616" t="s">
        <v>83</v>
      </c>
      <c r="R616" t="s">
        <v>79</v>
      </c>
      <c r="S616" t="s">
        <v>193</v>
      </c>
      <c r="T616" t="s">
        <v>188</v>
      </c>
      <c r="U616" t="s">
        <v>82</v>
      </c>
      <c r="V616" t="s">
        <v>148</v>
      </c>
      <c r="W616" t="s">
        <v>87</v>
      </c>
      <c r="X616" t="s">
        <v>112</v>
      </c>
      <c r="Y616" t="s">
        <v>94</v>
      </c>
      <c r="Z616" t="s">
        <v>92</v>
      </c>
      <c r="AA616" t="s">
        <v>93</v>
      </c>
      <c r="AB616" t="s">
        <v>92</v>
      </c>
      <c r="AC616" t="s">
        <v>92</v>
      </c>
      <c r="AD616" t="s">
        <v>94</v>
      </c>
      <c r="AE616" t="s">
        <v>94</v>
      </c>
      <c r="AF616" t="s">
        <v>92</v>
      </c>
      <c r="AG616" t="s">
        <v>94</v>
      </c>
      <c r="AH616" t="s">
        <v>92</v>
      </c>
      <c r="AI616" t="s">
        <v>93</v>
      </c>
      <c r="AJ616" t="s">
        <v>92</v>
      </c>
      <c r="AK616" t="s">
        <v>93</v>
      </c>
      <c r="AL616" t="s">
        <v>94</v>
      </c>
      <c r="AM616" t="s">
        <v>92</v>
      </c>
      <c r="AN616" t="s">
        <v>93</v>
      </c>
      <c r="AO616" t="s">
        <v>93</v>
      </c>
      <c r="AP616" t="s">
        <v>93</v>
      </c>
      <c r="AQ616" t="s">
        <v>95</v>
      </c>
      <c r="AR616" t="s">
        <v>95</v>
      </c>
      <c r="AS616" t="s">
        <v>95</v>
      </c>
      <c r="AT616" t="s">
        <v>95</v>
      </c>
      <c r="AU616" t="s">
        <v>93</v>
      </c>
      <c r="AV616" t="s">
        <v>92</v>
      </c>
      <c r="AW616" t="s">
        <v>94</v>
      </c>
      <c r="AX616" t="s">
        <v>95</v>
      </c>
      <c r="AY616" t="s">
        <v>95</v>
      </c>
      <c r="AZ616" t="s">
        <v>95</v>
      </c>
      <c r="BA616" t="s">
        <v>93</v>
      </c>
      <c r="BB616" t="s">
        <v>92</v>
      </c>
      <c r="BC616" t="s">
        <v>92</v>
      </c>
      <c r="BD616" t="s">
        <v>93</v>
      </c>
      <c r="BE616" t="s">
        <v>93</v>
      </c>
      <c r="BF616" t="s">
        <v>92</v>
      </c>
      <c r="BG616" t="s">
        <v>94</v>
      </c>
      <c r="BH616" t="s">
        <v>95</v>
      </c>
    </row>
    <row r="617" spans="1:60" x14ac:dyDescent="0.3">
      <c r="A617">
        <v>22</v>
      </c>
      <c r="B617" t="s">
        <v>128</v>
      </c>
      <c r="C617" t="s">
        <v>96</v>
      </c>
      <c r="D617" t="s">
        <v>97</v>
      </c>
      <c r="E617" t="s">
        <v>108</v>
      </c>
      <c r="F617" t="s">
        <v>74</v>
      </c>
      <c r="G617" t="s">
        <v>115</v>
      </c>
      <c r="H617" t="s">
        <v>136</v>
      </c>
      <c r="I617" t="s">
        <v>76</v>
      </c>
      <c r="J617" t="s">
        <v>77</v>
      </c>
      <c r="K617" t="s">
        <v>131</v>
      </c>
      <c r="L617" t="s">
        <v>79</v>
      </c>
      <c r="M617" t="s">
        <v>80</v>
      </c>
      <c r="N617" t="s">
        <v>82</v>
      </c>
      <c r="O617" t="s">
        <v>81</v>
      </c>
      <c r="P617" t="s">
        <v>79</v>
      </c>
      <c r="Q617" t="s">
        <v>118</v>
      </c>
      <c r="R617" t="s">
        <v>79</v>
      </c>
      <c r="S617" t="s">
        <v>84</v>
      </c>
      <c r="T617" t="s">
        <v>124</v>
      </c>
      <c r="U617" t="s">
        <v>82</v>
      </c>
      <c r="V617" t="s">
        <v>86</v>
      </c>
      <c r="W617" t="s">
        <v>141</v>
      </c>
      <c r="X617" t="s">
        <v>160</v>
      </c>
      <c r="Y617" t="s">
        <v>92</v>
      </c>
      <c r="Z617" t="s">
        <v>92</v>
      </c>
      <c r="AA617" t="s">
        <v>92</v>
      </c>
      <c r="AB617" t="s">
        <v>94</v>
      </c>
      <c r="AC617" t="s">
        <v>94</v>
      </c>
      <c r="AD617" t="s">
        <v>94</v>
      </c>
      <c r="AE617" t="s">
        <v>94</v>
      </c>
      <c r="AF617" t="s">
        <v>94</v>
      </c>
      <c r="AG617" t="s">
        <v>92</v>
      </c>
      <c r="AH617" t="s">
        <v>92</v>
      </c>
      <c r="AI617" t="s">
        <v>94</v>
      </c>
      <c r="AJ617" t="s">
        <v>94</v>
      </c>
      <c r="AK617" t="s">
        <v>94</v>
      </c>
      <c r="AL617" t="s">
        <v>94</v>
      </c>
      <c r="AM617" t="s">
        <v>94</v>
      </c>
      <c r="AN617" t="s">
        <v>92</v>
      </c>
      <c r="AO617" t="s">
        <v>92</v>
      </c>
      <c r="AP617" t="s">
        <v>93</v>
      </c>
      <c r="AQ617" t="s">
        <v>92</v>
      </c>
      <c r="AR617" t="s">
        <v>92</v>
      </c>
      <c r="AS617" t="s">
        <v>94</v>
      </c>
      <c r="AT617" t="s">
        <v>94</v>
      </c>
      <c r="AU617" t="s">
        <v>92</v>
      </c>
      <c r="AV617" t="s">
        <v>92</v>
      </c>
      <c r="AW617" t="s">
        <v>94</v>
      </c>
      <c r="AX617" t="s">
        <v>92</v>
      </c>
      <c r="AY617" t="s">
        <v>94</v>
      </c>
      <c r="AZ617" t="s">
        <v>94</v>
      </c>
      <c r="BA617" t="s">
        <v>92</v>
      </c>
      <c r="BB617" t="s">
        <v>94</v>
      </c>
      <c r="BC617" t="s">
        <v>92</v>
      </c>
      <c r="BD617" t="s">
        <v>94</v>
      </c>
      <c r="BE617" t="s">
        <v>94</v>
      </c>
      <c r="BF617" t="s">
        <v>94</v>
      </c>
      <c r="BG617" t="s">
        <v>95</v>
      </c>
      <c r="BH617" t="s">
        <v>95</v>
      </c>
    </row>
    <row r="618" spans="1:60" x14ac:dyDescent="0.3">
      <c r="A618">
        <v>22</v>
      </c>
      <c r="B618" t="s">
        <v>70</v>
      </c>
      <c r="C618" t="s">
        <v>113</v>
      </c>
      <c r="D618" t="s">
        <v>72</v>
      </c>
      <c r="E618" t="s">
        <v>114</v>
      </c>
      <c r="F618" t="s">
        <v>98</v>
      </c>
      <c r="G618" t="s">
        <v>99</v>
      </c>
      <c r="H618" t="s">
        <v>98</v>
      </c>
      <c r="I618" t="s">
        <v>76</v>
      </c>
      <c r="J618" t="s">
        <v>77</v>
      </c>
      <c r="K618" t="s">
        <v>122</v>
      </c>
      <c r="L618" t="s">
        <v>82</v>
      </c>
      <c r="M618" t="s">
        <v>80</v>
      </c>
      <c r="N618" t="s">
        <v>79</v>
      </c>
      <c r="O618" t="s">
        <v>179</v>
      </c>
      <c r="P618" t="s">
        <v>82</v>
      </c>
      <c r="Q618" t="s">
        <v>103</v>
      </c>
      <c r="R618" t="s">
        <v>82</v>
      </c>
      <c r="S618" t="s">
        <v>137</v>
      </c>
      <c r="T618" t="s">
        <v>140</v>
      </c>
      <c r="U618" t="s">
        <v>82</v>
      </c>
      <c r="V618" t="s">
        <v>106</v>
      </c>
      <c r="W618" t="s">
        <v>87</v>
      </c>
      <c r="Y618" t="s">
        <v>94</v>
      </c>
      <c r="Z618" t="s">
        <v>94</v>
      </c>
      <c r="AA618" t="s">
        <v>94</v>
      </c>
      <c r="AB618" t="s">
        <v>94</v>
      </c>
      <c r="AC618" t="s">
        <v>94</v>
      </c>
      <c r="AD618" t="s">
        <v>94</v>
      </c>
      <c r="AE618" t="s">
        <v>94</v>
      </c>
      <c r="AF618" t="s">
        <v>94</v>
      </c>
      <c r="AG618" t="s">
        <v>94</v>
      </c>
      <c r="AH618" t="s">
        <v>94</v>
      </c>
      <c r="AI618" t="s">
        <v>94</v>
      </c>
      <c r="AJ618" t="s">
        <v>94</v>
      </c>
      <c r="AK618" t="s">
        <v>94</v>
      </c>
      <c r="AL618" t="s">
        <v>94</v>
      </c>
      <c r="AM618" t="s">
        <v>94</v>
      </c>
      <c r="AN618" t="s">
        <v>92</v>
      </c>
      <c r="AO618" t="s">
        <v>92</v>
      </c>
      <c r="AP618" t="s">
        <v>94</v>
      </c>
      <c r="AQ618" t="s">
        <v>94</v>
      </c>
      <c r="AR618" t="s">
        <v>94</v>
      </c>
      <c r="AS618" t="s">
        <v>92</v>
      </c>
      <c r="AT618" t="s">
        <v>94</v>
      </c>
      <c r="AU618" t="s">
        <v>92</v>
      </c>
      <c r="AV618" t="s">
        <v>92</v>
      </c>
      <c r="AW618" t="s">
        <v>92</v>
      </c>
      <c r="AX618" t="s">
        <v>92</v>
      </c>
      <c r="AY618" t="s">
        <v>94</v>
      </c>
      <c r="AZ618" t="s">
        <v>94</v>
      </c>
      <c r="BA618" t="s">
        <v>94</v>
      </c>
      <c r="BB618" t="s">
        <v>92</v>
      </c>
      <c r="BC618" t="s">
        <v>94</v>
      </c>
      <c r="BD618" t="s">
        <v>94</v>
      </c>
      <c r="BE618" t="s">
        <v>92</v>
      </c>
      <c r="BF618" t="s">
        <v>94</v>
      </c>
      <c r="BG618" t="s">
        <v>92</v>
      </c>
      <c r="BH618" t="s">
        <v>94</v>
      </c>
    </row>
    <row r="619" spans="1:60" x14ac:dyDescent="0.3">
      <c r="A619">
        <v>25</v>
      </c>
      <c r="B619" t="s">
        <v>128</v>
      </c>
      <c r="C619" t="s">
        <v>71</v>
      </c>
      <c r="D619" t="s">
        <v>97</v>
      </c>
      <c r="E619" t="s">
        <v>108</v>
      </c>
      <c r="F619" t="s">
        <v>136</v>
      </c>
      <c r="G619" t="s">
        <v>135</v>
      </c>
      <c r="H619" t="s">
        <v>100</v>
      </c>
      <c r="I619" t="s">
        <v>76</v>
      </c>
      <c r="J619" t="s">
        <v>77</v>
      </c>
      <c r="K619" t="s">
        <v>131</v>
      </c>
      <c r="L619" t="s">
        <v>79</v>
      </c>
      <c r="M619" t="s">
        <v>80</v>
      </c>
      <c r="N619" t="s">
        <v>79</v>
      </c>
      <c r="O619" t="s">
        <v>179</v>
      </c>
      <c r="P619" t="s">
        <v>79</v>
      </c>
      <c r="Q619" t="s">
        <v>83</v>
      </c>
      <c r="R619" t="s">
        <v>79</v>
      </c>
      <c r="S619" t="s">
        <v>313</v>
      </c>
      <c r="T619" t="s">
        <v>247</v>
      </c>
      <c r="U619" t="s">
        <v>79</v>
      </c>
      <c r="V619" t="s">
        <v>86</v>
      </c>
      <c r="W619" t="s">
        <v>141</v>
      </c>
      <c r="X619" t="s">
        <v>88</v>
      </c>
      <c r="Y619" t="s">
        <v>92</v>
      </c>
      <c r="Z619" t="s">
        <v>92</v>
      </c>
      <c r="AA619" t="s">
        <v>94</v>
      </c>
      <c r="AB619" t="s">
        <v>94</v>
      </c>
      <c r="AC619" t="s">
        <v>93</v>
      </c>
      <c r="AD619" t="s">
        <v>92</v>
      </c>
      <c r="AE619" t="s">
        <v>92</v>
      </c>
      <c r="AF619" t="s">
        <v>94</v>
      </c>
      <c r="AG619" t="s">
        <v>92</v>
      </c>
      <c r="AH619" t="s">
        <v>93</v>
      </c>
      <c r="AI619" t="s">
        <v>92</v>
      </c>
      <c r="AJ619" t="s">
        <v>92</v>
      </c>
      <c r="AK619" t="s">
        <v>92</v>
      </c>
      <c r="AL619" t="s">
        <v>92</v>
      </c>
      <c r="AM619" t="s">
        <v>94</v>
      </c>
      <c r="AN619" t="s">
        <v>92</v>
      </c>
      <c r="AO619" t="s">
        <v>94</v>
      </c>
      <c r="AP619" t="s">
        <v>92</v>
      </c>
      <c r="AQ619" t="s">
        <v>92</v>
      </c>
      <c r="AR619" t="s">
        <v>92</v>
      </c>
      <c r="AS619" t="s">
        <v>93</v>
      </c>
      <c r="AT619" t="s">
        <v>94</v>
      </c>
      <c r="AU619" t="s">
        <v>92</v>
      </c>
      <c r="AV619" t="s">
        <v>94</v>
      </c>
      <c r="AW619" t="s">
        <v>92</v>
      </c>
      <c r="AX619" t="s">
        <v>93</v>
      </c>
      <c r="AY619" t="s">
        <v>92</v>
      </c>
      <c r="AZ619" t="s">
        <v>92</v>
      </c>
      <c r="BA619" t="s">
        <v>92</v>
      </c>
      <c r="BB619" t="s">
        <v>93</v>
      </c>
      <c r="BC619" t="s">
        <v>94</v>
      </c>
      <c r="BD619" t="s">
        <v>92</v>
      </c>
      <c r="BE619" t="s">
        <v>94</v>
      </c>
      <c r="BF619" t="s">
        <v>94</v>
      </c>
      <c r="BG619" t="s">
        <v>95</v>
      </c>
      <c r="BH619" t="s">
        <v>95</v>
      </c>
    </row>
    <row r="620" spans="1:60" x14ac:dyDescent="0.3">
      <c r="A620">
        <v>22</v>
      </c>
      <c r="B620" t="s">
        <v>70</v>
      </c>
      <c r="C620" t="s">
        <v>96</v>
      </c>
      <c r="D620" t="s">
        <v>72</v>
      </c>
      <c r="E620" t="s">
        <v>114</v>
      </c>
      <c r="F620" t="s">
        <v>98</v>
      </c>
      <c r="G620" t="s">
        <v>135</v>
      </c>
      <c r="H620" t="s">
        <v>100</v>
      </c>
      <c r="I620" t="s">
        <v>76</v>
      </c>
      <c r="J620" t="s">
        <v>101</v>
      </c>
      <c r="K620" t="s">
        <v>78</v>
      </c>
      <c r="L620" t="s">
        <v>79</v>
      </c>
      <c r="M620" t="s">
        <v>80</v>
      </c>
      <c r="N620" t="s">
        <v>79</v>
      </c>
      <c r="O620" t="s">
        <v>138</v>
      </c>
      <c r="P620" t="s">
        <v>79</v>
      </c>
      <c r="Q620" t="s">
        <v>83</v>
      </c>
      <c r="R620" t="s">
        <v>79</v>
      </c>
      <c r="S620" t="s">
        <v>145</v>
      </c>
      <c r="T620" t="s">
        <v>124</v>
      </c>
      <c r="U620" t="s">
        <v>79</v>
      </c>
      <c r="V620" t="s">
        <v>86</v>
      </c>
      <c r="W620" t="s">
        <v>120</v>
      </c>
      <c r="X620" t="s">
        <v>112</v>
      </c>
      <c r="Y620" t="s">
        <v>92</v>
      </c>
      <c r="Z620" t="s">
        <v>92</v>
      </c>
      <c r="AA620" t="s">
        <v>93</v>
      </c>
      <c r="AB620" t="s">
        <v>92</v>
      </c>
      <c r="AC620" t="s">
        <v>94</v>
      </c>
      <c r="AD620" t="s">
        <v>92</v>
      </c>
      <c r="AE620" t="s">
        <v>92</v>
      </c>
      <c r="AF620" t="s">
        <v>94</v>
      </c>
      <c r="AG620" t="s">
        <v>92</v>
      </c>
      <c r="AH620" t="s">
        <v>93</v>
      </c>
      <c r="AI620" t="s">
        <v>92</v>
      </c>
      <c r="AJ620" t="s">
        <v>92</v>
      </c>
      <c r="AK620" t="s">
        <v>92</v>
      </c>
      <c r="AL620" t="s">
        <v>92</v>
      </c>
      <c r="AM620" t="s">
        <v>92</v>
      </c>
      <c r="AN620" t="s">
        <v>92</v>
      </c>
      <c r="AO620" t="s">
        <v>92</v>
      </c>
      <c r="AP620" t="s">
        <v>93</v>
      </c>
      <c r="AQ620" t="s">
        <v>92</v>
      </c>
      <c r="AR620" t="s">
        <v>92</v>
      </c>
      <c r="AS620" t="s">
        <v>94</v>
      </c>
      <c r="AT620" t="s">
        <v>94</v>
      </c>
      <c r="AU620" t="s">
        <v>92</v>
      </c>
      <c r="AV620" t="s">
        <v>94</v>
      </c>
      <c r="AW620" t="s">
        <v>92</v>
      </c>
      <c r="AX620" t="s">
        <v>93</v>
      </c>
      <c r="AY620" t="s">
        <v>92</v>
      </c>
      <c r="AZ620" t="s">
        <v>92</v>
      </c>
      <c r="BA620" t="s">
        <v>92</v>
      </c>
      <c r="BB620" t="s">
        <v>93</v>
      </c>
      <c r="BC620" t="s">
        <v>94</v>
      </c>
      <c r="BD620" t="s">
        <v>92</v>
      </c>
      <c r="BE620" t="s">
        <v>92</v>
      </c>
      <c r="BF620" t="s">
        <v>93</v>
      </c>
      <c r="BG620" t="s">
        <v>92</v>
      </c>
      <c r="BH620" t="s">
        <v>94</v>
      </c>
    </row>
    <row r="621" spans="1:60" x14ac:dyDescent="0.3">
      <c r="A621">
        <v>24</v>
      </c>
      <c r="B621" t="s">
        <v>70</v>
      </c>
      <c r="C621" t="s">
        <v>113</v>
      </c>
      <c r="D621" t="s">
        <v>72</v>
      </c>
      <c r="E621" t="s">
        <v>114</v>
      </c>
      <c r="F621" t="s">
        <v>136</v>
      </c>
      <c r="G621" t="s">
        <v>135</v>
      </c>
      <c r="H621" t="s">
        <v>136</v>
      </c>
      <c r="I621" t="s">
        <v>76</v>
      </c>
      <c r="J621" t="s">
        <v>101</v>
      </c>
      <c r="K621" t="s">
        <v>131</v>
      </c>
      <c r="L621" t="s">
        <v>79</v>
      </c>
      <c r="M621" t="s">
        <v>80</v>
      </c>
      <c r="N621" t="s">
        <v>79</v>
      </c>
      <c r="O621" t="s">
        <v>117</v>
      </c>
      <c r="P621" t="s">
        <v>79</v>
      </c>
      <c r="Q621" t="s">
        <v>83</v>
      </c>
      <c r="R621" t="s">
        <v>79</v>
      </c>
      <c r="S621" t="s">
        <v>84</v>
      </c>
      <c r="T621" t="s">
        <v>156</v>
      </c>
      <c r="U621" t="s">
        <v>79</v>
      </c>
      <c r="V621" t="s">
        <v>106</v>
      </c>
      <c r="W621" t="s">
        <v>120</v>
      </c>
      <c r="X621" t="s">
        <v>112</v>
      </c>
      <c r="Y621" t="s">
        <v>92</v>
      </c>
      <c r="Z621" t="s">
        <v>92</v>
      </c>
      <c r="AA621" t="s">
        <v>94</v>
      </c>
      <c r="AB621" t="s">
        <v>92</v>
      </c>
      <c r="AC621" t="s">
        <v>93</v>
      </c>
      <c r="AD621" t="s">
        <v>92</v>
      </c>
      <c r="AE621" t="s">
        <v>92</v>
      </c>
      <c r="AF621" t="s">
        <v>92</v>
      </c>
      <c r="AG621" t="s">
        <v>94</v>
      </c>
      <c r="AH621" t="s">
        <v>94</v>
      </c>
      <c r="AI621" t="s">
        <v>94</v>
      </c>
      <c r="AJ621" t="s">
        <v>92</v>
      </c>
      <c r="AK621" t="s">
        <v>92</v>
      </c>
      <c r="AL621" t="s">
        <v>92</v>
      </c>
      <c r="AM621" t="s">
        <v>94</v>
      </c>
      <c r="AN621" t="s">
        <v>93</v>
      </c>
      <c r="AO621" t="s">
        <v>92</v>
      </c>
      <c r="AP621" t="s">
        <v>93</v>
      </c>
      <c r="AQ621" t="s">
        <v>94</v>
      </c>
      <c r="AR621" t="s">
        <v>93</v>
      </c>
      <c r="AS621" t="s">
        <v>92</v>
      </c>
      <c r="AT621" t="s">
        <v>92</v>
      </c>
      <c r="AU621" t="s">
        <v>93</v>
      </c>
      <c r="AV621" t="s">
        <v>92</v>
      </c>
      <c r="AW621" t="s">
        <v>94</v>
      </c>
      <c r="AX621" t="s">
        <v>93</v>
      </c>
      <c r="AY621" t="s">
        <v>92</v>
      </c>
      <c r="AZ621" t="s">
        <v>94</v>
      </c>
      <c r="BA621" t="s">
        <v>92</v>
      </c>
      <c r="BB621" t="s">
        <v>93</v>
      </c>
      <c r="BC621" t="s">
        <v>94</v>
      </c>
      <c r="BD621" t="s">
        <v>92</v>
      </c>
      <c r="BE621" t="s">
        <v>92</v>
      </c>
      <c r="BF621" t="s">
        <v>92</v>
      </c>
      <c r="BG621" t="s">
        <v>93</v>
      </c>
      <c r="BH621" t="s">
        <v>94</v>
      </c>
    </row>
    <row r="622" spans="1:60" x14ac:dyDescent="0.3">
      <c r="A622">
        <v>22</v>
      </c>
      <c r="B622" t="s">
        <v>70</v>
      </c>
      <c r="C622" t="s">
        <v>113</v>
      </c>
      <c r="D622" t="s">
        <v>72</v>
      </c>
      <c r="E622" t="s">
        <v>108</v>
      </c>
      <c r="F622" t="s">
        <v>74</v>
      </c>
      <c r="G622" t="s">
        <v>115</v>
      </c>
      <c r="H622" t="s">
        <v>74</v>
      </c>
      <c r="I622" t="s">
        <v>76</v>
      </c>
      <c r="J622" t="s">
        <v>101</v>
      </c>
      <c r="K622" t="s">
        <v>131</v>
      </c>
      <c r="L622" t="s">
        <v>79</v>
      </c>
      <c r="M622" t="s">
        <v>80</v>
      </c>
      <c r="N622" t="s">
        <v>79</v>
      </c>
      <c r="O622" t="s">
        <v>117</v>
      </c>
      <c r="P622" t="s">
        <v>82</v>
      </c>
      <c r="Q622" t="s">
        <v>83</v>
      </c>
      <c r="R622" t="s">
        <v>82</v>
      </c>
      <c r="S622" t="s">
        <v>84</v>
      </c>
      <c r="T622" t="s">
        <v>119</v>
      </c>
      <c r="U622" t="s">
        <v>82</v>
      </c>
      <c r="V622" t="s">
        <v>106</v>
      </c>
      <c r="W622" t="s">
        <v>120</v>
      </c>
      <c r="X622" t="s">
        <v>112</v>
      </c>
      <c r="Y622" t="s">
        <v>94</v>
      </c>
      <c r="Z622" t="s">
        <v>95</v>
      </c>
      <c r="AA622" t="s">
        <v>93</v>
      </c>
      <c r="AB622" t="s">
        <v>95</v>
      </c>
      <c r="AC622" t="s">
        <v>94</v>
      </c>
      <c r="AD622" t="s">
        <v>94</v>
      </c>
      <c r="AE622" t="s">
        <v>94</v>
      </c>
      <c r="AF622" t="s">
        <v>95</v>
      </c>
      <c r="AG622" t="s">
        <v>95</v>
      </c>
      <c r="AH622" t="s">
        <v>95</v>
      </c>
      <c r="AI622" t="s">
        <v>95</v>
      </c>
      <c r="AJ622" t="s">
        <v>95</v>
      </c>
      <c r="AK622" t="s">
        <v>95</v>
      </c>
      <c r="AL622" t="s">
        <v>94</v>
      </c>
      <c r="AM622" t="s">
        <v>95</v>
      </c>
      <c r="AN622" t="s">
        <v>93</v>
      </c>
      <c r="AO622" t="s">
        <v>93</v>
      </c>
      <c r="AP622" t="s">
        <v>93</v>
      </c>
      <c r="AQ622" t="s">
        <v>93</v>
      </c>
      <c r="AR622" t="s">
        <v>95</v>
      </c>
      <c r="AS622" t="s">
        <v>95</v>
      </c>
      <c r="AT622" t="s">
        <v>94</v>
      </c>
      <c r="AU622" t="s">
        <v>94</v>
      </c>
      <c r="AV622" t="s">
        <v>94</v>
      </c>
      <c r="AW622" t="s">
        <v>95</v>
      </c>
      <c r="AX622" t="s">
        <v>92</v>
      </c>
      <c r="AY622" t="s">
        <v>93</v>
      </c>
      <c r="AZ622" t="s">
        <v>95</v>
      </c>
      <c r="BA622" t="s">
        <v>93</v>
      </c>
      <c r="BB622" t="s">
        <v>93</v>
      </c>
      <c r="BC622" t="s">
        <v>93</v>
      </c>
      <c r="BD622" t="s">
        <v>93</v>
      </c>
      <c r="BE622" t="s">
        <v>93</v>
      </c>
      <c r="BF622" t="s">
        <v>92</v>
      </c>
      <c r="BG622" t="s">
        <v>92</v>
      </c>
      <c r="BH622" t="s">
        <v>92</v>
      </c>
    </row>
    <row r="623" spans="1:60" x14ac:dyDescent="0.3">
      <c r="A623">
        <v>22</v>
      </c>
      <c r="B623" t="s">
        <v>70</v>
      </c>
      <c r="C623" t="s">
        <v>96</v>
      </c>
      <c r="D623" t="s">
        <v>97</v>
      </c>
      <c r="E623" t="s">
        <v>73</v>
      </c>
      <c r="F623" t="s">
        <v>74</v>
      </c>
      <c r="G623" t="s">
        <v>135</v>
      </c>
      <c r="H623" t="s">
        <v>100</v>
      </c>
      <c r="I623" t="s">
        <v>76</v>
      </c>
      <c r="J623" t="s">
        <v>77</v>
      </c>
      <c r="K623" t="s">
        <v>125</v>
      </c>
      <c r="L623" t="s">
        <v>82</v>
      </c>
      <c r="M623" t="s">
        <v>80</v>
      </c>
      <c r="N623" t="s">
        <v>79</v>
      </c>
      <c r="O623" t="s">
        <v>179</v>
      </c>
      <c r="P623" t="s">
        <v>82</v>
      </c>
      <c r="Q623" t="s">
        <v>83</v>
      </c>
      <c r="R623" t="s">
        <v>79</v>
      </c>
      <c r="S623" t="s">
        <v>84</v>
      </c>
      <c r="T623" t="s">
        <v>124</v>
      </c>
      <c r="U623" t="s">
        <v>79</v>
      </c>
      <c r="V623" t="s">
        <v>106</v>
      </c>
      <c r="W623" t="s">
        <v>141</v>
      </c>
      <c r="X623" t="s">
        <v>112</v>
      </c>
      <c r="Y623" t="s">
        <v>94</v>
      </c>
      <c r="Z623" t="s">
        <v>94</v>
      </c>
      <c r="AA623" t="s">
        <v>94</v>
      </c>
      <c r="AB623" t="s">
        <v>94</v>
      </c>
      <c r="AC623" t="s">
        <v>94</v>
      </c>
      <c r="AD623" t="s">
        <v>94</v>
      </c>
      <c r="AE623" t="s">
        <v>94</v>
      </c>
      <c r="AF623" t="s">
        <v>94</v>
      </c>
      <c r="AG623" t="s">
        <v>94</v>
      </c>
      <c r="AH623" t="s">
        <v>94</v>
      </c>
      <c r="AI623" t="s">
        <v>94</v>
      </c>
      <c r="AJ623" t="s">
        <v>94</v>
      </c>
      <c r="AK623" t="s">
        <v>94</v>
      </c>
      <c r="AL623" t="s">
        <v>94</v>
      </c>
      <c r="AM623" t="s">
        <v>94</v>
      </c>
      <c r="AN623" t="s">
        <v>94</v>
      </c>
      <c r="AO623" t="s">
        <v>94</v>
      </c>
      <c r="AP623" t="s">
        <v>94</v>
      </c>
      <c r="AQ623" t="s">
        <v>94</v>
      </c>
      <c r="AR623" t="s">
        <v>94</v>
      </c>
      <c r="AS623" t="s">
        <v>94</v>
      </c>
      <c r="AT623" t="s">
        <v>94</v>
      </c>
      <c r="AU623" t="s">
        <v>94</v>
      </c>
      <c r="AV623" t="s">
        <v>94</v>
      </c>
      <c r="AW623" t="s">
        <v>94</v>
      </c>
      <c r="AX623" t="s">
        <v>94</v>
      </c>
      <c r="AY623" t="s">
        <v>94</v>
      </c>
      <c r="AZ623" t="s">
        <v>94</v>
      </c>
      <c r="BA623" t="s">
        <v>94</v>
      </c>
      <c r="BB623" t="s">
        <v>94</v>
      </c>
      <c r="BC623" t="s">
        <v>94</v>
      </c>
      <c r="BD623" t="s">
        <v>94</v>
      </c>
      <c r="BE623" t="s">
        <v>94</v>
      </c>
      <c r="BF623" t="s">
        <v>94</v>
      </c>
      <c r="BG623" t="s">
        <v>94</v>
      </c>
      <c r="BH623" t="s">
        <v>94</v>
      </c>
    </row>
    <row r="624" spans="1:60" x14ac:dyDescent="0.3">
      <c r="A624">
        <v>22</v>
      </c>
      <c r="B624" t="s">
        <v>70</v>
      </c>
      <c r="C624" t="s">
        <v>96</v>
      </c>
      <c r="D624" t="s">
        <v>72</v>
      </c>
      <c r="E624" t="s">
        <v>114</v>
      </c>
      <c r="F624" t="s">
        <v>100</v>
      </c>
      <c r="G624" t="s">
        <v>135</v>
      </c>
      <c r="H624" t="s">
        <v>165</v>
      </c>
      <c r="I624" t="s">
        <v>76</v>
      </c>
      <c r="J624" t="s">
        <v>77</v>
      </c>
      <c r="K624" t="s">
        <v>125</v>
      </c>
      <c r="L624" t="s">
        <v>79</v>
      </c>
      <c r="M624" t="s">
        <v>132</v>
      </c>
      <c r="N624" t="s">
        <v>79</v>
      </c>
      <c r="O624" t="s">
        <v>109</v>
      </c>
      <c r="P624" t="s">
        <v>79</v>
      </c>
      <c r="Q624" t="s">
        <v>118</v>
      </c>
      <c r="R624" t="s">
        <v>79</v>
      </c>
      <c r="S624" t="s">
        <v>154</v>
      </c>
      <c r="T624" t="s">
        <v>167</v>
      </c>
      <c r="U624" t="s">
        <v>79</v>
      </c>
      <c r="V624" t="s">
        <v>106</v>
      </c>
      <c r="W624" t="s">
        <v>141</v>
      </c>
      <c r="X624" t="s">
        <v>112</v>
      </c>
      <c r="Y624" t="s">
        <v>94</v>
      </c>
      <c r="Z624" t="s">
        <v>94</v>
      </c>
      <c r="AA624" t="s">
        <v>94</v>
      </c>
      <c r="AB624" t="s">
        <v>94</v>
      </c>
      <c r="AC624" t="s">
        <v>94</v>
      </c>
      <c r="AD624" t="s">
        <v>92</v>
      </c>
      <c r="AE624" t="s">
        <v>92</v>
      </c>
      <c r="AF624" t="s">
        <v>92</v>
      </c>
      <c r="AG624" t="s">
        <v>92</v>
      </c>
      <c r="AH624" t="s">
        <v>94</v>
      </c>
      <c r="AI624" t="s">
        <v>94</v>
      </c>
      <c r="AJ624" t="s">
        <v>94</v>
      </c>
      <c r="AK624" t="s">
        <v>94</v>
      </c>
      <c r="AL624" t="s">
        <v>92</v>
      </c>
      <c r="AM624" t="s">
        <v>94</v>
      </c>
      <c r="AN624" t="s">
        <v>94</v>
      </c>
      <c r="AO624" t="s">
        <v>94</v>
      </c>
      <c r="AP624" t="s">
        <v>94</v>
      </c>
      <c r="AQ624" t="s">
        <v>92</v>
      </c>
      <c r="AR624" t="s">
        <v>92</v>
      </c>
      <c r="AS624" t="s">
        <v>94</v>
      </c>
      <c r="AT624" t="s">
        <v>94</v>
      </c>
      <c r="AU624" t="s">
        <v>94</v>
      </c>
      <c r="AV624" t="s">
        <v>94</v>
      </c>
      <c r="AW624" t="s">
        <v>94</v>
      </c>
      <c r="AX624" t="s">
        <v>92</v>
      </c>
      <c r="AY624" t="s">
        <v>92</v>
      </c>
      <c r="AZ624" t="s">
        <v>94</v>
      </c>
      <c r="BA624" t="s">
        <v>94</v>
      </c>
      <c r="BB624" t="s">
        <v>94</v>
      </c>
      <c r="BC624" t="s">
        <v>94</v>
      </c>
      <c r="BD624" t="s">
        <v>94</v>
      </c>
      <c r="BE624" t="s">
        <v>94</v>
      </c>
      <c r="BF624" t="s">
        <v>94</v>
      </c>
      <c r="BG624" t="s">
        <v>94</v>
      </c>
      <c r="BH624" t="s">
        <v>94</v>
      </c>
    </row>
    <row r="625" spans="1:60" x14ac:dyDescent="0.3">
      <c r="A625">
        <v>23</v>
      </c>
      <c r="B625" t="s">
        <v>70</v>
      </c>
      <c r="C625" t="s">
        <v>113</v>
      </c>
      <c r="D625" t="s">
        <v>72</v>
      </c>
      <c r="E625" t="s">
        <v>108</v>
      </c>
      <c r="F625" t="s">
        <v>74</v>
      </c>
      <c r="G625" t="s">
        <v>75</v>
      </c>
      <c r="H625" t="s">
        <v>136</v>
      </c>
      <c r="I625" t="s">
        <v>75</v>
      </c>
      <c r="J625" t="s">
        <v>77</v>
      </c>
      <c r="K625" t="s">
        <v>131</v>
      </c>
      <c r="L625" t="s">
        <v>79</v>
      </c>
      <c r="M625" t="s">
        <v>80</v>
      </c>
      <c r="N625" t="s">
        <v>79</v>
      </c>
      <c r="O625" t="s">
        <v>117</v>
      </c>
      <c r="P625" t="s">
        <v>79</v>
      </c>
      <c r="Q625" t="s">
        <v>83</v>
      </c>
      <c r="R625" t="s">
        <v>79</v>
      </c>
      <c r="S625" t="s">
        <v>123</v>
      </c>
      <c r="T625" t="s">
        <v>247</v>
      </c>
      <c r="U625" t="s">
        <v>79</v>
      </c>
      <c r="V625" t="s">
        <v>86</v>
      </c>
      <c r="W625" t="s">
        <v>87</v>
      </c>
      <c r="X625" t="s">
        <v>88</v>
      </c>
      <c r="Y625" t="s">
        <v>92</v>
      </c>
      <c r="Z625" t="s">
        <v>94</v>
      </c>
      <c r="AA625" t="s">
        <v>92</v>
      </c>
      <c r="AB625" t="s">
        <v>92</v>
      </c>
      <c r="AC625" t="s">
        <v>94</v>
      </c>
      <c r="AD625" t="s">
        <v>92</v>
      </c>
      <c r="AE625" t="s">
        <v>92</v>
      </c>
      <c r="AF625" t="s">
        <v>94</v>
      </c>
      <c r="AG625" t="s">
        <v>94</v>
      </c>
      <c r="AH625" t="s">
        <v>94</v>
      </c>
      <c r="AI625" t="s">
        <v>92</v>
      </c>
      <c r="AJ625" t="s">
        <v>92</v>
      </c>
      <c r="AK625" t="s">
        <v>93</v>
      </c>
      <c r="AL625" t="s">
        <v>92</v>
      </c>
      <c r="AM625" t="s">
        <v>94</v>
      </c>
      <c r="AN625" t="s">
        <v>94</v>
      </c>
      <c r="AO625" t="s">
        <v>92</v>
      </c>
      <c r="AP625" t="s">
        <v>94</v>
      </c>
      <c r="AQ625" t="s">
        <v>93</v>
      </c>
      <c r="AR625" t="s">
        <v>92</v>
      </c>
      <c r="AS625" t="s">
        <v>94</v>
      </c>
      <c r="AT625" t="s">
        <v>92</v>
      </c>
      <c r="AU625" t="s">
        <v>94</v>
      </c>
      <c r="AV625" t="s">
        <v>92</v>
      </c>
      <c r="AW625" t="s">
        <v>94</v>
      </c>
      <c r="AX625" t="s">
        <v>93</v>
      </c>
      <c r="AY625" t="s">
        <v>92</v>
      </c>
      <c r="AZ625" t="s">
        <v>93</v>
      </c>
      <c r="BA625" t="s">
        <v>94</v>
      </c>
      <c r="BB625" t="s">
        <v>92</v>
      </c>
      <c r="BC625" t="s">
        <v>93</v>
      </c>
      <c r="BD625" t="s">
        <v>94</v>
      </c>
      <c r="BE625" t="s">
        <v>92</v>
      </c>
      <c r="BF625" t="s">
        <v>92</v>
      </c>
      <c r="BG625" t="s">
        <v>93</v>
      </c>
      <c r="BH625" t="s">
        <v>92</v>
      </c>
    </row>
    <row r="626" spans="1:60" x14ac:dyDescent="0.3">
      <c r="A626">
        <v>21</v>
      </c>
      <c r="B626" t="s">
        <v>70</v>
      </c>
      <c r="C626" t="s">
        <v>153</v>
      </c>
      <c r="D626" t="s">
        <v>72</v>
      </c>
      <c r="E626" t="s">
        <v>73</v>
      </c>
      <c r="F626" t="s">
        <v>136</v>
      </c>
      <c r="G626" t="s">
        <v>99</v>
      </c>
      <c r="H626" t="s">
        <v>74</v>
      </c>
      <c r="I626" t="s">
        <v>99</v>
      </c>
      <c r="J626" t="s">
        <v>101</v>
      </c>
      <c r="K626" t="s">
        <v>131</v>
      </c>
      <c r="L626" t="s">
        <v>82</v>
      </c>
      <c r="M626" t="s">
        <v>201</v>
      </c>
      <c r="N626" t="s">
        <v>82</v>
      </c>
      <c r="O626" t="s">
        <v>138</v>
      </c>
      <c r="P626" t="s">
        <v>82</v>
      </c>
      <c r="Q626" t="s">
        <v>103</v>
      </c>
      <c r="R626" t="s">
        <v>82</v>
      </c>
      <c r="S626" t="s">
        <v>126</v>
      </c>
      <c r="T626" t="s">
        <v>314</v>
      </c>
      <c r="U626" t="s">
        <v>79</v>
      </c>
      <c r="V626" t="s">
        <v>86</v>
      </c>
      <c r="W626" t="s">
        <v>141</v>
      </c>
      <c r="X626" t="s">
        <v>160</v>
      </c>
      <c r="Y626" t="s">
        <v>92</v>
      </c>
      <c r="Z626" t="s">
        <v>92</v>
      </c>
      <c r="AA626" t="s">
        <v>92</v>
      </c>
      <c r="AB626" t="s">
        <v>92</v>
      </c>
      <c r="AC626" t="s">
        <v>92</v>
      </c>
      <c r="AD626" t="s">
        <v>93</v>
      </c>
      <c r="AE626" t="s">
        <v>92</v>
      </c>
      <c r="AF626" t="s">
        <v>93</v>
      </c>
      <c r="AG626" t="s">
        <v>92</v>
      </c>
      <c r="AH626" t="s">
        <v>93</v>
      </c>
      <c r="AI626" t="s">
        <v>92</v>
      </c>
      <c r="AJ626" t="s">
        <v>93</v>
      </c>
      <c r="AK626" t="s">
        <v>93</v>
      </c>
      <c r="AL626" t="s">
        <v>92</v>
      </c>
      <c r="AM626" t="s">
        <v>92</v>
      </c>
      <c r="AN626" t="s">
        <v>93</v>
      </c>
      <c r="AO626" t="s">
        <v>92</v>
      </c>
      <c r="AP626" t="s">
        <v>92</v>
      </c>
      <c r="AQ626" t="s">
        <v>92</v>
      </c>
      <c r="AR626" t="s">
        <v>92</v>
      </c>
      <c r="AS626" t="s">
        <v>92</v>
      </c>
      <c r="AT626" t="s">
        <v>92</v>
      </c>
      <c r="AU626" t="s">
        <v>92</v>
      </c>
      <c r="AV626" t="s">
        <v>93</v>
      </c>
      <c r="AW626" t="s">
        <v>92</v>
      </c>
      <c r="AX626" t="s">
        <v>92</v>
      </c>
      <c r="AY626" t="s">
        <v>92</v>
      </c>
      <c r="AZ626" t="s">
        <v>92</v>
      </c>
      <c r="BA626" t="s">
        <v>92</v>
      </c>
      <c r="BB626" t="s">
        <v>92</v>
      </c>
      <c r="BC626" t="s">
        <v>94</v>
      </c>
      <c r="BD626" t="s">
        <v>92</v>
      </c>
      <c r="BE626" t="s">
        <v>92</v>
      </c>
      <c r="BF626" t="s">
        <v>92</v>
      </c>
      <c r="BG626" t="s">
        <v>92</v>
      </c>
      <c r="BH626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417C-D2B9-49CF-8D27-CEAA4FC13A18}">
  <dimension ref="A1:AD626"/>
  <sheetViews>
    <sheetView tabSelected="1" topLeftCell="J1" workbookViewId="0">
      <selection activeCell="V7" sqref="V7"/>
    </sheetView>
  </sheetViews>
  <sheetFormatPr defaultRowHeight="14.4" x14ac:dyDescent="0.3"/>
  <cols>
    <col min="1" max="1" width="8.88671875" style="13"/>
    <col min="2" max="2" width="9.5546875" style="13" customWidth="1"/>
    <col min="3" max="3" width="18.109375" style="13" customWidth="1"/>
    <col min="4" max="4" width="11.33203125" style="13" customWidth="1"/>
    <col min="5" max="5" width="21.6640625" style="13" customWidth="1"/>
    <col min="6" max="6" width="26.109375" style="13" customWidth="1"/>
    <col min="7" max="7" width="19.6640625" style="13" customWidth="1"/>
    <col min="8" max="8" width="27.109375" style="13" customWidth="1"/>
    <col min="9" max="9" width="20.6640625" style="13" customWidth="1"/>
    <col min="10" max="10" width="17.109375" style="13" customWidth="1"/>
    <col min="11" max="11" width="23.88671875" style="13" customWidth="1"/>
    <col min="12" max="21" width="8.88671875" style="13"/>
    <col min="22" max="23" width="21.33203125" style="13" customWidth="1"/>
    <col min="24" max="29" width="8.88671875" style="12"/>
    <col min="30" max="30" width="20.5546875" style="12" customWidth="1"/>
    <col min="31" max="16384" width="8.88671875" style="13"/>
  </cols>
  <sheetData>
    <row r="1" spans="1:30" x14ac:dyDescent="0.3">
      <c r="A1" s="13" t="s">
        <v>414</v>
      </c>
      <c r="B1" s="13" t="s">
        <v>1</v>
      </c>
      <c r="C1" s="13" t="s">
        <v>408</v>
      </c>
      <c r="D1" s="13" t="s">
        <v>3</v>
      </c>
      <c r="E1" s="13" t="s">
        <v>409</v>
      </c>
      <c r="F1" s="13" t="s">
        <v>410</v>
      </c>
      <c r="G1" s="13" t="s">
        <v>411</v>
      </c>
      <c r="H1" s="13" t="s">
        <v>412</v>
      </c>
      <c r="I1" s="13" t="s">
        <v>413</v>
      </c>
      <c r="J1" s="13" t="s">
        <v>415</v>
      </c>
      <c r="K1" s="13" t="s">
        <v>416</v>
      </c>
      <c r="L1" s="13" t="s">
        <v>441</v>
      </c>
      <c r="M1" s="13" t="s">
        <v>442</v>
      </c>
      <c r="N1" s="13" t="s">
        <v>443</v>
      </c>
      <c r="O1" s="13" t="s">
        <v>444</v>
      </c>
      <c r="P1" s="13" t="s">
        <v>445</v>
      </c>
      <c r="Q1" s="13" t="s">
        <v>446</v>
      </c>
      <c r="R1" s="13" t="s">
        <v>447</v>
      </c>
      <c r="S1" s="13" t="s">
        <v>450</v>
      </c>
      <c r="T1" s="13" t="s">
        <v>451</v>
      </c>
      <c r="U1" s="13" t="s">
        <v>452</v>
      </c>
      <c r="V1" s="13" t="s">
        <v>453</v>
      </c>
      <c r="W1" s="13" t="s">
        <v>484</v>
      </c>
      <c r="X1" s="12" t="s">
        <v>464</v>
      </c>
      <c r="Y1" s="12" t="s">
        <v>465</v>
      </c>
      <c r="Z1" s="12" t="s">
        <v>466</v>
      </c>
      <c r="AA1" s="12" t="s">
        <v>467</v>
      </c>
      <c r="AB1" s="12" t="s">
        <v>469</v>
      </c>
      <c r="AC1" s="12" t="s">
        <v>468</v>
      </c>
      <c r="AD1" s="12" t="s">
        <v>483</v>
      </c>
    </row>
    <row r="2" spans="1:30" x14ac:dyDescent="0.3">
      <c r="A2" s="13">
        <v>20</v>
      </c>
      <c r="B2" s="13" t="s">
        <v>162</v>
      </c>
      <c r="C2" s="13" t="s">
        <v>157</v>
      </c>
      <c r="D2" s="13" t="s">
        <v>72</v>
      </c>
      <c r="E2" s="13" t="s">
        <v>73</v>
      </c>
      <c r="F2" s="13" t="s">
        <v>74</v>
      </c>
      <c r="G2" s="13" t="s">
        <v>99</v>
      </c>
      <c r="H2" s="13" t="s">
        <v>136</v>
      </c>
      <c r="I2" s="13" t="s">
        <v>76</v>
      </c>
      <c r="J2" s="13" t="s">
        <v>101</v>
      </c>
      <c r="K2" s="13" t="s">
        <v>122</v>
      </c>
      <c r="L2" s="13" t="s">
        <v>79</v>
      </c>
      <c r="M2" s="13" t="s">
        <v>80</v>
      </c>
      <c r="N2" s="13" t="s">
        <v>79</v>
      </c>
      <c r="O2" s="13" t="s">
        <v>490</v>
      </c>
      <c r="P2" s="13" t="s">
        <v>82</v>
      </c>
      <c r="Q2" s="13" t="s">
        <v>83</v>
      </c>
      <c r="R2" s="13" t="s">
        <v>82</v>
      </c>
      <c r="S2" s="13" t="s">
        <v>82</v>
      </c>
      <c r="T2" s="13" t="s">
        <v>106</v>
      </c>
      <c r="U2" s="13" t="s">
        <v>141</v>
      </c>
      <c r="V2" s="13" t="s">
        <v>112</v>
      </c>
      <c r="W2" t="s">
        <v>486</v>
      </c>
      <c r="X2" s="12">
        <v>3</v>
      </c>
      <c r="Y2" s="12">
        <v>3</v>
      </c>
      <c r="Z2" s="12">
        <v>3</v>
      </c>
      <c r="AA2" s="12">
        <v>3</v>
      </c>
      <c r="AB2" s="12">
        <v>3</v>
      </c>
      <c r="AC2" s="12">
        <v>3</v>
      </c>
      <c r="AD2" s="12">
        <v>3</v>
      </c>
    </row>
    <row r="3" spans="1:30" x14ac:dyDescent="0.3">
      <c r="A3" s="13">
        <v>20</v>
      </c>
      <c r="B3" s="13" t="s">
        <v>162</v>
      </c>
      <c r="C3" s="13" t="s">
        <v>157</v>
      </c>
      <c r="D3" s="13" t="s">
        <v>72</v>
      </c>
      <c r="E3" s="13" t="s">
        <v>73</v>
      </c>
      <c r="F3" s="13" t="s">
        <v>74</v>
      </c>
      <c r="G3" s="13" t="s">
        <v>99</v>
      </c>
      <c r="H3" s="13" t="s">
        <v>136</v>
      </c>
      <c r="I3" s="13" t="s">
        <v>76</v>
      </c>
      <c r="J3" s="13" t="s">
        <v>77</v>
      </c>
      <c r="K3" s="13" t="s">
        <v>122</v>
      </c>
      <c r="L3" s="13" t="s">
        <v>79</v>
      </c>
      <c r="M3" s="13" t="s">
        <v>80</v>
      </c>
      <c r="N3" s="13" t="s">
        <v>79</v>
      </c>
      <c r="O3" s="13" t="s">
        <v>490</v>
      </c>
      <c r="P3" s="13" t="s">
        <v>82</v>
      </c>
      <c r="Q3" s="13" t="s">
        <v>83</v>
      </c>
      <c r="R3" s="13" t="s">
        <v>82</v>
      </c>
      <c r="S3" s="13" t="s">
        <v>82</v>
      </c>
      <c r="T3" s="13" t="s">
        <v>106</v>
      </c>
      <c r="U3" s="13" t="s">
        <v>141</v>
      </c>
      <c r="V3" s="13" t="s">
        <v>112</v>
      </c>
      <c r="W3" t="s">
        <v>486</v>
      </c>
      <c r="X3" s="12">
        <v>3</v>
      </c>
      <c r="Y3" s="12">
        <v>3</v>
      </c>
      <c r="Z3" s="12">
        <v>3</v>
      </c>
      <c r="AA3" s="12">
        <v>3</v>
      </c>
      <c r="AB3" s="12">
        <v>3</v>
      </c>
      <c r="AC3" s="12">
        <v>3</v>
      </c>
      <c r="AD3" s="12">
        <v>3</v>
      </c>
    </row>
    <row r="4" spans="1:30" x14ac:dyDescent="0.3">
      <c r="A4" s="13">
        <v>20</v>
      </c>
      <c r="B4" s="13" t="s">
        <v>70</v>
      </c>
      <c r="C4" s="13" t="s">
        <v>157</v>
      </c>
      <c r="D4" s="13" t="s">
        <v>72</v>
      </c>
      <c r="E4" s="13" t="s">
        <v>114</v>
      </c>
      <c r="F4" s="13" t="s">
        <v>74</v>
      </c>
      <c r="G4" s="13" t="s">
        <v>439</v>
      </c>
      <c r="H4" s="13" t="s">
        <v>98</v>
      </c>
      <c r="I4" s="13" t="s">
        <v>76</v>
      </c>
      <c r="J4" s="13" t="s">
        <v>101</v>
      </c>
      <c r="K4" s="13" t="s">
        <v>125</v>
      </c>
      <c r="L4" s="13" t="s">
        <v>82</v>
      </c>
      <c r="M4" s="13" t="s">
        <v>80</v>
      </c>
      <c r="N4" s="13" t="s">
        <v>79</v>
      </c>
      <c r="O4" s="13" t="s">
        <v>488</v>
      </c>
      <c r="P4" s="13" t="s">
        <v>82</v>
      </c>
      <c r="Q4" s="13" t="s">
        <v>118</v>
      </c>
      <c r="R4" s="13" t="s">
        <v>79</v>
      </c>
      <c r="S4" s="13" t="s">
        <v>79</v>
      </c>
      <c r="T4" s="13" t="s">
        <v>106</v>
      </c>
      <c r="U4" s="13" t="s">
        <v>141</v>
      </c>
      <c r="V4" s="13" t="s">
        <v>127</v>
      </c>
      <c r="W4" t="s">
        <v>486</v>
      </c>
      <c r="X4" s="12">
        <v>3</v>
      </c>
      <c r="Y4" s="12">
        <v>3</v>
      </c>
      <c r="Z4" s="12">
        <v>3</v>
      </c>
      <c r="AA4" s="12">
        <v>3</v>
      </c>
      <c r="AB4" s="12">
        <v>3</v>
      </c>
      <c r="AC4" s="12">
        <v>3</v>
      </c>
      <c r="AD4" s="12">
        <v>3</v>
      </c>
    </row>
    <row r="5" spans="1:30" x14ac:dyDescent="0.3">
      <c r="A5" s="13">
        <v>23</v>
      </c>
      <c r="B5" s="13" t="s">
        <v>70</v>
      </c>
      <c r="C5" s="13" t="s">
        <v>113</v>
      </c>
      <c r="D5" s="13" t="s">
        <v>72</v>
      </c>
      <c r="E5" s="13" t="s">
        <v>108</v>
      </c>
      <c r="F5" s="13" t="s">
        <v>136</v>
      </c>
      <c r="G5" s="13" t="s">
        <v>439</v>
      </c>
      <c r="H5" s="13" t="s">
        <v>136</v>
      </c>
      <c r="I5" s="13" t="s">
        <v>76</v>
      </c>
      <c r="J5" s="13" t="s">
        <v>77</v>
      </c>
      <c r="K5" s="13" t="s">
        <v>122</v>
      </c>
      <c r="L5" s="13" t="s">
        <v>79</v>
      </c>
      <c r="M5" s="13" t="s">
        <v>132</v>
      </c>
      <c r="N5" s="13" t="s">
        <v>82</v>
      </c>
      <c r="O5" s="13" t="s">
        <v>487</v>
      </c>
      <c r="P5" s="13" t="s">
        <v>82</v>
      </c>
      <c r="Q5" s="13" t="s">
        <v>118</v>
      </c>
      <c r="R5" s="13" t="s">
        <v>82</v>
      </c>
      <c r="S5" s="13" t="s">
        <v>82</v>
      </c>
      <c r="T5" s="13" t="s">
        <v>106</v>
      </c>
      <c r="U5" s="13" t="s">
        <v>87</v>
      </c>
      <c r="V5" s="13" t="s">
        <v>112</v>
      </c>
      <c r="W5" t="s">
        <v>486</v>
      </c>
      <c r="X5" s="12">
        <v>3</v>
      </c>
      <c r="Y5" s="12">
        <v>3</v>
      </c>
      <c r="Z5" s="12">
        <v>3</v>
      </c>
      <c r="AA5" s="12">
        <v>3</v>
      </c>
      <c r="AB5" s="12">
        <v>3</v>
      </c>
      <c r="AC5" s="12">
        <v>3</v>
      </c>
      <c r="AD5" s="12">
        <v>3</v>
      </c>
    </row>
    <row r="6" spans="1:30" x14ac:dyDescent="0.3">
      <c r="A6" s="13">
        <v>20</v>
      </c>
      <c r="B6" s="13" t="s">
        <v>162</v>
      </c>
      <c r="C6" s="13" t="s">
        <v>157</v>
      </c>
      <c r="D6" s="13" t="s">
        <v>72</v>
      </c>
      <c r="E6" s="13" t="s">
        <v>73</v>
      </c>
      <c r="F6" s="13" t="s">
        <v>74</v>
      </c>
      <c r="G6" s="13" t="s">
        <v>99</v>
      </c>
      <c r="H6" s="13" t="s">
        <v>136</v>
      </c>
      <c r="I6" s="13" t="s">
        <v>76</v>
      </c>
      <c r="J6" s="13" t="s">
        <v>77</v>
      </c>
      <c r="K6" s="13" t="s">
        <v>122</v>
      </c>
      <c r="L6" s="13" t="s">
        <v>79</v>
      </c>
      <c r="M6" s="13" t="s">
        <v>80</v>
      </c>
      <c r="N6" s="13" t="s">
        <v>79</v>
      </c>
      <c r="O6" s="13" t="s">
        <v>490</v>
      </c>
      <c r="P6" s="13" t="s">
        <v>82</v>
      </c>
      <c r="Q6" s="13" t="s">
        <v>83</v>
      </c>
      <c r="R6" s="13" t="s">
        <v>82</v>
      </c>
      <c r="S6" s="13" t="s">
        <v>82</v>
      </c>
      <c r="T6" s="13" t="s">
        <v>106</v>
      </c>
      <c r="U6" s="13" t="s">
        <v>141</v>
      </c>
      <c r="V6" s="13" t="s">
        <v>112</v>
      </c>
      <c r="W6" t="s">
        <v>486</v>
      </c>
      <c r="X6" s="12">
        <v>3</v>
      </c>
      <c r="Y6" s="12">
        <v>3</v>
      </c>
      <c r="Z6" s="12">
        <v>3</v>
      </c>
      <c r="AA6" s="12">
        <v>3</v>
      </c>
      <c r="AB6" s="12">
        <v>3</v>
      </c>
      <c r="AC6" s="12">
        <v>3</v>
      </c>
      <c r="AD6" s="12">
        <v>3</v>
      </c>
    </row>
    <row r="7" spans="1:30" x14ac:dyDescent="0.3">
      <c r="A7" s="13">
        <v>21</v>
      </c>
      <c r="B7" s="13" t="s">
        <v>70</v>
      </c>
      <c r="C7" s="13" t="s">
        <v>157</v>
      </c>
      <c r="D7" s="13" t="s">
        <v>72</v>
      </c>
      <c r="E7" s="13" t="s">
        <v>114</v>
      </c>
      <c r="F7" s="13" t="s">
        <v>136</v>
      </c>
      <c r="G7" s="13" t="s">
        <v>439</v>
      </c>
      <c r="H7" s="13" t="s">
        <v>98</v>
      </c>
      <c r="I7" s="13" t="s">
        <v>76</v>
      </c>
      <c r="J7" s="13" t="s">
        <v>77</v>
      </c>
      <c r="K7" s="13" t="s">
        <v>122</v>
      </c>
      <c r="L7" s="13" t="s">
        <v>79</v>
      </c>
      <c r="M7" s="13" t="s">
        <v>80</v>
      </c>
      <c r="N7" s="13" t="s">
        <v>79</v>
      </c>
      <c r="O7" s="13" t="s">
        <v>489</v>
      </c>
      <c r="P7" s="13" t="s">
        <v>79</v>
      </c>
      <c r="Q7" s="13" t="s">
        <v>103</v>
      </c>
      <c r="R7" s="13" t="s">
        <v>79</v>
      </c>
      <c r="S7" s="13" t="s">
        <v>82</v>
      </c>
      <c r="T7" s="13" t="s">
        <v>86</v>
      </c>
      <c r="U7" s="13" t="s">
        <v>141</v>
      </c>
      <c r="V7" s="13" t="s">
        <v>112</v>
      </c>
      <c r="W7" t="s">
        <v>486</v>
      </c>
      <c r="X7" s="12">
        <v>2.4545454545454546</v>
      </c>
      <c r="Y7" s="12">
        <v>2.6</v>
      </c>
      <c r="Z7" s="12">
        <v>3</v>
      </c>
      <c r="AA7" s="12">
        <v>3</v>
      </c>
      <c r="AB7" s="12">
        <v>3</v>
      </c>
      <c r="AC7" s="12">
        <v>3</v>
      </c>
      <c r="AD7" s="12">
        <v>2.8424242424242423</v>
      </c>
    </row>
    <row r="8" spans="1:30" x14ac:dyDescent="0.3">
      <c r="A8" s="13">
        <v>20</v>
      </c>
      <c r="B8" s="13" t="s">
        <v>70</v>
      </c>
      <c r="C8" s="13" t="s">
        <v>157</v>
      </c>
      <c r="D8" s="13" t="s">
        <v>97</v>
      </c>
      <c r="E8" s="13" t="s">
        <v>108</v>
      </c>
      <c r="F8" s="13" t="s">
        <v>74</v>
      </c>
      <c r="G8" s="13" t="s">
        <v>439</v>
      </c>
      <c r="H8" s="13" t="s">
        <v>74</v>
      </c>
      <c r="I8" s="13" t="s">
        <v>439</v>
      </c>
      <c r="J8" s="13" t="s">
        <v>101</v>
      </c>
      <c r="K8" s="13" t="s">
        <v>131</v>
      </c>
      <c r="L8" s="13" t="s">
        <v>82</v>
      </c>
      <c r="M8" s="13" t="s">
        <v>80</v>
      </c>
      <c r="N8" s="13" t="s">
        <v>79</v>
      </c>
      <c r="O8" s="13" t="s">
        <v>490</v>
      </c>
      <c r="P8" s="13" t="s">
        <v>82</v>
      </c>
      <c r="Q8" s="13" t="s">
        <v>83</v>
      </c>
      <c r="R8" s="13" t="s">
        <v>82</v>
      </c>
      <c r="S8" s="13" t="s">
        <v>82</v>
      </c>
      <c r="T8" s="13" t="s">
        <v>106</v>
      </c>
      <c r="U8" s="13" t="s">
        <v>87</v>
      </c>
      <c r="V8" s="13" t="s">
        <v>237</v>
      </c>
      <c r="W8" t="s">
        <v>486</v>
      </c>
      <c r="X8" s="12">
        <v>2.5454545454545454</v>
      </c>
      <c r="Y8" s="12">
        <v>2</v>
      </c>
      <c r="Z8" s="12">
        <v>3</v>
      </c>
      <c r="AA8" s="12">
        <v>3</v>
      </c>
      <c r="AB8" s="12">
        <v>3</v>
      </c>
      <c r="AC8" s="12">
        <v>3</v>
      </c>
      <c r="AD8" s="12">
        <v>2.7575757575757578</v>
      </c>
    </row>
    <row r="9" spans="1:30" x14ac:dyDescent="0.3">
      <c r="A9" s="13">
        <v>22</v>
      </c>
      <c r="B9" s="13" t="s">
        <v>70</v>
      </c>
      <c r="C9" s="13" t="s">
        <v>96</v>
      </c>
      <c r="D9" s="13" t="s">
        <v>72</v>
      </c>
      <c r="E9" s="13" t="s">
        <v>114</v>
      </c>
      <c r="F9" s="13" t="s">
        <v>165</v>
      </c>
      <c r="G9" s="13" t="s">
        <v>439</v>
      </c>
      <c r="H9" s="13" t="s">
        <v>98</v>
      </c>
      <c r="I9" s="13" t="s">
        <v>76</v>
      </c>
      <c r="J9" s="13" t="s">
        <v>77</v>
      </c>
      <c r="K9" s="13" t="s">
        <v>125</v>
      </c>
      <c r="L9" s="13" t="s">
        <v>79</v>
      </c>
      <c r="M9" s="13" t="s">
        <v>80</v>
      </c>
      <c r="N9" s="13" t="s">
        <v>79</v>
      </c>
      <c r="O9" s="13" t="s">
        <v>488</v>
      </c>
      <c r="P9" s="13" t="s">
        <v>79</v>
      </c>
      <c r="Q9" s="13" t="s">
        <v>83</v>
      </c>
      <c r="R9" s="13" t="s">
        <v>79</v>
      </c>
      <c r="S9" s="13" t="s">
        <v>82</v>
      </c>
      <c r="T9" s="13" t="s">
        <v>106</v>
      </c>
      <c r="U9" s="13" t="s">
        <v>87</v>
      </c>
      <c r="V9" s="13" t="s">
        <v>112</v>
      </c>
      <c r="W9" t="s">
        <v>486</v>
      </c>
      <c r="X9" s="12">
        <v>3</v>
      </c>
      <c r="Y9" s="12">
        <v>1.2</v>
      </c>
      <c r="Z9" s="12">
        <v>1</v>
      </c>
      <c r="AA9" s="12">
        <v>3</v>
      </c>
      <c r="AB9" s="12">
        <v>3</v>
      </c>
      <c r="AC9" s="12">
        <v>3</v>
      </c>
      <c r="AD9" s="12">
        <v>2.3666666666666667</v>
      </c>
    </row>
    <row r="10" spans="1:30" x14ac:dyDescent="0.3">
      <c r="A10" s="13">
        <v>23</v>
      </c>
      <c r="B10" s="13" t="s">
        <v>70</v>
      </c>
      <c r="C10" s="13" t="s">
        <v>113</v>
      </c>
      <c r="D10" s="13" t="s">
        <v>72</v>
      </c>
      <c r="E10" s="13" t="s">
        <v>73</v>
      </c>
      <c r="F10" s="13" t="s">
        <v>74</v>
      </c>
      <c r="G10" s="13" t="s">
        <v>439</v>
      </c>
      <c r="H10" s="13" t="s">
        <v>136</v>
      </c>
      <c r="I10" s="13" t="s">
        <v>76</v>
      </c>
      <c r="J10" s="13" t="s">
        <v>77</v>
      </c>
      <c r="K10" s="13" t="s">
        <v>122</v>
      </c>
      <c r="L10" s="13" t="s">
        <v>79</v>
      </c>
      <c r="M10" s="13" t="s">
        <v>80</v>
      </c>
      <c r="N10" s="13" t="s">
        <v>79</v>
      </c>
      <c r="O10" s="13" t="s">
        <v>489</v>
      </c>
      <c r="P10" s="13" t="s">
        <v>82</v>
      </c>
      <c r="Q10" s="13" t="s">
        <v>83</v>
      </c>
      <c r="R10" s="13" t="s">
        <v>79</v>
      </c>
      <c r="S10" s="13" t="s">
        <v>82</v>
      </c>
      <c r="T10" s="13" t="s">
        <v>106</v>
      </c>
      <c r="U10" s="13" t="s">
        <v>87</v>
      </c>
      <c r="V10" s="13" t="s">
        <v>112</v>
      </c>
      <c r="W10" t="s">
        <v>486</v>
      </c>
      <c r="X10" s="12">
        <v>2.2727272727272729</v>
      </c>
      <c r="Y10" s="12">
        <v>2.8</v>
      </c>
      <c r="Z10" s="12">
        <v>3</v>
      </c>
      <c r="AA10" s="12">
        <v>2.8888888888888888</v>
      </c>
      <c r="AB10" s="12">
        <v>3</v>
      </c>
      <c r="AC10" s="12">
        <v>3</v>
      </c>
      <c r="AD10" s="12">
        <v>2.8269360269360271</v>
      </c>
    </row>
    <row r="11" spans="1:30" x14ac:dyDescent="0.3">
      <c r="A11" s="13">
        <v>24</v>
      </c>
      <c r="B11" s="13" t="s">
        <v>70</v>
      </c>
      <c r="C11" s="13" t="s">
        <v>96</v>
      </c>
      <c r="D11" s="13" t="s">
        <v>97</v>
      </c>
      <c r="E11" s="13" t="s">
        <v>108</v>
      </c>
      <c r="F11" s="13" t="s">
        <v>74</v>
      </c>
      <c r="G11" s="13" t="s">
        <v>440</v>
      </c>
      <c r="H11" s="13" t="s">
        <v>74</v>
      </c>
      <c r="I11" s="13" t="s">
        <v>76</v>
      </c>
      <c r="J11" s="13" t="s">
        <v>77</v>
      </c>
      <c r="K11" s="13" t="s">
        <v>122</v>
      </c>
      <c r="L11" s="13" t="s">
        <v>82</v>
      </c>
      <c r="M11" s="13" t="s">
        <v>132</v>
      </c>
      <c r="N11" s="13" t="s">
        <v>79</v>
      </c>
      <c r="O11" s="13" t="s">
        <v>488</v>
      </c>
      <c r="P11" s="13" t="s">
        <v>82</v>
      </c>
      <c r="Q11" s="13" t="s">
        <v>83</v>
      </c>
      <c r="R11" s="13" t="s">
        <v>79</v>
      </c>
      <c r="S11" s="13" t="s">
        <v>82</v>
      </c>
      <c r="T11" s="13" t="s">
        <v>106</v>
      </c>
      <c r="U11" s="13" t="s">
        <v>87</v>
      </c>
      <c r="V11" s="13" t="s">
        <v>112</v>
      </c>
      <c r="W11" t="s">
        <v>486</v>
      </c>
      <c r="X11" s="12">
        <v>2.7272727272727271</v>
      </c>
      <c r="Y11" s="12">
        <v>1.6</v>
      </c>
      <c r="Z11" s="12">
        <v>3</v>
      </c>
      <c r="AA11" s="12">
        <v>2.8888888888888888</v>
      </c>
      <c r="AB11" s="12">
        <v>3</v>
      </c>
      <c r="AC11" s="12">
        <v>3</v>
      </c>
      <c r="AD11" s="12">
        <v>2.7026936026936021</v>
      </c>
    </row>
    <row r="12" spans="1:30" x14ac:dyDescent="0.3">
      <c r="A12" s="13">
        <v>20</v>
      </c>
      <c r="B12" s="13" t="s">
        <v>70</v>
      </c>
      <c r="C12" s="13" t="s">
        <v>157</v>
      </c>
      <c r="D12" s="13" t="s">
        <v>97</v>
      </c>
      <c r="E12" s="13" t="s">
        <v>108</v>
      </c>
      <c r="F12" s="13" t="s">
        <v>74</v>
      </c>
      <c r="G12" s="13" t="s">
        <v>439</v>
      </c>
      <c r="H12" s="13" t="s">
        <v>74</v>
      </c>
      <c r="I12" s="13" t="s">
        <v>76</v>
      </c>
      <c r="J12" s="13" t="s">
        <v>77</v>
      </c>
      <c r="K12" s="13" t="s">
        <v>78</v>
      </c>
      <c r="L12" s="13" t="s">
        <v>79</v>
      </c>
      <c r="M12" s="13" t="s">
        <v>80</v>
      </c>
      <c r="N12" s="13" t="s">
        <v>82</v>
      </c>
      <c r="O12" s="13" t="s">
        <v>489</v>
      </c>
      <c r="P12" s="13" t="s">
        <v>82</v>
      </c>
      <c r="Q12" s="13" t="s">
        <v>103</v>
      </c>
      <c r="R12" s="13" t="s">
        <v>82</v>
      </c>
      <c r="S12" s="13" t="s">
        <v>82</v>
      </c>
      <c r="T12" s="13" t="s">
        <v>106</v>
      </c>
      <c r="U12" s="13" t="s">
        <v>141</v>
      </c>
      <c r="V12" s="13" t="s">
        <v>112</v>
      </c>
      <c r="W12" t="s">
        <v>486</v>
      </c>
      <c r="X12" s="12">
        <v>2.9090909090909092</v>
      </c>
      <c r="Y12" s="12">
        <v>2.6</v>
      </c>
      <c r="Z12" s="12">
        <v>2.3333333333333335</v>
      </c>
      <c r="AA12" s="12">
        <v>2.5555555555555554</v>
      </c>
      <c r="AB12" s="12">
        <v>3</v>
      </c>
      <c r="AC12" s="12">
        <v>3</v>
      </c>
      <c r="AD12" s="12">
        <v>2.7329966329966333</v>
      </c>
    </row>
    <row r="13" spans="1:30" x14ac:dyDescent="0.3">
      <c r="A13" s="13">
        <v>20</v>
      </c>
      <c r="B13" s="13" t="s">
        <v>162</v>
      </c>
      <c r="C13" s="13" t="s">
        <v>157</v>
      </c>
      <c r="D13" s="13" t="s">
        <v>72</v>
      </c>
      <c r="E13" s="13" t="s">
        <v>73</v>
      </c>
      <c r="F13" s="13" t="s">
        <v>74</v>
      </c>
      <c r="G13" s="13" t="s">
        <v>99</v>
      </c>
      <c r="H13" s="13" t="s">
        <v>136</v>
      </c>
      <c r="I13" s="13" t="s">
        <v>76</v>
      </c>
      <c r="J13" s="13" t="s">
        <v>77</v>
      </c>
      <c r="K13" s="13" t="s">
        <v>122</v>
      </c>
      <c r="L13" s="13" t="s">
        <v>79</v>
      </c>
      <c r="M13" s="13" t="s">
        <v>80</v>
      </c>
      <c r="N13" s="13" t="s">
        <v>79</v>
      </c>
      <c r="O13" s="13" t="s">
        <v>490</v>
      </c>
      <c r="P13" s="13" t="s">
        <v>82</v>
      </c>
      <c r="Q13" s="13" t="s">
        <v>83</v>
      </c>
      <c r="R13" s="13" t="s">
        <v>82</v>
      </c>
      <c r="S13" s="13" t="s">
        <v>82</v>
      </c>
      <c r="T13" s="13" t="s">
        <v>106</v>
      </c>
      <c r="U13" s="13" t="s">
        <v>141</v>
      </c>
      <c r="V13" s="13" t="s">
        <v>112</v>
      </c>
      <c r="W13" t="s">
        <v>485</v>
      </c>
      <c r="X13" s="12">
        <v>2.8181818181818183</v>
      </c>
      <c r="Y13" s="12">
        <v>3</v>
      </c>
      <c r="Z13" s="12">
        <v>1</v>
      </c>
      <c r="AA13" s="12">
        <v>2.5555555555555554</v>
      </c>
      <c r="AB13" s="12">
        <v>3</v>
      </c>
      <c r="AC13" s="12">
        <v>3</v>
      </c>
      <c r="AD13" s="12">
        <v>2.5622895622895623</v>
      </c>
    </row>
    <row r="14" spans="1:30" x14ac:dyDescent="0.3">
      <c r="A14" s="13">
        <v>20</v>
      </c>
      <c r="B14" s="13" t="s">
        <v>70</v>
      </c>
      <c r="C14" s="13" t="s">
        <v>157</v>
      </c>
      <c r="D14" s="13" t="s">
        <v>97</v>
      </c>
      <c r="E14" s="13" t="s">
        <v>108</v>
      </c>
      <c r="F14" s="13" t="s">
        <v>74</v>
      </c>
      <c r="G14" s="13" t="s">
        <v>439</v>
      </c>
      <c r="H14" s="13" t="s">
        <v>74</v>
      </c>
      <c r="I14" s="13" t="s">
        <v>76</v>
      </c>
      <c r="J14" s="13" t="s">
        <v>77</v>
      </c>
      <c r="K14" s="13" t="s">
        <v>131</v>
      </c>
      <c r="L14" s="13" t="s">
        <v>79</v>
      </c>
      <c r="M14" s="13" t="s">
        <v>102</v>
      </c>
      <c r="N14" s="13" t="s">
        <v>79</v>
      </c>
      <c r="O14" s="13" t="s">
        <v>488</v>
      </c>
      <c r="P14" s="13" t="s">
        <v>79</v>
      </c>
      <c r="Q14" s="13" t="s">
        <v>83</v>
      </c>
      <c r="R14" s="13" t="s">
        <v>79</v>
      </c>
      <c r="S14" s="13" t="s">
        <v>82</v>
      </c>
      <c r="T14" s="13" t="s">
        <v>86</v>
      </c>
      <c r="U14" s="13" t="s">
        <v>87</v>
      </c>
      <c r="V14" s="13" t="s">
        <v>112</v>
      </c>
      <c r="W14" t="s">
        <v>485</v>
      </c>
      <c r="X14" s="12">
        <v>2.4545454545454546</v>
      </c>
      <c r="Y14" s="12">
        <v>2</v>
      </c>
      <c r="Z14" s="12">
        <v>2</v>
      </c>
      <c r="AA14" s="12">
        <v>2.4444444444444446</v>
      </c>
      <c r="AB14" s="12">
        <v>3</v>
      </c>
      <c r="AC14" s="12">
        <v>3</v>
      </c>
      <c r="AD14" s="12">
        <v>2.4831649831649831</v>
      </c>
    </row>
    <row r="15" spans="1:30" x14ac:dyDescent="0.3">
      <c r="A15" s="13">
        <v>19</v>
      </c>
      <c r="B15" s="13" t="s">
        <v>70</v>
      </c>
      <c r="C15" s="13" t="s">
        <v>157</v>
      </c>
      <c r="D15" s="13" t="s">
        <v>72</v>
      </c>
      <c r="E15" s="13" t="s">
        <v>114</v>
      </c>
      <c r="F15" s="13" t="s">
        <v>98</v>
      </c>
      <c r="G15" s="13" t="s">
        <v>439</v>
      </c>
      <c r="H15" s="13" t="s">
        <v>98</v>
      </c>
      <c r="I15" s="13" t="s">
        <v>76</v>
      </c>
      <c r="J15" s="13" t="s">
        <v>77</v>
      </c>
      <c r="K15" s="13" t="s">
        <v>122</v>
      </c>
      <c r="L15" s="13" t="s">
        <v>79</v>
      </c>
      <c r="M15" s="13" t="s">
        <v>80</v>
      </c>
      <c r="N15" s="13" t="s">
        <v>82</v>
      </c>
      <c r="O15" s="13" t="s">
        <v>489</v>
      </c>
      <c r="P15" s="13" t="s">
        <v>79</v>
      </c>
      <c r="Q15" s="13" t="s">
        <v>83</v>
      </c>
      <c r="R15" s="13" t="s">
        <v>82</v>
      </c>
      <c r="S15" s="13" t="s">
        <v>82</v>
      </c>
      <c r="T15" s="13" t="s">
        <v>86</v>
      </c>
      <c r="U15" s="13" t="s">
        <v>120</v>
      </c>
      <c r="V15" s="13" t="s">
        <v>160</v>
      </c>
      <c r="W15" t="s">
        <v>486</v>
      </c>
      <c r="X15" s="12">
        <v>2.2727272727272729</v>
      </c>
      <c r="Y15" s="12">
        <v>2</v>
      </c>
      <c r="Z15" s="12">
        <v>2</v>
      </c>
      <c r="AA15" s="12">
        <v>2.4444444444444446</v>
      </c>
      <c r="AB15" s="12">
        <v>3</v>
      </c>
      <c r="AC15" s="12">
        <v>3</v>
      </c>
      <c r="AD15" s="12">
        <v>2.4528619528619529</v>
      </c>
    </row>
    <row r="16" spans="1:30" x14ac:dyDescent="0.3">
      <c r="A16" s="13">
        <v>22</v>
      </c>
      <c r="B16" s="13" t="s">
        <v>70</v>
      </c>
      <c r="C16" s="13" t="s">
        <v>96</v>
      </c>
      <c r="D16" s="13" t="s">
        <v>149</v>
      </c>
      <c r="E16" s="13" t="s">
        <v>73</v>
      </c>
      <c r="F16" s="13" t="s">
        <v>100</v>
      </c>
      <c r="G16" s="13" t="s">
        <v>166</v>
      </c>
      <c r="H16" s="13" t="s">
        <v>98</v>
      </c>
      <c r="I16" s="13" t="s">
        <v>76</v>
      </c>
      <c r="J16" s="13" t="s">
        <v>101</v>
      </c>
      <c r="K16" s="13" t="s">
        <v>125</v>
      </c>
      <c r="L16" s="13" t="s">
        <v>82</v>
      </c>
      <c r="M16" s="13" t="s">
        <v>102</v>
      </c>
      <c r="N16" s="13" t="s">
        <v>79</v>
      </c>
      <c r="O16" s="13" t="s">
        <v>490</v>
      </c>
      <c r="P16" s="13" t="s">
        <v>79</v>
      </c>
      <c r="Q16" s="13" t="s">
        <v>83</v>
      </c>
      <c r="R16" s="13" t="s">
        <v>79</v>
      </c>
      <c r="S16" s="13" t="s">
        <v>82</v>
      </c>
      <c r="T16" s="13" t="s">
        <v>106</v>
      </c>
      <c r="U16" s="13" t="s">
        <v>141</v>
      </c>
      <c r="V16" s="13" t="s">
        <v>112</v>
      </c>
      <c r="W16" t="s">
        <v>486</v>
      </c>
      <c r="X16" s="12">
        <v>2.4545454545454546</v>
      </c>
      <c r="Y16" s="12">
        <v>2</v>
      </c>
      <c r="Z16" s="12">
        <v>2</v>
      </c>
      <c r="AA16" s="12">
        <v>2.3333333333333335</v>
      </c>
      <c r="AB16" s="12">
        <v>3</v>
      </c>
      <c r="AC16" s="12">
        <v>3</v>
      </c>
      <c r="AD16" s="12">
        <v>2.464646464646465</v>
      </c>
    </row>
    <row r="17" spans="1:30" x14ac:dyDescent="0.3">
      <c r="A17" s="13">
        <v>22</v>
      </c>
      <c r="B17" s="13" t="s">
        <v>70</v>
      </c>
      <c r="C17" s="13" t="s">
        <v>96</v>
      </c>
      <c r="D17" s="13" t="s">
        <v>72</v>
      </c>
      <c r="E17" s="13" t="s">
        <v>114</v>
      </c>
      <c r="F17" s="13" t="s">
        <v>100</v>
      </c>
      <c r="G17" s="13" t="s">
        <v>439</v>
      </c>
      <c r="H17" s="13" t="s">
        <v>98</v>
      </c>
      <c r="I17" s="13" t="s">
        <v>76</v>
      </c>
      <c r="J17" s="13" t="s">
        <v>77</v>
      </c>
      <c r="K17" s="13" t="s">
        <v>125</v>
      </c>
      <c r="L17" s="13" t="s">
        <v>79</v>
      </c>
      <c r="M17" s="13" t="s">
        <v>80</v>
      </c>
      <c r="N17" s="13" t="s">
        <v>79</v>
      </c>
      <c r="O17" s="13" t="s">
        <v>488</v>
      </c>
      <c r="P17" s="13" t="s">
        <v>79</v>
      </c>
      <c r="Q17" s="13" t="s">
        <v>83</v>
      </c>
      <c r="R17" s="13" t="s">
        <v>79</v>
      </c>
      <c r="S17" s="13" t="s">
        <v>79</v>
      </c>
      <c r="T17" s="13" t="s">
        <v>106</v>
      </c>
      <c r="U17" s="13" t="s">
        <v>87</v>
      </c>
      <c r="V17" s="13" t="s">
        <v>112</v>
      </c>
      <c r="W17" t="s">
        <v>486</v>
      </c>
      <c r="X17" s="12">
        <v>2.7272727272727271</v>
      </c>
      <c r="Y17" s="12">
        <v>2.2000000000000002</v>
      </c>
      <c r="Z17" s="12">
        <v>0</v>
      </c>
      <c r="AA17" s="12">
        <v>2.3333333333333335</v>
      </c>
      <c r="AB17" s="12">
        <v>3</v>
      </c>
      <c r="AC17" s="12">
        <v>3</v>
      </c>
      <c r="AD17" s="12">
        <v>2.2101010101010101</v>
      </c>
    </row>
    <row r="18" spans="1:30" x14ac:dyDescent="0.3">
      <c r="A18" s="13">
        <v>21</v>
      </c>
      <c r="B18" s="13" t="s">
        <v>70</v>
      </c>
      <c r="C18" s="13" t="s">
        <v>96</v>
      </c>
      <c r="D18" s="13" t="s">
        <v>72</v>
      </c>
      <c r="E18" s="13" t="s">
        <v>73</v>
      </c>
      <c r="F18" s="13" t="s">
        <v>74</v>
      </c>
      <c r="G18" s="13" t="s">
        <v>439</v>
      </c>
      <c r="H18" s="13" t="s">
        <v>74</v>
      </c>
      <c r="I18" s="13" t="s">
        <v>439</v>
      </c>
      <c r="J18" s="13" t="s">
        <v>77</v>
      </c>
      <c r="K18" s="13" t="s">
        <v>78</v>
      </c>
      <c r="L18" s="13" t="s">
        <v>79</v>
      </c>
      <c r="M18" s="13" t="s">
        <v>80</v>
      </c>
      <c r="N18" s="13" t="s">
        <v>79</v>
      </c>
      <c r="O18" s="13" t="s">
        <v>488</v>
      </c>
      <c r="P18" s="13" t="s">
        <v>79</v>
      </c>
      <c r="Q18" s="13" t="s">
        <v>83</v>
      </c>
      <c r="R18" s="13" t="s">
        <v>79</v>
      </c>
      <c r="S18" s="13" t="s">
        <v>79</v>
      </c>
      <c r="T18" s="13" t="s">
        <v>86</v>
      </c>
      <c r="U18" s="13" t="s">
        <v>120</v>
      </c>
      <c r="V18" s="13" t="s">
        <v>112</v>
      </c>
      <c r="W18" t="s">
        <v>486</v>
      </c>
      <c r="X18" s="12">
        <v>2.7272727272727271</v>
      </c>
      <c r="Y18" s="12">
        <v>2.4</v>
      </c>
      <c r="Z18" s="12">
        <v>3</v>
      </c>
      <c r="AA18" s="12">
        <v>2.2222222222222223</v>
      </c>
      <c r="AB18" s="12">
        <v>3</v>
      </c>
      <c r="AC18" s="12">
        <v>3</v>
      </c>
      <c r="AD18" s="12">
        <v>2.7249158249158252</v>
      </c>
    </row>
    <row r="19" spans="1:30" x14ac:dyDescent="0.3">
      <c r="A19" s="13">
        <v>22</v>
      </c>
      <c r="B19" s="13" t="s">
        <v>70</v>
      </c>
      <c r="C19" s="13" t="s">
        <v>96</v>
      </c>
      <c r="D19" s="13" t="s">
        <v>72</v>
      </c>
      <c r="E19" s="13" t="s">
        <v>73</v>
      </c>
      <c r="F19" s="13" t="s">
        <v>74</v>
      </c>
      <c r="G19" s="13" t="s">
        <v>440</v>
      </c>
      <c r="H19" s="13" t="s">
        <v>74</v>
      </c>
      <c r="I19" s="13" t="s">
        <v>99</v>
      </c>
      <c r="J19" s="13" t="s">
        <v>77</v>
      </c>
      <c r="K19" s="13" t="s">
        <v>78</v>
      </c>
      <c r="L19" s="13" t="s">
        <v>79</v>
      </c>
      <c r="M19" s="13" t="s">
        <v>80</v>
      </c>
      <c r="N19" s="13" t="s">
        <v>79</v>
      </c>
      <c r="O19" s="13" t="s">
        <v>488</v>
      </c>
      <c r="P19" s="13" t="s">
        <v>82</v>
      </c>
      <c r="Q19" s="13" t="s">
        <v>83</v>
      </c>
      <c r="R19" s="13" t="s">
        <v>79</v>
      </c>
      <c r="S19" s="13" t="s">
        <v>82</v>
      </c>
      <c r="T19" s="13" t="s">
        <v>106</v>
      </c>
      <c r="U19" s="13" t="s">
        <v>87</v>
      </c>
      <c r="V19" s="13" t="s">
        <v>112</v>
      </c>
      <c r="W19" t="s">
        <v>485</v>
      </c>
      <c r="X19" s="12">
        <v>2.3636363636363638</v>
      </c>
      <c r="Y19" s="12">
        <v>2.6</v>
      </c>
      <c r="Z19" s="12">
        <v>2</v>
      </c>
      <c r="AA19" s="12">
        <v>2.2222222222222223</v>
      </c>
      <c r="AB19" s="12">
        <v>3</v>
      </c>
      <c r="AC19" s="12">
        <v>3</v>
      </c>
      <c r="AD19" s="12">
        <v>2.5309764309764309</v>
      </c>
    </row>
    <row r="20" spans="1:30" x14ac:dyDescent="0.3">
      <c r="A20" s="13">
        <v>25</v>
      </c>
      <c r="B20" s="13" t="s">
        <v>70</v>
      </c>
      <c r="C20" s="13" t="s">
        <v>153</v>
      </c>
      <c r="D20" s="13" t="s">
        <v>149</v>
      </c>
      <c r="E20" s="13" t="s">
        <v>73</v>
      </c>
      <c r="F20" s="13" t="s">
        <v>74</v>
      </c>
      <c r="G20" s="13" t="s">
        <v>439</v>
      </c>
      <c r="H20" s="13" t="s">
        <v>74</v>
      </c>
      <c r="I20" s="13" t="s">
        <v>439</v>
      </c>
      <c r="J20" s="13" t="s">
        <v>77</v>
      </c>
      <c r="K20" s="13" t="s">
        <v>131</v>
      </c>
      <c r="L20" s="13" t="s">
        <v>79</v>
      </c>
      <c r="M20" s="13" t="s">
        <v>132</v>
      </c>
      <c r="N20" s="13" t="s">
        <v>79</v>
      </c>
      <c r="O20" s="13" t="s">
        <v>488</v>
      </c>
      <c r="P20" s="13" t="s">
        <v>79</v>
      </c>
      <c r="Q20" s="13" t="s">
        <v>83</v>
      </c>
      <c r="R20" s="13" t="s">
        <v>79</v>
      </c>
      <c r="S20" s="13" t="s">
        <v>79</v>
      </c>
      <c r="T20" s="13" t="s">
        <v>86</v>
      </c>
      <c r="U20" s="13" t="s">
        <v>120</v>
      </c>
      <c r="V20" s="13" t="s">
        <v>112</v>
      </c>
      <c r="W20" t="s">
        <v>485</v>
      </c>
      <c r="X20" s="12">
        <v>2.1818181818181817</v>
      </c>
      <c r="Y20" s="12">
        <v>1.6</v>
      </c>
      <c r="Z20" s="12">
        <v>2.3333333333333335</v>
      </c>
      <c r="AA20" s="12">
        <v>2.1111111111111112</v>
      </c>
      <c r="AB20" s="12">
        <v>3</v>
      </c>
      <c r="AC20" s="12">
        <v>3</v>
      </c>
      <c r="AD20" s="12">
        <v>2.3710437710437708</v>
      </c>
    </row>
    <row r="21" spans="1:30" x14ac:dyDescent="0.3">
      <c r="A21" s="13">
        <v>20</v>
      </c>
      <c r="B21" s="13" t="s">
        <v>70</v>
      </c>
      <c r="C21" s="13" t="s">
        <v>157</v>
      </c>
      <c r="D21" s="13" t="s">
        <v>97</v>
      </c>
      <c r="E21" s="13" t="s">
        <v>73</v>
      </c>
      <c r="F21" s="13" t="s">
        <v>74</v>
      </c>
      <c r="G21" s="13" t="s">
        <v>166</v>
      </c>
      <c r="H21" s="13" t="s">
        <v>98</v>
      </c>
      <c r="I21" s="13" t="s">
        <v>76</v>
      </c>
      <c r="J21" s="13" t="s">
        <v>77</v>
      </c>
      <c r="K21" s="13" t="s">
        <v>125</v>
      </c>
      <c r="L21" s="13" t="s">
        <v>79</v>
      </c>
      <c r="M21" s="13" t="s">
        <v>102</v>
      </c>
      <c r="N21" s="13" t="s">
        <v>79</v>
      </c>
      <c r="O21" s="13" t="s">
        <v>488</v>
      </c>
      <c r="P21" s="13" t="s">
        <v>82</v>
      </c>
      <c r="Q21" s="13" t="s">
        <v>83</v>
      </c>
      <c r="R21" s="13" t="s">
        <v>79</v>
      </c>
      <c r="S21" s="13" t="s">
        <v>82</v>
      </c>
      <c r="T21" s="13" t="s">
        <v>86</v>
      </c>
      <c r="U21" s="13" t="s">
        <v>141</v>
      </c>
      <c r="V21" s="13" t="s">
        <v>112</v>
      </c>
      <c r="W21" t="s">
        <v>486</v>
      </c>
      <c r="X21" s="12">
        <v>2.4545454545454546</v>
      </c>
      <c r="Y21" s="12">
        <v>1.4</v>
      </c>
      <c r="Z21" s="12">
        <v>2</v>
      </c>
      <c r="AA21" s="12">
        <v>2.1111111111111112</v>
      </c>
      <c r="AB21" s="12">
        <v>3</v>
      </c>
      <c r="AC21" s="12">
        <v>3</v>
      </c>
      <c r="AD21" s="12">
        <v>2.3276094276094277</v>
      </c>
    </row>
    <row r="22" spans="1:30" x14ac:dyDescent="0.3">
      <c r="A22" s="13">
        <v>19</v>
      </c>
      <c r="B22" s="13" t="s">
        <v>70</v>
      </c>
      <c r="C22" s="13" t="s">
        <v>157</v>
      </c>
      <c r="D22" s="13" t="s">
        <v>72</v>
      </c>
      <c r="E22" s="13" t="s">
        <v>114</v>
      </c>
      <c r="F22" s="13" t="s">
        <v>98</v>
      </c>
      <c r="G22" s="13" t="s">
        <v>439</v>
      </c>
      <c r="H22" s="13" t="s">
        <v>98</v>
      </c>
      <c r="I22" s="13" t="s">
        <v>76</v>
      </c>
      <c r="J22" s="13" t="s">
        <v>77</v>
      </c>
      <c r="K22" s="13" t="s">
        <v>122</v>
      </c>
      <c r="L22" s="13" t="s">
        <v>79</v>
      </c>
      <c r="M22" s="13" t="s">
        <v>80</v>
      </c>
      <c r="N22" s="13" t="s">
        <v>82</v>
      </c>
      <c r="O22" s="13" t="s">
        <v>489</v>
      </c>
      <c r="P22" s="13" t="s">
        <v>79</v>
      </c>
      <c r="Q22" s="13" t="s">
        <v>83</v>
      </c>
      <c r="R22" s="13" t="s">
        <v>79</v>
      </c>
      <c r="S22" s="13" t="s">
        <v>82</v>
      </c>
      <c r="T22" s="13" t="s">
        <v>86</v>
      </c>
      <c r="U22" s="13" t="s">
        <v>120</v>
      </c>
      <c r="V22" s="13" t="s">
        <v>160</v>
      </c>
      <c r="W22" t="s">
        <v>486</v>
      </c>
      <c r="X22" s="12">
        <v>2.2727272727272729</v>
      </c>
      <c r="Y22" s="12">
        <v>1.4</v>
      </c>
      <c r="Z22" s="12">
        <v>2</v>
      </c>
      <c r="AA22" s="12">
        <v>2.1111111111111112</v>
      </c>
      <c r="AB22" s="12">
        <v>3</v>
      </c>
      <c r="AC22" s="12">
        <v>3</v>
      </c>
      <c r="AD22" s="12">
        <v>2.2973063973063974</v>
      </c>
    </row>
    <row r="23" spans="1:30" x14ac:dyDescent="0.3">
      <c r="A23" s="13">
        <v>23</v>
      </c>
      <c r="B23" s="13" t="s">
        <v>70</v>
      </c>
      <c r="C23" s="13" t="s">
        <v>113</v>
      </c>
      <c r="D23" s="13" t="s">
        <v>97</v>
      </c>
      <c r="E23" s="13" t="s">
        <v>108</v>
      </c>
      <c r="F23" s="13" t="s">
        <v>98</v>
      </c>
      <c r="G23" s="13" t="s">
        <v>440</v>
      </c>
      <c r="H23" s="13" t="s">
        <v>98</v>
      </c>
      <c r="I23" s="13" t="s">
        <v>76</v>
      </c>
      <c r="J23" s="13" t="s">
        <v>77</v>
      </c>
      <c r="K23" s="13" t="s">
        <v>78</v>
      </c>
      <c r="L23" s="13" t="s">
        <v>82</v>
      </c>
      <c r="M23" s="13" t="s">
        <v>80</v>
      </c>
      <c r="N23" s="13" t="s">
        <v>79</v>
      </c>
      <c r="O23" s="13" t="s">
        <v>490</v>
      </c>
      <c r="P23" s="13" t="s">
        <v>79</v>
      </c>
      <c r="Q23" s="13" t="s">
        <v>83</v>
      </c>
      <c r="R23" s="13" t="s">
        <v>79</v>
      </c>
      <c r="S23" s="13" t="s">
        <v>79</v>
      </c>
      <c r="T23" s="13" t="s">
        <v>106</v>
      </c>
      <c r="U23" s="13" t="s">
        <v>141</v>
      </c>
      <c r="V23" s="13" t="s">
        <v>112</v>
      </c>
      <c r="W23" t="s">
        <v>486</v>
      </c>
      <c r="X23" s="12">
        <v>2.3636363636363638</v>
      </c>
      <c r="Y23" s="12">
        <v>2.6</v>
      </c>
      <c r="Z23" s="12">
        <v>1</v>
      </c>
      <c r="AA23" s="12">
        <v>2.1111111111111112</v>
      </c>
      <c r="AB23" s="12">
        <v>3</v>
      </c>
      <c r="AC23" s="12">
        <v>3</v>
      </c>
      <c r="AD23" s="12">
        <v>2.3457912457912458</v>
      </c>
    </row>
    <row r="24" spans="1:30" x14ac:dyDescent="0.3">
      <c r="A24" s="13">
        <v>21</v>
      </c>
      <c r="B24" s="13" t="s">
        <v>70</v>
      </c>
      <c r="C24" s="13" t="s">
        <v>157</v>
      </c>
      <c r="D24" s="13" t="s">
        <v>97</v>
      </c>
      <c r="E24" s="13" t="s">
        <v>108</v>
      </c>
      <c r="F24" s="13" t="s">
        <v>74</v>
      </c>
      <c r="G24" s="13" t="s">
        <v>439</v>
      </c>
      <c r="H24" s="13" t="s">
        <v>74</v>
      </c>
      <c r="I24" s="13" t="s">
        <v>76</v>
      </c>
      <c r="J24" s="13" t="s">
        <v>77</v>
      </c>
      <c r="K24" s="13" t="s">
        <v>131</v>
      </c>
      <c r="L24" s="13" t="s">
        <v>79</v>
      </c>
      <c r="M24" s="13" t="s">
        <v>80</v>
      </c>
      <c r="N24" s="13" t="s">
        <v>82</v>
      </c>
      <c r="O24" s="13" t="s">
        <v>490</v>
      </c>
      <c r="P24" s="13" t="s">
        <v>79</v>
      </c>
      <c r="Q24" s="13" t="s">
        <v>83</v>
      </c>
      <c r="R24" s="13" t="s">
        <v>79</v>
      </c>
      <c r="S24" s="13" t="s">
        <v>79</v>
      </c>
      <c r="T24" s="13" t="s">
        <v>106</v>
      </c>
      <c r="U24" s="13" t="s">
        <v>87</v>
      </c>
      <c r="V24" s="13" t="s">
        <v>112</v>
      </c>
      <c r="W24" t="s">
        <v>485</v>
      </c>
      <c r="X24" s="12">
        <v>2.9090909090909092</v>
      </c>
      <c r="Y24" s="12">
        <v>1.2</v>
      </c>
      <c r="Z24" s="12">
        <v>3</v>
      </c>
      <c r="AA24" s="12">
        <v>2</v>
      </c>
      <c r="AB24" s="12">
        <v>3</v>
      </c>
      <c r="AC24" s="12">
        <v>3</v>
      </c>
      <c r="AD24" s="12">
        <v>2.5181818181818181</v>
      </c>
    </row>
    <row r="25" spans="1:30" x14ac:dyDescent="0.3">
      <c r="A25" s="13">
        <v>21</v>
      </c>
      <c r="B25" s="13" t="s">
        <v>70</v>
      </c>
      <c r="C25" s="13" t="s">
        <v>96</v>
      </c>
      <c r="D25" s="13" t="s">
        <v>149</v>
      </c>
      <c r="E25" s="13" t="s">
        <v>114</v>
      </c>
      <c r="F25" s="13" t="s">
        <v>74</v>
      </c>
      <c r="G25" s="13" t="s">
        <v>439</v>
      </c>
      <c r="H25" s="13" t="s">
        <v>98</v>
      </c>
      <c r="I25" s="13" t="s">
        <v>76</v>
      </c>
      <c r="J25" s="13" t="s">
        <v>77</v>
      </c>
      <c r="K25" s="13" t="s">
        <v>122</v>
      </c>
      <c r="L25" s="13" t="s">
        <v>82</v>
      </c>
      <c r="M25" s="13" t="s">
        <v>80</v>
      </c>
      <c r="N25" s="13" t="s">
        <v>82</v>
      </c>
      <c r="O25" s="13" t="s">
        <v>489</v>
      </c>
      <c r="P25" s="13" t="s">
        <v>79</v>
      </c>
      <c r="Q25" s="13" t="s">
        <v>83</v>
      </c>
      <c r="R25" s="13" t="s">
        <v>79</v>
      </c>
      <c r="S25" s="13" t="s">
        <v>82</v>
      </c>
      <c r="T25" s="13" t="s">
        <v>148</v>
      </c>
      <c r="U25" s="13" t="s">
        <v>141</v>
      </c>
      <c r="V25" s="13" t="s">
        <v>112</v>
      </c>
      <c r="W25" t="s">
        <v>486</v>
      </c>
      <c r="X25" s="12">
        <v>2.3636363636363638</v>
      </c>
      <c r="Y25" s="12">
        <v>3</v>
      </c>
      <c r="Z25" s="12">
        <v>1.6666666666666667</v>
      </c>
      <c r="AA25" s="12">
        <v>2</v>
      </c>
      <c r="AB25" s="12">
        <v>3</v>
      </c>
      <c r="AC25" s="12">
        <v>3</v>
      </c>
      <c r="AD25" s="12">
        <v>2.5050505050505052</v>
      </c>
    </row>
    <row r="26" spans="1:30" x14ac:dyDescent="0.3">
      <c r="A26" s="13">
        <v>21</v>
      </c>
      <c r="B26" s="13" t="s">
        <v>128</v>
      </c>
      <c r="C26" s="13" t="s">
        <v>96</v>
      </c>
      <c r="D26" s="13" t="s">
        <v>72</v>
      </c>
      <c r="E26" s="13" t="s">
        <v>108</v>
      </c>
      <c r="F26" s="13" t="s">
        <v>74</v>
      </c>
      <c r="G26" s="13" t="s">
        <v>438</v>
      </c>
      <c r="H26" s="13" t="s">
        <v>74</v>
      </c>
      <c r="I26" s="13" t="s">
        <v>76</v>
      </c>
      <c r="J26" s="13" t="s">
        <v>77</v>
      </c>
      <c r="K26" s="13" t="s">
        <v>122</v>
      </c>
      <c r="L26" s="13" t="s">
        <v>79</v>
      </c>
      <c r="M26" s="13" t="s">
        <v>132</v>
      </c>
      <c r="N26" s="13" t="s">
        <v>79</v>
      </c>
      <c r="O26" s="13" t="s">
        <v>488</v>
      </c>
      <c r="P26" s="13" t="s">
        <v>79</v>
      </c>
      <c r="Q26" s="13" t="s">
        <v>83</v>
      </c>
      <c r="R26" s="13" t="s">
        <v>82</v>
      </c>
      <c r="S26" s="13" t="s">
        <v>79</v>
      </c>
      <c r="T26" s="13" t="s">
        <v>106</v>
      </c>
      <c r="U26" s="13" t="s">
        <v>87</v>
      </c>
      <c r="V26" s="13" t="s">
        <v>112</v>
      </c>
      <c r="W26" t="s">
        <v>486</v>
      </c>
      <c r="X26" s="12">
        <v>1.8181818181818181</v>
      </c>
      <c r="Y26" s="12">
        <v>1.8</v>
      </c>
      <c r="Z26" s="12">
        <v>1.3333333333333333</v>
      </c>
      <c r="AA26" s="12">
        <v>1.8888888888888888</v>
      </c>
      <c r="AB26" s="12">
        <v>3</v>
      </c>
      <c r="AC26" s="12">
        <v>3</v>
      </c>
      <c r="AD26" s="12">
        <v>2.1400673400673402</v>
      </c>
    </row>
    <row r="27" spans="1:30" x14ac:dyDescent="0.3">
      <c r="A27" s="13">
        <v>21</v>
      </c>
      <c r="B27" s="13" t="s">
        <v>70</v>
      </c>
      <c r="C27" s="13" t="s">
        <v>96</v>
      </c>
      <c r="D27" s="13" t="s">
        <v>72</v>
      </c>
      <c r="E27" s="13" t="s">
        <v>73</v>
      </c>
      <c r="F27" s="13" t="s">
        <v>74</v>
      </c>
      <c r="G27" s="13" t="s">
        <v>440</v>
      </c>
      <c r="H27" s="13" t="s">
        <v>74</v>
      </c>
      <c r="I27" s="13" t="s">
        <v>99</v>
      </c>
      <c r="J27" s="13" t="s">
        <v>77</v>
      </c>
      <c r="K27" s="13" t="s">
        <v>78</v>
      </c>
      <c r="L27" s="13" t="s">
        <v>79</v>
      </c>
      <c r="M27" s="13" t="s">
        <v>80</v>
      </c>
      <c r="N27" s="13" t="s">
        <v>79</v>
      </c>
      <c r="O27" s="13" t="s">
        <v>488</v>
      </c>
      <c r="P27" s="13" t="s">
        <v>79</v>
      </c>
      <c r="Q27" s="13" t="s">
        <v>83</v>
      </c>
      <c r="R27" s="13" t="s">
        <v>79</v>
      </c>
      <c r="S27" s="13" t="s">
        <v>79</v>
      </c>
      <c r="T27" s="13" t="s">
        <v>106</v>
      </c>
      <c r="U27" s="13" t="s">
        <v>87</v>
      </c>
      <c r="V27" s="13" t="s">
        <v>112</v>
      </c>
      <c r="W27" t="s">
        <v>486</v>
      </c>
      <c r="X27" s="12">
        <v>2.3636363636363638</v>
      </c>
      <c r="Y27" s="12">
        <v>2.6</v>
      </c>
      <c r="Z27" s="12">
        <v>3</v>
      </c>
      <c r="AA27" s="12">
        <v>1.7777777777777777</v>
      </c>
      <c r="AB27" s="12">
        <v>3</v>
      </c>
      <c r="AC27" s="12">
        <v>3</v>
      </c>
      <c r="AD27" s="12">
        <v>2.6235690235690234</v>
      </c>
    </row>
    <row r="28" spans="1:30" x14ac:dyDescent="0.3">
      <c r="A28" s="13">
        <v>20</v>
      </c>
      <c r="B28" s="13" t="s">
        <v>70</v>
      </c>
      <c r="C28" s="13" t="s">
        <v>157</v>
      </c>
      <c r="D28" s="13" t="s">
        <v>97</v>
      </c>
      <c r="E28" s="13" t="s">
        <v>73</v>
      </c>
      <c r="F28" s="13" t="s">
        <v>74</v>
      </c>
      <c r="G28" s="13" t="s">
        <v>439</v>
      </c>
      <c r="H28" s="13" t="s">
        <v>98</v>
      </c>
      <c r="I28" s="13" t="s">
        <v>76</v>
      </c>
      <c r="J28" s="13" t="s">
        <v>101</v>
      </c>
      <c r="K28" s="13" t="s">
        <v>131</v>
      </c>
      <c r="L28" s="13" t="s">
        <v>79</v>
      </c>
      <c r="M28" s="13" t="s">
        <v>132</v>
      </c>
      <c r="N28" s="13" t="s">
        <v>79</v>
      </c>
      <c r="O28" s="13" t="s">
        <v>489</v>
      </c>
      <c r="P28" s="13" t="s">
        <v>79</v>
      </c>
      <c r="Q28" s="13" t="s">
        <v>83</v>
      </c>
      <c r="R28" s="13" t="s">
        <v>79</v>
      </c>
      <c r="S28" s="13" t="s">
        <v>79</v>
      </c>
      <c r="T28" s="13" t="s">
        <v>106</v>
      </c>
      <c r="U28" s="13" t="s">
        <v>120</v>
      </c>
      <c r="V28" s="13" t="s">
        <v>127</v>
      </c>
      <c r="W28" t="s">
        <v>486</v>
      </c>
      <c r="X28" s="12">
        <v>1.7272727272727273</v>
      </c>
      <c r="Y28" s="12">
        <v>1.2</v>
      </c>
      <c r="Z28" s="12">
        <v>1.6666666666666667</v>
      </c>
      <c r="AA28" s="12">
        <v>1.5555555555555556</v>
      </c>
      <c r="AB28" s="12">
        <v>3</v>
      </c>
      <c r="AC28" s="12">
        <v>3</v>
      </c>
      <c r="AD28" s="12">
        <v>2.024915824915825</v>
      </c>
    </row>
    <row r="29" spans="1:30" x14ac:dyDescent="0.3">
      <c r="A29" s="13">
        <v>23</v>
      </c>
      <c r="B29" s="13" t="s">
        <v>128</v>
      </c>
      <c r="C29" s="13" t="s">
        <v>71</v>
      </c>
      <c r="D29" s="13" t="s">
        <v>72</v>
      </c>
      <c r="E29" s="13" t="s">
        <v>108</v>
      </c>
      <c r="F29" s="13" t="s">
        <v>98</v>
      </c>
      <c r="G29" s="13" t="s">
        <v>440</v>
      </c>
      <c r="H29" s="13" t="s">
        <v>98</v>
      </c>
      <c r="I29" s="13" t="s">
        <v>76</v>
      </c>
      <c r="J29" s="13" t="s">
        <v>77</v>
      </c>
      <c r="K29" s="13" t="s">
        <v>122</v>
      </c>
      <c r="L29" s="13" t="s">
        <v>79</v>
      </c>
      <c r="M29" s="13" t="s">
        <v>80</v>
      </c>
      <c r="N29" s="13" t="s">
        <v>79</v>
      </c>
      <c r="O29" s="13" t="s">
        <v>490</v>
      </c>
      <c r="P29" s="13" t="s">
        <v>82</v>
      </c>
      <c r="Q29" s="13" t="s">
        <v>83</v>
      </c>
      <c r="R29" s="13" t="s">
        <v>82</v>
      </c>
      <c r="S29" s="13" t="s">
        <v>82</v>
      </c>
      <c r="T29" s="13" t="s">
        <v>106</v>
      </c>
      <c r="U29" s="13" t="s">
        <v>87</v>
      </c>
      <c r="V29" s="13" t="s">
        <v>121</v>
      </c>
      <c r="W29" t="s">
        <v>486</v>
      </c>
      <c r="X29" s="12">
        <v>1.5454545454545454</v>
      </c>
      <c r="Y29" s="12">
        <v>0.4</v>
      </c>
      <c r="Z29" s="12">
        <v>1</v>
      </c>
      <c r="AA29" s="12">
        <v>1.5555555555555556</v>
      </c>
      <c r="AB29" s="12">
        <v>3</v>
      </c>
      <c r="AC29" s="12">
        <v>3</v>
      </c>
      <c r="AD29" s="12">
        <v>1.75016835016835</v>
      </c>
    </row>
    <row r="30" spans="1:30" x14ac:dyDescent="0.3">
      <c r="A30" s="13">
        <v>21</v>
      </c>
      <c r="B30" s="13" t="s">
        <v>70</v>
      </c>
      <c r="C30" s="13" t="s">
        <v>157</v>
      </c>
      <c r="D30" s="13" t="s">
        <v>97</v>
      </c>
      <c r="E30" s="13" t="s">
        <v>108</v>
      </c>
      <c r="F30" s="13" t="s">
        <v>74</v>
      </c>
      <c r="G30" s="13" t="s">
        <v>439</v>
      </c>
      <c r="H30" s="13" t="s">
        <v>74</v>
      </c>
      <c r="I30" s="13" t="s">
        <v>76</v>
      </c>
      <c r="J30" s="13" t="s">
        <v>77</v>
      </c>
      <c r="K30" s="13" t="s">
        <v>131</v>
      </c>
      <c r="L30" s="13" t="s">
        <v>79</v>
      </c>
      <c r="M30" s="13" t="s">
        <v>80</v>
      </c>
      <c r="N30" s="13" t="s">
        <v>79</v>
      </c>
      <c r="O30" s="13" t="s">
        <v>489</v>
      </c>
      <c r="P30" s="13" t="s">
        <v>79</v>
      </c>
      <c r="Q30" s="13" t="s">
        <v>83</v>
      </c>
      <c r="R30" s="13" t="s">
        <v>82</v>
      </c>
      <c r="S30" s="13" t="s">
        <v>82</v>
      </c>
      <c r="T30" s="13" t="s">
        <v>106</v>
      </c>
      <c r="U30" s="13" t="s">
        <v>87</v>
      </c>
      <c r="V30" s="13" t="s">
        <v>112</v>
      </c>
      <c r="W30" t="s">
        <v>486</v>
      </c>
      <c r="X30" s="12">
        <v>2.8181818181818183</v>
      </c>
      <c r="Y30" s="12">
        <v>2.2000000000000002</v>
      </c>
      <c r="Z30" s="12">
        <v>2.3333333333333335</v>
      </c>
      <c r="AA30" s="12">
        <v>1.4444444444444444</v>
      </c>
      <c r="AB30" s="12">
        <v>3</v>
      </c>
      <c r="AC30" s="12">
        <v>3</v>
      </c>
      <c r="AD30" s="12">
        <v>2.4659932659932662</v>
      </c>
    </row>
    <row r="31" spans="1:30" x14ac:dyDescent="0.3">
      <c r="A31" s="13">
        <v>20</v>
      </c>
      <c r="B31" s="13" t="s">
        <v>70</v>
      </c>
      <c r="C31" s="13" t="s">
        <v>157</v>
      </c>
      <c r="D31" s="13" t="s">
        <v>149</v>
      </c>
      <c r="E31" s="13" t="s">
        <v>108</v>
      </c>
      <c r="F31" s="13" t="s">
        <v>136</v>
      </c>
      <c r="G31" s="13" t="s">
        <v>99</v>
      </c>
      <c r="H31" s="13" t="s">
        <v>74</v>
      </c>
      <c r="I31" s="13" t="s">
        <v>76</v>
      </c>
      <c r="J31" s="13" t="s">
        <v>77</v>
      </c>
      <c r="K31" s="13" t="s">
        <v>122</v>
      </c>
      <c r="L31" s="13" t="s">
        <v>79</v>
      </c>
      <c r="M31" s="13" t="s">
        <v>102</v>
      </c>
      <c r="N31" s="13" t="s">
        <v>79</v>
      </c>
      <c r="O31" s="13" t="s">
        <v>489</v>
      </c>
      <c r="P31" s="13" t="s">
        <v>79</v>
      </c>
      <c r="Q31" s="13" t="s">
        <v>103</v>
      </c>
      <c r="R31" s="13" t="s">
        <v>79</v>
      </c>
      <c r="S31" s="13" t="s">
        <v>79</v>
      </c>
      <c r="T31" s="13" t="s">
        <v>86</v>
      </c>
      <c r="U31" s="13" t="s">
        <v>141</v>
      </c>
      <c r="V31" s="13" t="s">
        <v>455</v>
      </c>
      <c r="W31" t="s">
        <v>486</v>
      </c>
      <c r="X31" s="12">
        <v>2.2727272727272729</v>
      </c>
      <c r="Y31" s="12">
        <v>1.2</v>
      </c>
      <c r="Z31" s="12">
        <v>2.6666666666666665</v>
      </c>
      <c r="AA31" s="12">
        <v>1</v>
      </c>
      <c r="AB31" s="12">
        <v>3</v>
      </c>
      <c r="AC31" s="12">
        <v>3</v>
      </c>
      <c r="AD31" s="12">
        <v>2.1898989898989898</v>
      </c>
    </row>
    <row r="32" spans="1:30" x14ac:dyDescent="0.3">
      <c r="A32" s="13">
        <v>22</v>
      </c>
      <c r="B32" s="13" t="s">
        <v>70</v>
      </c>
      <c r="C32" s="13" t="s">
        <v>113</v>
      </c>
      <c r="D32" s="13" t="s">
        <v>72</v>
      </c>
      <c r="E32" s="13" t="s">
        <v>73</v>
      </c>
      <c r="F32" s="13" t="s">
        <v>74</v>
      </c>
      <c r="G32" s="13" t="s">
        <v>440</v>
      </c>
      <c r="H32" s="13" t="s">
        <v>74</v>
      </c>
      <c r="I32" s="13" t="s">
        <v>439</v>
      </c>
      <c r="J32" s="13" t="s">
        <v>101</v>
      </c>
      <c r="K32" s="13" t="s">
        <v>122</v>
      </c>
      <c r="L32" s="13" t="s">
        <v>79</v>
      </c>
      <c r="M32" s="13" t="s">
        <v>80</v>
      </c>
      <c r="N32" s="13" t="s">
        <v>82</v>
      </c>
      <c r="O32" s="13" t="s">
        <v>487</v>
      </c>
      <c r="P32" s="13" t="s">
        <v>79</v>
      </c>
      <c r="Q32" s="13" t="s">
        <v>83</v>
      </c>
      <c r="R32" s="13" t="s">
        <v>79</v>
      </c>
      <c r="S32" s="13" t="s">
        <v>82</v>
      </c>
      <c r="T32" s="13" t="s">
        <v>106</v>
      </c>
      <c r="U32" s="13" t="s">
        <v>141</v>
      </c>
      <c r="V32" s="13" t="s">
        <v>112</v>
      </c>
      <c r="W32" t="s">
        <v>486</v>
      </c>
      <c r="X32" s="12">
        <v>2.1818181818181817</v>
      </c>
      <c r="Y32" s="12">
        <v>1.6</v>
      </c>
      <c r="Z32" s="12">
        <v>2</v>
      </c>
      <c r="AA32" s="12">
        <v>0.77777777777777779</v>
      </c>
      <c r="AB32" s="12">
        <v>3</v>
      </c>
      <c r="AC32" s="12">
        <v>3</v>
      </c>
      <c r="AD32" s="12">
        <v>2.0932659932659932</v>
      </c>
    </row>
    <row r="33" spans="1:30" x14ac:dyDescent="0.3">
      <c r="A33" s="13">
        <v>24</v>
      </c>
      <c r="B33" s="13" t="s">
        <v>70</v>
      </c>
      <c r="C33" s="13" t="s">
        <v>113</v>
      </c>
      <c r="D33" s="13" t="s">
        <v>72</v>
      </c>
      <c r="E33" s="13" t="s">
        <v>114</v>
      </c>
      <c r="F33" s="13" t="s">
        <v>136</v>
      </c>
      <c r="G33" s="13" t="s">
        <v>440</v>
      </c>
      <c r="H33" s="13" t="s">
        <v>136</v>
      </c>
      <c r="I33" s="13" t="s">
        <v>76</v>
      </c>
      <c r="J33" s="13" t="s">
        <v>77</v>
      </c>
      <c r="K33" s="13" t="s">
        <v>125</v>
      </c>
      <c r="L33" s="13" t="s">
        <v>79</v>
      </c>
      <c r="M33" s="13" t="s">
        <v>102</v>
      </c>
      <c r="N33" s="13" t="s">
        <v>79</v>
      </c>
      <c r="O33" s="13" t="s">
        <v>490</v>
      </c>
      <c r="P33" s="13" t="s">
        <v>82</v>
      </c>
      <c r="Q33" s="13" t="s">
        <v>83</v>
      </c>
      <c r="R33" s="13" t="s">
        <v>82</v>
      </c>
      <c r="S33" s="13" t="s">
        <v>82</v>
      </c>
      <c r="T33" s="13" t="s">
        <v>106</v>
      </c>
      <c r="U33" s="13" t="s">
        <v>141</v>
      </c>
      <c r="V33" s="13" t="s">
        <v>127</v>
      </c>
      <c r="W33" t="s">
        <v>486</v>
      </c>
      <c r="X33" s="12">
        <v>0.45454545454545453</v>
      </c>
      <c r="Y33" s="12">
        <v>1</v>
      </c>
      <c r="Z33" s="12">
        <v>1</v>
      </c>
      <c r="AA33" s="12">
        <v>0.55555555555555558</v>
      </c>
      <c r="AB33" s="12">
        <v>3</v>
      </c>
      <c r="AC33" s="12">
        <v>3</v>
      </c>
      <c r="AD33" s="12">
        <v>1.5016835016835017</v>
      </c>
    </row>
    <row r="34" spans="1:30" x14ac:dyDescent="0.3">
      <c r="A34" s="13">
        <v>24</v>
      </c>
      <c r="B34" s="13" t="s">
        <v>128</v>
      </c>
      <c r="C34" s="13" t="s">
        <v>113</v>
      </c>
      <c r="D34" s="13" t="s">
        <v>97</v>
      </c>
      <c r="E34" s="13" t="s">
        <v>114</v>
      </c>
      <c r="F34" s="13" t="s">
        <v>74</v>
      </c>
      <c r="G34" s="13" t="s">
        <v>439</v>
      </c>
      <c r="H34" s="13" t="s">
        <v>74</v>
      </c>
      <c r="I34" s="13" t="s">
        <v>76</v>
      </c>
      <c r="J34" s="13" t="s">
        <v>77</v>
      </c>
      <c r="K34" s="13" t="s">
        <v>122</v>
      </c>
      <c r="L34" s="13" t="s">
        <v>79</v>
      </c>
      <c r="M34" s="13" t="s">
        <v>80</v>
      </c>
      <c r="N34" s="13" t="s">
        <v>79</v>
      </c>
      <c r="O34" s="13" t="s">
        <v>490</v>
      </c>
      <c r="P34" s="13" t="s">
        <v>79</v>
      </c>
      <c r="Q34" s="13" t="s">
        <v>83</v>
      </c>
      <c r="R34" s="13" t="s">
        <v>79</v>
      </c>
      <c r="S34" s="13" t="s">
        <v>82</v>
      </c>
      <c r="T34" s="13" t="s">
        <v>86</v>
      </c>
      <c r="U34" s="13" t="s">
        <v>141</v>
      </c>
      <c r="V34" s="13" t="s">
        <v>455</v>
      </c>
      <c r="W34" t="s">
        <v>486</v>
      </c>
      <c r="X34" s="12">
        <v>3</v>
      </c>
      <c r="Y34" s="12">
        <v>1.4</v>
      </c>
      <c r="Z34" s="12">
        <v>1.3333333333333333</v>
      </c>
      <c r="AA34" s="12">
        <v>0.33333333333333331</v>
      </c>
      <c r="AB34" s="12">
        <v>3</v>
      </c>
      <c r="AC34" s="12">
        <v>3</v>
      </c>
      <c r="AD34" s="12">
        <v>2.0111111111111111</v>
      </c>
    </row>
    <row r="35" spans="1:30" x14ac:dyDescent="0.3">
      <c r="A35" s="13">
        <v>22</v>
      </c>
      <c r="B35" s="13" t="s">
        <v>70</v>
      </c>
      <c r="C35" s="13" t="s">
        <v>96</v>
      </c>
      <c r="D35" s="13" t="s">
        <v>149</v>
      </c>
      <c r="E35" s="13" t="s">
        <v>73</v>
      </c>
      <c r="F35" s="13" t="s">
        <v>74</v>
      </c>
      <c r="G35" s="13" t="s">
        <v>439</v>
      </c>
      <c r="H35" s="13" t="s">
        <v>74</v>
      </c>
      <c r="I35" s="13" t="s">
        <v>76</v>
      </c>
      <c r="J35" s="13" t="s">
        <v>101</v>
      </c>
      <c r="K35" s="13" t="s">
        <v>122</v>
      </c>
      <c r="L35" s="13" t="s">
        <v>82</v>
      </c>
      <c r="M35" s="13" t="s">
        <v>80</v>
      </c>
      <c r="N35" s="13" t="s">
        <v>79</v>
      </c>
      <c r="O35" s="13" t="s">
        <v>489</v>
      </c>
      <c r="P35" s="13" t="s">
        <v>82</v>
      </c>
      <c r="Q35" s="13" t="s">
        <v>103</v>
      </c>
      <c r="R35" s="13" t="s">
        <v>79</v>
      </c>
      <c r="S35" s="13" t="s">
        <v>79</v>
      </c>
      <c r="T35" s="13" t="s">
        <v>106</v>
      </c>
      <c r="U35" s="13" t="s">
        <v>141</v>
      </c>
      <c r="V35" s="13" t="s">
        <v>112</v>
      </c>
      <c r="W35" t="s">
        <v>486</v>
      </c>
      <c r="X35" s="12">
        <v>3</v>
      </c>
      <c r="Y35" s="12">
        <v>1.2</v>
      </c>
      <c r="Z35" s="12">
        <v>3</v>
      </c>
      <c r="AA35" s="12">
        <v>2</v>
      </c>
      <c r="AB35" s="12">
        <v>2.8</v>
      </c>
      <c r="AC35" s="12">
        <v>3</v>
      </c>
      <c r="AD35" s="12">
        <v>2.5</v>
      </c>
    </row>
    <row r="36" spans="1:30" x14ac:dyDescent="0.3">
      <c r="A36" s="13">
        <v>21</v>
      </c>
      <c r="B36" s="13" t="s">
        <v>70</v>
      </c>
      <c r="C36" s="13" t="s">
        <v>96</v>
      </c>
      <c r="D36" s="13" t="s">
        <v>97</v>
      </c>
      <c r="E36" s="13" t="s">
        <v>108</v>
      </c>
      <c r="F36" s="13" t="s">
        <v>74</v>
      </c>
      <c r="G36" s="13" t="s">
        <v>99</v>
      </c>
      <c r="H36" s="13" t="s">
        <v>98</v>
      </c>
      <c r="I36" s="13" t="s">
        <v>76</v>
      </c>
      <c r="J36" s="13" t="s">
        <v>101</v>
      </c>
      <c r="K36" s="13" t="s">
        <v>131</v>
      </c>
      <c r="L36" s="13" t="s">
        <v>79</v>
      </c>
      <c r="M36" s="13" t="s">
        <v>80</v>
      </c>
      <c r="N36" s="13" t="s">
        <v>79</v>
      </c>
      <c r="O36" s="13" t="s">
        <v>490</v>
      </c>
      <c r="P36" s="13" t="s">
        <v>82</v>
      </c>
      <c r="Q36" s="13" t="s">
        <v>83</v>
      </c>
      <c r="R36" s="13" t="s">
        <v>82</v>
      </c>
      <c r="S36" s="13" t="s">
        <v>82</v>
      </c>
      <c r="T36" s="13" t="s">
        <v>106</v>
      </c>
      <c r="U36" s="13" t="s">
        <v>87</v>
      </c>
      <c r="V36" s="13" t="s">
        <v>127</v>
      </c>
      <c r="W36" t="s">
        <v>486</v>
      </c>
      <c r="X36" s="12">
        <v>1.9090909090909092</v>
      </c>
      <c r="Y36" s="12">
        <v>1.8</v>
      </c>
      <c r="Z36" s="12">
        <v>1.6666666666666667</v>
      </c>
      <c r="AA36" s="12">
        <v>0.77777777777777779</v>
      </c>
      <c r="AB36" s="12">
        <v>2.8</v>
      </c>
      <c r="AC36" s="12">
        <v>3</v>
      </c>
      <c r="AD36" s="12">
        <v>1.9922558922558924</v>
      </c>
    </row>
    <row r="37" spans="1:30" x14ac:dyDescent="0.3">
      <c r="A37" s="13">
        <v>23</v>
      </c>
      <c r="B37" s="13" t="s">
        <v>70</v>
      </c>
      <c r="C37" s="13" t="s">
        <v>113</v>
      </c>
      <c r="D37" s="13" t="s">
        <v>72</v>
      </c>
      <c r="E37" s="13" t="s">
        <v>108</v>
      </c>
      <c r="F37" s="13" t="s">
        <v>74</v>
      </c>
      <c r="G37" s="13" t="s">
        <v>439</v>
      </c>
      <c r="H37" s="13" t="s">
        <v>136</v>
      </c>
      <c r="I37" s="13" t="s">
        <v>76</v>
      </c>
      <c r="J37" s="13" t="s">
        <v>77</v>
      </c>
      <c r="K37" s="13" t="s">
        <v>122</v>
      </c>
      <c r="L37" s="13" t="s">
        <v>79</v>
      </c>
      <c r="M37" s="13" t="s">
        <v>80</v>
      </c>
      <c r="N37" s="13" t="s">
        <v>82</v>
      </c>
      <c r="O37" s="13" t="s">
        <v>488</v>
      </c>
      <c r="P37" s="13" t="s">
        <v>82</v>
      </c>
      <c r="Q37" s="13" t="s">
        <v>83</v>
      </c>
      <c r="R37" s="13" t="s">
        <v>82</v>
      </c>
      <c r="S37" s="13" t="s">
        <v>82</v>
      </c>
      <c r="T37" s="13" t="s">
        <v>106</v>
      </c>
      <c r="U37" s="13" t="s">
        <v>141</v>
      </c>
      <c r="V37" s="13" t="s">
        <v>112</v>
      </c>
      <c r="W37" t="s">
        <v>485</v>
      </c>
      <c r="X37" s="12">
        <v>3</v>
      </c>
      <c r="Y37" s="12">
        <v>3</v>
      </c>
      <c r="Z37" s="12">
        <v>3</v>
      </c>
      <c r="AA37" s="12">
        <v>3</v>
      </c>
      <c r="AB37" s="12">
        <v>2.4</v>
      </c>
      <c r="AC37" s="12">
        <v>3</v>
      </c>
      <c r="AD37" s="12">
        <v>2.9</v>
      </c>
    </row>
    <row r="38" spans="1:30" x14ac:dyDescent="0.3">
      <c r="A38" s="13">
        <v>22</v>
      </c>
      <c r="B38" s="13" t="s">
        <v>70</v>
      </c>
      <c r="C38" s="13" t="s">
        <v>113</v>
      </c>
      <c r="D38" s="13" t="s">
        <v>72</v>
      </c>
      <c r="E38" s="13" t="s">
        <v>108</v>
      </c>
      <c r="F38" s="13" t="s">
        <v>74</v>
      </c>
      <c r="G38" s="13" t="s">
        <v>439</v>
      </c>
      <c r="H38" s="13" t="s">
        <v>74</v>
      </c>
      <c r="I38" s="13" t="s">
        <v>439</v>
      </c>
      <c r="J38" s="13" t="s">
        <v>101</v>
      </c>
      <c r="K38" s="13" t="s">
        <v>78</v>
      </c>
      <c r="L38" s="13" t="s">
        <v>82</v>
      </c>
      <c r="M38" s="13" t="s">
        <v>80</v>
      </c>
      <c r="N38" s="13" t="s">
        <v>79</v>
      </c>
      <c r="O38" s="13" t="s">
        <v>488</v>
      </c>
      <c r="P38" s="13" t="s">
        <v>82</v>
      </c>
      <c r="Q38" s="13" t="s">
        <v>103</v>
      </c>
      <c r="R38" s="13" t="s">
        <v>79</v>
      </c>
      <c r="S38" s="13" t="s">
        <v>79</v>
      </c>
      <c r="T38" s="13" t="s">
        <v>86</v>
      </c>
      <c r="U38" s="13" t="s">
        <v>87</v>
      </c>
      <c r="V38" s="13" t="s">
        <v>112</v>
      </c>
      <c r="W38" t="s">
        <v>486</v>
      </c>
      <c r="X38" s="12">
        <v>2.2727272727272729</v>
      </c>
      <c r="Y38" s="12">
        <v>1.8</v>
      </c>
      <c r="Z38" s="12">
        <v>1.6666666666666667</v>
      </c>
      <c r="AA38" s="12">
        <v>3</v>
      </c>
      <c r="AB38" s="12">
        <v>2.4</v>
      </c>
      <c r="AC38" s="12">
        <v>3</v>
      </c>
      <c r="AD38" s="12">
        <v>2.3565656565656568</v>
      </c>
    </row>
    <row r="39" spans="1:30" x14ac:dyDescent="0.3">
      <c r="A39" s="13">
        <v>23</v>
      </c>
      <c r="B39" s="13" t="s">
        <v>70</v>
      </c>
      <c r="C39" s="13" t="s">
        <v>71</v>
      </c>
      <c r="D39" s="13" t="s">
        <v>97</v>
      </c>
      <c r="E39" s="13" t="s">
        <v>108</v>
      </c>
      <c r="F39" s="13" t="s">
        <v>74</v>
      </c>
      <c r="G39" s="13" t="s">
        <v>440</v>
      </c>
      <c r="H39" s="13" t="s">
        <v>74</v>
      </c>
      <c r="I39" s="13" t="s">
        <v>76</v>
      </c>
      <c r="J39" s="13" t="s">
        <v>77</v>
      </c>
      <c r="K39" s="13" t="s">
        <v>131</v>
      </c>
      <c r="L39" s="13" t="s">
        <v>79</v>
      </c>
      <c r="M39" s="13" t="s">
        <v>80</v>
      </c>
      <c r="N39" s="13" t="s">
        <v>79</v>
      </c>
      <c r="O39" s="13" t="s">
        <v>490</v>
      </c>
      <c r="P39" s="13" t="s">
        <v>82</v>
      </c>
      <c r="Q39" s="13" t="s">
        <v>83</v>
      </c>
      <c r="R39" s="13" t="s">
        <v>79</v>
      </c>
      <c r="S39" s="13" t="s">
        <v>79</v>
      </c>
      <c r="T39" s="13" t="s">
        <v>213</v>
      </c>
      <c r="U39" s="13" t="s">
        <v>141</v>
      </c>
      <c r="V39" s="13" t="s">
        <v>457</v>
      </c>
      <c r="W39" t="s">
        <v>485</v>
      </c>
      <c r="X39" s="12">
        <v>2.6363636363636362</v>
      </c>
      <c r="Y39" s="12">
        <v>1.8</v>
      </c>
      <c r="Z39" s="12">
        <v>3</v>
      </c>
      <c r="AA39" s="12">
        <v>2.7777777777777777</v>
      </c>
      <c r="AB39" s="12">
        <v>2.4</v>
      </c>
      <c r="AC39" s="12">
        <v>3</v>
      </c>
      <c r="AD39" s="12">
        <v>2.6023569023569024</v>
      </c>
    </row>
    <row r="40" spans="1:30" x14ac:dyDescent="0.3">
      <c r="A40" s="13">
        <v>19</v>
      </c>
      <c r="B40" s="13" t="s">
        <v>70</v>
      </c>
      <c r="C40" s="13" t="s">
        <v>157</v>
      </c>
      <c r="D40" s="13" t="s">
        <v>97</v>
      </c>
      <c r="E40" s="13" t="s">
        <v>114</v>
      </c>
      <c r="F40" s="13" t="s">
        <v>100</v>
      </c>
      <c r="G40" s="13" t="s">
        <v>438</v>
      </c>
      <c r="H40" s="13" t="s">
        <v>100</v>
      </c>
      <c r="I40" s="13" t="s">
        <v>76</v>
      </c>
      <c r="J40" s="13" t="s">
        <v>77</v>
      </c>
      <c r="K40" s="13" t="s">
        <v>125</v>
      </c>
      <c r="L40" s="13" t="s">
        <v>79</v>
      </c>
      <c r="M40" s="13" t="s">
        <v>80</v>
      </c>
      <c r="N40" s="13" t="s">
        <v>79</v>
      </c>
      <c r="O40" s="13" t="s">
        <v>488</v>
      </c>
      <c r="P40" s="13" t="s">
        <v>82</v>
      </c>
      <c r="Q40" s="13" t="s">
        <v>83</v>
      </c>
      <c r="R40" s="13" t="s">
        <v>82</v>
      </c>
      <c r="S40" s="13" t="s">
        <v>82</v>
      </c>
      <c r="T40" s="13" t="s">
        <v>106</v>
      </c>
      <c r="U40" s="13" t="s">
        <v>87</v>
      </c>
      <c r="V40" s="13" t="s">
        <v>112</v>
      </c>
      <c r="W40" t="s">
        <v>486</v>
      </c>
      <c r="X40" s="12">
        <v>2.3636363636363638</v>
      </c>
      <c r="Y40" s="12">
        <v>2.8</v>
      </c>
      <c r="Z40" s="12">
        <v>2.3333333333333335</v>
      </c>
      <c r="AA40" s="12">
        <v>2.6666666666666665</v>
      </c>
      <c r="AB40" s="12">
        <v>2.4</v>
      </c>
      <c r="AC40" s="12">
        <v>3</v>
      </c>
      <c r="AD40" s="12">
        <v>2.5939393939393942</v>
      </c>
    </row>
    <row r="41" spans="1:30" x14ac:dyDescent="0.3">
      <c r="A41" s="13">
        <v>22</v>
      </c>
      <c r="B41" s="13" t="s">
        <v>70</v>
      </c>
      <c r="C41" s="13" t="s">
        <v>113</v>
      </c>
      <c r="D41" s="13" t="s">
        <v>97</v>
      </c>
      <c r="E41" s="13" t="s">
        <v>108</v>
      </c>
      <c r="F41" s="13" t="s">
        <v>74</v>
      </c>
      <c r="G41" s="13" t="s">
        <v>440</v>
      </c>
      <c r="H41" s="13" t="s">
        <v>74</v>
      </c>
      <c r="I41" s="13" t="s">
        <v>76</v>
      </c>
      <c r="J41" s="13" t="s">
        <v>77</v>
      </c>
      <c r="K41" s="13" t="s">
        <v>131</v>
      </c>
      <c r="L41" s="13" t="s">
        <v>79</v>
      </c>
      <c r="M41" s="13" t="s">
        <v>80</v>
      </c>
      <c r="N41" s="13" t="s">
        <v>82</v>
      </c>
      <c r="O41" s="13" t="s">
        <v>489</v>
      </c>
      <c r="P41" s="13" t="s">
        <v>82</v>
      </c>
      <c r="Q41" s="13" t="s">
        <v>118</v>
      </c>
      <c r="R41" s="13" t="s">
        <v>82</v>
      </c>
      <c r="S41" s="13" t="s">
        <v>82</v>
      </c>
      <c r="T41" s="13" t="s">
        <v>207</v>
      </c>
      <c r="U41" s="13" t="s">
        <v>141</v>
      </c>
      <c r="V41" s="13" t="s">
        <v>455</v>
      </c>
      <c r="W41" t="s">
        <v>485</v>
      </c>
      <c r="X41" s="12">
        <v>2.7272727272727271</v>
      </c>
      <c r="Y41" s="12">
        <v>2.2000000000000002</v>
      </c>
      <c r="Z41" s="12">
        <v>2.3333333333333335</v>
      </c>
      <c r="AA41" s="12">
        <v>2.6666666666666665</v>
      </c>
      <c r="AB41" s="12">
        <v>2.4</v>
      </c>
      <c r="AC41" s="12">
        <v>3</v>
      </c>
      <c r="AD41" s="12">
        <v>2.5545454545454547</v>
      </c>
    </row>
    <row r="42" spans="1:30" x14ac:dyDescent="0.3">
      <c r="A42" s="13">
        <v>20</v>
      </c>
      <c r="B42" s="13" t="s">
        <v>70</v>
      </c>
      <c r="C42" s="13" t="s">
        <v>157</v>
      </c>
      <c r="D42" s="13" t="s">
        <v>97</v>
      </c>
      <c r="E42" s="13" t="s">
        <v>73</v>
      </c>
      <c r="F42" s="13" t="s">
        <v>74</v>
      </c>
      <c r="G42" s="13" t="s">
        <v>166</v>
      </c>
      <c r="H42" s="13" t="s">
        <v>98</v>
      </c>
      <c r="I42" s="13" t="s">
        <v>76</v>
      </c>
      <c r="J42" s="13" t="s">
        <v>77</v>
      </c>
      <c r="K42" s="13" t="s">
        <v>125</v>
      </c>
      <c r="L42" s="13" t="s">
        <v>79</v>
      </c>
      <c r="M42" s="13" t="s">
        <v>102</v>
      </c>
      <c r="N42" s="13" t="s">
        <v>79</v>
      </c>
      <c r="O42" s="13" t="s">
        <v>488</v>
      </c>
      <c r="P42" s="13" t="s">
        <v>82</v>
      </c>
      <c r="Q42" s="13" t="s">
        <v>83</v>
      </c>
      <c r="R42" s="13" t="s">
        <v>79</v>
      </c>
      <c r="S42" s="13" t="s">
        <v>82</v>
      </c>
      <c r="T42" s="13" t="s">
        <v>86</v>
      </c>
      <c r="U42" s="13" t="s">
        <v>141</v>
      </c>
      <c r="V42" s="13" t="s">
        <v>112</v>
      </c>
      <c r="W42" t="s">
        <v>486</v>
      </c>
      <c r="X42" s="12">
        <v>2.7272727272727271</v>
      </c>
      <c r="Y42" s="12">
        <v>1.2</v>
      </c>
      <c r="Z42" s="12">
        <v>2.3333333333333335</v>
      </c>
      <c r="AA42" s="12">
        <v>2.3333333333333335</v>
      </c>
      <c r="AB42" s="12">
        <v>2.4</v>
      </c>
      <c r="AC42" s="12">
        <v>3</v>
      </c>
      <c r="AD42" s="12">
        <v>2.3323232323232324</v>
      </c>
    </row>
    <row r="43" spans="1:30" x14ac:dyDescent="0.3">
      <c r="A43" s="13">
        <v>23</v>
      </c>
      <c r="B43" s="13" t="s">
        <v>70</v>
      </c>
      <c r="C43" s="13" t="s">
        <v>113</v>
      </c>
      <c r="D43" s="13" t="s">
        <v>72</v>
      </c>
      <c r="E43" s="13" t="s">
        <v>108</v>
      </c>
      <c r="F43" s="13" t="s">
        <v>98</v>
      </c>
      <c r="G43" s="13" t="s">
        <v>440</v>
      </c>
      <c r="H43" s="13" t="s">
        <v>136</v>
      </c>
      <c r="I43" s="13" t="s">
        <v>439</v>
      </c>
      <c r="J43" s="13" t="s">
        <v>77</v>
      </c>
      <c r="K43" s="13" t="s">
        <v>122</v>
      </c>
      <c r="L43" s="13" t="s">
        <v>79</v>
      </c>
      <c r="M43" s="13" t="s">
        <v>80</v>
      </c>
      <c r="N43" s="13" t="s">
        <v>79</v>
      </c>
      <c r="O43" s="13" t="s">
        <v>490</v>
      </c>
      <c r="P43" s="13" t="s">
        <v>82</v>
      </c>
      <c r="Q43" s="13" t="s">
        <v>83</v>
      </c>
      <c r="R43" s="13" t="s">
        <v>82</v>
      </c>
      <c r="S43" s="13" t="s">
        <v>82</v>
      </c>
      <c r="T43" s="13" t="s">
        <v>86</v>
      </c>
      <c r="U43" s="13" t="s">
        <v>141</v>
      </c>
      <c r="V43" s="13" t="s">
        <v>112</v>
      </c>
      <c r="W43" t="s">
        <v>486</v>
      </c>
      <c r="X43" s="12">
        <v>1.7272727272727273</v>
      </c>
      <c r="Y43" s="12">
        <v>1.6</v>
      </c>
      <c r="Z43" s="12">
        <v>1</v>
      </c>
      <c r="AA43" s="12">
        <v>2.1111111111111112</v>
      </c>
      <c r="AB43" s="12">
        <v>2.4</v>
      </c>
      <c r="AC43" s="12">
        <v>3</v>
      </c>
      <c r="AD43" s="12">
        <v>1.9730639730639732</v>
      </c>
    </row>
    <row r="44" spans="1:30" x14ac:dyDescent="0.3">
      <c r="A44" s="13">
        <v>21</v>
      </c>
      <c r="B44" s="13" t="s">
        <v>70</v>
      </c>
      <c r="C44" s="13" t="s">
        <v>96</v>
      </c>
      <c r="D44" s="13" t="s">
        <v>72</v>
      </c>
      <c r="E44" s="13" t="s">
        <v>73</v>
      </c>
      <c r="F44" s="13" t="s">
        <v>136</v>
      </c>
      <c r="G44" s="13" t="s">
        <v>439</v>
      </c>
      <c r="H44" s="13" t="s">
        <v>136</v>
      </c>
      <c r="I44" s="13" t="s">
        <v>76</v>
      </c>
      <c r="J44" s="13" t="s">
        <v>77</v>
      </c>
      <c r="K44" s="13" t="s">
        <v>78</v>
      </c>
      <c r="L44" s="13" t="s">
        <v>79</v>
      </c>
      <c r="M44" s="13" t="s">
        <v>80</v>
      </c>
      <c r="N44" s="13" t="s">
        <v>79</v>
      </c>
      <c r="O44" s="13" t="s">
        <v>487</v>
      </c>
      <c r="P44" s="13" t="s">
        <v>79</v>
      </c>
      <c r="Q44" s="13" t="s">
        <v>83</v>
      </c>
      <c r="R44" s="13" t="s">
        <v>82</v>
      </c>
      <c r="S44" s="13" t="s">
        <v>82</v>
      </c>
      <c r="T44" s="13" t="s">
        <v>86</v>
      </c>
      <c r="U44" s="13" t="s">
        <v>87</v>
      </c>
      <c r="V44" s="13" t="s">
        <v>455</v>
      </c>
      <c r="W44" t="s">
        <v>486</v>
      </c>
      <c r="X44" s="12">
        <v>0.81818181818181823</v>
      </c>
      <c r="Y44" s="12">
        <v>1.2</v>
      </c>
      <c r="Z44" s="12">
        <v>2</v>
      </c>
      <c r="AA44" s="12">
        <v>1.7777777777777777</v>
      </c>
      <c r="AB44" s="12">
        <v>2.4</v>
      </c>
      <c r="AC44" s="12">
        <v>3</v>
      </c>
      <c r="AD44" s="12">
        <v>1.8659932659932659</v>
      </c>
    </row>
    <row r="45" spans="1:30" x14ac:dyDescent="0.3">
      <c r="A45" s="13">
        <v>21</v>
      </c>
      <c r="B45" s="13" t="s">
        <v>70</v>
      </c>
      <c r="C45" s="13" t="s">
        <v>157</v>
      </c>
      <c r="D45" s="13" t="s">
        <v>97</v>
      </c>
      <c r="E45" s="13" t="s">
        <v>108</v>
      </c>
      <c r="F45" s="13" t="s">
        <v>74</v>
      </c>
      <c r="G45" s="13" t="s">
        <v>439</v>
      </c>
      <c r="H45" s="13" t="s">
        <v>74</v>
      </c>
      <c r="I45" s="13" t="s">
        <v>76</v>
      </c>
      <c r="J45" s="13" t="s">
        <v>77</v>
      </c>
      <c r="K45" s="13" t="s">
        <v>131</v>
      </c>
      <c r="L45" s="13" t="s">
        <v>82</v>
      </c>
      <c r="M45" s="13" t="s">
        <v>80</v>
      </c>
      <c r="N45" s="13" t="s">
        <v>79</v>
      </c>
      <c r="O45" s="13" t="s">
        <v>489</v>
      </c>
      <c r="P45" s="13" t="s">
        <v>82</v>
      </c>
      <c r="Q45" s="13" t="s">
        <v>118</v>
      </c>
      <c r="R45" s="13" t="s">
        <v>79</v>
      </c>
      <c r="S45" s="13" t="s">
        <v>79</v>
      </c>
      <c r="T45" s="13" t="s">
        <v>106</v>
      </c>
      <c r="U45" s="13" t="s">
        <v>141</v>
      </c>
      <c r="V45" s="13" t="s">
        <v>112</v>
      </c>
      <c r="W45" t="s">
        <v>485</v>
      </c>
      <c r="X45" s="12">
        <v>2.2727272727272729</v>
      </c>
      <c r="Y45" s="12">
        <v>0.8</v>
      </c>
      <c r="Z45" s="12">
        <v>2</v>
      </c>
      <c r="AA45" s="12">
        <v>1.7777777777777777</v>
      </c>
      <c r="AB45" s="12">
        <v>2.4</v>
      </c>
      <c r="AC45" s="12">
        <v>3</v>
      </c>
      <c r="AD45" s="12">
        <v>2.0417508417508419</v>
      </c>
    </row>
    <row r="46" spans="1:30" x14ac:dyDescent="0.3">
      <c r="A46" s="13">
        <v>22</v>
      </c>
      <c r="B46" s="13" t="s">
        <v>70</v>
      </c>
      <c r="C46" s="13" t="s">
        <v>113</v>
      </c>
      <c r="D46" s="13" t="s">
        <v>149</v>
      </c>
      <c r="E46" s="13" t="s">
        <v>108</v>
      </c>
      <c r="F46" s="13" t="s">
        <v>74</v>
      </c>
      <c r="G46" s="13" t="s">
        <v>439</v>
      </c>
      <c r="H46" s="13" t="s">
        <v>74</v>
      </c>
      <c r="I46" s="13" t="s">
        <v>76</v>
      </c>
      <c r="J46" s="13" t="s">
        <v>77</v>
      </c>
      <c r="K46" s="13" t="s">
        <v>122</v>
      </c>
      <c r="L46" s="13" t="s">
        <v>82</v>
      </c>
      <c r="M46" s="13" t="s">
        <v>80</v>
      </c>
      <c r="N46" s="13" t="s">
        <v>82</v>
      </c>
      <c r="O46" s="13" t="s">
        <v>487</v>
      </c>
      <c r="P46" s="13" t="s">
        <v>79</v>
      </c>
      <c r="Q46" s="13" t="s">
        <v>103</v>
      </c>
      <c r="R46" s="13" t="s">
        <v>79</v>
      </c>
      <c r="S46" s="13" t="s">
        <v>82</v>
      </c>
      <c r="T46" s="13" t="s">
        <v>86</v>
      </c>
      <c r="U46" s="13" t="s">
        <v>141</v>
      </c>
      <c r="V46" s="13" t="s">
        <v>457</v>
      </c>
      <c r="W46" t="s">
        <v>486</v>
      </c>
      <c r="X46" s="12">
        <v>2.2727272727272729</v>
      </c>
      <c r="Y46" s="12">
        <v>2.4</v>
      </c>
      <c r="Z46" s="12">
        <v>2.6666666666666665</v>
      </c>
      <c r="AA46" s="12">
        <v>1.4444444444444444</v>
      </c>
      <c r="AB46" s="12">
        <v>2.4</v>
      </c>
      <c r="AC46" s="12">
        <v>3</v>
      </c>
      <c r="AD46" s="12">
        <v>2.3639730639730643</v>
      </c>
    </row>
    <row r="47" spans="1:30" x14ac:dyDescent="0.3">
      <c r="A47" s="13">
        <v>21</v>
      </c>
      <c r="B47" s="13" t="s">
        <v>128</v>
      </c>
      <c r="C47" s="13" t="s">
        <v>157</v>
      </c>
      <c r="D47" s="13" t="s">
        <v>72</v>
      </c>
      <c r="E47" s="13" t="s">
        <v>114</v>
      </c>
      <c r="F47" s="13" t="s">
        <v>136</v>
      </c>
      <c r="G47" s="13" t="s">
        <v>440</v>
      </c>
      <c r="H47" s="13" t="s">
        <v>98</v>
      </c>
      <c r="I47" s="13" t="s">
        <v>76</v>
      </c>
      <c r="J47" s="13" t="s">
        <v>77</v>
      </c>
      <c r="K47" s="13" t="s">
        <v>125</v>
      </c>
      <c r="L47" s="13" t="s">
        <v>79</v>
      </c>
      <c r="M47" s="13" t="s">
        <v>80</v>
      </c>
      <c r="N47" s="13" t="s">
        <v>79</v>
      </c>
      <c r="O47" s="13" t="s">
        <v>488</v>
      </c>
      <c r="P47" s="13" t="s">
        <v>82</v>
      </c>
      <c r="Q47" s="13" t="s">
        <v>83</v>
      </c>
      <c r="R47" s="13" t="s">
        <v>79</v>
      </c>
      <c r="S47" s="13" t="s">
        <v>79</v>
      </c>
      <c r="T47" s="13" t="s">
        <v>106</v>
      </c>
      <c r="U47" s="13" t="s">
        <v>120</v>
      </c>
      <c r="V47" s="13" t="s">
        <v>112</v>
      </c>
      <c r="W47" t="s">
        <v>485</v>
      </c>
      <c r="X47" s="12">
        <v>2</v>
      </c>
      <c r="Y47" s="12">
        <v>2.2000000000000002</v>
      </c>
      <c r="Z47" s="12">
        <v>2.3333333333333335</v>
      </c>
      <c r="AA47" s="12">
        <v>2.2222222222222223</v>
      </c>
      <c r="AB47" s="12">
        <v>2.2000000000000002</v>
      </c>
      <c r="AC47" s="12">
        <v>3</v>
      </c>
      <c r="AD47" s="12">
        <v>2.325925925925926</v>
      </c>
    </row>
    <row r="48" spans="1:30" x14ac:dyDescent="0.3">
      <c r="A48" s="13">
        <v>21</v>
      </c>
      <c r="B48" s="13" t="s">
        <v>70</v>
      </c>
      <c r="C48" s="13" t="s">
        <v>157</v>
      </c>
      <c r="D48" s="13" t="s">
        <v>72</v>
      </c>
      <c r="E48" s="13" t="s">
        <v>73</v>
      </c>
      <c r="F48" s="13" t="s">
        <v>100</v>
      </c>
      <c r="G48" s="13" t="s">
        <v>440</v>
      </c>
      <c r="H48" s="13" t="s">
        <v>136</v>
      </c>
      <c r="I48" s="13" t="s">
        <v>76</v>
      </c>
      <c r="J48" s="13" t="s">
        <v>77</v>
      </c>
      <c r="K48" s="13" t="s">
        <v>125</v>
      </c>
      <c r="L48" s="13" t="s">
        <v>79</v>
      </c>
      <c r="M48" s="13" t="s">
        <v>80</v>
      </c>
      <c r="N48" s="13" t="s">
        <v>79</v>
      </c>
      <c r="O48" s="13" t="s">
        <v>487</v>
      </c>
      <c r="P48" s="13" t="s">
        <v>82</v>
      </c>
      <c r="Q48" s="13" t="s">
        <v>103</v>
      </c>
      <c r="R48" s="13" t="s">
        <v>82</v>
      </c>
      <c r="S48" s="13" t="s">
        <v>82</v>
      </c>
      <c r="T48" s="13" t="s">
        <v>148</v>
      </c>
      <c r="U48" s="13" t="s">
        <v>141</v>
      </c>
      <c r="V48" s="13" t="s">
        <v>112</v>
      </c>
      <c r="W48" t="s">
        <v>486</v>
      </c>
      <c r="X48" s="12">
        <v>2.4545454545454546</v>
      </c>
      <c r="Y48" s="12">
        <v>2.2000000000000002</v>
      </c>
      <c r="Z48" s="12">
        <v>1.6666666666666667</v>
      </c>
      <c r="AA48" s="12">
        <v>1.7777777777777777</v>
      </c>
      <c r="AB48" s="12">
        <v>2.2000000000000002</v>
      </c>
      <c r="AC48" s="12">
        <v>3</v>
      </c>
      <c r="AD48" s="12">
        <v>2.2164983164983165</v>
      </c>
    </row>
    <row r="49" spans="1:30" x14ac:dyDescent="0.3">
      <c r="A49" s="13">
        <v>22</v>
      </c>
      <c r="B49" s="13" t="s">
        <v>70</v>
      </c>
      <c r="C49" s="13" t="s">
        <v>113</v>
      </c>
      <c r="D49" s="13" t="s">
        <v>72</v>
      </c>
      <c r="E49" s="13" t="s">
        <v>108</v>
      </c>
      <c r="F49" s="13" t="s">
        <v>136</v>
      </c>
      <c r="G49" s="13" t="s">
        <v>439</v>
      </c>
      <c r="H49" s="13" t="s">
        <v>100</v>
      </c>
      <c r="I49" s="13" t="s">
        <v>76</v>
      </c>
      <c r="J49" s="13" t="s">
        <v>77</v>
      </c>
      <c r="K49" s="13" t="s">
        <v>78</v>
      </c>
      <c r="L49" s="13" t="s">
        <v>79</v>
      </c>
      <c r="M49" s="13" t="s">
        <v>102</v>
      </c>
      <c r="N49" s="13" t="s">
        <v>79</v>
      </c>
      <c r="O49" s="13" t="s">
        <v>490</v>
      </c>
      <c r="P49" s="13" t="s">
        <v>79</v>
      </c>
      <c r="Q49" s="13" t="s">
        <v>83</v>
      </c>
      <c r="R49" s="13" t="s">
        <v>82</v>
      </c>
      <c r="S49" s="13" t="s">
        <v>82</v>
      </c>
      <c r="T49" s="13" t="s">
        <v>106</v>
      </c>
      <c r="U49" s="13" t="s">
        <v>87</v>
      </c>
      <c r="V49" s="13" t="s">
        <v>454</v>
      </c>
      <c r="W49" t="s">
        <v>486</v>
      </c>
      <c r="X49" s="12">
        <v>1.6363636363636365</v>
      </c>
      <c r="Y49" s="12">
        <v>0.8</v>
      </c>
      <c r="Z49" s="12">
        <v>2.3333333333333335</v>
      </c>
      <c r="AA49" s="12">
        <v>1.6666666666666667</v>
      </c>
      <c r="AB49" s="12">
        <v>2.2000000000000002</v>
      </c>
      <c r="AC49" s="12">
        <v>3</v>
      </c>
      <c r="AD49" s="12">
        <v>1.9393939393939394</v>
      </c>
    </row>
    <row r="50" spans="1:30" x14ac:dyDescent="0.3">
      <c r="A50" s="13">
        <v>20</v>
      </c>
      <c r="B50" s="13" t="s">
        <v>70</v>
      </c>
      <c r="C50" s="13" t="s">
        <v>157</v>
      </c>
      <c r="D50" s="13" t="s">
        <v>72</v>
      </c>
      <c r="E50" s="13" t="s">
        <v>114</v>
      </c>
      <c r="F50" s="13" t="s">
        <v>74</v>
      </c>
      <c r="G50" s="13" t="s">
        <v>439</v>
      </c>
      <c r="H50" s="13" t="s">
        <v>74</v>
      </c>
      <c r="I50" s="13" t="s">
        <v>439</v>
      </c>
      <c r="J50" s="13" t="s">
        <v>77</v>
      </c>
      <c r="K50" s="13" t="s">
        <v>78</v>
      </c>
      <c r="L50" s="13" t="s">
        <v>79</v>
      </c>
      <c r="M50" s="13" t="s">
        <v>132</v>
      </c>
      <c r="N50" s="13" t="s">
        <v>79</v>
      </c>
      <c r="O50" s="13" t="s">
        <v>490</v>
      </c>
      <c r="P50" s="13" t="s">
        <v>79</v>
      </c>
      <c r="Q50" s="13" t="s">
        <v>83</v>
      </c>
      <c r="R50" s="13" t="s">
        <v>79</v>
      </c>
      <c r="S50" s="13" t="s">
        <v>79</v>
      </c>
      <c r="T50" s="13" t="s">
        <v>148</v>
      </c>
      <c r="U50" s="13" t="s">
        <v>141</v>
      </c>
      <c r="V50" s="13" t="s">
        <v>457</v>
      </c>
      <c r="W50" t="s">
        <v>485</v>
      </c>
      <c r="X50" s="12">
        <v>1.8181818181818181</v>
      </c>
      <c r="Y50" s="12">
        <v>1.2</v>
      </c>
      <c r="Z50" s="12">
        <v>3</v>
      </c>
      <c r="AA50" s="12">
        <v>1.3333333333333333</v>
      </c>
      <c r="AB50" s="12">
        <v>2.2000000000000002</v>
      </c>
      <c r="AC50" s="12">
        <v>3</v>
      </c>
      <c r="AD50" s="12">
        <v>2.091919191919192</v>
      </c>
    </row>
    <row r="51" spans="1:30" x14ac:dyDescent="0.3">
      <c r="A51" s="13">
        <v>22</v>
      </c>
      <c r="B51" s="13" t="s">
        <v>70</v>
      </c>
      <c r="C51" s="13" t="s">
        <v>113</v>
      </c>
      <c r="D51" s="13" t="s">
        <v>72</v>
      </c>
      <c r="E51" s="13" t="s">
        <v>108</v>
      </c>
      <c r="F51" s="13" t="s">
        <v>136</v>
      </c>
      <c r="G51" s="13" t="s">
        <v>439</v>
      </c>
      <c r="H51" s="13" t="s">
        <v>100</v>
      </c>
      <c r="I51" s="13" t="s">
        <v>76</v>
      </c>
      <c r="J51" s="13" t="s">
        <v>77</v>
      </c>
      <c r="K51" s="13" t="s">
        <v>78</v>
      </c>
      <c r="L51" s="13" t="s">
        <v>79</v>
      </c>
      <c r="M51" s="13" t="s">
        <v>102</v>
      </c>
      <c r="N51" s="13" t="s">
        <v>79</v>
      </c>
      <c r="O51" s="13" t="s">
        <v>490</v>
      </c>
      <c r="P51" s="13" t="s">
        <v>79</v>
      </c>
      <c r="Q51" s="13" t="s">
        <v>83</v>
      </c>
      <c r="R51" s="13" t="s">
        <v>79</v>
      </c>
      <c r="S51" s="13" t="s">
        <v>82</v>
      </c>
      <c r="T51" s="13" t="s">
        <v>106</v>
      </c>
      <c r="U51" s="13" t="s">
        <v>87</v>
      </c>
      <c r="V51" s="13" t="s">
        <v>455</v>
      </c>
      <c r="W51" t="s">
        <v>485</v>
      </c>
      <c r="X51" s="12">
        <v>1.2727272727272727</v>
      </c>
      <c r="Y51" s="12">
        <v>1.2</v>
      </c>
      <c r="Z51" s="12">
        <v>2</v>
      </c>
      <c r="AA51" s="12">
        <v>1.1111111111111112</v>
      </c>
      <c r="AB51" s="12">
        <v>1.8</v>
      </c>
      <c r="AC51" s="12">
        <v>3</v>
      </c>
      <c r="AD51" s="12">
        <v>1.7306397306397308</v>
      </c>
    </row>
    <row r="52" spans="1:30" x14ac:dyDescent="0.3">
      <c r="A52" s="13">
        <v>17</v>
      </c>
      <c r="B52" s="13" t="s">
        <v>70</v>
      </c>
      <c r="C52" s="13" t="s">
        <v>157</v>
      </c>
      <c r="D52" s="13" t="s">
        <v>97</v>
      </c>
      <c r="E52" s="13" t="s">
        <v>108</v>
      </c>
      <c r="F52" s="13" t="s">
        <v>74</v>
      </c>
      <c r="G52" s="13" t="s">
        <v>439</v>
      </c>
      <c r="H52" s="13" t="s">
        <v>74</v>
      </c>
      <c r="I52" s="13" t="s">
        <v>76</v>
      </c>
      <c r="J52" s="13" t="s">
        <v>77</v>
      </c>
      <c r="K52" s="13" t="s">
        <v>122</v>
      </c>
      <c r="L52" s="13" t="s">
        <v>79</v>
      </c>
      <c r="M52" s="13" t="s">
        <v>80</v>
      </c>
      <c r="N52" s="13" t="s">
        <v>79</v>
      </c>
      <c r="O52" s="13" t="s">
        <v>490</v>
      </c>
      <c r="P52" s="13" t="s">
        <v>79</v>
      </c>
      <c r="Q52" s="13" t="s">
        <v>83</v>
      </c>
      <c r="R52" s="13" t="s">
        <v>79</v>
      </c>
      <c r="S52" s="13" t="s">
        <v>82</v>
      </c>
      <c r="T52" s="13" t="s">
        <v>86</v>
      </c>
      <c r="U52" s="13" t="s">
        <v>87</v>
      </c>
      <c r="V52" s="13" t="s">
        <v>160</v>
      </c>
      <c r="W52" t="s">
        <v>485</v>
      </c>
      <c r="X52" s="12">
        <v>2.1818181818181817</v>
      </c>
      <c r="Y52" s="12">
        <v>1.4</v>
      </c>
      <c r="Z52" s="12">
        <v>2.6666666666666665</v>
      </c>
      <c r="AA52" s="12">
        <v>1.6666666666666667</v>
      </c>
      <c r="AB52" s="12">
        <v>1.4</v>
      </c>
      <c r="AC52" s="12">
        <v>3</v>
      </c>
      <c r="AD52" s="12">
        <v>2.0525252525252524</v>
      </c>
    </row>
    <row r="53" spans="1:30" x14ac:dyDescent="0.3">
      <c r="A53" s="13">
        <v>22</v>
      </c>
      <c r="B53" s="13" t="s">
        <v>70</v>
      </c>
      <c r="C53" s="13" t="s">
        <v>113</v>
      </c>
      <c r="D53" s="13" t="s">
        <v>72</v>
      </c>
      <c r="E53" s="13" t="s">
        <v>114</v>
      </c>
      <c r="F53" s="13" t="s">
        <v>100</v>
      </c>
      <c r="G53" s="13" t="s">
        <v>440</v>
      </c>
      <c r="H53" s="13" t="s">
        <v>165</v>
      </c>
      <c r="I53" s="13" t="s">
        <v>76</v>
      </c>
      <c r="J53" s="13" t="s">
        <v>77</v>
      </c>
      <c r="K53" s="13" t="s">
        <v>125</v>
      </c>
      <c r="L53" s="13" t="s">
        <v>79</v>
      </c>
      <c r="M53" s="13" t="s">
        <v>201</v>
      </c>
      <c r="N53" s="13" t="s">
        <v>79</v>
      </c>
      <c r="O53" s="13" t="s">
        <v>490</v>
      </c>
      <c r="P53" s="13" t="s">
        <v>82</v>
      </c>
      <c r="Q53" s="13" t="s">
        <v>83</v>
      </c>
      <c r="R53" s="13" t="s">
        <v>79</v>
      </c>
      <c r="S53" s="13" t="s">
        <v>82</v>
      </c>
      <c r="T53" s="13" t="s">
        <v>106</v>
      </c>
      <c r="U53" s="13" t="s">
        <v>141</v>
      </c>
      <c r="V53" s="13" t="s">
        <v>457</v>
      </c>
      <c r="W53" t="s">
        <v>486</v>
      </c>
      <c r="X53" s="12">
        <v>1.2727272727272727</v>
      </c>
      <c r="Y53" s="12">
        <v>0.2</v>
      </c>
      <c r="Z53" s="12">
        <v>3</v>
      </c>
      <c r="AA53" s="12">
        <v>2.1111111111111112</v>
      </c>
      <c r="AB53" s="12">
        <v>1</v>
      </c>
      <c r="AC53" s="12">
        <v>3</v>
      </c>
      <c r="AD53" s="12">
        <v>1.763973063973064</v>
      </c>
    </row>
    <row r="54" spans="1:30" x14ac:dyDescent="0.3">
      <c r="A54" s="13">
        <v>22</v>
      </c>
      <c r="B54" s="13" t="s">
        <v>70</v>
      </c>
      <c r="C54" s="13" t="s">
        <v>113</v>
      </c>
      <c r="D54" s="13" t="s">
        <v>72</v>
      </c>
      <c r="E54" s="13" t="s">
        <v>114</v>
      </c>
      <c r="F54" s="13" t="s">
        <v>100</v>
      </c>
      <c r="G54" s="13" t="s">
        <v>440</v>
      </c>
      <c r="H54" s="13" t="s">
        <v>165</v>
      </c>
      <c r="I54" s="13" t="s">
        <v>76</v>
      </c>
      <c r="J54" s="13" t="s">
        <v>77</v>
      </c>
      <c r="K54" s="13" t="s">
        <v>125</v>
      </c>
      <c r="L54" s="13" t="s">
        <v>79</v>
      </c>
      <c r="M54" s="13" t="s">
        <v>201</v>
      </c>
      <c r="N54" s="13" t="s">
        <v>79</v>
      </c>
      <c r="O54" s="13" t="s">
        <v>490</v>
      </c>
      <c r="P54" s="13" t="s">
        <v>82</v>
      </c>
      <c r="Q54" s="13" t="s">
        <v>83</v>
      </c>
      <c r="R54" s="13" t="s">
        <v>79</v>
      </c>
      <c r="S54" s="13" t="s">
        <v>82</v>
      </c>
      <c r="T54" s="13" t="s">
        <v>106</v>
      </c>
      <c r="U54" s="13" t="s">
        <v>141</v>
      </c>
      <c r="V54" s="13" t="s">
        <v>457</v>
      </c>
      <c r="W54" t="s">
        <v>485</v>
      </c>
      <c r="X54" s="12">
        <v>1.2727272727272727</v>
      </c>
      <c r="Y54" s="12">
        <v>0.2</v>
      </c>
      <c r="Z54" s="12">
        <v>3</v>
      </c>
      <c r="AA54" s="12">
        <v>2.1111111111111112</v>
      </c>
      <c r="AB54" s="12">
        <v>1</v>
      </c>
      <c r="AC54" s="12">
        <v>3</v>
      </c>
      <c r="AD54" s="12">
        <v>1.763973063973064</v>
      </c>
    </row>
    <row r="55" spans="1:30" x14ac:dyDescent="0.3">
      <c r="A55" s="13">
        <v>23</v>
      </c>
      <c r="B55" s="13" t="s">
        <v>70</v>
      </c>
      <c r="C55" s="13" t="s">
        <v>157</v>
      </c>
      <c r="D55" s="13" t="s">
        <v>97</v>
      </c>
      <c r="E55" s="13" t="s">
        <v>108</v>
      </c>
      <c r="F55" s="13" t="s">
        <v>74</v>
      </c>
      <c r="G55" s="13" t="s">
        <v>440</v>
      </c>
      <c r="H55" s="13" t="s">
        <v>136</v>
      </c>
      <c r="I55" s="13" t="s">
        <v>76</v>
      </c>
      <c r="J55" s="13" t="s">
        <v>101</v>
      </c>
      <c r="K55" s="13" t="s">
        <v>78</v>
      </c>
      <c r="L55" s="13" t="s">
        <v>82</v>
      </c>
      <c r="M55" s="13" t="s">
        <v>80</v>
      </c>
      <c r="N55" s="13" t="s">
        <v>79</v>
      </c>
      <c r="O55" s="13" t="s">
        <v>488</v>
      </c>
      <c r="P55" s="13" t="s">
        <v>79</v>
      </c>
      <c r="Q55" s="13" t="s">
        <v>103</v>
      </c>
      <c r="R55" s="13" t="s">
        <v>79</v>
      </c>
      <c r="S55" s="13" t="s">
        <v>82</v>
      </c>
      <c r="T55" s="13" t="s">
        <v>86</v>
      </c>
      <c r="U55" s="13" t="s">
        <v>141</v>
      </c>
      <c r="V55" s="13" t="s">
        <v>112</v>
      </c>
      <c r="W55" t="s">
        <v>486</v>
      </c>
      <c r="X55" s="12">
        <v>2.8181818181818183</v>
      </c>
      <c r="Y55" s="12">
        <v>0.8</v>
      </c>
      <c r="Z55" s="12">
        <v>3</v>
      </c>
      <c r="AA55" s="12">
        <v>1.8888888888888888</v>
      </c>
      <c r="AB55" s="12">
        <v>1</v>
      </c>
      <c r="AC55" s="12">
        <v>3</v>
      </c>
      <c r="AD55" s="12">
        <v>2.0845117845117844</v>
      </c>
    </row>
    <row r="56" spans="1:30" x14ac:dyDescent="0.3">
      <c r="A56" s="13">
        <v>21</v>
      </c>
      <c r="B56" s="13" t="s">
        <v>128</v>
      </c>
      <c r="C56" s="13" t="s">
        <v>157</v>
      </c>
      <c r="D56" s="13" t="s">
        <v>72</v>
      </c>
      <c r="E56" s="13" t="s">
        <v>114</v>
      </c>
      <c r="F56" s="13" t="s">
        <v>136</v>
      </c>
      <c r="G56" s="13" t="s">
        <v>440</v>
      </c>
      <c r="H56" s="13" t="s">
        <v>98</v>
      </c>
      <c r="I56" s="13" t="s">
        <v>76</v>
      </c>
      <c r="J56" s="13" t="s">
        <v>77</v>
      </c>
      <c r="K56" s="13" t="s">
        <v>125</v>
      </c>
      <c r="L56" s="13" t="s">
        <v>79</v>
      </c>
      <c r="M56" s="13" t="s">
        <v>80</v>
      </c>
      <c r="N56" s="13" t="s">
        <v>79</v>
      </c>
      <c r="O56" s="13" t="s">
        <v>488</v>
      </c>
      <c r="P56" s="13" t="s">
        <v>82</v>
      </c>
      <c r="Q56" s="13" t="s">
        <v>83</v>
      </c>
      <c r="R56" s="13" t="s">
        <v>79</v>
      </c>
      <c r="S56" s="13" t="s">
        <v>79</v>
      </c>
      <c r="T56" s="13" t="s">
        <v>106</v>
      </c>
      <c r="U56" s="13" t="s">
        <v>120</v>
      </c>
      <c r="V56" s="13" t="s">
        <v>112</v>
      </c>
      <c r="W56" t="s">
        <v>485</v>
      </c>
      <c r="X56" s="12">
        <v>1.6363636363636365</v>
      </c>
      <c r="Y56" s="12">
        <v>1.6</v>
      </c>
      <c r="Z56" s="12">
        <v>1.6666666666666667</v>
      </c>
      <c r="AA56" s="12">
        <v>1.6666666666666667</v>
      </c>
      <c r="AB56" s="12">
        <v>3</v>
      </c>
      <c r="AC56" s="12">
        <v>2.6666666666666665</v>
      </c>
      <c r="AD56" s="12">
        <v>2.0393939393939395</v>
      </c>
    </row>
    <row r="57" spans="1:30" x14ac:dyDescent="0.3">
      <c r="A57" s="13">
        <v>27</v>
      </c>
      <c r="B57" s="13" t="s">
        <v>70</v>
      </c>
      <c r="C57" s="13" t="s">
        <v>71</v>
      </c>
      <c r="D57" s="13" t="s">
        <v>97</v>
      </c>
      <c r="E57" s="13" t="s">
        <v>108</v>
      </c>
      <c r="F57" s="13" t="s">
        <v>98</v>
      </c>
      <c r="G57" s="13" t="s">
        <v>439</v>
      </c>
      <c r="H57" s="13" t="s">
        <v>98</v>
      </c>
      <c r="I57" s="13" t="s">
        <v>76</v>
      </c>
      <c r="J57" s="13" t="s">
        <v>77</v>
      </c>
      <c r="K57" s="13" t="s">
        <v>125</v>
      </c>
      <c r="L57" s="13" t="s">
        <v>82</v>
      </c>
      <c r="M57" s="13" t="s">
        <v>80</v>
      </c>
      <c r="N57" s="13" t="s">
        <v>82</v>
      </c>
      <c r="O57" s="13" t="s">
        <v>489</v>
      </c>
      <c r="P57" s="13" t="s">
        <v>82</v>
      </c>
      <c r="Q57" s="13" t="s">
        <v>118</v>
      </c>
      <c r="R57" s="13" t="s">
        <v>79</v>
      </c>
      <c r="S57" s="13" t="s">
        <v>82</v>
      </c>
      <c r="T57" s="13" t="s">
        <v>106</v>
      </c>
      <c r="U57" s="13" t="s">
        <v>141</v>
      </c>
      <c r="V57" s="13" t="s">
        <v>112</v>
      </c>
      <c r="W57" t="s">
        <v>486</v>
      </c>
      <c r="X57" s="12">
        <v>2.5454545454545454</v>
      </c>
      <c r="Y57" s="12">
        <v>0.8</v>
      </c>
      <c r="Z57" s="12">
        <v>2</v>
      </c>
      <c r="AA57" s="12">
        <v>1.5555555555555556</v>
      </c>
      <c r="AB57" s="12">
        <v>3</v>
      </c>
      <c r="AC57" s="12">
        <v>2.6666666666666665</v>
      </c>
      <c r="AD57" s="12">
        <v>2.0946127946127944</v>
      </c>
    </row>
    <row r="58" spans="1:30" x14ac:dyDescent="0.3">
      <c r="A58" s="13">
        <v>22</v>
      </c>
      <c r="B58" s="13" t="s">
        <v>70</v>
      </c>
      <c r="C58" s="13" t="s">
        <v>113</v>
      </c>
      <c r="D58" s="13" t="s">
        <v>97</v>
      </c>
      <c r="E58" s="13" t="s">
        <v>108</v>
      </c>
      <c r="F58" s="13" t="s">
        <v>74</v>
      </c>
      <c r="G58" s="13" t="s">
        <v>440</v>
      </c>
      <c r="H58" s="13" t="s">
        <v>136</v>
      </c>
      <c r="I58" s="13" t="s">
        <v>76</v>
      </c>
      <c r="J58" s="13" t="s">
        <v>77</v>
      </c>
      <c r="K58" s="13" t="s">
        <v>125</v>
      </c>
      <c r="L58" s="13" t="s">
        <v>79</v>
      </c>
      <c r="M58" s="13" t="s">
        <v>80</v>
      </c>
      <c r="N58" s="13" t="s">
        <v>82</v>
      </c>
      <c r="O58" s="13" t="s">
        <v>489</v>
      </c>
      <c r="P58" s="13" t="s">
        <v>82</v>
      </c>
      <c r="Q58" s="13" t="s">
        <v>103</v>
      </c>
      <c r="R58" s="13" t="s">
        <v>79</v>
      </c>
      <c r="S58" s="13" t="s">
        <v>82</v>
      </c>
      <c r="T58" s="13" t="s">
        <v>86</v>
      </c>
      <c r="U58" s="13" t="s">
        <v>87</v>
      </c>
      <c r="V58" s="13" t="s">
        <v>160</v>
      </c>
      <c r="W58" t="s">
        <v>486</v>
      </c>
      <c r="X58" s="12">
        <v>2.0909090909090908</v>
      </c>
      <c r="Y58" s="12">
        <v>0.8</v>
      </c>
      <c r="Z58" s="12">
        <v>2</v>
      </c>
      <c r="AA58" s="12">
        <v>1.5555555555555556</v>
      </c>
      <c r="AB58" s="12">
        <v>3</v>
      </c>
      <c r="AC58" s="12">
        <v>2.6666666666666665</v>
      </c>
      <c r="AD58" s="12">
        <v>2.0188552188552187</v>
      </c>
    </row>
    <row r="59" spans="1:30" x14ac:dyDescent="0.3">
      <c r="A59" s="13">
        <v>23</v>
      </c>
      <c r="B59" s="13" t="s">
        <v>70</v>
      </c>
      <c r="C59" s="13" t="s">
        <v>113</v>
      </c>
      <c r="D59" s="13" t="s">
        <v>72</v>
      </c>
      <c r="E59" s="13" t="s">
        <v>108</v>
      </c>
      <c r="F59" s="13" t="s">
        <v>136</v>
      </c>
      <c r="G59" s="13" t="s">
        <v>440</v>
      </c>
      <c r="H59" s="13" t="s">
        <v>136</v>
      </c>
      <c r="I59" s="13" t="s">
        <v>76</v>
      </c>
      <c r="J59" s="13" t="s">
        <v>77</v>
      </c>
      <c r="K59" s="13" t="s">
        <v>122</v>
      </c>
      <c r="L59" s="13" t="s">
        <v>82</v>
      </c>
      <c r="M59" s="13" t="s">
        <v>80</v>
      </c>
      <c r="N59" s="13" t="s">
        <v>79</v>
      </c>
      <c r="O59" s="13" t="s">
        <v>487</v>
      </c>
      <c r="P59" s="13" t="s">
        <v>82</v>
      </c>
      <c r="Q59" s="13" t="s">
        <v>83</v>
      </c>
      <c r="R59" s="13" t="s">
        <v>82</v>
      </c>
      <c r="S59" s="13" t="s">
        <v>82</v>
      </c>
      <c r="T59" s="13" t="s">
        <v>106</v>
      </c>
      <c r="U59" s="13" t="s">
        <v>141</v>
      </c>
      <c r="V59" s="13" t="s">
        <v>457</v>
      </c>
      <c r="W59" t="s">
        <v>486</v>
      </c>
      <c r="X59" s="12">
        <v>1.7272727272727273</v>
      </c>
      <c r="Y59" s="12">
        <v>1</v>
      </c>
      <c r="Z59" s="12">
        <v>1</v>
      </c>
      <c r="AA59" s="12">
        <v>1.5555555555555556</v>
      </c>
      <c r="AB59" s="12">
        <v>3</v>
      </c>
      <c r="AC59" s="12">
        <v>2.6666666666666665</v>
      </c>
      <c r="AD59" s="12">
        <v>1.824915824915825</v>
      </c>
    </row>
    <row r="60" spans="1:30" x14ac:dyDescent="0.3">
      <c r="A60" s="13">
        <v>21</v>
      </c>
      <c r="B60" s="13" t="s">
        <v>128</v>
      </c>
      <c r="C60" s="13" t="s">
        <v>157</v>
      </c>
      <c r="D60" s="13" t="s">
        <v>72</v>
      </c>
      <c r="E60" s="13" t="s">
        <v>114</v>
      </c>
      <c r="F60" s="13" t="s">
        <v>136</v>
      </c>
      <c r="G60" s="13" t="s">
        <v>440</v>
      </c>
      <c r="H60" s="13" t="s">
        <v>98</v>
      </c>
      <c r="I60" s="13" t="s">
        <v>76</v>
      </c>
      <c r="J60" s="13" t="s">
        <v>77</v>
      </c>
      <c r="K60" s="13" t="s">
        <v>125</v>
      </c>
      <c r="L60" s="13" t="s">
        <v>79</v>
      </c>
      <c r="M60" s="13" t="s">
        <v>80</v>
      </c>
      <c r="N60" s="13" t="s">
        <v>79</v>
      </c>
      <c r="O60" s="13" t="s">
        <v>490</v>
      </c>
      <c r="P60" s="13" t="s">
        <v>79</v>
      </c>
      <c r="Q60" s="13" t="s">
        <v>83</v>
      </c>
      <c r="R60" s="13" t="s">
        <v>82</v>
      </c>
      <c r="S60" s="13" t="s">
        <v>82</v>
      </c>
      <c r="T60" s="13" t="s">
        <v>106</v>
      </c>
      <c r="U60" s="13" t="s">
        <v>87</v>
      </c>
      <c r="V60" s="13" t="s">
        <v>112</v>
      </c>
      <c r="W60" t="s">
        <v>486</v>
      </c>
      <c r="X60" s="12">
        <v>2.4545454545454546</v>
      </c>
      <c r="Y60" s="12">
        <v>3</v>
      </c>
      <c r="Z60" s="12">
        <v>2</v>
      </c>
      <c r="AA60" s="12">
        <v>2.6666666666666665</v>
      </c>
      <c r="AB60" s="12">
        <v>2.8</v>
      </c>
      <c r="AC60" s="12">
        <v>2.6666666666666665</v>
      </c>
      <c r="AD60" s="12">
        <v>2.5979797979797978</v>
      </c>
    </row>
    <row r="61" spans="1:30" x14ac:dyDescent="0.3">
      <c r="A61" s="13">
        <v>20</v>
      </c>
      <c r="B61" s="13" t="s">
        <v>70</v>
      </c>
      <c r="C61" s="13" t="s">
        <v>157</v>
      </c>
      <c r="D61" s="13" t="s">
        <v>97</v>
      </c>
      <c r="E61" s="13" t="s">
        <v>73</v>
      </c>
      <c r="F61" s="13" t="s">
        <v>74</v>
      </c>
      <c r="G61" s="13" t="s">
        <v>166</v>
      </c>
      <c r="H61" s="13" t="s">
        <v>98</v>
      </c>
      <c r="I61" s="13" t="s">
        <v>76</v>
      </c>
      <c r="J61" s="13" t="s">
        <v>77</v>
      </c>
      <c r="K61" s="13" t="s">
        <v>125</v>
      </c>
      <c r="L61" s="13" t="s">
        <v>79</v>
      </c>
      <c r="M61" s="13" t="s">
        <v>102</v>
      </c>
      <c r="N61" s="13" t="s">
        <v>79</v>
      </c>
      <c r="O61" s="13" t="s">
        <v>488</v>
      </c>
      <c r="P61" s="13" t="s">
        <v>82</v>
      </c>
      <c r="Q61" s="13" t="s">
        <v>83</v>
      </c>
      <c r="R61" s="13" t="s">
        <v>82</v>
      </c>
      <c r="S61" s="13" t="s">
        <v>82</v>
      </c>
      <c r="T61" s="13" t="s">
        <v>86</v>
      </c>
      <c r="U61" s="13" t="s">
        <v>141</v>
      </c>
      <c r="V61" s="13" t="s">
        <v>112</v>
      </c>
      <c r="W61" t="s">
        <v>486</v>
      </c>
      <c r="X61" s="12">
        <v>2.2727272727272729</v>
      </c>
      <c r="Y61" s="12">
        <v>2.6</v>
      </c>
      <c r="Z61" s="12">
        <v>2.3333333333333335</v>
      </c>
      <c r="AA61" s="12">
        <v>2.4444444444444446</v>
      </c>
      <c r="AB61" s="12">
        <v>2.6</v>
      </c>
      <c r="AC61" s="12">
        <v>2.6666666666666665</v>
      </c>
      <c r="AD61" s="12">
        <v>2.4861952861952861</v>
      </c>
    </row>
    <row r="62" spans="1:30" x14ac:dyDescent="0.3">
      <c r="A62" s="13">
        <v>21</v>
      </c>
      <c r="B62" s="13" t="s">
        <v>70</v>
      </c>
      <c r="C62" s="13" t="s">
        <v>96</v>
      </c>
      <c r="D62" s="13" t="s">
        <v>72</v>
      </c>
      <c r="E62" s="13" t="s">
        <v>114</v>
      </c>
      <c r="F62" s="13" t="s">
        <v>136</v>
      </c>
      <c r="G62" s="13" t="s">
        <v>439</v>
      </c>
      <c r="H62" s="13" t="s">
        <v>98</v>
      </c>
      <c r="I62" s="13" t="s">
        <v>76</v>
      </c>
      <c r="J62" s="13" t="s">
        <v>77</v>
      </c>
      <c r="K62" s="13" t="s">
        <v>125</v>
      </c>
      <c r="L62" s="13" t="s">
        <v>79</v>
      </c>
      <c r="M62" s="13" t="s">
        <v>132</v>
      </c>
      <c r="N62" s="13" t="s">
        <v>79</v>
      </c>
      <c r="O62" s="13" t="s">
        <v>489</v>
      </c>
      <c r="P62" s="13" t="s">
        <v>82</v>
      </c>
      <c r="Q62" s="13" t="s">
        <v>83</v>
      </c>
      <c r="R62" s="13" t="s">
        <v>82</v>
      </c>
      <c r="S62" s="13" t="s">
        <v>82</v>
      </c>
      <c r="T62" s="13" t="s">
        <v>148</v>
      </c>
      <c r="U62" s="13" t="s">
        <v>120</v>
      </c>
      <c r="V62" s="13" t="s">
        <v>112</v>
      </c>
      <c r="W62" t="s">
        <v>485</v>
      </c>
      <c r="X62" s="12">
        <v>1.6363636363636365</v>
      </c>
      <c r="Y62" s="12">
        <v>1.6</v>
      </c>
      <c r="Z62" s="12">
        <v>1.3333333333333333</v>
      </c>
      <c r="AA62" s="12">
        <v>1.6666666666666667</v>
      </c>
      <c r="AB62" s="12">
        <v>2.4</v>
      </c>
      <c r="AC62" s="12">
        <v>2.6666666666666665</v>
      </c>
      <c r="AD62" s="12">
        <v>1.8838383838383839</v>
      </c>
    </row>
    <row r="63" spans="1:30" x14ac:dyDescent="0.3">
      <c r="A63" s="13">
        <v>21</v>
      </c>
      <c r="B63" s="13" t="s">
        <v>70</v>
      </c>
      <c r="C63" s="13" t="s">
        <v>157</v>
      </c>
      <c r="D63" s="13" t="s">
        <v>97</v>
      </c>
      <c r="E63" s="13" t="s">
        <v>108</v>
      </c>
      <c r="F63" s="13" t="s">
        <v>74</v>
      </c>
      <c r="G63" s="13" t="s">
        <v>439</v>
      </c>
      <c r="H63" s="13" t="s">
        <v>74</v>
      </c>
      <c r="I63" s="13" t="s">
        <v>76</v>
      </c>
      <c r="J63" s="13" t="s">
        <v>77</v>
      </c>
      <c r="K63" s="13" t="s">
        <v>131</v>
      </c>
      <c r="L63" s="13" t="s">
        <v>79</v>
      </c>
      <c r="M63" s="13" t="s">
        <v>80</v>
      </c>
      <c r="N63" s="13" t="s">
        <v>79</v>
      </c>
      <c r="O63" s="13" t="s">
        <v>490</v>
      </c>
      <c r="P63" s="13" t="s">
        <v>82</v>
      </c>
      <c r="Q63" s="13" t="s">
        <v>83</v>
      </c>
      <c r="R63" s="13" t="s">
        <v>82</v>
      </c>
      <c r="S63" s="13" t="s">
        <v>82</v>
      </c>
      <c r="T63" s="13" t="s">
        <v>106</v>
      </c>
      <c r="U63" s="13" t="s">
        <v>87</v>
      </c>
      <c r="V63" s="13" t="s">
        <v>112</v>
      </c>
      <c r="W63" t="s">
        <v>486</v>
      </c>
      <c r="X63" s="12">
        <v>2.6363636363636362</v>
      </c>
      <c r="Y63" s="12">
        <v>2.4</v>
      </c>
      <c r="Z63" s="12">
        <v>2.6666666666666665</v>
      </c>
      <c r="AA63" s="12">
        <v>1.5555555555555556</v>
      </c>
      <c r="AB63" s="12">
        <v>2.2000000000000002</v>
      </c>
      <c r="AC63" s="12">
        <v>2.6666666666666665</v>
      </c>
      <c r="AD63" s="12">
        <v>2.3542087542087544</v>
      </c>
    </row>
    <row r="64" spans="1:30" x14ac:dyDescent="0.3">
      <c r="A64" s="13">
        <v>26</v>
      </c>
      <c r="B64" s="13" t="s">
        <v>70</v>
      </c>
      <c r="C64" s="13" t="s">
        <v>153</v>
      </c>
      <c r="D64" s="13" t="s">
        <v>149</v>
      </c>
      <c r="E64" s="13" t="s">
        <v>108</v>
      </c>
      <c r="F64" s="13" t="s">
        <v>74</v>
      </c>
      <c r="G64" s="13" t="s">
        <v>439</v>
      </c>
      <c r="H64" s="13" t="s">
        <v>74</v>
      </c>
      <c r="I64" s="13" t="s">
        <v>439</v>
      </c>
      <c r="J64" s="13" t="s">
        <v>77</v>
      </c>
      <c r="K64" s="13" t="s">
        <v>78</v>
      </c>
      <c r="L64" s="13" t="s">
        <v>79</v>
      </c>
      <c r="M64" s="13" t="s">
        <v>80</v>
      </c>
      <c r="N64" s="13" t="s">
        <v>79</v>
      </c>
      <c r="O64" s="13" t="s">
        <v>487</v>
      </c>
      <c r="P64" s="13" t="s">
        <v>79</v>
      </c>
      <c r="Q64" s="13" t="s">
        <v>118</v>
      </c>
      <c r="R64" s="13" t="s">
        <v>79</v>
      </c>
      <c r="S64" s="13" t="s">
        <v>79</v>
      </c>
      <c r="T64" s="13" t="s">
        <v>86</v>
      </c>
      <c r="U64" s="13" t="s">
        <v>141</v>
      </c>
      <c r="V64" s="13" t="s">
        <v>455</v>
      </c>
      <c r="W64" t="s">
        <v>486</v>
      </c>
      <c r="X64" s="12">
        <v>2.5454545454545454</v>
      </c>
      <c r="Y64" s="12">
        <v>1.2</v>
      </c>
      <c r="Z64" s="12">
        <v>3</v>
      </c>
      <c r="AA64" s="12">
        <v>1.3333333333333333</v>
      </c>
      <c r="AB64" s="12">
        <v>2</v>
      </c>
      <c r="AC64" s="12">
        <v>2.6666666666666665</v>
      </c>
      <c r="AD64" s="12">
        <v>2.124242424242424</v>
      </c>
    </row>
    <row r="65" spans="1:30" x14ac:dyDescent="0.3">
      <c r="A65" s="13">
        <v>26</v>
      </c>
      <c r="B65" s="13" t="s">
        <v>70</v>
      </c>
      <c r="C65" s="13" t="s">
        <v>153</v>
      </c>
      <c r="D65" s="13" t="s">
        <v>149</v>
      </c>
      <c r="E65" s="13" t="s">
        <v>108</v>
      </c>
      <c r="F65" s="13" t="s">
        <v>74</v>
      </c>
      <c r="G65" s="13" t="s">
        <v>439</v>
      </c>
      <c r="H65" s="13" t="s">
        <v>74</v>
      </c>
      <c r="I65" s="13" t="s">
        <v>439</v>
      </c>
      <c r="J65" s="13" t="s">
        <v>77</v>
      </c>
      <c r="K65" s="13" t="s">
        <v>78</v>
      </c>
      <c r="L65" s="13" t="s">
        <v>79</v>
      </c>
      <c r="M65" s="13" t="s">
        <v>80</v>
      </c>
      <c r="N65" s="13" t="s">
        <v>79</v>
      </c>
      <c r="O65" s="13" t="s">
        <v>487</v>
      </c>
      <c r="P65" s="13" t="s">
        <v>79</v>
      </c>
      <c r="Q65" s="13" t="s">
        <v>118</v>
      </c>
      <c r="R65" s="13" t="s">
        <v>79</v>
      </c>
      <c r="S65" s="13" t="s">
        <v>79</v>
      </c>
      <c r="T65" s="13" t="s">
        <v>86</v>
      </c>
      <c r="U65" s="13" t="s">
        <v>141</v>
      </c>
      <c r="V65" s="13" t="s">
        <v>455</v>
      </c>
      <c r="W65" t="s">
        <v>486</v>
      </c>
      <c r="X65" s="12">
        <v>2.5454545454545454</v>
      </c>
      <c r="Y65" s="12">
        <v>1.2</v>
      </c>
      <c r="Z65" s="12">
        <v>3</v>
      </c>
      <c r="AA65" s="12">
        <v>1.3333333333333333</v>
      </c>
      <c r="AB65" s="12">
        <v>2</v>
      </c>
      <c r="AC65" s="12">
        <v>2.6666666666666665</v>
      </c>
      <c r="AD65" s="12">
        <v>2.124242424242424</v>
      </c>
    </row>
    <row r="66" spans="1:30" x14ac:dyDescent="0.3">
      <c r="A66" s="13">
        <v>26</v>
      </c>
      <c r="B66" s="13" t="s">
        <v>70</v>
      </c>
      <c r="C66" s="13" t="s">
        <v>153</v>
      </c>
      <c r="D66" s="13" t="s">
        <v>149</v>
      </c>
      <c r="E66" s="13" t="s">
        <v>108</v>
      </c>
      <c r="F66" s="13" t="s">
        <v>74</v>
      </c>
      <c r="G66" s="13" t="s">
        <v>439</v>
      </c>
      <c r="H66" s="13" t="s">
        <v>74</v>
      </c>
      <c r="I66" s="13" t="s">
        <v>439</v>
      </c>
      <c r="J66" s="13" t="s">
        <v>77</v>
      </c>
      <c r="K66" s="13" t="s">
        <v>78</v>
      </c>
      <c r="L66" s="13" t="s">
        <v>79</v>
      </c>
      <c r="M66" s="13" t="s">
        <v>80</v>
      </c>
      <c r="N66" s="13" t="s">
        <v>79</v>
      </c>
      <c r="O66" s="13" t="s">
        <v>487</v>
      </c>
      <c r="P66" s="13" t="s">
        <v>79</v>
      </c>
      <c r="Q66" s="13" t="s">
        <v>118</v>
      </c>
      <c r="R66" s="13" t="s">
        <v>79</v>
      </c>
      <c r="S66" s="13" t="s">
        <v>79</v>
      </c>
      <c r="T66" s="13" t="s">
        <v>86</v>
      </c>
      <c r="U66" s="13" t="s">
        <v>141</v>
      </c>
      <c r="V66" s="13" t="s">
        <v>455</v>
      </c>
      <c r="W66" t="s">
        <v>485</v>
      </c>
      <c r="X66" s="12">
        <v>2.5454545454545454</v>
      </c>
      <c r="Y66" s="12">
        <v>1.2</v>
      </c>
      <c r="Z66" s="12">
        <v>3</v>
      </c>
      <c r="AA66" s="12">
        <v>1.3333333333333333</v>
      </c>
      <c r="AB66" s="12">
        <v>2</v>
      </c>
      <c r="AC66" s="12">
        <v>2.6666666666666665</v>
      </c>
      <c r="AD66" s="12">
        <v>2.124242424242424</v>
      </c>
    </row>
    <row r="67" spans="1:30" x14ac:dyDescent="0.3">
      <c r="A67" s="13">
        <v>26</v>
      </c>
      <c r="B67" s="13" t="s">
        <v>70</v>
      </c>
      <c r="C67" s="13" t="s">
        <v>153</v>
      </c>
      <c r="D67" s="13" t="s">
        <v>149</v>
      </c>
      <c r="E67" s="13" t="s">
        <v>108</v>
      </c>
      <c r="F67" s="13" t="s">
        <v>74</v>
      </c>
      <c r="G67" s="13" t="s">
        <v>439</v>
      </c>
      <c r="H67" s="13" t="s">
        <v>74</v>
      </c>
      <c r="I67" s="13" t="s">
        <v>439</v>
      </c>
      <c r="J67" s="13" t="s">
        <v>77</v>
      </c>
      <c r="K67" s="13" t="s">
        <v>78</v>
      </c>
      <c r="L67" s="13" t="s">
        <v>79</v>
      </c>
      <c r="M67" s="13" t="s">
        <v>80</v>
      </c>
      <c r="N67" s="13" t="s">
        <v>79</v>
      </c>
      <c r="O67" s="13" t="s">
        <v>487</v>
      </c>
      <c r="P67" s="13" t="s">
        <v>79</v>
      </c>
      <c r="Q67" s="13" t="s">
        <v>118</v>
      </c>
      <c r="R67" s="13" t="s">
        <v>79</v>
      </c>
      <c r="S67" s="13" t="s">
        <v>79</v>
      </c>
      <c r="T67" s="13" t="s">
        <v>86</v>
      </c>
      <c r="U67" s="13" t="s">
        <v>141</v>
      </c>
      <c r="V67" s="13" t="s">
        <v>455</v>
      </c>
      <c r="W67" t="s">
        <v>486</v>
      </c>
      <c r="X67" s="12">
        <v>2.5454545454545454</v>
      </c>
      <c r="Y67" s="12">
        <v>1.2</v>
      </c>
      <c r="Z67" s="12">
        <v>3</v>
      </c>
      <c r="AA67" s="12">
        <v>1.3333333333333333</v>
      </c>
      <c r="AB67" s="12">
        <v>2</v>
      </c>
      <c r="AC67" s="12">
        <v>2.6666666666666665</v>
      </c>
      <c r="AD67" s="12">
        <v>2.124242424242424</v>
      </c>
    </row>
    <row r="68" spans="1:30" x14ac:dyDescent="0.3">
      <c r="A68" s="13">
        <v>26</v>
      </c>
      <c r="B68" s="13" t="s">
        <v>70</v>
      </c>
      <c r="C68" s="13" t="s">
        <v>153</v>
      </c>
      <c r="D68" s="13" t="s">
        <v>149</v>
      </c>
      <c r="E68" s="13" t="s">
        <v>108</v>
      </c>
      <c r="F68" s="13" t="s">
        <v>74</v>
      </c>
      <c r="G68" s="13" t="s">
        <v>439</v>
      </c>
      <c r="H68" s="13" t="s">
        <v>74</v>
      </c>
      <c r="I68" s="13" t="s">
        <v>439</v>
      </c>
      <c r="J68" s="13" t="s">
        <v>77</v>
      </c>
      <c r="K68" s="13" t="s">
        <v>78</v>
      </c>
      <c r="L68" s="13" t="s">
        <v>79</v>
      </c>
      <c r="M68" s="13" t="s">
        <v>80</v>
      </c>
      <c r="N68" s="13" t="s">
        <v>79</v>
      </c>
      <c r="O68" s="13" t="s">
        <v>487</v>
      </c>
      <c r="P68" s="13" t="s">
        <v>79</v>
      </c>
      <c r="Q68" s="13" t="s">
        <v>118</v>
      </c>
      <c r="R68" s="13" t="s">
        <v>79</v>
      </c>
      <c r="S68" s="13" t="s">
        <v>79</v>
      </c>
      <c r="T68" s="13" t="s">
        <v>86</v>
      </c>
      <c r="U68" s="13" t="s">
        <v>141</v>
      </c>
      <c r="V68" s="13" t="s">
        <v>455</v>
      </c>
      <c r="W68" t="s">
        <v>486</v>
      </c>
      <c r="X68" s="12">
        <v>2.5454545454545454</v>
      </c>
      <c r="Y68" s="12">
        <v>1.2</v>
      </c>
      <c r="Z68" s="12">
        <v>3</v>
      </c>
      <c r="AA68" s="12">
        <v>1.3333333333333333</v>
      </c>
      <c r="AB68" s="12">
        <v>2</v>
      </c>
      <c r="AC68" s="12">
        <v>2.6666666666666665</v>
      </c>
      <c r="AD68" s="12">
        <v>2.124242424242424</v>
      </c>
    </row>
    <row r="69" spans="1:30" x14ac:dyDescent="0.3">
      <c r="A69" s="13">
        <v>26</v>
      </c>
      <c r="B69" s="13" t="s">
        <v>70</v>
      </c>
      <c r="C69" s="13" t="s">
        <v>153</v>
      </c>
      <c r="D69" s="13" t="s">
        <v>149</v>
      </c>
      <c r="E69" s="13" t="s">
        <v>108</v>
      </c>
      <c r="F69" s="13" t="s">
        <v>74</v>
      </c>
      <c r="G69" s="13" t="s">
        <v>439</v>
      </c>
      <c r="H69" s="13" t="s">
        <v>74</v>
      </c>
      <c r="I69" s="13" t="s">
        <v>439</v>
      </c>
      <c r="J69" s="13" t="s">
        <v>77</v>
      </c>
      <c r="K69" s="13" t="s">
        <v>78</v>
      </c>
      <c r="L69" s="13" t="s">
        <v>79</v>
      </c>
      <c r="M69" s="13" t="s">
        <v>80</v>
      </c>
      <c r="N69" s="13" t="s">
        <v>79</v>
      </c>
      <c r="O69" s="13" t="s">
        <v>487</v>
      </c>
      <c r="P69" s="13" t="s">
        <v>79</v>
      </c>
      <c r="Q69" s="13" t="s">
        <v>118</v>
      </c>
      <c r="R69" s="13" t="s">
        <v>79</v>
      </c>
      <c r="S69" s="13" t="s">
        <v>79</v>
      </c>
      <c r="T69" s="13" t="s">
        <v>86</v>
      </c>
      <c r="U69" s="13" t="s">
        <v>141</v>
      </c>
      <c r="V69" s="13" t="s">
        <v>455</v>
      </c>
      <c r="W69" t="s">
        <v>486</v>
      </c>
      <c r="X69" s="12">
        <v>2.5454545454545454</v>
      </c>
      <c r="Y69" s="12">
        <v>1.2</v>
      </c>
      <c r="Z69" s="12">
        <v>3</v>
      </c>
      <c r="AA69" s="12">
        <v>1.3333333333333333</v>
      </c>
      <c r="AB69" s="12">
        <v>2</v>
      </c>
      <c r="AC69" s="12">
        <v>2.6666666666666665</v>
      </c>
      <c r="AD69" s="12">
        <v>2.124242424242424</v>
      </c>
    </row>
    <row r="70" spans="1:30" x14ac:dyDescent="0.3">
      <c r="A70" s="13">
        <v>26</v>
      </c>
      <c r="B70" s="13" t="s">
        <v>70</v>
      </c>
      <c r="C70" s="13" t="s">
        <v>153</v>
      </c>
      <c r="D70" s="13" t="s">
        <v>149</v>
      </c>
      <c r="E70" s="13" t="s">
        <v>108</v>
      </c>
      <c r="F70" s="13" t="s">
        <v>74</v>
      </c>
      <c r="G70" s="13" t="s">
        <v>439</v>
      </c>
      <c r="H70" s="13" t="s">
        <v>74</v>
      </c>
      <c r="I70" s="13" t="s">
        <v>439</v>
      </c>
      <c r="J70" s="13" t="s">
        <v>77</v>
      </c>
      <c r="K70" s="13" t="s">
        <v>78</v>
      </c>
      <c r="L70" s="13" t="s">
        <v>79</v>
      </c>
      <c r="M70" s="13" t="s">
        <v>80</v>
      </c>
      <c r="N70" s="13" t="s">
        <v>79</v>
      </c>
      <c r="O70" s="13" t="s">
        <v>487</v>
      </c>
      <c r="P70" s="13" t="s">
        <v>79</v>
      </c>
      <c r="Q70" s="13" t="s">
        <v>118</v>
      </c>
      <c r="R70" s="13" t="s">
        <v>79</v>
      </c>
      <c r="S70" s="13" t="s">
        <v>79</v>
      </c>
      <c r="T70" s="13" t="s">
        <v>86</v>
      </c>
      <c r="U70" s="13" t="s">
        <v>141</v>
      </c>
      <c r="V70" s="13" t="s">
        <v>455</v>
      </c>
      <c r="W70" t="s">
        <v>485</v>
      </c>
      <c r="X70" s="12">
        <v>2.5454545454545454</v>
      </c>
      <c r="Y70" s="12">
        <v>1.2</v>
      </c>
      <c r="Z70" s="12">
        <v>3</v>
      </c>
      <c r="AA70" s="12">
        <v>1.3333333333333333</v>
      </c>
      <c r="AB70" s="12">
        <v>2</v>
      </c>
      <c r="AC70" s="12">
        <v>2.6666666666666665</v>
      </c>
      <c r="AD70" s="12">
        <v>2.124242424242424</v>
      </c>
    </row>
    <row r="71" spans="1:30" x14ac:dyDescent="0.3">
      <c r="A71" s="13">
        <v>26</v>
      </c>
      <c r="B71" s="13" t="s">
        <v>70</v>
      </c>
      <c r="C71" s="13" t="s">
        <v>153</v>
      </c>
      <c r="D71" s="13" t="s">
        <v>149</v>
      </c>
      <c r="E71" s="13" t="s">
        <v>108</v>
      </c>
      <c r="F71" s="13" t="s">
        <v>74</v>
      </c>
      <c r="G71" s="13" t="s">
        <v>439</v>
      </c>
      <c r="H71" s="13" t="s">
        <v>74</v>
      </c>
      <c r="I71" s="13" t="s">
        <v>439</v>
      </c>
      <c r="J71" s="13" t="s">
        <v>77</v>
      </c>
      <c r="K71" s="13" t="s">
        <v>78</v>
      </c>
      <c r="L71" s="13" t="s">
        <v>79</v>
      </c>
      <c r="M71" s="13" t="s">
        <v>80</v>
      </c>
      <c r="N71" s="13" t="s">
        <v>79</v>
      </c>
      <c r="O71" s="13" t="s">
        <v>487</v>
      </c>
      <c r="P71" s="13" t="s">
        <v>79</v>
      </c>
      <c r="Q71" s="13" t="s">
        <v>118</v>
      </c>
      <c r="R71" s="13" t="s">
        <v>79</v>
      </c>
      <c r="S71" s="13" t="s">
        <v>79</v>
      </c>
      <c r="T71" s="13" t="s">
        <v>86</v>
      </c>
      <c r="U71" s="13" t="s">
        <v>141</v>
      </c>
      <c r="V71" s="13" t="s">
        <v>455</v>
      </c>
      <c r="W71" t="s">
        <v>486</v>
      </c>
      <c r="X71" s="12">
        <v>2.5454545454545454</v>
      </c>
      <c r="Y71" s="12">
        <v>1.2</v>
      </c>
      <c r="Z71" s="12">
        <v>3</v>
      </c>
      <c r="AA71" s="12">
        <v>1.3333333333333333</v>
      </c>
      <c r="AB71" s="12">
        <v>2</v>
      </c>
      <c r="AC71" s="12">
        <v>2.6666666666666665</v>
      </c>
      <c r="AD71" s="12">
        <v>2.124242424242424</v>
      </c>
    </row>
    <row r="72" spans="1:30" x14ac:dyDescent="0.3">
      <c r="A72" s="13">
        <v>26</v>
      </c>
      <c r="B72" s="13" t="s">
        <v>70</v>
      </c>
      <c r="C72" s="13" t="s">
        <v>153</v>
      </c>
      <c r="D72" s="13" t="s">
        <v>149</v>
      </c>
      <c r="E72" s="13" t="s">
        <v>108</v>
      </c>
      <c r="F72" s="13" t="s">
        <v>74</v>
      </c>
      <c r="G72" s="13" t="s">
        <v>439</v>
      </c>
      <c r="H72" s="13" t="s">
        <v>74</v>
      </c>
      <c r="I72" s="13" t="s">
        <v>439</v>
      </c>
      <c r="J72" s="13" t="s">
        <v>77</v>
      </c>
      <c r="K72" s="13" t="s">
        <v>78</v>
      </c>
      <c r="L72" s="13" t="s">
        <v>79</v>
      </c>
      <c r="M72" s="13" t="s">
        <v>80</v>
      </c>
      <c r="N72" s="13" t="s">
        <v>79</v>
      </c>
      <c r="O72" s="13" t="s">
        <v>487</v>
      </c>
      <c r="P72" s="13" t="s">
        <v>79</v>
      </c>
      <c r="Q72" s="13" t="s">
        <v>118</v>
      </c>
      <c r="R72" s="13" t="s">
        <v>79</v>
      </c>
      <c r="S72" s="13" t="s">
        <v>79</v>
      </c>
      <c r="T72" s="13" t="s">
        <v>86</v>
      </c>
      <c r="U72" s="13" t="s">
        <v>141</v>
      </c>
      <c r="V72" s="13" t="s">
        <v>455</v>
      </c>
      <c r="W72" t="s">
        <v>486</v>
      </c>
      <c r="X72" s="12">
        <v>2.5454545454545454</v>
      </c>
      <c r="Y72" s="12">
        <v>1.2</v>
      </c>
      <c r="Z72" s="12">
        <v>3</v>
      </c>
      <c r="AA72" s="12">
        <v>1.3333333333333333</v>
      </c>
      <c r="AB72" s="12">
        <v>2</v>
      </c>
      <c r="AC72" s="12">
        <v>2.6666666666666665</v>
      </c>
      <c r="AD72" s="12">
        <v>2.124242424242424</v>
      </c>
    </row>
    <row r="73" spans="1:30" x14ac:dyDescent="0.3">
      <c r="A73" s="13">
        <v>26</v>
      </c>
      <c r="B73" s="13" t="s">
        <v>70</v>
      </c>
      <c r="C73" s="13" t="s">
        <v>153</v>
      </c>
      <c r="D73" s="13" t="s">
        <v>149</v>
      </c>
      <c r="E73" s="13" t="s">
        <v>108</v>
      </c>
      <c r="F73" s="13" t="s">
        <v>74</v>
      </c>
      <c r="G73" s="13" t="s">
        <v>439</v>
      </c>
      <c r="H73" s="13" t="s">
        <v>74</v>
      </c>
      <c r="I73" s="13" t="s">
        <v>439</v>
      </c>
      <c r="J73" s="13" t="s">
        <v>77</v>
      </c>
      <c r="K73" s="13" t="s">
        <v>78</v>
      </c>
      <c r="L73" s="13" t="s">
        <v>79</v>
      </c>
      <c r="M73" s="13" t="s">
        <v>80</v>
      </c>
      <c r="N73" s="13" t="s">
        <v>79</v>
      </c>
      <c r="O73" s="13" t="s">
        <v>487</v>
      </c>
      <c r="P73" s="13" t="s">
        <v>79</v>
      </c>
      <c r="Q73" s="13" t="s">
        <v>118</v>
      </c>
      <c r="R73" s="13" t="s">
        <v>79</v>
      </c>
      <c r="S73" s="13" t="s">
        <v>79</v>
      </c>
      <c r="T73" s="13" t="s">
        <v>86</v>
      </c>
      <c r="U73" s="13" t="s">
        <v>141</v>
      </c>
      <c r="V73" s="13" t="s">
        <v>455</v>
      </c>
      <c r="W73" t="s">
        <v>486</v>
      </c>
      <c r="X73" s="12">
        <v>2.5454545454545454</v>
      </c>
      <c r="Y73" s="12">
        <v>1.2</v>
      </c>
      <c r="Z73" s="12">
        <v>3</v>
      </c>
      <c r="AA73" s="12">
        <v>1.3333333333333333</v>
      </c>
      <c r="AB73" s="12">
        <v>2</v>
      </c>
      <c r="AC73" s="12">
        <v>2.6666666666666665</v>
      </c>
      <c r="AD73" s="12">
        <v>2.124242424242424</v>
      </c>
    </row>
    <row r="74" spans="1:30" x14ac:dyDescent="0.3">
      <c r="A74" s="13">
        <v>26</v>
      </c>
      <c r="B74" s="13" t="s">
        <v>70</v>
      </c>
      <c r="C74" s="13" t="s">
        <v>153</v>
      </c>
      <c r="D74" s="13" t="s">
        <v>149</v>
      </c>
      <c r="E74" s="13" t="s">
        <v>108</v>
      </c>
      <c r="F74" s="13" t="s">
        <v>74</v>
      </c>
      <c r="G74" s="13" t="s">
        <v>439</v>
      </c>
      <c r="H74" s="13" t="s">
        <v>74</v>
      </c>
      <c r="I74" s="13" t="s">
        <v>439</v>
      </c>
      <c r="J74" s="13" t="s">
        <v>77</v>
      </c>
      <c r="K74" s="13" t="s">
        <v>78</v>
      </c>
      <c r="L74" s="13" t="s">
        <v>79</v>
      </c>
      <c r="M74" s="13" t="s">
        <v>80</v>
      </c>
      <c r="N74" s="13" t="s">
        <v>79</v>
      </c>
      <c r="O74" s="13" t="s">
        <v>487</v>
      </c>
      <c r="P74" s="13" t="s">
        <v>79</v>
      </c>
      <c r="Q74" s="13" t="s">
        <v>118</v>
      </c>
      <c r="R74" s="13" t="s">
        <v>79</v>
      </c>
      <c r="S74" s="13" t="s">
        <v>79</v>
      </c>
      <c r="T74" s="13" t="s">
        <v>86</v>
      </c>
      <c r="U74" s="13" t="s">
        <v>141</v>
      </c>
      <c r="V74" s="13" t="s">
        <v>455</v>
      </c>
      <c r="W74" t="s">
        <v>486</v>
      </c>
      <c r="X74" s="12">
        <v>2.5454545454545454</v>
      </c>
      <c r="Y74" s="12">
        <v>1.2</v>
      </c>
      <c r="Z74" s="12">
        <v>3</v>
      </c>
      <c r="AA74" s="12">
        <v>1.3333333333333333</v>
      </c>
      <c r="AB74" s="12">
        <v>2</v>
      </c>
      <c r="AC74" s="12">
        <v>2.6666666666666665</v>
      </c>
      <c r="AD74" s="12">
        <v>2.124242424242424</v>
      </c>
    </row>
    <row r="75" spans="1:30" x14ac:dyDescent="0.3">
      <c r="A75" s="13">
        <v>26</v>
      </c>
      <c r="B75" s="13" t="s">
        <v>70</v>
      </c>
      <c r="C75" s="13" t="s">
        <v>153</v>
      </c>
      <c r="D75" s="13" t="s">
        <v>149</v>
      </c>
      <c r="E75" s="13" t="s">
        <v>108</v>
      </c>
      <c r="F75" s="13" t="s">
        <v>74</v>
      </c>
      <c r="G75" s="13" t="s">
        <v>439</v>
      </c>
      <c r="H75" s="13" t="s">
        <v>74</v>
      </c>
      <c r="I75" s="13" t="s">
        <v>439</v>
      </c>
      <c r="J75" s="13" t="s">
        <v>77</v>
      </c>
      <c r="K75" s="13" t="s">
        <v>78</v>
      </c>
      <c r="L75" s="13" t="s">
        <v>79</v>
      </c>
      <c r="M75" s="13" t="s">
        <v>80</v>
      </c>
      <c r="N75" s="13" t="s">
        <v>79</v>
      </c>
      <c r="O75" s="13" t="s">
        <v>487</v>
      </c>
      <c r="P75" s="13" t="s">
        <v>79</v>
      </c>
      <c r="Q75" s="13" t="s">
        <v>118</v>
      </c>
      <c r="R75" s="13" t="s">
        <v>79</v>
      </c>
      <c r="S75" s="13" t="s">
        <v>79</v>
      </c>
      <c r="T75" s="13" t="s">
        <v>86</v>
      </c>
      <c r="U75" s="13" t="s">
        <v>141</v>
      </c>
      <c r="V75" s="13" t="s">
        <v>455</v>
      </c>
      <c r="W75" t="s">
        <v>486</v>
      </c>
      <c r="X75" s="12">
        <v>2.5454545454545454</v>
      </c>
      <c r="Y75" s="12">
        <v>1.2</v>
      </c>
      <c r="Z75" s="12">
        <v>3</v>
      </c>
      <c r="AA75" s="12">
        <v>1.3333333333333333</v>
      </c>
      <c r="AB75" s="12">
        <v>2</v>
      </c>
      <c r="AC75" s="12">
        <v>2.6666666666666665</v>
      </c>
      <c r="AD75" s="12">
        <v>2.124242424242424</v>
      </c>
    </row>
    <row r="76" spans="1:30" x14ac:dyDescent="0.3">
      <c r="A76" s="13">
        <v>23</v>
      </c>
      <c r="B76" s="13" t="s">
        <v>70</v>
      </c>
      <c r="C76" s="13" t="s">
        <v>113</v>
      </c>
      <c r="D76" s="13" t="s">
        <v>72</v>
      </c>
      <c r="E76" s="13" t="s">
        <v>73</v>
      </c>
      <c r="F76" s="13" t="s">
        <v>98</v>
      </c>
      <c r="G76" s="13" t="s">
        <v>440</v>
      </c>
      <c r="H76" s="13" t="s">
        <v>98</v>
      </c>
      <c r="I76" s="13" t="s">
        <v>76</v>
      </c>
      <c r="J76" s="13" t="s">
        <v>77</v>
      </c>
      <c r="K76" s="13" t="s">
        <v>78</v>
      </c>
      <c r="L76" s="13" t="s">
        <v>82</v>
      </c>
      <c r="M76" s="13" t="s">
        <v>80</v>
      </c>
      <c r="N76" s="13" t="s">
        <v>79</v>
      </c>
      <c r="O76" s="13" t="s">
        <v>488</v>
      </c>
      <c r="P76" s="13" t="s">
        <v>79</v>
      </c>
      <c r="Q76" s="13" t="s">
        <v>83</v>
      </c>
      <c r="R76" s="13" t="s">
        <v>79</v>
      </c>
      <c r="S76" s="13" t="s">
        <v>82</v>
      </c>
      <c r="T76" s="13" t="s">
        <v>86</v>
      </c>
      <c r="U76" s="13" t="s">
        <v>120</v>
      </c>
      <c r="V76" s="13" t="s">
        <v>457</v>
      </c>
      <c r="W76" t="s">
        <v>486</v>
      </c>
      <c r="X76" s="12">
        <v>2.2727272727272729</v>
      </c>
      <c r="Y76" s="12">
        <v>2</v>
      </c>
      <c r="Z76" s="12">
        <v>1.6666666666666667</v>
      </c>
      <c r="AA76" s="12">
        <v>1.7777777777777777</v>
      </c>
      <c r="AB76" s="12">
        <v>1.8</v>
      </c>
      <c r="AC76" s="12">
        <v>2.6666666666666665</v>
      </c>
      <c r="AD76" s="12">
        <v>2.0306397306397308</v>
      </c>
    </row>
    <row r="77" spans="1:30" x14ac:dyDescent="0.3">
      <c r="A77" s="13">
        <v>23</v>
      </c>
      <c r="B77" s="13" t="s">
        <v>70</v>
      </c>
      <c r="C77" s="13" t="s">
        <v>96</v>
      </c>
      <c r="D77" s="13" t="s">
        <v>72</v>
      </c>
      <c r="E77" s="13" t="s">
        <v>73</v>
      </c>
      <c r="F77" s="13" t="s">
        <v>136</v>
      </c>
      <c r="G77" s="13" t="s">
        <v>440</v>
      </c>
      <c r="H77" s="13" t="s">
        <v>98</v>
      </c>
      <c r="I77" s="13" t="s">
        <v>76</v>
      </c>
      <c r="J77" s="13" t="s">
        <v>77</v>
      </c>
      <c r="K77" s="13" t="s">
        <v>122</v>
      </c>
      <c r="L77" s="13" t="s">
        <v>79</v>
      </c>
      <c r="M77" s="13" t="s">
        <v>80</v>
      </c>
      <c r="N77" s="13" t="s">
        <v>79</v>
      </c>
      <c r="O77" s="13" t="s">
        <v>490</v>
      </c>
      <c r="P77" s="13" t="s">
        <v>79</v>
      </c>
      <c r="Q77" s="13" t="s">
        <v>83</v>
      </c>
      <c r="R77" s="13" t="s">
        <v>79</v>
      </c>
      <c r="S77" s="13" t="s">
        <v>79</v>
      </c>
      <c r="T77" s="13" t="s">
        <v>86</v>
      </c>
      <c r="U77" s="13" t="s">
        <v>141</v>
      </c>
      <c r="V77" s="13" t="s">
        <v>127</v>
      </c>
      <c r="W77" t="s">
        <v>486</v>
      </c>
      <c r="X77" s="12">
        <v>1.5454545454545454</v>
      </c>
      <c r="Y77" s="12">
        <v>1.8</v>
      </c>
      <c r="Z77" s="12">
        <v>1.3333333333333333</v>
      </c>
      <c r="AA77" s="12">
        <v>1.5555555555555556</v>
      </c>
      <c r="AB77" s="12">
        <v>1.4</v>
      </c>
      <c r="AC77" s="12">
        <v>2.6666666666666665</v>
      </c>
      <c r="AD77" s="12">
        <v>1.7168350168350166</v>
      </c>
    </row>
    <row r="78" spans="1:30" x14ac:dyDescent="0.3">
      <c r="A78" s="13">
        <v>21</v>
      </c>
      <c r="B78" s="13" t="s">
        <v>128</v>
      </c>
      <c r="C78" s="13" t="s">
        <v>157</v>
      </c>
      <c r="D78" s="13" t="s">
        <v>72</v>
      </c>
      <c r="E78" s="13" t="s">
        <v>114</v>
      </c>
      <c r="F78" s="13" t="s">
        <v>136</v>
      </c>
      <c r="G78" s="13" t="s">
        <v>440</v>
      </c>
      <c r="H78" s="13" t="s">
        <v>98</v>
      </c>
      <c r="I78" s="13" t="s">
        <v>76</v>
      </c>
      <c r="J78" s="13" t="s">
        <v>77</v>
      </c>
      <c r="K78" s="13" t="s">
        <v>125</v>
      </c>
      <c r="L78" s="13" t="s">
        <v>79</v>
      </c>
      <c r="M78" s="13" t="s">
        <v>80</v>
      </c>
      <c r="N78" s="13" t="s">
        <v>79</v>
      </c>
      <c r="O78" s="13" t="s">
        <v>488</v>
      </c>
      <c r="P78" s="13" t="s">
        <v>82</v>
      </c>
      <c r="Q78" s="13" t="s">
        <v>83</v>
      </c>
      <c r="R78" s="13" t="s">
        <v>79</v>
      </c>
      <c r="S78" s="13" t="s">
        <v>82</v>
      </c>
      <c r="T78" s="13" t="s">
        <v>106</v>
      </c>
      <c r="U78" s="13" t="s">
        <v>120</v>
      </c>
      <c r="V78" s="13" t="s">
        <v>112</v>
      </c>
      <c r="W78" t="s">
        <v>486</v>
      </c>
      <c r="X78" s="12">
        <v>1.4545454545454546</v>
      </c>
      <c r="Y78" s="12">
        <v>1.6</v>
      </c>
      <c r="Z78" s="12">
        <v>1.3333333333333333</v>
      </c>
      <c r="AA78" s="12">
        <v>1.2222222222222223</v>
      </c>
      <c r="AB78" s="12">
        <v>1.4</v>
      </c>
      <c r="AC78" s="12">
        <v>2.6666666666666665</v>
      </c>
      <c r="AD78" s="12">
        <v>1.6127946127946127</v>
      </c>
    </row>
    <row r="79" spans="1:30" x14ac:dyDescent="0.3">
      <c r="A79" s="13">
        <v>21</v>
      </c>
      <c r="B79" s="13" t="s">
        <v>70</v>
      </c>
      <c r="C79" s="13" t="s">
        <v>96</v>
      </c>
      <c r="D79" s="13" t="s">
        <v>72</v>
      </c>
      <c r="E79" s="13" t="s">
        <v>73</v>
      </c>
      <c r="F79" s="13" t="s">
        <v>136</v>
      </c>
      <c r="G79" s="13" t="s">
        <v>439</v>
      </c>
      <c r="H79" s="13" t="s">
        <v>136</v>
      </c>
      <c r="I79" s="13" t="s">
        <v>76</v>
      </c>
      <c r="J79" s="13" t="s">
        <v>77</v>
      </c>
      <c r="K79" s="13" t="s">
        <v>78</v>
      </c>
      <c r="L79" s="13" t="s">
        <v>82</v>
      </c>
      <c r="M79" s="13" t="s">
        <v>80</v>
      </c>
      <c r="N79" s="13" t="s">
        <v>79</v>
      </c>
      <c r="O79" s="13" t="s">
        <v>487</v>
      </c>
      <c r="P79" s="13" t="s">
        <v>79</v>
      </c>
      <c r="Q79" s="13" t="s">
        <v>83</v>
      </c>
      <c r="R79" s="13" t="s">
        <v>82</v>
      </c>
      <c r="S79" s="13" t="s">
        <v>82</v>
      </c>
      <c r="T79" s="13" t="s">
        <v>86</v>
      </c>
      <c r="U79" s="13" t="s">
        <v>87</v>
      </c>
      <c r="V79" s="13" t="s">
        <v>455</v>
      </c>
      <c r="W79" t="s">
        <v>486</v>
      </c>
      <c r="X79" s="12">
        <v>2.7272727272727271</v>
      </c>
      <c r="Y79" s="12">
        <v>2.8</v>
      </c>
      <c r="Z79" s="12">
        <v>2.3333333333333335</v>
      </c>
      <c r="AA79" s="12">
        <v>2.6666666666666665</v>
      </c>
      <c r="AB79" s="12">
        <v>3</v>
      </c>
      <c r="AC79" s="12">
        <v>2.3333333333333335</v>
      </c>
      <c r="AD79" s="12">
        <v>2.6434343434343437</v>
      </c>
    </row>
    <row r="80" spans="1:30" x14ac:dyDescent="0.3">
      <c r="A80" s="13">
        <v>21</v>
      </c>
      <c r="B80" s="13" t="s">
        <v>70</v>
      </c>
      <c r="C80" s="13" t="s">
        <v>157</v>
      </c>
      <c r="D80" s="13" t="s">
        <v>97</v>
      </c>
      <c r="E80" s="13" t="s">
        <v>108</v>
      </c>
      <c r="F80" s="13" t="s">
        <v>74</v>
      </c>
      <c r="G80" s="13" t="s">
        <v>439</v>
      </c>
      <c r="H80" s="13" t="s">
        <v>74</v>
      </c>
      <c r="I80" s="13" t="s">
        <v>76</v>
      </c>
      <c r="J80" s="13" t="s">
        <v>77</v>
      </c>
      <c r="K80" s="13" t="s">
        <v>131</v>
      </c>
      <c r="L80" s="13" t="s">
        <v>79</v>
      </c>
      <c r="M80" s="13" t="s">
        <v>80</v>
      </c>
      <c r="N80" s="13" t="s">
        <v>79</v>
      </c>
      <c r="O80" s="13" t="s">
        <v>489</v>
      </c>
      <c r="P80" s="13" t="s">
        <v>82</v>
      </c>
      <c r="Q80" s="13" t="s">
        <v>83</v>
      </c>
      <c r="R80" s="13" t="s">
        <v>82</v>
      </c>
      <c r="S80" s="13" t="s">
        <v>82</v>
      </c>
      <c r="T80" s="13" t="s">
        <v>106</v>
      </c>
      <c r="U80" s="13" t="s">
        <v>87</v>
      </c>
      <c r="V80" s="13" t="s">
        <v>112</v>
      </c>
      <c r="W80" t="s">
        <v>486</v>
      </c>
      <c r="X80" s="12">
        <v>2.8181818181818183</v>
      </c>
      <c r="Y80" s="12">
        <v>2.4</v>
      </c>
      <c r="Z80" s="12">
        <v>3</v>
      </c>
      <c r="AA80" s="12">
        <v>1.8888888888888888</v>
      </c>
      <c r="AB80" s="12">
        <v>3</v>
      </c>
      <c r="AC80" s="12">
        <v>2.3333333333333335</v>
      </c>
      <c r="AD80" s="12">
        <v>2.5734006734006738</v>
      </c>
    </row>
    <row r="81" spans="1:30" x14ac:dyDescent="0.3">
      <c r="A81" s="13">
        <v>21</v>
      </c>
      <c r="B81" s="13" t="s">
        <v>128</v>
      </c>
      <c r="C81" s="13" t="s">
        <v>157</v>
      </c>
      <c r="D81" s="13" t="s">
        <v>72</v>
      </c>
      <c r="E81" s="13" t="s">
        <v>114</v>
      </c>
      <c r="F81" s="13" t="s">
        <v>136</v>
      </c>
      <c r="G81" s="13" t="s">
        <v>440</v>
      </c>
      <c r="H81" s="13" t="s">
        <v>98</v>
      </c>
      <c r="I81" s="13" t="s">
        <v>76</v>
      </c>
      <c r="J81" s="13" t="s">
        <v>77</v>
      </c>
      <c r="K81" s="13" t="s">
        <v>125</v>
      </c>
      <c r="L81" s="13" t="s">
        <v>79</v>
      </c>
      <c r="M81" s="13" t="s">
        <v>80</v>
      </c>
      <c r="N81" s="13" t="s">
        <v>79</v>
      </c>
      <c r="O81" s="13" t="s">
        <v>488</v>
      </c>
      <c r="P81" s="13" t="s">
        <v>82</v>
      </c>
      <c r="Q81" s="13" t="s">
        <v>83</v>
      </c>
      <c r="R81" s="13" t="s">
        <v>82</v>
      </c>
      <c r="S81" s="13" t="s">
        <v>82</v>
      </c>
      <c r="T81" s="13" t="s">
        <v>106</v>
      </c>
      <c r="U81" s="13" t="s">
        <v>87</v>
      </c>
      <c r="V81" s="13" t="s">
        <v>112</v>
      </c>
      <c r="W81" t="s">
        <v>486</v>
      </c>
      <c r="X81" s="12">
        <v>2.4545454545454546</v>
      </c>
      <c r="Y81" s="12">
        <v>2.6</v>
      </c>
      <c r="Z81" s="12">
        <v>2.3333333333333335</v>
      </c>
      <c r="AA81" s="12">
        <v>2.4444444444444446</v>
      </c>
      <c r="AB81" s="12">
        <v>2.8</v>
      </c>
      <c r="AC81" s="12">
        <v>2.3333333333333335</v>
      </c>
      <c r="AD81" s="12">
        <v>2.4942760942760946</v>
      </c>
    </row>
    <row r="82" spans="1:30" x14ac:dyDescent="0.3">
      <c r="A82" s="13">
        <v>22</v>
      </c>
      <c r="B82" s="13" t="s">
        <v>128</v>
      </c>
      <c r="C82" s="13" t="s">
        <v>113</v>
      </c>
      <c r="D82" s="13" t="s">
        <v>72</v>
      </c>
      <c r="E82" s="13" t="s">
        <v>73</v>
      </c>
      <c r="F82" s="13" t="s">
        <v>74</v>
      </c>
      <c r="G82" s="13" t="s">
        <v>439</v>
      </c>
      <c r="H82" s="13" t="s">
        <v>74</v>
      </c>
      <c r="I82" s="13" t="s">
        <v>76</v>
      </c>
      <c r="J82" s="13" t="s">
        <v>77</v>
      </c>
      <c r="K82" s="13" t="s">
        <v>122</v>
      </c>
      <c r="L82" s="13" t="s">
        <v>79</v>
      </c>
      <c r="M82" s="13" t="s">
        <v>80</v>
      </c>
      <c r="N82" s="13" t="s">
        <v>79</v>
      </c>
      <c r="O82" s="13" t="s">
        <v>489</v>
      </c>
      <c r="P82" s="13" t="s">
        <v>82</v>
      </c>
      <c r="Q82" s="13" t="s">
        <v>83</v>
      </c>
      <c r="R82" s="13" t="s">
        <v>82</v>
      </c>
      <c r="S82" s="13" t="s">
        <v>82</v>
      </c>
      <c r="T82" s="13" t="s">
        <v>106</v>
      </c>
      <c r="U82" s="13" t="s">
        <v>87</v>
      </c>
      <c r="V82" s="13" t="s">
        <v>455</v>
      </c>
      <c r="W82" t="s">
        <v>486</v>
      </c>
      <c r="X82" s="12">
        <v>1.6363636363636365</v>
      </c>
      <c r="Y82" s="12">
        <v>2.2000000000000002</v>
      </c>
      <c r="Z82" s="12">
        <v>1.3333333333333333</v>
      </c>
      <c r="AA82" s="12">
        <v>2.2222222222222223</v>
      </c>
      <c r="AB82" s="12">
        <v>2.8</v>
      </c>
      <c r="AC82" s="12">
        <v>2.3333333333333335</v>
      </c>
      <c r="AD82" s="12">
        <v>2.0875420875420878</v>
      </c>
    </row>
    <row r="83" spans="1:30" x14ac:dyDescent="0.3">
      <c r="A83" s="13">
        <v>24</v>
      </c>
      <c r="B83" s="13" t="s">
        <v>70</v>
      </c>
      <c r="C83" s="13" t="s">
        <v>71</v>
      </c>
      <c r="D83" s="13" t="s">
        <v>72</v>
      </c>
      <c r="E83" s="13" t="s">
        <v>114</v>
      </c>
      <c r="F83" s="13" t="s">
        <v>98</v>
      </c>
      <c r="G83" s="13" t="s">
        <v>440</v>
      </c>
      <c r="H83" s="13" t="s">
        <v>165</v>
      </c>
      <c r="I83" s="13" t="s">
        <v>76</v>
      </c>
      <c r="J83" s="13" t="s">
        <v>77</v>
      </c>
      <c r="K83" s="13" t="s">
        <v>125</v>
      </c>
      <c r="L83" s="13" t="s">
        <v>79</v>
      </c>
      <c r="M83" s="13" t="s">
        <v>102</v>
      </c>
      <c r="N83" s="13" t="s">
        <v>82</v>
      </c>
      <c r="O83" s="13" t="s">
        <v>487</v>
      </c>
      <c r="P83" s="13" t="s">
        <v>79</v>
      </c>
      <c r="Q83" s="13" t="s">
        <v>103</v>
      </c>
      <c r="R83" s="13" t="s">
        <v>79</v>
      </c>
      <c r="S83" s="13" t="s">
        <v>82</v>
      </c>
      <c r="T83" s="13" t="s">
        <v>106</v>
      </c>
      <c r="U83" s="13" t="s">
        <v>141</v>
      </c>
      <c r="V83" s="13" t="s">
        <v>457</v>
      </c>
      <c r="W83" t="s">
        <v>486</v>
      </c>
      <c r="X83" s="12">
        <v>2.3636363636363638</v>
      </c>
      <c r="Y83" s="12">
        <v>0.8</v>
      </c>
      <c r="Z83" s="12">
        <v>2</v>
      </c>
      <c r="AA83" s="12">
        <v>1.7777777777777777</v>
      </c>
      <c r="AB83" s="12">
        <v>2.6</v>
      </c>
      <c r="AC83" s="12">
        <v>2.3333333333333335</v>
      </c>
      <c r="AD83" s="12">
        <v>1.9791245791245793</v>
      </c>
    </row>
    <row r="84" spans="1:30" x14ac:dyDescent="0.3">
      <c r="A84" s="13">
        <v>24</v>
      </c>
      <c r="B84" s="13" t="s">
        <v>70</v>
      </c>
      <c r="C84" s="13" t="s">
        <v>71</v>
      </c>
      <c r="D84" s="13" t="s">
        <v>72</v>
      </c>
      <c r="E84" s="13" t="s">
        <v>114</v>
      </c>
      <c r="F84" s="13" t="s">
        <v>98</v>
      </c>
      <c r="G84" s="13" t="s">
        <v>440</v>
      </c>
      <c r="H84" s="13" t="s">
        <v>165</v>
      </c>
      <c r="I84" s="13" t="s">
        <v>76</v>
      </c>
      <c r="J84" s="13" t="s">
        <v>77</v>
      </c>
      <c r="K84" s="13" t="s">
        <v>125</v>
      </c>
      <c r="L84" s="13" t="s">
        <v>79</v>
      </c>
      <c r="M84" s="13" t="s">
        <v>102</v>
      </c>
      <c r="N84" s="13" t="s">
        <v>82</v>
      </c>
      <c r="O84" s="13" t="s">
        <v>487</v>
      </c>
      <c r="P84" s="13" t="s">
        <v>79</v>
      </c>
      <c r="Q84" s="13" t="s">
        <v>103</v>
      </c>
      <c r="R84" s="13" t="s">
        <v>79</v>
      </c>
      <c r="S84" s="13" t="s">
        <v>82</v>
      </c>
      <c r="T84" s="13" t="s">
        <v>106</v>
      </c>
      <c r="U84" s="13" t="s">
        <v>141</v>
      </c>
      <c r="V84" s="13" t="s">
        <v>457</v>
      </c>
      <c r="W84" t="s">
        <v>485</v>
      </c>
      <c r="X84" s="12">
        <v>2.3636363636363638</v>
      </c>
      <c r="Y84" s="12">
        <v>0.8</v>
      </c>
      <c r="Z84" s="12">
        <v>2</v>
      </c>
      <c r="AA84" s="12">
        <v>1.7777777777777777</v>
      </c>
      <c r="AB84" s="12">
        <v>2.6</v>
      </c>
      <c r="AC84" s="12">
        <v>2.3333333333333335</v>
      </c>
      <c r="AD84" s="12">
        <v>1.9791245791245793</v>
      </c>
    </row>
    <row r="85" spans="1:30" x14ac:dyDescent="0.3">
      <c r="A85" s="13">
        <v>24</v>
      </c>
      <c r="B85" s="13" t="s">
        <v>70</v>
      </c>
      <c r="C85" s="13" t="s">
        <v>71</v>
      </c>
      <c r="D85" s="13" t="s">
        <v>72</v>
      </c>
      <c r="E85" s="13" t="s">
        <v>114</v>
      </c>
      <c r="F85" s="13" t="s">
        <v>98</v>
      </c>
      <c r="G85" s="13" t="s">
        <v>440</v>
      </c>
      <c r="H85" s="13" t="s">
        <v>165</v>
      </c>
      <c r="I85" s="13" t="s">
        <v>76</v>
      </c>
      <c r="J85" s="13" t="s">
        <v>77</v>
      </c>
      <c r="K85" s="13" t="s">
        <v>125</v>
      </c>
      <c r="L85" s="13" t="s">
        <v>79</v>
      </c>
      <c r="M85" s="13" t="s">
        <v>102</v>
      </c>
      <c r="N85" s="13" t="s">
        <v>82</v>
      </c>
      <c r="O85" s="13" t="s">
        <v>487</v>
      </c>
      <c r="P85" s="13" t="s">
        <v>79</v>
      </c>
      <c r="Q85" s="13" t="s">
        <v>103</v>
      </c>
      <c r="R85" s="13" t="s">
        <v>79</v>
      </c>
      <c r="S85" s="13" t="s">
        <v>82</v>
      </c>
      <c r="T85" s="13" t="s">
        <v>106</v>
      </c>
      <c r="U85" s="13" t="s">
        <v>141</v>
      </c>
      <c r="V85" s="13" t="s">
        <v>457</v>
      </c>
      <c r="W85" t="s">
        <v>486</v>
      </c>
      <c r="X85" s="12">
        <v>2.3636363636363638</v>
      </c>
      <c r="Y85" s="12">
        <v>0.8</v>
      </c>
      <c r="Z85" s="12">
        <v>2</v>
      </c>
      <c r="AA85" s="12">
        <v>1.7777777777777777</v>
      </c>
      <c r="AB85" s="12">
        <v>2.6</v>
      </c>
      <c r="AC85" s="12">
        <v>2.3333333333333335</v>
      </c>
      <c r="AD85" s="12">
        <v>1.9791245791245793</v>
      </c>
    </row>
    <row r="86" spans="1:30" x14ac:dyDescent="0.3">
      <c r="A86" s="13">
        <v>24</v>
      </c>
      <c r="B86" s="13" t="s">
        <v>70</v>
      </c>
      <c r="C86" s="13" t="s">
        <v>71</v>
      </c>
      <c r="D86" s="13" t="s">
        <v>72</v>
      </c>
      <c r="E86" s="13" t="s">
        <v>114</v>
      </c>
      <c r="F86" s="13" t="s">
        <v>98</v>
      </c>
      <c r="G86" s="13" t="s">
        <v>440</v>
      </c>
      <c r="H86" s="13" t="s">
        <v>165</v>
      </c>
      <c r="I86" s="13" t="s">
        <v>76</v>
      </c>
      <c r="J86" s="13" t="s">
        <v>77</v>
      </c>
      <c r="K86" s="13" t="s">
        <v>125</v>
      </c>
      <c r="L86" s="13" t="s">
        <v>79</v>
      </c>
      <c r="M86" s="13" t="s">
        <v>102</v>
      </c>
      <c r="N86" s="13" t="s">
        <v>82</v>
      </c>
      <c r="O86" s="13" t="s">
        <v>487</v>
      </c>
      <c r="P86" s="13" t="s">
        <v>79</v>
      </c>
      <c r="Q86" s="13" t="s">
        <v>103</v>
      </c>
      <c r="R86" s="13" t="s">
        <v>79</v>
      </c>
      <c r="S86" s="13" t="s">
        <v>82</v>
      </c>
      <c r="T86" s="13" t="s">
        <v>106</v>
      </c>
      <c r="U86" s="13" t="s">
        <v>141</v>
      </c>
      <c r="V86" s="13" t="s">
        <v>457</v>
      </c>
      <c r="W86" t="s">
        <v>486</v>
      </c>
      <c r="X86" s="12">
        <v>2.3636363636363638</v>
      </c>
      <c r="Y86" s="12">
        <v>0.8</v>
      </c>
      <c r="Z86" s="12">
        <v>2</v>
      </c>
      <c r="AA86" s="12">
        <v>1.7777777777777777</v>
      </c>
      <c r="AB86" s="12">
        <v>2.6</v>
      </c>
      <c r="AC86" s="12">
        <v>2.3333333333333335</v>
      </c>
      <c r="AD86" s="12">
        <v>1.9791245791245793</v>
      </c>
    </row>
    <row r="87" spans="1:30" x14ac:dyDescent="0.3">
      <c r="A87" s="13">
        <v>24</v>
      </c>
      <c r="B87" s="13" t="s">
        <v>70</v>
      </c>
      <c r="C87" s="13" t="s">
        <v>71</v>
      </c>
      <c r="D87" s="13" t="s">
        <v>72</v>
      </c>
      <c r="E87" s="13" t="s">
        <v>114</v>
      </c>
      <c r="F87" s="13" t="s">
        <v>98</v>
      </c>
      <c r="G87" s="13" t="s">
        <v>440</v>
      </c>
      <c r="H87" s="13" t="s">
        <v>165</v>
      </c>
      <c r="I87" s="13" t="s">
        <v>76</v>
      </c>
      <c r="J87" s="13" t="s">
        <v>77</v>
      </c>
      <c r="K87" s="13" t="s">
        <v>125</v>
      </c>
      <c r="L87" s="13" t="s">
        <v>79</v>
      </c>
      <c r="M87" s="13" t="s">
        <v>102</v>
      </c>
      <c r="N87" s="13" t="s">
        <v>82</v>
      </c>
      <c r="O87" s="13" t="s">
        <v>487</v>
      </c>
      <c r="P87" s="13" t="s">
        <v>79</v>
      </c>
      <c r="Q87" s="13" t="s">
        <v>103</v>
      </c>
      <c r="R87" s="13" t="s">
        <v>79</v>
      </c>
      <c r="S87" s="13" t="s">
        <v>82</v>
      </c>
      <c r="T87" s="13" t="s">
        <v>106</v>
      </c>
      <c r="U87" s="13" t="s">
        <v>141</v>
      </c>
      <c r="V87" s="13" t="s">
        <v>457</v>
      </c>
      <c r="W87" t="s">
        <v>486</v>
      </c>
      <c r="X87" s="12">
        <v>2.3636363636363638</v>
      </c>
      <c r="Y87" s="12">
        <v>0.8</v>
      </c>
      <c r="Z87" s="12">
        <v>2</v>
      </c>
      <c r="AA87" s="12">
        <v>1.7777777777777777</v>
      </c>
      <c r="AB87" s="12">
        <v>2.6</v>
      </c>
      <c r="AC87" s="12">
        <v>2.3333333333333335</v>
      </c>
      <c r="AD87" s="12">
        <v>1.9791245791245793</v>
      </c>
    </row>
    <row r="88" spans="1:30" x14ac:dyDescent="0.3">
      <c r="A88" s="13">
        <v>24</v>
      </c>
      <c r="B88" s="13" t="s">
        <v>70</v>
      </c>
      <c r="C88" s="13" t="s">
        <v>71</v>
      </c>
      <c r="D88" s="13" t="s">
        <v>72</v>
      </c>
      <c r="E88" s="13" t="s">
        <v>114</v>
      </c>
      <c r="F88" s="13" t="s">
        <v>98</v>
      </c>
      <c r="G88" s="13" t="s">
        <v>440</v>
      </c>
      <c r="H88" s="13" t="s">
        <v>165</v>
      </c>
      <c r="I88" s="13" t="s">
        <v>76</v>
      </c>
      <c r="J88" s="13" t="s">
        <v>77</v>
      </c>
      <c r="K88" s="13" t="s">
        <v>125</v>
      </c>
      <c r="L88" s="13" t="s">
        <v>79</v>
      </c>
      <c r="M88" s="13" t="s">
        <v>102</v>
      </c>
      <c r="N88" s="13" t="s">
        <v>82</v>
      </c>
      <c r="O88" s="13" t="s">
        <v>487</v>
      </c>
      <c r="P88" s="13" t="s">
        <v>79</v>
      </c>
      <c r="Q88" s="13" t="s">
        <v>103</v>
      </c>
      <c r="R88" s="13" t="s">
        <v>79</v>
      </c>
      <c r="S88" s="13" t="s">
        <v>82</v>
      </c>
      <c r="T88" s="13" t="s">
        <v>106</v>
      </c>
      <c r="U88" s="13" t="s">
        <v>141</v>
      </c>
      <c r="V88" s="13" t="s">
        <v>457</v>
      </c>
      <c r="W88" t="s">
        <v>485</v>
      </c>
      <c r="X88" s="12">
        <v>2.3636363636363638</v>
      </c>
      <c r="Y88" s="12">
        <v>0.8</v>
      </c>
      <c r="Z88" s="12">
        <v>2</v>
      </c>
      <c r="AA88" s="12">
        <v>1.7777777777777777</v>
      </c>
      <c r="AB88" s="12">
        <v>2.6</v>
      </c>
      <c r="AC88" s="12">
        <v>2.3333333333333335</v>
      </c>
      <c r="AD88" s="12">
        <v>1.9791245791245793</v>
      </c>
    </row>
    <row r="89" spans="1:30" x14ac:dyDescent="0.3">
      <c r="A89" s="13">
        <v>24</v>
      </c>
      <c r="B89" s="13" t="s">
        <v>70</v>
      </c>
      <c r="C89" s="13" t="s">
        <v>71</v>
      </c>
      <c r="D89" s="13" t="s">
        <v>72</v>
      </c>
      <c r="E89" s="13" t="s">
        <v>114</v>
      </c>
      <c r="F89" s="13" t="s">
        <v>98</v>
      </c>
      <c r="G89" s="13" t="s">
        <v>440</v>
      </c>
      <c r="H89" s="13" t="s">
        <v>165</v>
      </c>
      <c r="I89" s="13" t="s">
        <v>76</v>
      </c>
      <c r="J89" s="13" t="s">
        <v>77</v>
      </c>
      <c r="K89" s="13" t="s">
        <v>125</v>
      </c>
      <c r="L89" s="13" t="s">
        <v>79</v>
      </c>
      <c r="M89" s="13" t="s">
        <v>102</v>
      </c>
      <c r="N89" s="13" t="s">
        <v>82</v>
      </c>
      <c r="O89" s="13" t="s">
        <v>487</v>
      </c>
      <c r="P89" s="13" t="s">
        <v>79</v>
      </c>
      <c r="Q89" s="13" t="s">
        <v>103</v>
      </c>
      <c r="R89" s="13" t="s">
        <v>79</v>
      </c>
      <c r="S89" s="13" t="s">
        <v>82</v>
      </c>
      <c r="T89" s="13" t="s">
        <v>106</v>
      </c>
      <c r="U89" s="13" t="s">
        <v>141</v>
      </c>
      <c r="V89" s="13" t="s">
        <v>457</v>
      </c>
      <c r="W89" t="s">
        <v>486</v>
      </c>
      <c r="X89" s="12">
        <v>2.3636363636363638</v>
      </c>
      <c r="Y89" s="12">
        <v>0.8</v>
      </c>
      <c r="Z89" s="12">
        <v>2</v>
      </c>
      <c r="AA89" s="12">
        <v>1.7777777777777777</v>
      </c>
      <c r="AB89" s="12">
        <v>2.6</v>
      </c>
      <c r="AC89" s="12">
        <v>2.3333333333333335</v>
      </c>
      <c r="AD89" s="12">
        <v>1.9791245791245793</v>
      </c>
    </row>
    <row r="90" spans="1:30" x14ac:dyDescent="0.3">
      <c r="A90" s="13">
        <v>24</v>
      </c>
      <c r="B90" s="13" t="s">
        <v>70</v>
      </c>
      <c r="C90" s="13" t="s">
        <v>71</v>
      </c>
      <c r="D90" s="13" t="s">
        <v>72</v>
      </c>
      <c r="E90" s="13" t="s">
        <v>114</v>
      </c>
      <c r="F90" s="13" t="s">
        <v>98</v>
      </c>
      <c r="G90" s="13" t="s">
        <v>440</v>
      </c>
      <c r="H90" s="13" t="s">
        <v>165</v>
      </c>
      <c r="I90" s="13" t="s">
        <v>76</v>
      </c>
      <c r="J90" s="13" t="s">
        <v>77</v>
      </c>
      <c r="K90" s="13" t="s">
        <v>125</v>
      </c>
      <c r="L90" s="13" t="s">
        <v>79</v>
      </c>
      <c r="M90" s="13" t="s">
        <v>102</v>
      </c>
      <c r="N90" s="13" t="s">
        <v>82</v>
      </c>
      <c r="O90" s="13" t="s">
        <v>487</v>
      </c>
      <c r="P90" s="13" t="s">
        <v>79</v>
      </c>
      <c r="Q90" s="13" t="s">
        <v>103</v>
      </c>
      <c r="R90" s="13" t="s">
        <v>79</v>
      </c>
      <c r="S90" s="13" t="s">
        <v>82</v>
      </c>
      <c r="T90" s="13" t="s">
        <v>106</v>
      </c>
      <c r="U90" s="13" t="s">
        <v>141</v>
      </c>
      <c r="V90" s="13" t="s">
        <v>457</v>
      </c>
      <c r="W90" t="s">
        <v>486</v>
      </c>
      <c r="X90" s="12">
        <v>2.3636363636363638</v>
      </c>
      <c r="Y90" s="12">
        <v>0.8</v>
      </c>
      <c r="Z90" s="12">
        <v>2</v>
      </c>
      <c r="AA90" s="12">
        <v>1.7777777777777777</v>
      </c>
      <c r="AB90" s="12">
        <v>2.6</v>
      </c>
      <c r="AC90" s="12">
        <v>2.3333333333333335</v>
      </c>
      <c r="AD90" s="12">
        <v>1.9791245791245793</v>
      </c>
    </row>
    <row r="91" spans="1:30" x14ac:dyDescent="0.3">
      <c r="A91" s="13">
        <v>24</v>
      </c>
      <c r="B91" s="13" t="s">
        <v>70</v>
      </c>
      <c r="C91" s="13" t="s">
        <v>71</v>
      </c>
      <c r="D91" s="13" t="s">
        <v>72</v>
      </c>
      <c r="E91" s="13" t="s">
        <v>114</v>
      </c>
      <c r="F91" s="13" t="s">
        <v>98</v>
      </c>
      <c r="G91" s="13" t="s">
        <v>440</v>
      </c>
      <c r="H91" s="13" t="s">
        <v>165</v>
      </c>
      <c r="I91" s="13" t="s">
        <v>76</v>
      </c>
      <c r="J91" s="13" t="s">
        <v>77</v>
      </c>
      <c r="K91" s="13" t="s">
        <v>125</v>
      </c>
      <c r="L91" s="13" t="s">
        <v>79</v>
      </c>
      <c r="M91" s="13" t="s">
        <v>102</v>
      </c>
      <c r="N91" s="13" t="s">
        <v>82</v>
      </c>
      <c r="O91" s="13" t="s">
        <v>487</v>
      </c>
      <c r="P91" s="13" t="s">
        <v>79</v>
      </c>
      <c r="Q91" s="13" t="s">
        <v>103</v>
      </c>
      <c r="R91" s="13" t="s">
        <v>79</v>
      </c>
      <c r="S91" s="13" t="s">
        <v>82</v>
      </c>
      <c r="T91" s="13" t="s">
        <v>106</v>
      </c>
      <c r="U91" s="13" t="s">
        <v>141</v>
      </c>
      <c r="V91" s="13" t="s">
        <v>457</v>
      </c>
      <c r="W91" t="s">
        <v>486</v>
      </c>
      <c r="X91" s="12">
        <v>2.3636363636363638</v>
      </c>
      <c r="Y91" s="12">
        <v>0.8</v>
      </c>
      <c r="Z91" s="12">
        <v>2</v>
      </c>
      <c r="AA91" s="12">
        <v>1.7777777777777777</v>
      </c>
      <c r="AB91" s="12">
        <v>2.6</v>
      </c>
      <c r="AC91" s="12">
        <v>2.3333333333333335</v>
      </c>
      <c r="AD91" s="12">
        <v>1.9791245791245793</v>
      </c>
    </row>
    <row r="92" spans="1:30" x14ac:dyDescent="0.3">
      <c r="A92" s="13">
        <v>24</v>
      </c>
      <c r="B92" s="13" t="s">
        <v>70</v>
      </c>
      <c r="C92" s="13" t="s">
        <v>71</v>
      </c>
      <c r="D92" s="13" t="s">
        <v>72</v>
      </c>
      <c r="E92" s="13" t="s">
        <v>114</v>
      </c>
      <c r="F92" s="13" t="s">
        <v>98</v>
      </c>
      <c r="G92" s="13" t="s">
        <v>440</v>
      </c>
      <c r="H92" s="13" t="s">
        <v>165</v>
      </c>
      <c r="I92" s="13" t="s">
        <v>76</v>
      </c>
      <c r="J92" s="13" t="s">
        <v>77</v>
      </c>
      <c r="K92" s="13" t="s">
        <v>125</v>
      </c>
      <c r="L92" s="13" t="s">
        <v>79</v>
      </c>
      <c r="M92" s="13" t="s">
        <v>102</v>
      </c>
      <c r="N92" s="13" t="s">
        <v>82</v>
      </c>
      <c r="O92" s="13" t="s">
        <v>487</v>
      </c>
      <c r="P92" s="13" t="s">
        <v>79</v>
      </c>
      <c r="Q92" s="13" t="s">
        <v>103</v>
      </c>
      <c r="R92" s="13" t="s">
        <v>79</v>
      </c>
      <c r="S92" s="13" t="s">
        <v>82</v>
      </c>
      <c r="T92" s="13" t="s">
        <v>106</v>
      </c>
      <c r="U92" s="13" t="s">
        <v>141</v>
      </c>
      <c r="V92" s="13" t="s">
        <v>457</v>
      </c>
      <c r="W92" t="s">
        <v>486</v>
      </c>
      <c r="X92" s="12">
        <v>2.3636363636363638</v>
      </c>
      <c r="Y92" s="12">
        <v>0.8</v>
      </c>
      <c r="Z92" s="12">
        <v>2</v>
      </c>
      <c r="AA92" s="12">
        <v>1.7777777777777777</v>
      </c>
      <c r="AB92" s="12">
        <v>2.6</v>
      </c>
      <c r="AC92" s="12">
        <v>2.3333333333333335</v>
      </c>
      <c r="AD92" s="12">
        <v>1.9791245791245793</v>
      </c>
    </row>
    <row r="93" spans="1:30" x14ac:dyDescent="0.3">
      <c r="A93" s="13">
        <v>24</v>
      </c>
      <c r="B93" s="13" t="s">
        <v>70</v>
      </c>
      <c r="C93" s="13" t="s">
        <v>71</v>
      </c>
      <c r="D93" s="13" t="s">
        <v>72</v>
      </c>
      <c r="E93" s="13" t="s">
        <v>114</v>
      </c>
      <c r="F93" s="13" t="s">
        <v>98</v>
      </c>
      <c r="G93" s="13" t="s">
        <v>440</v>
      </c>
      <c r="H93" s="13" t="s">
        <v>165</v>
      </c>
      <c r="I93" s="13" t="s">
        <v>76</v>
      </c>
      <c r="J93" s="13" t="s">
        <v>77</v>
      </c>
      <c r="K93" s="13" t="s">
        <v>125</v>
      </c>
      <c r="L93" s="13" t="s">
        <v>79</v>
      </c>
      <c r="M93" s="13" t="s">
        <v>102</v>
      </c>
      <c r="N93" s="13" t="s">
        <v>82</v>
      </c>
      <c r="O93" s="13" t="s">
        <v>487</v>
      </c>
      <c r="P93" s="13" t="s">
        <v>79</v>
      </c>
      <c r="Q93" s="13" t="s">
        <v>103</v>
      </c>
      <c r="R93" s="13" t="s">
        <v>79</v>
      </c>
      <c r="S93" s="13" t="s">
        <v>82</v>
      </c>
      <c r="T93" s="13" t="s">
        <v>106</v>
      </c>
      <c r="U93" s="13" t="s">
        <v>141</v>
      </c>
      <c r="V93" s="13" t="s">
        <v>457</v>
      </c>
      <c r="W93" t="s">
        <v>486</v>
      </c>
      <c r="X93" s="12">
        <v>2.3636363636363638</v>
      </c>
      <c r="Y93" s="12">
        <v>0.8</v>
      </c>
      <c r="Z93" s="12">
        <v>2</v>
      </c>
      <c r="AA93" s="12">
        <v>1.7777777777777777</v>
      </c>
      <c r="AB93" s="12">
        <v>2.6</v>
      </c>
      <c r="AC93" s="12">
        <v>2.3333333333333335</v>
      </c>
      <c r="AD93" s="12">
        <v>1.9791245791245793</v>
      </c>
    </row>
    <row r="94" spans="1:30" x14ac:dyDescent="0.3">
      <c r="A94" s="13">
        <v>24</v>
      </c>
      <c r="B94" s="13" t="s">
        <v>70</v>
      </c>
      <c r="C94" s="13" t="s">
        <v>71</v>
      </c>
      <c r="D94" s="13" t="s">
        <v>72</v>
      </c>
      <c r="E94" s="13" t="s">
        <v>114</v>
      </c>
      <c r="F94" s="13" t="s">
        <v>98</v>
      </c>
      <c r="G94" s="13" t="s">
        <v>440</v>
      </c>
      <c r="H94" s="13" t="s">
        <v>165</v>
      </c>
      <c r="I94" s="13" t="s">
        <v>76</v>
      </c>
      <c r="J94" s="13" t="s">
        <v>77</v>
      </c>
      <c r="K94" s="13" t="s">
        <v>125</v>
      </c>
      <c r="L94" s="13" t="s">
        <v>79</v>
      </c>
      <c r="M94" s="13" t="s">
        <v>102</v>
      </c>
      <c r="N94" s="13" t="s">
        <v>82</v>
      </c>
      <c r="O94" s="13" t="s">
        <v>487</v>
      </c>
      <c r="P94" s="13" t="s">
        <v>79</v>
      </c>
      <c r="Q94" s="13" t="s">
        <v>103</v>
      </c>
      <c r="R94" s="13" t="s">
        <v>79</v>
      </c>
      <c r="S94" s="13" t="s">
        <v>82</v>
      </c>
      <c r="T94" s="13" t="s">
        <v>106</v>
      </c>
      <c r="U94" s="13" t="s">
        <v>141</v>
      </c>
      <c r="V94" s="13" t="s">
        <v>457</v>
      </c>
      <c r="W94" t="s">
        <v>486</v>
      </c>
      <c r="X94" s="12">
        <v>2.3636363636363638</v>
      </c>
      <c r="Y94" s="12">
        <v>0.8</v>
      </c>
      <c r="Z94" s="12">
        <v>2</v>
      </c>
      <c r="AA94" s="12">
        <v>1.7777777777777777</v>
      </c>
      <c r="AB94" s="12">
        <v>2.6</v>
      </c>
      <c r="AC94" s="12">
        <v>2.3333333333333335</v>
      </c>
      <c r="AD94" s="12">
        <v>1.9791245791245793</v>
      </c>
    </row>
    <row r="95" spans="1:30" x14ac:dyDescent="0.3">
      <c r="A95" s="13">
        <v>24</v>
      </c>
      <c r="B95" s="13" t="s">
        <v>70</v>
      </c>
      <c r="C95" s="13" t="s">
        <v>71</v>
      </c>
      <c r="D95" s="13" t="s">
        <v>72</v>
      </c>
      <c r="E95" s="13" t="s">
        <v>114</v>
      </c>
      <c r="F95" s="13" t="s">
        <v>98</v>
      </c>
      <c r="G95" s="13" t="s">
        <v>440</v>
      </c>
      <c r="H95" s="13" t="s">
        <v>165</v>
      </c>
      <c r="I95" s="13" t="s">
        <v>76</v>
      </c>
      <c r="J95" s="13" t="s">
        <v>77</v>
      </c>
      <c r="K95" s="13" t="s">
        <v>125</v>
      </c>
      <c r="L95" s="13" t="s">
        <v>79</v>
      </c>
      <c r="M95" s="13" t="s">
        <v>102</v>
      </c>
      <c r="N95" s="13" t="s">
        <v>82</v>
      </c>
      <c r="O95" s="13" t="s">
        <v>487</v>
      </c>
      <c r="P95" s="13" t="s">
        <v>79</v>
      </c>
      <c r="Q95" s="13" t="s">
        <v>103</v>
      </c>
      <c r="R95" s="13" t="s">
        <v>79</v>
      </c>
      <c r="S95" s="13" t="s">
        <v>82</v>
      </c>
      <c r="T95" s="13" t="s">
        <v>106</v>
      </c>
      <c r="U95" s="13" t="s">
        <v>141</v>
      </c>
      <c r="V95" s="13" t="s">
        <v>457</v>
      </c>
      <c r="W95" t="s">
        <v>486</v>
      </c>
      <c r="X95" s="12">
        <v>2.3636363636363638</v>
      </c>
      <c r="Y95" s="12">
        <v>0.8</v>
      </c>
      <c r="Z95" s="12">
        <v>2</v>
      </c>
      <c r="AA95" s="12">
        <v>1.7777777777777777</v>
      </c>
      <c r="AB95" s="12">
        <v>2.6</v>
      </c>
      <c r="AC95" s="12">
        <v>2.3333333333333335</v>
      </c>
      <c r="AD95" s="12">
        <v>1.9791245791245793</v>
      </c>
    </row>
    <row r="96" spans="1:30" x14ac:dyDescent="0.3">
      <c r="A96" s="13">
        <v>21</v>
      </c>
      <c r="B96" s="13" t="s">
        <v>128</v>
      </c>
      <c r="C96" s="13" t="s">
        <v>96</v>
      </c>
      <c r="D96" s="13" t="s">
        <v>72</v>
      </c>
      <c r="E96" s="13" t="s">
        <v>114</v>
      </c>
      <c r="F96" s="13" t="s">
        <v>74</v>
      </c>
      <c r="G96" s="13" t="s">
        <v>439</v>
      </c>
      <c r="H96" s="13" t="s">
        <v>136</v>
      </c>
      <c r="I96" s="13" t="s">
        <v>76</v>
      </c>
      <c r="J96" s="13" t="s">
        <v>77</v>
      </c>
      <c r="K96" s="13" t="s">
        <v>125</v>
      </c>
      <c r="L96" s="13" t="s">
        <v>79</v>
      </c>
      <c r="M96" s="13" t="s">
        <v>80</v>
      </c>
      <c r="N96" s="13" t="s">
        <v>79</v>
      </c>
      <c r="O96" s="13" t="s">
        <v>487</v>
      </c>
      <c r="P96" s="13" t="s">
        <v>82</v>
      </c>
      <c r="Q96" s="13" t="s">
        <v>83</v>
      </c>
      <c r="R96" s="13" t="s">
        <v>82</v>
      </c>
      <c r="S96" s="13" t="s">
        <v>82</v>
      </c>
      <c r="T96" s="13" t="s">
        <v>106</v>
      </c>
      <c r="U96" s="13" t="s">
        <v>87</v>
      </c>
      <c r="V96" s="13" t="s">
        <v>112</v>
      </c>
      <c r="W96" t="s">
        <v>485</v>
      </c>
      <c r="X96" s="12">
        <v>1.1818181818181819</v>
      </c>
      <c r="Y96" s="12">
        <v>0</v>
      </c>
      <c r="Z96" s="12">
        <v>0.33333333333333331</v>
      </c>
      <c r="AA96" s="12">
        <v>1.3333333333333333</v>
      </c>
      <c r="AB96" s="12">
        <v>2.6</v>
      </c>
      <c r="AC96" s="12">
        <v>2.3333333333333335</v>
      </c>
      <c r="AD96" s="12">
        <v>1.2969696969696971</v>
      </c>
    </row>
    <row r="97" spans="1:30" x14ac:dyDescent="0.3">
      <c r="A97" s="13">
        <v>20</v>
      </c>
      <c r="B97" s="13" t="s">
        <v>70</v>
      </c>
      <c r="C97" s="13" t="s">
        <v>157</v>
      </c>
      <c r="D97" s="13" t="s">
        <v>72</v>
      </c>
      <c r="E97" s="13" t="s">
        <v>114</v>
      </c>
      <c r="F97" s="13" t="s">
        <v>100</v>
      </c>
      <c r="G97" s="13" t="s">
        <v>438</v>
      </c>
      <c r="H97" s="13" t="s">
        <v>165</v>
      </c>
      <c r="I97" s="13" t="s">
        <v>76</v>
      </c>
      <c r="J97" s="13" t="s">
        <v>101</v>
      </c>
      <c r="K97" s="13" t="s">
        <v>125</v>
      </c>
      <c r="L97" s="13" t="s">
        <v>79</v>
      </c>
      <c r="M97" s="13" t="s">
        <v>80</v>
      </c>
      <c r="N97" s="13" t="s">
        <v>79</v>
      </c>
      <c r="O97" s="13" t="s">
        <v>488</v>
      </c>
      <c r="P97" s="13" t="s">
        <v>82</v>
      </c>
      <c r="Q97" s="13" t="s">
        <v>83</v>
      </c>
      <c r="R97" s="13" t="s">
        <v>79</v>
      </c>
      <c r="S97" s="13" t="s">
        <v>79</v>
      </c>
      <c r="T97" s="13" t="s">
        <v>106</v>
      </c>
      <c r="U97" s="13" t="s">
        <v>141</v>
      </c>
      <c r="V97" s="13" t="s">
        <v>112</v>
      </c>
      <c r="W97" t="s">
        <v>486</v>
      </c>
      <c r="X97" s="12">
        <v>1.6363636363636365</v>
      </c>
      <c r="Y97" s="12">
        <v>1.8</v>
      </c>
      <c r="Z97" s="12">
        <v>1.6666666666666667</v>
      </c>
      <c r="AA97" s="12">
        <v>1.2222222222222223</v>
      </c>
      <c r="AB97" s="12">
        <v>2.6</v>
      </c>
      <c r="AC97" s="12">
        <v>2.3333333333333335</v>
      </c>
      <c r="AD97" s="12">
        <v>1.8764309764309768</v>
      </c>
    </row>
    <row r="98" spans="1:30" x14ac:dyDescent="0.3">
      <c r="A98" s="13">
        <v>24</v>
      </c>
      <c r="B98" s="13" t="s">
        <v>70</v>
      </c>
      <c r="C98" s="13" t="s">
        <v>113</v>
      </c>
      <c r="D98" s="13" t="s">
        <v>72</v>
      </c>
      <c r="E98" s="13" t="s">
        <v>73</v>
      </c>
      <c r="F98" s="13" t="s">
        <v>74</v>
      </c>
      <c r="G98" s="13" t="s">
        <v>99</v>
      </c>
      <c r="H98" s="13" t="s">
        <v>98</v>
      </c>
      <c r="I98" s="13" t="s">
        <v>76</v>
      </c>
      <c r="J98" s="13" t="s">
        <v>77</v>
      </c>
      <c r="K98" s="13" t="s">
        <v>125</v>
      </c>
      <c r="L98" s="13" t="s">
        <v>79</v>
      </c>
      <c r="M98" s="13" t="s">
        <v>80</v>
      </c>
      <c r="N98" s="13" t="s">
        <v>79</v>
      </c>
      <c r="O98" s="13" t="s">
        <v>488</v>
      </c>
      <c r="P98" s="13" t="s">
        <v>79</v>
      </c>
      <c r="Q98" s="13" t="s">
        <v>83</v>
      </c>
      <c r="R98" s="13" t="s">
        <v>79</v>
      </c>
      <c r="S98" s="13" t="s">
        <v>79</v>
      </c>
      <c r="T98" s="13" t="s">
        <v>86</v>
      </c>
      <c r="U98" s="13" t="s">
        <v>87</v>
      </c>
      <c r="V98" s="13" t="s">
        <v>112</v>
      </c>
      <c r="W98" t="s">
        <v>486</v>
      </c>
      <c r="X98" s="12">
        <v>2.6363636363636362</v>
      </c>
      <c r="Y98" s="12">
        <v>2.4</v>
      </c>
      <c r="Z98" s="12">
        <v>2.3333333333333335</v>
      </c>
      <c r="AA98" s="12">
        <v>2.5555555555555554</v>
      </c>
      <c r="AB98" s="12">
        <v>2.4</v>
      </c>
      <c r="AC98" s="12">
        <v>2.3333333333333335</v>
      </c>
      <c r="AD98" s="12">
        <v>2.443097643097643</v>
      </c>
    </row>
    <row r="99" spans="1:30" x14ac:dyDescent="0.3">
      <c r="A99" s="13">
        <v>23</v>
      </c>
      <c r="B99" s="13" t="s">
        <v>70</v>
      </c>
      <c r="C99" s="13" t="s">
        <v>113</v>
      </c>
      <c r="D99" s="13" t="s">
        <v>72</v>
      </c>
      <c r="E99" s="13" t="s">
        <v>73</v>
      </c>
      <c r="F99" s="13" t="s">
        <v>74</v>
      </c>
      <c r="G99" s="13" t="s">
        <v>439</v>
      </c>
      <c r="H99" s="13" t="s">
        <v>136</v>
      </c>
      <c r="I99" s="13" t="s">
        <v>439</v>
      </c>
      <c r="J99" s="13" t="s">
        <v>77</v>
      </c>
      <c r="K99" s="13" t="s">
        <v>131</v>
      </c>
      <c r="L99" s="13" t="s">
        <v>79</v>
      </c>
      <c r="M99" s="13" t="s">
        <v>80</v>
      </c>
      <c r="N99" s="13" t="s">
        <v>79</v>
      </c>
      <c r="O99" s="13" t="s">
        <v>490</v>
      </c>
      <c r="P99" s="13" t="s">
        <v>82</v>
      </c>
      <c r="Q99" s="13" t="s">
        <v>83</v>
      </c>
      <c r="R99" s="13" t="s">
        <v>79</v>
      </c>
      <c r="S99" s="13" t="s">
        <v>79</v>
      </c>
      <c r="T99" s="13" t="s">
        <v>86</v>
      </c>
      <c r="U99" s="13" t="s">
        <v>141</v>
      </c>
      <c r="V99" s="13" t="s">
        <v>112</v>
      </c>
      <c r="W99" t="s">
        <v>485</v>
      </c>
      <c r="X99" s="12">
        <v>2.3636363636363638</v>
      </c>
      <c r="Y99" s="12">
        <v>1.4</v>
      </c>
      <c r="Z99" s="12">
        <v>0.33333333333333331</v>
      </c>
      <c r="AA99" s="12">
        <v>0.33333333333333331</v>
      </c>
      <c r="AB99" s="12">
        <v>2.4</v>
      </c>
      <c r="AC99" s="12">
        <v>2.3333333333333335</v>
      </c>
      <c r="AD99" s="12">
        <v>1.5272727272727273</v>
      </c>
    </row>
    <row r="100" spans="1:30" x14ac:dyDescent="0.3">
      <c r="A100" s="13">
        <v>20</v>
      </c>
      <c r="B100" s="13" t="s">
        <v>70</v>
      </c>
      <c r="C100" s="13" t="s">
        <v>96</v>
      </c>
      <c r="D100" s="13" t="s">
        <v>97</v>
      </c>
      <c r="E100" s="13" t="s">
        <v>73</v>
      </c>
      <c r="F100" s="13" t="s">
        <v>100</v>
      </c>
      <c r="G100" s="13" t="s">
        <v>439</v>
      </c>
      <c r="H100" s="13" t="s">
        <v>100</v>
      </c>
      <c r="I100" s="13" t="s">
        <v>76</v>
      </c>
      <c r="J100" s="13" t="s">
        <v>77</v>
      </c>
      <c r="K100" s="13" t="s">
        <v>122</v>
      </c>
      <c r="L100" s="13" t="s">
        <v>79</v>
      </c>
      <c r="M100" s="13" t="s">
        <v>80</v>
      </c>
      <c r="N100" s="13" t="s">
        <v>79</v>
      </c>
      <c r="O100" s="13" t="s">
        <v>487</v>
      </c>
      <c r="P100" s="13" t="s">
        <v>79</v>
      </c>
      <c r="Q100" s="13" t="s">
        <v>83</v>
      </c>
      <c r="R100" s="13" t="s">
        <v>79</v>
      </c>
      <c r="S100" s="13" t="s">
        <v>79</v>
      </c>
      <c r="T100" s="13" t="s">
        <v>86</v>
      </c>
      <c r="U100" s="13" t="s">
        <v>141</v>
      </c>
      <c r="V100" s="13" t="s">
        <v>112</v>
      </c>
      <c r="W100" t="s">
        <v>486</v>
      </c>
      <c r="X100" s="12">
        <v>1.9090909090909092</v>
      </c>
      <c r="Y100" s="12">
        <v>2.2000000000000002</v>
      </c>
      <c r="Z100" s="12">
        <v>1.6666666666666667</v>
      </c>
      <c r="AA100" s="12">
        <v>2.1111111111111112</v>
      </c>
      <c r="AB100" s="12">
        <v>2.2000000000000002</v>
      </c>
      <c r="AC100" s="12">
        <v>2.3333333333333335</v>
      </c>
      <c r="AD100" s="12">
        <v>2.0700336700336703</v>
      </c>
    </row>
    <row r="101" spans="1:30" x14ac:dyDescent="0.3">
      <c r="A101" s="13">
        <v>21</v>
      </c>
      <c r="B101" s="13" t="s">
        <v>70</v>
      </c>
      <c r="C101" s="13" t="s">
        <v>96</v>
      </c>
      <c r="D101" s="13" t="s">
        <v>72</v>
      </c>
      <c r="E101" s="13" t="s">
        <v>73</v>
      </c>
      <c r="F101" s="13" t="s">
        <v>74</v>
      </c>
      <c r="G101" s="13" t="s">
        <v>439</v>
      </c>
      <c r="H101" s="13" t="s">
        <v>74</v>
      </c>
      <c r="I101" s="13" t="s">
        <v>76</v>
      </c>
      <c r="J101" s="13" t="s">
        <v>77</v>
      </c>
      <c r="K101" s="13" t="s">
        <v>125</v>
      </c>
      <c r="L101" s="13" t="s">
        <v>79</v>
      </c>
      <c r="M101" s="13" t="s">
        <v>80</v>
      </c>
      <c r="N101" s="13" t="s">
        <v>79</v>
      </c>
      <c r="O101" s="13" t="s">
        <v>488</v>
      </c>
      <c r="P101" s="13" t="s">
        <v>82</v>
      </c>
      <c r="Q101" s="13" t="s">
        <v>83</v>
      </c>
      <c r="R101" s="13" t="s">
        <v>82</v>
      </c>
      <c r="S101" s="13" t="s">
        <v>82</v>
      </c>
      <c r="T101" s="13" t="s">
        <v>106</v>
      </c>
      <c r="U101" s="13" t="s">
        <v>141</v>
      </c>
      <c r="V101" s="13" t="s">
        <v>112</v>
      </c>
      <c r="W101" t="s">
        <v>486</v>
      </c>
      <c r="X101" s="12">
        <v>2.1818181818181817</v>
      </c>
      <c r="Y101" s="12">
        <v>1.8</v>
      </c>
      <c r="Z101" s="12">
        <v>1.6666666666666667</v>
      </c>
      <c r="AA101" s="12">
        <v>1.7777777777777777</v>
      </c>
      <c r="AB101" s="12">
        <v>2.2000000000000002</v>
      </c>
      <c r="AC101" s="12">
        <v>2.3333333333333335</v>
      </c>
      <c r="AD101" s="12">
        <v>1.9932659932659933</v>
      </c>
    </row>
    <row r="102" spans="1:30" x14ac:dyDescent="0.3">
      <c r="A102" s="13">
        <v>21</v>
      </c>
      <c r="B102" s="13" t="s">
        <v>70</v>
      </c>
      <c r="C102" s="13" t="s">
        <v>96</v>
      </c>
      <c r="D102" s="13" t="s">
        <v>97</v>
      </c>
      <c r="E102" s="13" t="s">
        <v>108</v>
      </c>
      <c r="F102" s="13" t="s">
        <v>74</v>
      </c>
      <c r="G102" s="13" t="s">
        <v>99</v>
      </c>
      <c r="H102" s="13" t="s">
        <v>136</v>
      </c>
      <c r="I102" s="13" t="s">
        <v>76</v>
      </c>
      <c r="J102" s="13" t="s">
        <v>101</v>
      </c>
      <c r="K102" s="13" t="s">
        <v>131</v>
      </c>
      <c r="L102" s="13" t="s">
        <v>79</v>
      </c>
      <c r="M102" s="13" t="s">
        <v>80</v>
      </c>
      <c r="N102" s="13" t="s">
        <v>79</v>
      </c>
      <c r="O102" s="13" t="s">
        <v>488</v>
      </c>
      <c r="P102" s="13" t="s">
        <v>79</v>
      </c>
      <c r="Q102" s="13" t="s">
        <v>83</v>
      </c>
      <c r="R102" s="13" t="s">
        <v>82</v>
      </c>
      <c r="S102" s="13" t="s">
        <v>82</v>
      </c>
      <c r="T102" s="13" t="s">
        <v>86</v>
      </c>
      <c r="U102" s="13" t="s">
        <v>87</v>
      </c>
      <c r="V102" s="13" t="s">
        <v>112</v>
      </c>
      <c r="W102" t="s">
        <v>486</v>
      </c>
      <c r="X102" s="12">
        <v>1.0909090909090908</v>
      </c>
      <c r="Y102" s="12">
        <v>1.4</v>
      </c>
      <c r="Z102" s="12">
        <v>1.6666666666666667</v>
      </c>
      <c r="AA102" s="12">
        <v>0.66666666666666663</v>
      </c>
      <c r="AB102" s="12">
        <v>2.2000000000000002</v>
      </c>
      <c r="AC102" s="12">
        <v>2.3333333333333335</v>
      </c>
      <c r="AD102" s="12">
        <v>1.5595959595959596</v>
      </c>
    </row>
    <row r="103" spans="1:30" x14ac:dyDescent="0.3">
      <c r="A103" s="13">
        <v>22</v>
      </c>
      <c r="B103" s="13" t="s">
        <v>70</v>
      </c>
      <c r="C103" s="13" t="s">
        <v>113</v>
      </c>
      <c r="D103" s="13" t="s">
        <v>72</v>
      </c>
      <c r="E103" s="13" t="s">
        <v>108</v>
      </c>
      <c r="F103" s="13" t="s">
        <v>98</v>
      </c>
      <c r="G103" s="13" t="s">
        <v>439</v>
      </c>
      <c r="H103" s="13" t="s">
        <v>98</v>
      </c>
      <c r="I103" s="13" t="s">
        <v>76</v>
      </c>
      <c r="J103" s="13" t="s">
        <v>77</v>
      </c>
      <c r="K103" s="13" t="s">
        <v>131</v>
      </c>
      <c r="L103" s="13" t="s">
        <v>79</v>
      </c>
      <c r="M103" s="13" t="s">
        <v>80</v>
      </c>
      <c r="N103" s="13" t="s">
        <v>79</v>
      </c>
      <c r="O103" s="13" t="s">
        <v>489</v>
      </c>
      <c r="P103" s="13" t="s">
        <v>79</v>
      </c>
      <c r="Q103" s="13" t="s">
        <v>83</v>
      </c>
      <c r="R103" s="13" t="s">
        <v>79</v>
      </c>
      <c r="S103" s="13" t="s">
        <v>79</v>
      </c>
      <c r="T103" s="13" t="s">
        <v>86</v>
      </c>
      <c r="U103" s="13" t="s">
        <v>141</v>
      </c>
      <c r="V103" s="13" t="s">
        <v>112</v>
      </c>
      <c r="W103" t="s">
        <v>486</v>
      </c>
      <c r="X103" s="12">
        <v>1.7272727272727273</v>
      </c>
      <c r="Y103" s="12">
        <v>1.8</v>
      </c>
      <c r="Z103" s="12">
        <v>1.6666666666666667</v>
      </c>
      <c r="AA103" s="12">
        <v>1.6666666666666667</v>
      </c>
      <c r="AB103" s="12">
        <v>2</v>
      </c>
      <c r="AC103" s="12">
        <v>2.3333333333333335</v>
      </c>
      <c r="AD103" s="12">
        <v>1.8656565656565658</v>
      </c>
    </row>
    <row r="104" spans="1:30" x14ac:dyDescent="0.3">
      <c r="A104" s="13">
        <v>23</v>
      </c>
      <c r="B104" s="13" t="s">
        <v>70</v>
      </c>
      <c r="C104" s="13" t="s">
        <v>113</v>
      </c>
      <c r="D104" s="13" t="s">
        <v>72</v>
      </c>
      <c r="E104" s="13" t="s">
        <v>108</v>
      </c>
      <c r="F104" s="13" t="s">
        <v>74</v>
      </c>
      <c r="G104" s="13" t="s">
        <v>439</v>
      </c>
      <c r="H104" s="13" t="s">
        <v>136</v>
      </c>
      <c r="I104" s="13" t="s">
        <v>439</v>
      </c>
      <c r="J104" s="13" t="s">
        <v>77</v>
      </c>
      <c r="K104" s="13" t="s">
        <v>131</v>
      </c>
      <c r="L104" s="13" t="s">
        <v>79</v>
      </c>
      <c r="M104" s="13" t="s">
        <v>80</v>
      </c>
      <c r="N104" s="13" t="s">
        <v>79</v>
      </c>
      <c r="O104" s="13" t="s">
        <v>489</v>
      </c>
      <c r="P104" s="13" t="s">
        <v>79</v>
      </c>
      <c r="Q104" s="13" t="s">
        <v>83</v>
      </c>
      <c r="R104" s="13" t="s">
        <v>79</v>
      </c>
      <c r="S104" s="13" t="s">
        <v>79</v>
      </c>
      <c r="T104" s="13" t="s">
        <v>86</v>
      </c>
      <c r="U104" s="13" t="s">
        <v>87</v>
      </c>
      <c r="V104" s="13" t="s">
        <v>455</v>
      </c>
      <c r="W104" t="s">
        <v>485</v>
      </c>
      <c r="X104" s="12">
        <v>1.7272727272727273</v>
      </c>
      <c r="Y104" s="12">
        <v>1.2</v>
      </c>
      <c r="Z104" s="12">
        <v>1.6666666666666667</v>
      </c>
      <c r="AA104" s="12">
        <v>2.1111111111111112</v>
      </c>
      <c r="AB104" s="12">
        <v>1.8</v>
      </c>
      <c r="AC104" s="12">
        <v>2.3333333333333335</v>
      </c>
      <c r="AD104" s="12">
        <v>1.8063973063973064</v>
      </c>
    </row>
    <row r="105" spans="1:30" x14ac:dyDescent="0.3">
      <c r="A105" s="13">
        <v>21</v>
      </c>
      <c r="B105" s="13" t="s">
        <v>70</v>
      </c>
      <c r="C105" s="13" t="s">
        <v>71</v>
      </c>
      <c r="D105" s="13" t="s">
        <v>72</v>
      </c>
      <c r="E105" s="13" t="s">
        <v>114</v>
      </c>
      <c r="F105" s="13" t="s">
        <v>74</v>
      </c>
      <c r="G105" s="13" t="s">
        <v>439</v>
      </c>
      <c r="H105" s="13" t="s">
        <v>98</v>
      </c>
      <c r="I105" s="13" t="s">
        <v>76</v>
      </c>
      <c r="J105" s="13" t="s">
        <v>77</v>
      </c>
      <c r="K105" s="13" t="s">
        <v>78</v>
      </c>
      <c r="L105" s="13" t="s">
        <v>79</v>
      </c>
      <c r="M105" s="13" t="s">
        <v>102</v>
      </c>
      <c r="N105" s="13" t="s">
        <v>79</v>
      </c>
      <c r="O105" s="13" t="s">
        <v>487</v>
      </c>
      <c r="P105" s="13" t="s">
        <v>79</v>
      </c>
      <c r="Q105" s="13" t="s">
        <v>83</v>
      </c>
      <c r="R105" s="13" t="s">
        <v>79</v>
      </c>
      <c r="S105" s="13" t="s">
        <v>82</v>
      </c>
      <c r="T105" s="13" t="s">
        <v>86</v>
      </c>
      <c r="U105" s="13" t="s">
        <v>141</v>
      </c>
      <c r="V105" s="13" t="s">
        <v>112</v>
      </c>
      <c r="W105" t="s">
        <v>486</v>
      </c>
      <c r="X105" s="12">
        <v>2</v>
      </c>
      <c r="Y105" s="12">
        <v>1.8</v>
      </c>
      <c r="Z105" s="12">
        <v>1.3333333333333333</v>
      </c>
      <c r="AA105" s="12">
        <v>1.8888888888888888</v>
      </c>
      <c r="AB105" s="12">
        <v>1.6</v>
      </c>
      <c r="AC105" s="12">
        <v>2.3333333333333335</v>
      </c>
      <c r="AD105" s="12">
        <v>1.825925925925926</v>
      </c>
    </row>
    <row r="106" spans="1:30" x14ac:dyDescent="0.3">
      <c r="A106" s="13">
        <v>23</v>
      </c>
      <c r="B106" s="13" t="s">
        <v>70</v>
      </c>
      <c r="C106" s="13" t="s">
        <v>96</v>
      </c>
      <c r="D106" s="13" t="s">
        <v>72</v>
      </c>
      <c r="E106" s="13" t="s">
        <v>114</v>
      </c>
      <c r="F106" s="13" t="s">
        <v>74</v>
      </c>
      <c r="G106" s="13" t="s">
        <v>439</v>
      </c>
      <c r="H106" s="13" t="s">
        <v>98</v>
      </c>
      <c r="I106" s="13" t="s">
        <v>76</v>
      </c>
      <c r="J106" s="13" t="s">
        <v>77</v>
      </c>
      <c r="K106" s="13" t="s">
        <v>122</v>
      </c>
      <c r="L106" s="13" t="s">
        <v>79</v>
      </c>
      <c r="M106" s="13" t="s">
        <v>80</v>
      </c>
      <c r="N106" s="13" t="s">
        <v>79</v>
      </c>
      <c r="O106" s="13" t="s">
        <v>487</v>
      </c>
      <c r="P106" s="13" t="s">
        <v>79</v>
      </c>
      <c r="Q106" s="13" t="s">
        <v>83</v>
      </c>
      <c r="R106" s="13" t="s">
        <v>79</v>
      </c>
      <c r="S106" s="13" t="s">
        <v>79</v>
      </c>
      <c r="T106" s="13" t="s">
        <v>86</v>
      </c>
      <c r="U106" s="13" t="s">
        <v>141</v>
      </c>
      <c r="V106" s="13" t="s">
        <v>112</v>
      </c>
      <c r="W106" t="s">
        <v>486</v>
      </c>
      <c r="X106" s="12">
        <v>1.3636363636363635</v>
      </c>
      <c r="Y106" s="12">
        <v>1.6</v>
      </c>
      <c r="Z106" s="12">
        <v>1.3333333333333333</v>
      </c>
      <c r="AA106" s="12">
        <v>1.5555555555555556</v>
      </c>
      <c r="AB106" s="12">
        <v>1.6</v>
      </c>
      <c r="AC106" s="12">
        <v>2.3333333333333335</v>
      </c>
      <c r="AD106" s="12">
        <v>1.630976430976431</v>
      </c>
    </row>
    <row r="107" spans="1:30" x14ac:dyDescent="0.3">
      <c r="A107" s="13">
        <v>23</v>
      </c>
      <c r="B107" s="13" t="s">
        <v>70</v>
      </c>
      <c r="C107" s="13" t="s">
        <v>113</v>
      </c>
      <c r="D107" s="13" t="s">
        <v>97</v>
      </c>
      <c r="E107" s="13" t="s">
        <v>114</v>
      </c>
      <c r="F107" s="13" t="s">
        <v>98</v>
      </c>
      <c r="G107" s="13" t="s">
        <v>438</v>
      </c>
      <c r="H107" s="13" t="s">
        <v>100</v>
      </c>
      <c r="I107" s="13" t="s">
        <v>76</v>
      </c>
      <c r="J107" s="13" t="s">
        <v>101</v>
      </c>
      <c r="K107" s="13" t="s">
        <v>125</v>
      </c>
      <c r="L107" s="13" t="s">
        <v>82</v>
      </c>
      <c r="M107" s="13" t="s">
        <v>80</v>
      </c>
      <c r="N107" s="13" t="s">
        <v>82</v>
      </c>
      <c r="O107" s="13" t="s">
        <v>489</v>
      </c>
      <c r="P107" s="13" t="s">
        <v>82</v>
      </c>
      <c r="Q107" s="13" t="s">
        <v>83</v>
      </c>
      <c r="R107" s="13" t="s">
        <v>82</v>
      </c>
      <c r="S107" s="13" t="s">
        <v>82</v>
      </c>
      <c r="T107" s="13" t="s">
        <v>106</v>
      </c>
      <c r="U107" s="13" t="s">
        <v>87</v>
      </c>
      <c r="V107" s="13" t="s">
        <v>112</v>
      </c>
      <c r="W107" t="s">
        <v>486</v>
      </c>
      <c r="X107" s="12">
        <v>2.6363636363636362</v>
      </c>
      <c r="Y107" s="12">
        <v>2.2000000000000002</v>
      </c>
      <c r="Z107" s="12">
        <v>1.3333333333333333</v>
      </c>
      <c r="AA107" s="12">
        <v>2.3333333333333335</v>
      </c>
      <c r="AB107" s="12">
        <v>1.2</v>
      </c>
      <c r="AC107" s="12">
        <v>2.3333333333333335</v>
      </c>
      <c r="AD107" s="12">
        <v>2.0060606060606059</v>
      </c>
    </row>
    <row r="108" spans="1:30" x14ac:dyDescent="0.3">
      <c r="A108" s="13">
        <v>25</v>
      </c>
      <c r="B108" s="13" t="s">
        <v>128</v>
      </c>
      <c r="C108" s="13" t="s">
        <v>71</v>
      </c>
      <c r="D108" s="13" t="s">
        <v>72</v>
      </c>
      <c r="E108" s="13" t="s">
        <v>73</v>
      </c>
      <c r="F108" s="13" t="s">
        <v>98</v>
      </c>
      <c r="G108" s="13" t="s">
        <v>439</v>
      </c>
      <c r="H108" s="13" t="s">
        <v>98</v>
      </c>
      <c r="I108" s="13" t="s">
        <v>76</v>
      </c>
      <c r="J108" s="13" t="s">
        <v>101</v>
      </c>
      <c r="K108" s="13" t="s">
        <v>78</v>
      </c>
      <c r="L108" s="13" t="s">
        <v>79</v>
      </c>
      <c r="M108" s="13" t="s">
        <v>80</v>
      </c>
      <c r="N108" s="13" t="s">
        <v>79</v>
      </c>
      <c r="O108" s="13" t="s">
        <v>489</v>
      </c>
      <c r="P108" s="13" t="s">
        <v>79</v>
      </c>
      <c r="Q108" s="13" t="s">
        <v>83</v>
      </c>
      <c r="R108" s="13" t="s">
        <v>79</v>
      </c>
      <c r="S108" s="13" t="s">
        <v>79</v>
      </c>
      <c r="T108" s="13" t="s">
        <v>148</v>
      </c>
      <c r="U108" s="13" t="s">
        <v>141</v>
      </c>
      <c r="V108" s="13" t="s">
        <v>127</v>
      </c>
      <c r="W108" t="s">
        <v>485</v>
      </c>
      <c r="X108" s="12">
        <v>0.81818181818181823</v>
      </c>
      <c r="Y108" s="12">
        <v>0.6</v>
      </c>
      <c r="Z108" s="12">
        <v>0.66666666666666663</v>
      </c>
      <c r="AA108" s="12">
        <v>1</v>
      </c>
      <c r="AB108" s="12">
        <v>1.2</v>
      </c>
      <c r="AC108" s="12">
        <v>2.3333333333333335</v>
      </c>
      <c r="AD108" s="12">
        <v>1.1030303030303032</v>
      </c>
    </row>
    <row r="109" spans="1:30" x14ac:dyDescent="0.3">
      <c r="A109" s="13">
        <v>20</v>
      </c>
      <c r="B109" s="13" t="s">
        <v>70</v>
      </c>
      <c r="C109" s="13" t="s">
        <v>96</v>
      </c>
      <c r="D109" s="13" t="s">
        <v>72</v>
      </c>
      <c r="E109" s="13" t="s">
        <v>108</v>
      </c>
      <c r="F109" s="13" t="s">
        <v>74</v>
      </c>
      <c r="G109" s="13" t="s">
        <v>99</v>
      </c>
      <c r="H109" s="13" t="s">
        <v>74</v>
      </c>
      <c r="I109" s="13" t="s">
        <v>76</v>
      </c>
      <c r="J109" s="13" t="s">
        <v>77</v>
      </c>
      <c r="K109" s="13" t="s">
        <v>125</v>
      </c>
      <c r="L109" s="13" t="s">
        <v>79</v>
      </c>
      <c r="M109" s="13" t="s">
        <v>102</v>
      </c>
      <c r="N109" s="13" t="s">
        <v>79</v>
      </c>
      <c r="O109" s="13" t="s">
        <v>489</v>
      </c>
      <c r="P109" s="13" t="s">
        <v>79</v>
      </c>
      <c r="Q109" s="13" t="s">
        <v>103</v>
      </c>
      <c r="R109" s="13" t="s">
        <v>79</v>
      </c>
      <c r="S109" s="13" t="s">
        <v>79</v>
      </c>
      <c r="T109" s="13" t="s">
        <v>86</v>
      </c>
      <c r="U109" s="13" t="s">
        <v>141</v>
      </c>
      <c r="V109" s="13" t="s">
        <v>237</v>
      </c>
      <c r="W109" t="s">
        <v>486</v>
      </c>
      <c r="X109" s="12">
        <v>2.8181818181818183</v>
      </c>
      <c r="Y109" s="12">
        <v>3</v>
      </c>
      <c r="Z109" s="12">
        <v>2.6666666666666665</v>
      </c>
      <c r="AA109" s="12">
        <v>1.8888888888888888</v>
      </c>
      <c r="AB109" s="12">
        <v>3</v>
      </c>
      <c r="AC109" s="12">
        <v>2</v>
      </c>
      <c r="AD109" s="12">
        <v>2.5622895622895623</v>
      </c>
    </row>
    <row r="110" spans="1:30" x14ac:dyDescent="0.3">
      <c r="A110" s="13">
        <v>21</v>
      </c>
      <c r="B110" s="13" t="s">
        <v>70</v>
      </c>
      <c r="C110" s="13" t="s">
        <v>157</v>
      </c>
      <c r="D110" s="13" t="s">
        <v>72</v>
      </c>
      <c r="E110" s="13" t="s">
        <v>114</v>
      </c>
      <c r="F110" s="13" t="s">
        <v>74</v>
      </c>
      <c r="G110" s="13" t="s">
        <v>440</v>
      </c>
      <c r="H110" s="13" t="s">
        <v>74</v>
      </c>
      <c r="I110" s="13" t="s">
        <v>439</v>
      </c>
      <c r="J110" s="13" t="s">
        <v>77</v>
      </c>
      <c r="K110" s="13" t="s">
        <v>122</v>
      </c>
      <c r="L110" s="13" t="s">
        <v>79</v>
      </c>
      <c r="M110" s="13" t="s">
        <v>80</v>
      </c>
      <c r="N110" s="13" t="s">
        <v>79</v>
      </c>
      <c r="O110" s="13" t="s">
        <v>490</v>
      </c>
      <c r="P110" s="13" t="s">
        <v>79</v>
      </c>
      <c r="Q110" s="13" t="s">
        <v>83</v>
      </c>
      <c r="R110" s="13" t="s">
        <v>79</v>
      </c>
      <c r="S110" s="13" t="s">
        <v>82</v>
      </c>
      <c r="T110" s="13" t="s">
        <v>106</v>
      </c>
      <c r="U110" s="13" t="s">
        <v>87</v>
      </c>
      <c r="V110" s="13" t="s">
        <v>127</v>
      </c>
      <c r="W110" t="s">
        <v>485</v>
      </c>
      <c r="X110" s="12">
        <v>2.9090909090909092</v>
      </c>
      <c r="Y110" s="12">
        <v>3</v>
      </c>
      <c r="Z110" s="12">
        <v>2</v>
      </c>
      <c r="AA110" s="12">
        <v>1.7777777777777777</v>
      </c>
      <c r="AB110" s="12">
        <v>3</v>
      </c>
      <c r="AC110" s="12">
        <v>2</v>
      </c>
      <c r="AD110" s="12">
        <v>2.4478114478114477</v>
      </c>
    </row>
    <row r="111" spans="1:30" x14ac:dyDescent="0.3">
      <c r="A111" s="13">
        <v>24</v>
      </c>
      <c r="B111" s="13" t="s">
        <v>70</v>
      </c>
      <c r="C111" s="13" t="s">
        <v>113</v>
      </c>
      <c r="D111" s="13" t="s">
        <v>149</v>
      </c>
      <c r="E111" s="13" t="s">
        <v>73</v>
      </c>
      <c r="F111" s="13" t="s">
        <v>98</v>
      </c>
      <c r="G111" s="13" t="s">
        <v>440</v>
      </c>
      <c r="H111" s="13" t="s">
        <v>100</v>
      </c>
      <c r="I111" s="13" t="s">
        <v>76</v>
      </c>
      <c r="J111" s="13" t="s">
        <v>77</v>
      </c>
      <c r="K111" s="13" t="s">
        <v>125</v>
      </c>
      <c r="L111" s="13" t="s">
        <v>79</v>
      </c>
      <c r="M111" s="13" t="s">
        <v>102</v>
      </c>
      <c r="N111" s="13" t="s">
        <v>79</v>
      </c>
      <c r="O111" s="13" t="s">
        <v>489</v>
      </c>
      <c r="P111" s="13" t="s">
        <v>82</v>
      </c>
      <c r="Q111" s="13" t="s">
        <v>118</v>
      </c>
      <c r="R111" s="13" t="s">
        <v>82</v>
      </c>
      <c r="S111" s="13" t="s">
        <v>79</v>
      </c>
      <c r="T111" s="13" t="s">
        <v>86</v>
      </c>
      <c r="U111" s="13" t="s">
        <v>120</v>
      </c>
      <c r="V111" s="13" t="s">
        <v>455</v>
      </c>
      <c r="W111" t="s">
        <v>486</v>
      </c>
      <c r="X111" s="12">
        <v>2.3636363636363638</v>
      </c>
      <c r="Y111" s="12">
        <v>0</v>
      </c>
      <c r="Z111" s="12">
        <v>2.3333333333333335</v>
      </c>
      <c r="AA111" s="12">
        <v>1.6666666666666667</v>
      </c>
      <c r="AB111" s="12">
        <v>3</v>
      </c>
      <c r="AC111" s="12">
        <v>2</v>
      </c>
      <c r="AD111" s="12">
        <v>1.8939393939393938</v>
      </c>
    </row>
    <row r="112" spans="1:30" x14ac:dyDescent="0.3">
      <c r="A112" s="13">
        <v>22</v>
      </c>
      <c r="B112" s="13" t="s">
        <v>70</v>
      </c>
      <c r="C112" s="13" t="s">
        <v>113</v>
      </c>
      <c r="D112" s="13" t="s">
        <v>72</v>
      </c>
      <c r="E112" s="13" t="s">
        <v>108</v>
      </c>
      <c r="F112" s="13" t="s">
        <v>74</v>
      </c>
      <c r="G112" s="13" t="s">
        <v>439</v>
      </c>
      <c r="H112" s="13" t="s">
        <v>74</v>
      </c>
      <c r="I112" s="13" t="s">
        <v>76</v>
      </c>
      <c r="J112" s="13" t="s">
        <v>101</v>
      </c>
      <c r="K112" s="13" t="s">
        <v>131</v>
      </c>
      <c r="L112" s="13" t="s">
        <v>79</v>
      </c>
      <c r="M112" s="13" t="s">
        <v>80</v>
      </c>
      <c r="N112" s="13" t="s">
        <v>79</v>
      </c>
      <c r="O112" s="13" t="s">
        <v>489</v>
      </c>
      <c r="P112" s="13" t="s">
        <v>82</v>
      </c>
      <c r="Q112" s="13" t="s">
        <v>83</v>
      </c>
      <c r="R112" s="13" t="s">
        <v>82</v>
      </c>
      <c r="S112" s="13" t="s">
        <v>82</v>
      </c>
      <c r="T112" s="13" t="s">
        <v>106</v>
      </c>
      <c r="U112" s="13" t="s">
        <v>120</v>
      </c>
      <c r="V112" s="13" t="s">
        <v>112</v>
      </c>
      <c r="W112" t="s">
        <v>486</v>
      </c>
      <c r="X112" s="12">
        <v>1.1818181818181819</v>
      </c>
      <c r="Y112" s="12">
        <v>0.4</v>
      </c>
      <c r="Z112" s="12">
        <v>1</v>
      </c>
      <c r="AA112" s="12">
        <v>1.1111111111111112</v>
      </c>
      <c r="AB112" s="12">
        <v>3</v>
      </c>
      <c r="AC112" s="12">
        <v>2</v>
      </c>
      <c r="AD112" s="12">
        <v>1.4488215488215488</v>
      </c>
    </row>
    <row r="113" spans="1:30" x14ac:dyDescent="0.3">
      <c r="A113" s="13">
        <v>23</v>
      </c>
      <c r="B113" s="13" t="s">
        <v>70</v>
      </c>
      <c r="C113" s="13" t="s">
        <v>113</v>
      </c>
      <c r="D113" s="13" t="s">
        <v>97</v>
      </c>
      <c r="E113" s="13" t="s">
        <v>114</v>
      </c>
      <c r="F113" s="13" t="s">
        <v>74</v>
      </c>
      <c r="G113" s="13" t="s">
        <v>439</v>
      </c>
      <c r="H113" s="13" t="s">
        <v>98</v>
      </c>
      <c r="I113" s="13" t="s">
        <v>76</v>
      </c>
      <c r="J113" s="13" t="s">
        <v>77</v>
      </c>
      <c r="K113" s="13" t="s">
        <v>122</v>
      </c>
      <c r="L113" s="13" t="s">
        <v>82</v>
      </c>
      <c r="M113" s="13" t="s">
        <v>80</v>
      </c>
      <c r="N113" s="13" t="s">
        <v>79</v>
      </c>
      <c r="O113" s="13" t="s">
        <v>487</v>
      </c>
      <c r="P113" s="13" t="s">
        <v>82</v>
      </c>
      <c r="Q113" s="13" t="s">
        <v>83</v>
      </c>
      <c r="R113" s="13" t="s">
        <v>79</v>
      </c>
      <c r="S113" s="13" t="s">
        <v>79</v>
      </c>
      <c r="T113" s="13" t="s">
        <v>86</v>
      </c>
      <c r="U113" s="13" t="s">
        <v>87</v>
      </c>
      <c r="V113" s="13" t="s">
        <v>112</v>
      </c>
      <c r="W113" t="s">
        <v>486</v>
      </c>
      <c r="X113" s="12">
        <v>2.8181818181818183</v>
      </c>
      <c r="Y113" s="12">
        <v>1.8</v>
      </c>
      <c r="Z113" s="12">
        <v>0.66666666666666663</v>
      </c>
      <c r="AA113" s="12">
        <v>1</v>
      </c>
      <c r="AB113" s="12">
        <v>3</v>
      </c>
      <c r="AC113" s="12">
        <v>2</v>
      </c>
      <c r="AD113" s="12">
        <v>1.8808080808080809</v>
      </c>
    </row>
    <row r="114" spans="1:30" x14ac:dyDescent="0.3">
      <c r="A114" s="13">
        <v>20</v>
      </c>
      <c r="B114" s="13" t="s">
        <v>162</v>
      </c>
      <c r="C114" s="13" t="s">
        <v>157</v>
      </c>
      <c r="D114" s="13" t="s">
        <v>72</v>
      </c>
      <c r="E114" s="13" t="s">
        <v>73</v>
      </c>
      <c r="F114" s="13" t="s">
        <v>74</v>
      </c>
      <c r="G114" s="13" t="s">
        <v>99</v>
      </c>
      <c r="H114" s="13" t="s">
        <v>136</v>
      </c>
      <c r="I114" s="13" t="s">
        <v>76</v>
      </c>
      <c r="J114" s="13" t="s">
        <v>77</v>
      </c>
      <c r="K114" s="13" t="s">
        <v>122</v>
      </c>
      <c r="L114" s="13" t="s">
        <v>79</v>
      </c>
      <c r="M114" s="13" t="s">
        <v>80</v>
      </c>
      <c r="N114" s="13" t="s">
        <v>79</v>
      </c>
      <c r="O114" s="13" t="s">
        <v>490</v>
      </c>
      <c r="P114" s="13" t="s">
        <v>82</v>
      </c>
      <c r="Q114" s="13" t="s">
        <v>83</v>
      </c>
      <c r="R114" s="13" t="s">
        <v>82</v>
      </c>
      <c r="S114" s="13" t="s">
        <v>82</v>
      </c>
      <c r="T114" s="13" t="s">
        <v>106</v>
      </c>
      <c r="U114" s="13" t="s">
        <v>141</v>
      </c>
      <c r="V114" s="13" t="s">
        <v>112</v>
      </c>
      <c r="W114" t="s">
        <v>486</v>
      </c>
      <c r="X114" s="12">
        <v>3</v>
      </c>
      <c r="Y114" s="12">
        <v>3</v>
      </c>
      <c r="Z114" s="12">
        <v>3</v>
      </c>
      <c r="AA114" s="12">
        <v>0.88888888888888884</v>
      </c>
      <c r="AB114" s="12">
        <v>3</v>
      </c>
      <c r="AC114" s="12">
        <v>2</v>
      </c>
      <c r="AD114" s="12">
        <v>2.4814814814814814</v>
      </c>
    </row>
    <row r="115" spans="1:30" x14ac:dyDescent="0.3">
      <c r="A115" s="13">
        <v>22</v>
      </c>
      <c r="B115" s="13" t="s">
        <v>70</v>
      </c>
      <c r="C115" s="13" t="s">
        <v>71</v>
      </c>
      <c r="D115" s="13" t="s">
        <v>97</v>
      </c>
      <c r="E115" s="13" t="s">
        <v>108</v>
      </c>
      <c r="F115" s="13" t="s">
        <v>74</v>
      </c>
      <c r="G115" s="13" t="s">
        <v>439</v>
      </c>
      <c r="H115" s="13" t="s">
        <v>136</v>
      </c>
      <c r="I115" s="13" t="s">
        <v>76</v>
      </c>
      <c r="J115" s="13" t="s">
        <v>77</v>
      </c>
      <c r="K115" s="13" t="s">
        <v>131</v>
      </c>
      <c r="L115" s="13" t="s">
        <v>79</v>
      </c>
      <c r="M115" s="13" t="s">
        <v>80</v>
      </c>
      <c r="N115" s="13" t="s">
        <v>79</v>
      </c>
      <c r="O115" s="13" t="s">
        <v>487</v>
      </c>
      <c r="P115" s="13" t="s">
        <v>79</v>
      </c>
      <c r="Q115" s="13" t="s">
        <v>103</v>
      </c>
      <c r="R115" s="13" t="s">
        <v>82</v>
      </c>
      <c r="S115" s="13" t="s">
        <v>82</v>
      </c>
      <c r="T115" s="13" t="s">
        <v>106</v>
      </c>
      <c r="U115" s="13" t="s">
        <v>87</v>
      </c>
      <c r="V115" s="13" t="s">
        <v>112</v>
      </c>
      <c r="W115" t="s">
        <v>485</v>
      </c>
      <c r="X115" s="12">
        <v>2.9090909090909092</v>
      </c>
      <c r="Y115" s="12">
        <v>2.6</v>
      </c>
      <c r="Z115" s="12">
        <v>2</v>
      </c>
      <c r="AA115" s="12">
        <v>0.88888888888888884</v>
      </c>
      <c r="AB115" s="12">
        <v>3</v>
      </c>
      <c r="AC115" s="12">
        <v>2</v>
      </c>
      <c r="AD115" s="12">
        <v>2.2329966329966333</v>
      </c>
    </row>
    <row r="116" spans="1:30" x14ac:dyDescent="0.3">
      <c r="A116" s="13">
        <v>23</v>
      </c>
      <c r="B116" s="13" t="s">
        <v>70</v>
      </c>
      <c r="C116" s="13" t="s">
        <v>113</v>
      </c>
      <c r="D116" s="13" t="s">
        <v>97</v>
      </c>
      <c r="E116" s="13" t="s">
        <v>73</v>
      </c>
      <c r="F116" s="13" t="s">
        <v>74</v>
      </c>
      <c r="G116" s="13" t="s">
        <v>99</v>
      </c>
      <c r="H116" s="13" t="s">
        <v>136</v>
      </c>
      <c r="I116" s="13" t="s">
        <v>76</v>
      </c>
      <c r="J116" s="13" t="s">
        <v>101</v>
      </c>
      <c r="K116" s="13" t="s">
        <v>78</v>
      </c>
      <c r="L116" s="13" t="s">
        <v>79</v>
      </c>
      <c r="M116" s="13" t="s">
        <v>80</v>
      </c>
      <c r="N116" s="13" t="s">
        <v>79</v>
      </c>
      <c r="O116" s="13" t="s">
        <v>490</v>
      </c>
      <c r="P116" s="13" t="s">
        <v>79</v>
      </c>
      <c r="Q116" s="13" t="s">
        <v>83</v>
      </c>
      <c r="R116" s="13" t="s">
        <v>82</v>
      </c>
      <c r="S116" s="13" t="s">
        <v>82</v>
      </c>
      <c r="T116" s="13" t="s">
        <v>86</v>
      </c>
      <c r="U116" s="13" t="s">
        <v>87</v>
      </c>
      <c r="V116" s="13" t="s">
        <v>112</v>
      </c>
      <c r="W116" t="s">
        <v>486</v>
      </c>
      <c r="X116" s="12">
        <v>2.5454545454545454</v>
      </c>
      <c r="Y116" s="12">
        <v>2</v>
      </c>
      <c r="Z116" s="12">
        <v>1.6666666666666667</v>
      </c>
      <c r="AA116" s="12">
        <v>0.66666666666666663</v>
      </c>
      <c r="AB116" s="12">
        <v>3</v>
      </c>
      <c r="AC116" s="12">
        <v>2</v>
      </c>
      <c r="AD116" s="12">
        <v>1.9797979797979799</v>
      </c>
    </row>
    <row r="117" spans="1:30" x14ac:dyDescent="0.3">
      <c r="A117" s="13">
        <v>23</v>
      </c>
      <c r="B117" s="13" t="s">
        <v>70</v>
      </c>
      <c r="C117" s="13" t="s">
        <v>113</v>
      </c>
      <c r="D117" s="13" t="s">
        <v>97</v>
      </c>
      <c r="E117" s="13" t="s">
        <v>114</v>
      </c>
      <c r="F117" s="13" t="s">
        <v>98</v>
      </c>
      <c r="G117" s="13" t="s">
        <v>439</v>
      </c>
      <c r="H117" s="13" t="s">
        <v>100</v>
      </c>
      <c r="I117" s="13" t="s">
        <v>76</v>
      </c>
      <c r="J117" s="13" t="s">
        <v>77</v>
      </c>
      <c r="K117" s="13" t="s">
        <v>125</v>
      </c>
      <c r="L117" s="13" t="s">
        <v>79</v>
      </c>
      <c r="M117" s="13" t="s">
        <v>80</v>
      </c>
      <c r="N117" s="13" t="s">
        <v>82</v>
      </c>
      <c r="O117" s="13" t="s">
        <v>489</v>
      </c>
      <c r="P117" s="13" t="s">
        <v>82</v>
      </c>
      <c r="Q117" s="13" t="s">
        <v>83</v>
      </c>
      <c r="R117" s="13" t="s">
        <v>82</v>
      </c>
      <c r="S117" s="13" t="s">
        <v>82</v>
      </c>
      <c r="T117" s="13" t="s">
        <v>106</v>
      </c>
      <c r="U117" s="13" t="s">
        <v>141</v>
      </c>
      <c r="V117" s="13" t="s">
        <v>112</v>
      </c>
      <c r="W117" t="s">
        <v>486</v>
      </c>
      <c r="X117" s="12">
        <v>2.8181818181818183</v>
      </c>
      <c r="Y117" s="12">
        <v>1.4</v>
      </c>
      <c r="Z117" s="12">
        <v>0.66666666666666663</v>
      </c>
      <c r="AA117" s="12">
        <v>0.33333333333333331</v>
      </c>
      <c r="AB117" s="12">
        <v>3</v>
      </c>
      <c r="AC117" s="12">
        <v>2</v>
      </c>
      <c r="AD117" s="12">
        <v>1.7030303030303031</v>
      </c>
    </row>
    <row r="118" spans="1:30" x14ac:dyDescent="0.3">
      <c r="A118" s="13">
        <v>25</v>
      </c>
      <c r="B118" s="13" t="s">
        <v>70</v>
      </c>
      <c r="C118" s="13" t="s">
        <v>153</v>
      </c>
      <c r="D118" s="13" t="s">
        <v>97</v>
      </c>
      <c r="E118" s="13" t="s">
        <v>114</v>
      </c>
      <c r="F118" s="13" t="s">
        <v>100</v>
      </c>
      <c r="G118" s="13" t="s">
        <v>440</v>
      </c>
      <c r="H118" s="13" t="s">
        <v>100</v>
      </c>
      <c r="I118" s="13" t="s">
        <v>76</v>
      </c>
      <c r="J118" s="13" t="s">
        <v>101</v>
      </c>
      <c r="K118" s="13" t="s">
        <v>125</v>
      </c>
      <c r="L118" s="13" t="s">
        <v>79</v>
      </c>
      <c r="M118" s="13" t="s">
        <v>80</v>
      </c>
      <c r="N118" s="13" t="s">
        <v>79</v>
      </c>
      <c r="O118" s="13" t="s">
        <v>488</v>
      </c>
      <c r="P118" s="13" t="s">
        <v>79</v>
      </c>
      <c r="Q118" s="13" t="s">
        <v>83</v>
      </c>
      <c r="R118" s="13" t="s">
        <v>79</v>
      </c>
      <c r="S118" s="13" t="s">
        <v>82</v>
      </c>
      <c r="T118" s="13" t="s">
        <v>86</v>
      </c>
      <c r="U118" s="13" t="s">
        <v>141</v>
      </c>
      <c r="V118" s="13" t="s">
        <v>112</v>
      </c>
      <c r="W118" t="s">
        <v>486</v>
      </c>
      <c r="X118" s="12">
        <v>2.7272727272727271</v>
      </c>
      <c r="Y118" s="12">
        <v>3</v>
      </c>
      <c r="Z118" s="12">
        <v>2</v>
      </c>
      <c r="AA118" s="12">
        <v>2.6666666666666665</v>
      </c>
      <c r="AB118" s="12">
        <v>2.8</v>
      </c>
      <c r="AC118" s="12">
        <v>2</v>
      </c>
      <c r="AD118" s="12">
        <v>2.5323232323232321</v>
      </c>
    </row>
    <row r="119" spans="1:30" x14ac:dyDescent="0.3">
      <c r="A119" s="13">
        <v>22</v>
      </c>
      <c r="B119" s="13" t="s">
        <v>70</v>
      </c>
      <c r="C119" s="13" t="s">
        <v>96</v>
      </c>
      <c r="D119" s="13" t="s">
        <v>97</v>
      </c>
      <c r="E119" s="13" t="s">
        <v>108</v>
      </c>
      <c r="F119" s="13" t="s">
        <v>136</v>
      </c>
      <c r="G119" s="13" t="s">
        <v>99</v>
      </c>
      <c r="H119" s="13" t="s">
        <v>136</v>
      </c>
      <c r="I119" s="13" t="s">
        <v>76</v>
      </c>
      <c r="J119" s="13" t="s">
        <v>77</v>
      </c>
      <c r="K119" s="13" t="s">
        <v>125</v>
      </c>
      <c r="L119" s="13" t="s">
        <v>79</v>
      </c>
      <c r="M119" s="13" t="s">
        <v>80</v>
      </c>
      <c r="N119" s="13" t="s">
        <v>79</v>
      </c>
      <c r="O119" s="13" t="s">
        <v>488</v>
      </c>
      <c r="P119" s="13" t="s">
        <v>82</v>
      </c>
      <c r="Q119" s="13" t="s">
        <v>83</v>
      </c>
      <c r="R119" s="13" t="s">
        <v>79</v>
      </c>
      <c r="S119" s="13" t="s">
        <v>79</v>
      </c>
      <c r="T119" s="13" t="s">
        <v>86</v>
      </c>
      <c r="U119" s="13" t="s">
        <v>141</v>
      </c>
      <c r="V119" s="13" t="s">
        <v>112</v>
      </c>
      <c r="W119" t="s">
        <v>486</v>
      </c>
      <c r="X119" s="12">
        <v>1.6363636363636365</v>
      </c>
      <c r="Y119" s="12">
        <v>1.4</v>
      </c>
      <c r="Z119" s="12">
        <v>1.3333333333333333</v>
      </c>
      <c r="AA119" s="12">
        <v>1.1111111111111112</v>
      </c>
      <c r="AB119" s="12">
        <v>2.8</v>
      </c>
      <c r="AC119" s="12">
        <v>2</v>
      </c>
      <c r="AD119" s="12">
        <v>1.7134680134680131</v>
      </c>
    </row>
    <row r="120" spans="1:30" x14ac:dyDescent="0.3">
      <c r="A120" s="13">
        <v>23</v>
      </c>
      <c r="B120" s="13" t="s">
        <v>70</v>
      </c>
      <c r="C120" s="13" t="s">
        <v>113</v>
      </c>
      <c r="D120" s="13" t="s">
        <v>97</v>
      </c>
      <c r="E120" s="13" t="s">
        <v>108</v>
      </c>
      <c r="F120" s="13" t="s">
        <v>74</v>
      </c>
      <c r="G120" s="13" t="s">
        <v>440</v>
      </c>
      <c r="H120" s="13" t="s">
        <v>74</v>
      </c>
      <c r="I120" s="13" t="s">
        <v>76</v>
      </c>
      <c r="J120" s="13" t="s">
        <v>101</v>
      </c>
      <c r="K120" s="13" t="s">
        <v>131</v>
      </c>
      <c r="L120" s="13" t="s">
        <v>79</v>
      </c>
      <c r="M120" s="13" t="s">
        <v>80</v>
      </c>
      <c r="N120" s="13" t="s">
        <v>79</v>
      </c>
      <c r="O120" s="13" t="s">
        <v>490</v>
      </c>
      <c r="P120" s="13" t="s">
        <v>79</v>
      </c>
      <c r="Q120" s="13" t="s">
        <v>83</v>
      </c>
      <c r="R120" s="13" t="s">
        <v>79</v>
      </c>
      <c r="S120" s="13" t="s">
        <v>79</v>
      </c>
      <c r="T120" s="13" t="s">
        <v>106</v>
      </c>
      <c r="U120" s="13" t="s">
        <v>141</v>
      </c>
      <c r="V120" s="13" t="s">
        <v>457</v>
      </c>
      <c r="W120" t="s">
        <v>485</v>
      </c>
      <c r="X120" s="12">
        <v>2.9090909090909092</v>
      </c>
      <c r="Y120" s="12">
        <v>1.8</v>
      </c>
      <c r="Z120" s="12">
        <v>1.3333333333333333</v>
      </c>
      <c r="AA120" s="12">
        <v>1.3333333333333333</v>
      </c>
      <c r="AB120" s="12">
        <v>2.6</v>
      </c>
      <c r="AC120" s="12">
        <v>2</v>
      </c>
      <c r="AD120" s="12">
        <v>1.9959595959595957</v>
      </c>
    </row>
    <row r="121" spans="1:30" x14ac:dyDescent="0.3">
      <c r="A121" s="13">
        <v>24</v>
      </c>
      <c r="B121" s="13" t="s">
        <v>70</v>
      </c>
      <c r="C121" s="13" t="s">
        <v>113</v>
      </c>
      <c r="D121" s="13" t="s">
        <v>72</v>
      </c>
      <c r="E121" s="13" t="s">
        <v>108</v>
      </c>
      <c r="F121" s="13" t="s">
        <v>98</v>
      </c>
      <c r="G121" s="13" t="s">
        <v>440</v>
      </c>
      <c r="H121" s="13" t="s">
        <v>98</v>
      </c>
      <c r="I121" s="13" t="s">
        <v>76</v>
      </c>
      <c r="J121" s="13" t="s">
        <v>77</v>
      </c>
      <c r="K121" s="13" t="s">
        <v>131</v>
      </c>
      <c r="L121" s="13" t="s">
        <v>79</v>
      </c>
      <c r="M121" s="13" t="s">
        <v>80</v>
      </c>
      <c r="N121" s="13" t="s">
        <v>79</v>
      </c>
      <c r="O121" s="13" t="s">
        <v>489</v>
      </c>
      <c r="P121" s="13" t="s">
        <v>79</v>
      </c>
      <c r="Q121" s="13" t="s">
        <v>118</v>
      </c>
      <c r="R121" s="13" t="s">
        <v>79</v>
      </c>
      <c r="S121" s="13" t="s">
        <v>82</v>
      </c>
      <c r="T121" s="13" t="s">
        <v>86</v>
      </c>
      <c r="U121" s="13" t="s">
        <v>141</v>
      </c>
      <c r="V121" s="13" t="s">
        <v>112</v>
      </c>
      <c r="W121" t="s">
        <v>485</v>
      </c>
      <c r="X121" s="12">
        <v>2.3636363636363638</v>
      </c>
      <c r="Y121" s="12">
        <v>0.8</v>
      </c>
      <c r="Z121" s="12">
        <v>3</v>
      </c>
      <c r="AA121" s="12">
        <v>1.1111111111111112</v>
      </c>
      <c r="AB121" s="12">
        <v>2.6</v>
      </c>
      <c r="AC121" s="12">
        <v>2</v>
      </c>
      <c r="AD121" s="12">
        <v>1.9791245791245791</v>
      </c>
    </row>
    <row r="122" spans="1:30" x14ac:dyDescent="0.3">
      <c r="A122" s="13">
        <v>21</v>
      </c>
      <c r="B122" s="13" t="s">
        <v>70</v>
      </c>
      <c r="C122" s="13" t="s">
        <v>96</v>
      </c>
      <c r="D122" s="13" t="s">
        <v>72</v>
      </c>
      <c r="E122" s="13" t="s">
        <v>114</v>
      </c>
      <c r="F122" s="13" t="s">
        <v>136</v>
      </c>
      <c r="G122" s="13" t="s">
        <v>439</v>
      </c>
      <c r="H122" s="13" t="s">
        <v>98</v>
      </c>
      <c r="I122" s="13" t="s">
        <v>76</v>
      </c>
      <c r="J122" s="13" t="s">
        <v>77</v>
      </c>
      <c r="K122" s="13" t="s">
        <v>122</v>
      </c>
      <c r="L122" s="13" t="s">
        <v>79</v>
      </c>
      <c r="M122" s="13" t="s">
        <v>80</v>
      </c>
      <c r="N122" s="13" t="s">
        <v>79</v>
      </c>
      <c r="O122" s="13" t="s">
        <v>489</v>
      </c>
      <c r="P122" s="13" t="s">
        <v>79</v>
      </c>
      <c r="Q122" s="13" t="s">
        <v>83</v>
      </c>
      <c r="R122" s="13" t="s">
        <v>79</v>
      </c>
      <c r="S122" s="13" t="s">
        <v>82</v>
      </c>
      <c r="T122" s="13" t="s">
        <v>106</v>
      </c>
      <c r="U122" s="13" t="s">
        <v>120</v>
      </c>
      <c r="V122" s="13" t="s">
        <v>112</v>
      </c>
      <c r="W122" t="s">
        <v>486</v>
      </c>
      <c r="X122" s="12">
        <v>2.0909090909090908</v>
      </c>
      <c r="Y122" s="12">
        <v>0.8</v>
      </c>
      <c r="Z122" s="12">
        <v>3</v>
      </c>
      <c r="AA122" s="12">
        <v>1</v>
      </c>
      <c r="AB122" s="12">
        <v>2.6</v>
      </c>
      <c r="AC122" s="12">
        <v>2</v>
      </c>
      <c r="AD122" s="12">
        <v>1.915151515151515</v>
      </c>
    </row>
    <row r="123" spans="1:30" x14ac:dyDescent="0.3">
      <c r="A123" s="13">
        <v>22</v>
      </c>
      <c r="B123" s="13" t="s">
        <v>128</v>
      </c>
      <c r="C123" s="13" t="s">
        <v>71</v>
      </c>
      <c r="D123" s="13" t="s">
        <v>72</v>
      </c>
      <c r="E123" s="13" t="s">
        <v>108</v>
      </c>
      <c r="F123" s="13" t="s">
        <v>74</v>
      </c>
      <c r="G123" s="13" t="s">
        <v>439</v>
      </c>
      <c r="H123" s="13" t="s">
        <v>74</v>
      </c>
      <c r="I123" s="13" t="s">
        <v>439</v>
      </c>
      <c r="J123" s="13" t="s">
        <v>101</v>
      </c>
      <c r="K123" s="13" t="s">
        <v>122</v>
      </c>
      <c r="L123" s="13" t="s">
        <v>79</v>
      </c>
      <c r="M123" s="13" t="s">
        <v>80</v>
      </c>
      <c r="N123" s="13" t="s">
        <v>79</v>
      </c>
      <c r="O123" s="13" t="s">
        <v>490</v>
      </c>
      <c r="P123" s="13" t="s">
        <v>79</v>
      </c>
      <c r="Q123" s="13" t="s">
        <v>83</v>
      </c>
      <c r="R123" s="13" t="s">
        <v>79</v>
      </c>
      <c r="S123" s="13" t="s">
        <v>79</v>
      </c>
      <c r="T123" s="13" t="s">
        <v>86</v>
      </c>
      <c r="U123" s="13" t="s">
        <v>120</v>
      </c>
      <c r="V123" s="13" t="s">
        <v>112</v>
      </c>
      <c r="W123" t="s">
        <v>485</v>
      </c>
      <c r="X123" s="12">
        <v>1.0909090909090908</v>
      </c>
      <c r="Y123" s="12">
        <v>1</v>
      </c>
      <c r="Z123" s="12">
        <v>1.3333333333333333</v>
      </c>
      <c r="AA123" s="12">
        <v>0.66666666666666663</v>
      </c>
      <c r="AB123" s="12">
        <v>2.4</v>
      </c>
      <c r="AC123" s="12">
        <v>2</v>
      </c>
      <c r="AD123" s="12">
        <v>1.415151515151515</v>
      </c>
    </row>
    <row r="124" spans="1:30" x14ac:dyDescent="0.3">
      <c r="A124" s="13">
        <v>22</v>
      </c>
      <c r="B124" s="13" t="s">
        <v>128</v>
      </c>
      <c r="C124" s="13" t="s">
        <v>96</v>
      </c>
      <c r="D124" s="13" t="s">
        <v>72</v>
      </c>
      <c r="E124" s="13" t="s">
        <v>73</v>
      </c>
      <c r="F124" s="13" t="s">
        <v>74</v>
      </c>
      <c r="G124" s="13" t="s">
        <v>99</v>
      </c>
      <c r="H124" s="13" t="s">
        <v>98</v>
      </c>
      <c r="I124" s="13" t="s">
        <v>76</v>
      </c>
      <c r="J124" s="13" t="s">
        <v>77</v>
      </c>
      <c r="K124" s="13" t="s">
        <v>125</v>
      </c>
      <c r="L124" s="13" t="s">
        <v>79</v>
      </c>
      <c r="M124" s="13" t="s">
        <v>80</v>
      </c>
      <c r="N124" s="13" t="s">
        <v>79</v>
      </c>
      <c r="O124" s="13" t="s">
        <v>489</v>
      </c>
      <c r="P124" s="13" t="s">
        <v>79</v>
      </c>
      <c r="Q124" s="13" t="s">
        <v>83</v>
      </c>
      <c r="R124" s="13" t="s">
        <v>79</v>
      </c>
      <c r="S124" s="13" t="s">
        <v>82</v>
      </c>
      <c r="T124" s="13" t="s">
        <v>106</v>
      </c>
      <c r="U124" s="13" t="s">
        <v>141</v>
      </c>
      <c r="V124" s="13" t="s">
        <v>112</v>
      </c>
      <c r="W124" t="s">
        <v>486</v>
      </c>
      <c r="X124" s="12">
        <v>1.8181818181818181</v>
      </c>
      <c r="Y124" s="12">
        <v>2.4</v>
      </c>
      <c r="Z124" s="12">
        <v>1</v>
      </c>
      <c r="AA124" s="12">
        <v>2.4444444444444446</v>
      </c>
      <c r="AB124" s="12">
        <v>2.2000000000000002</v>
      </c>
      <c r="AC124" s="12">
        <v>2</v>
      </c>
      <c r="AD124" s="12">
        <v>1.977104377104377</v>
      </c>
    </row>
    <row r="125" spans="1:30" x14ac:dyDescent="0.3">
      <c r="A125" s="13">
        <v>21</v>
      </c>
      <c r="B125" s="13" t="s">
        <v>70</v>
      </c>
      <c r="C125" s="13" t="s">
        <v>157</v>
      </c>
      <c r="D125" s="13" t="s">
        <v>97</v>
      </c>
      <c r="E125" s="13" t="s">
        <v>108</v>
      </c>
      <c r="F125" s="13" t="s">
        <v>74</v>
      </c>
      <c r="G125" s="13" t="s">
        <v>439</v>
      </c>
      <c r="H125" s="13" t="s">
        <v>74</v>
      </c>
      <c r="I125" s="13" t="s">
        <v>76</v>
      </c>
      <c r="J125" s="13" t="s">
        <v>77</v>
      </c>
      <c r="K125" s="13" t="s">
        <v>131</v>
      </c>
      <c r="L125" s="13" t="s">
        <v>79</v>
      </c>
      <c r="M125" s="13" t="s">
        <v>80</v>
      </c>
      <c r="N125" s="13" t="s">
        <v>79</v>
      </c>
      <c r="O125" s="13" t="s">
        <v>488</v>
      </c>
      <c r="P125" s="13" t="s">
        <v>79</v>
      </c>
      <c r="Q125" s="13" t="s">
        <v>83</v>
      </c>
      <c r="R125" s="13" t="s">
        <v>79</v>
      </c>
      <c r="S125" s="13" t="s">
        <v>79</v>
      </c>
      <c r="T125" s="13" t="s">
        <v>106</v>
      </c>
      <c r="U125" s="13" t="s">
        <v>141</v>
      </c>
      <c r="V125" s="13" t="s">
        <v>112</v>
      </c>
      <c r="W125" t="s">
        <v>486</v>
      </c>
      <c r="X125" s="12">
        <v>2.2727272727272729</v>
      </c>
      <c r="Y125" s="12">
        <v>2.2000000000000002</v>
      </c>
      <c r="Z125" s="12">
        <v>2</v>
      </c>
      <c r="AA125" s="12">
        <v>2.3333333333333335</v>
      </c>
      <c r="AB125" s="12">
        <v>2.2000000000000002</v>
      </c>
      <c r="AC125" s="12">
        <v>2</v>
      </c>
      <c r="AD125" s="12">
        <v>2.1676767676767681</v>
      </c>
    </row>
    <row r="126" spans="1:30" x14ac:dyDescent="0.3">
      <c r="A126" s="13">
        <v>23</v>
      </c>
      <c r="B126" s="13" t="s">
        <v>70</v>
      </c>
      <c r="C126" s="13" t="s">
        <v>113</v>
      </c>
      <c r="D126" s="13" t="s">
        <v>149</v>
      </c>
      <c r="E126" s="13" t="s">
        <v>73</v>
      </c>
      <c r="F126" s="13" t="s">
        <v>98</v>
      </c>
      <c r="G126" s="13" t="s">
        <v>440</v>
      </c>
      <c r="H126" s="13" t="s">
        <v>98</v>
      </c>
      <c r="I126" s="13" t="s">
        <v>76</v>
      </c>
      <c r="J126" s="13" t="s">
        <v>77</v>
      </c>
      <c r="K126" s="13" t="s">
        <v>78</v>
      </c>
      <c r="L126" s="13" t="s">
        <v>79</v>
      </c>
      <c r="M126" s="13" t="s">
        <v>80</v>
      </c>
      <c r="N126" s="13" t="s">
        <v>79</v>
      </c>
      <c r="O126" s="13" t="s">
        <v>487</v>
      </c>
      <c r="P126" s="13" t="s">
        <v>79</v>
      </c>
      <c r="Q126" s="13" t="s">
        <v>103</v>
      </c>
      <c r="R126" s="13" t="s">
        <v>79</v>
      </c>
      <c r="S126" s="13" t="s">
        <v>79</v>
      </c>
      <c r="T126" s="13" t="s">
        <v>86</v>
      </c>
      <c r="U126" s="13" t="s">
        <v>141</v>
      </c>
      <c r="V126" s="13" t="s">
        <v>455</v>
      </c>
      <c r="W126" t="s">
        <v>485</v>
      </c>
      <c r="X126" s="12">
        <v>1.3636363636363635</v>
      </c>
      <c r="Y126" s="12">
        <v>1.6</v>
      </c>
      <c r="Z126" s="12">
        <v>1.6666666666666667</v>
      </c>
      <c r="AA126" s="12">
        <v>1.3333333333333333</v>
      </c>
      <c r="AB126" s="12">
        <v>2.2000000000000002</v>
      </c>
      <c r="AC126" s="12">
        <v>2</v>
      </c>
      <c r="AD126" s="12">
        <v>1.6939393939393941</v>
      </c>
    </row>
    <row r="127" spans="1:30" x14ac:dyDescent="0.3">
      <c r="A127" s="13">
        <v>21</v>
      </c>
      <c r="B127" s="13" t="s">
        <v>70</v>
      </c>
      <c r="C127" s="13" t="s">
        <v>71</v>
      </c>
      <c r="D127" s="13" t="s">
        <v>72</v>
      </c>
      <c r="E127" s="13" t="s">
        <v>108</v>
      </c>
      <c r="F127" s="13" t="s">
        <v>74</v>
      </c>
      <c r="G127" s="13" t="s">
        <v>439</v>
      </c>
      <c r="H127" s="13" t="s">
        <v>74</v>
      </c>
      <c r="I127" s="13" t="s">
        <v>76</v>
      </c>
      <c r="J127" s="13" t="s">
        <v>77</v>
      </c>
      <c r="K127" s="13" t="s">
        <v>78</v>
      </c>
      <c r="L127" s="13" t="s">
        <v>79</v>
      </c>
      <c r="M127" s="13" t="s">
        <v>80</v>
      </c>
      <c r="N127" s="13" t="s">
        <v>79</v>
      </c>
      <c r="O127" s="13" t="s">
        <v>490</v>
      </c>
      <c r="P127" s="13" t="s">
        <v>82</v>
      </c>
      <c r="Q127" s="13" t="s">
        <v>103</v>
      </c>
      <c r="R127" s="13" t="s">
        <v>82</v>
      </c>
      <c r="S127" s="13" t="s">
        <v>82</v>
      </c>
      <c r="T127" s="13" t="s">
        <v>106</v>
      </c>
      <c r="U127" s="13" t="s">
        <v>87</v>
      </c>
      <c r="V127" s="13" t="s">
        <v>112</v>
      </c>
      <c r="W127" t="s">
        <v>486</v>
      </c>
      <c r="X127" s="12">
        <v>2.9090909090909092</v>
      </c>
      <c r="Y127" s="12">
        <v>2</v>
      </c>
      <c r="Z127" s="12">
        <v>2</v>
      </c>
      <c r="AA127" s="12">
        <v>2.6666666666666665</v>
      </c>
      <c r="AB127" s="12">
        <v>2</v>
      </c>
      <c r="AC127" s="12">
        <v>2</v>
      </c>
      <c r="AD127" s="12">
        <v>2.2626262626262625</v>
      </c>
    </row>
    <row r="128" spans="1:30" x14ac:dyDescent="0.3">
      <c r="A128" s="13">
        <v>22</v>
      </c>
      <c r="B128" s="13" t="s">
        <v>70</v>
      </c>
      <c r="C128" s="13" t="s">
        <v>96</v>
      </c>
      <c r="D128" s="13" t="s">
        <v>97</v>
      </c>
      <c r="E128" s="13" t="s">
        <v>108</v>
      </c>
      <c r="F128" s="13" t="s">
        <v>136</v>
      </c>
      <c r="G128" s="13" t="s">
        <v>440</v>
      </c>
      <c r="H128" s="13" t="s">
        <v>98</v>
      </c>
      <c r="I128" s="13" t="s">
        <v>76</v>
      </c>
      <c r="J128" s="13" t="s">
        <v>77</v>
      </c>
      <c r="K128" s="13" t="s">
        <v>122</v>
      </c>
      <c r="L128" s="13" t="s">
        <v>79</v>
      </c>
      <c r="M128" s="13" t="s">
        <v>132</v>
      </c>
      <c r="N128" s="13" t="s">
        <v>79</v>
      </c>
      <c r="O128" s="13" t="s">
        <v>487</v>
      </c>
      <c r="P128" s="13" t="s">
        <v>79</v>
      </c>
      <c r="Q128" s="13" t="s">
        <v>103</v>
      </c>
      <c r="R128" s="13" t="s">
        <v>79</v>
      </c>
      <c r="S128" s="13" t="s">
        <v>82</v>
      </c>
      <c r="T128" s="13" t="s">
        <v>106</v>
      </c>
      <c r="U128" s="13" t="s">
        <v>87</v>
      </c>
      <c r="V128" s="13" t="s">
        <v>457</v>
      </c>
      <c r="W128" t="s">
        <v>486</v>
      </c>
      <c r="X128" s="12">
        <v>2.1818181818181817</v>
      </c>
      <c r="Y128" s="12">
        <v>0.4</v>
      </c>
      <c r="Z128" s="12">
        <v>2</v>
      </c>
      <c r="AA128" s="12">
        <v>2.6666666666666665</v>
      </c>
      <c r="AB128" s="12">
        <v>2</v>
      </c>
      <c r="AC128" s="12">
        <v>2</v>
      </c>
      <c r="AD128" s="12">
        <v>1.8747474747474746</v>
      </c>
    </row>
    <row r="129" spans="1:30" x14ac:dyDescent="0.3">
      <c r="A129" s="13">
        <v>19</v>
      </c>
      <c r="B129" s="13" t="s">
        <v>70</v>
      </c>
      <c r="C129" s="13" t="s">
        <v>157</v>
      </c>
      <c r="D129" s="13" t="s">
        <v>72</v>
      </c>
      <c r="E129" s="13" t="s">
        <v>114</v>
      </c>
      <c r="F129" s="13" t="s">
        <v>98</v>
      </c>
      <c r="G129" s="13" t="s">
        <v>439</v>
      </c>
      <c r="H129" s="13" t="s">
        <v>98</v>
      </c>
      <c r="I129" s="13" t="s">
        <v>76</v>
      </c>
      <c r="J129" s="13" t="s">
        <v>77</v>
      </c>
      <c r="K129" s="13" t="s">
        <v>122</v>
      </c>
      <c r="L129" s="13" t="s">
        <v>79</v>
      </c>
      <c r="M129" s="13" t="s">
        <v>80</v>
      </c>
      <c r="N129" s="13" t="s">
        <v>82</v>
      </c>
      <c r="O129" s="13" t="s">
        <v>489</v>
      </c>
      <c r="P129" s="13" t="s">
        <v>79</v>
      </c>
      <c r="Q129" s="13" t="s">
        <v>83</v>
      </c>
      <c r="R129" s="13" t="s">
        <v>79</v>
      </c>
      <c r="S129" s="13" t="s">
        <v>82</v>
      </c>
      <c r="T129" s="13" t="s">
        <v>86</v>
      </c>
      <c r="U129" s="13" t="s">
        <v>120</v>
      </c>
      <c r="V129" s="13" t="s">
        <v>160</v>
      </c>
      <c r="W129" t="s">
        <v>485</v>
      </c>
      <c r="X129" s="12">
        <v>2.0909090909090908</v>
      </c>
      <c r="Y129" s="12">
        <v>2</v>
      </c>
      <c r="Z129" s="12">
        <v>2</v>
      </c>
      <c r="AA129" s="12">
        <v>2.4444444444444446</v>
      </c>
      <c r="AB129" s="12">
        <v>2</v>
      </c>
      <c r="AC129" s="12">
        <v>2</v>
      </c>
      <c r="AD129" s="12">
        <v>2.0892255892255895</v>
      </c>
    </row>
    <row r="130" spans="1:30" x14ac:dyDescent="0.3">
      <c r="A130" s="13">
        <v>22</v>
      </c>
      <c r="B130" s="13" t="s">
        <v>70</v>
      </c>
      <c r="C130" s="13" t="s">
        <v>113</v>
      </c>
      <c r="D130" s="13" t="s">
        <v>97</v>
      </c>
      <c r="E130" s="13" t="s">
        <v>108</v>
      </c>
      <c r="F130" s="13" t="s">
        <v>74</v>
      </c>
      <c r="G130" s="13" t="s">
        <v>439</v>
      </c>
      <c r="H130" s="13" t="s">
        <v>74</v>
      </c>
      <c r="I130" s="13" t="s">
        <v>76</v>
      </c>
      <c r="J130" s="13" t="s">
        <v>77</v>
      </c>
      <c r="K130" s="13" t="s">
        <v>78</v>
      </c>
      <c r="L130" s="13" t="s">
        <v>82</v>
      </c>
      <c r="M130" s="13" t="s">
        <v>80</v>
      </c>
      <c r="N130" s="13" t="s">
        <v>79</v>
      </c>
      <c r="O130" s="13" t="s">
        <v>488</v>
      </c>
      <c r="P130" s="13" t="s">
        <v>82</v>
      </c>
      <c r="Q130" s="13" t="s">
        <v>83</v>
      </c>
      <c r="R130" s="13" t="s">
        <v>82</v>
      </c>
      <c r="S130" s="13" t="s">
        <v>82</v>
      </c>
      <c r="T130" s="13" t="s">
        <v>106</v>
      </c>
      <c r="U130" s="13" t="s">
        <v>141</v>
      </c>
      <c r="V130" s="13" t="s">
        <v>112</v>
      </c>
      <c r="W130" t="s">
        <v>486</v>
      </c>
      <c r="X130" s="12">
        <v>2.1818181818181817</v>
      </c>
      <c r="Y130" s="12">
        <v>1.8</v>
      </c>
      <c r="Z130" s="12">
        <v>2</v>
      </c>
      <c r="AA130" s="12">
        <v>2.2222222222222223</v>
      </c>
      <c r="AB130" s="12">
        <v>2</v>
      </c>
      <c r="AC130" s="12">
        <v>2</v>
      </c>
      <c r="AD130" s="12">
        <v>2.0340067340067338</v>
      </c>
    </row>
    <row r="131" spans="1:30" x14ac:dyDescent="0.3">
      <c r="A131" s="13">
        <v>21</v>
      </c>
      <c r="B131" s="13" t="s">
        <v>70</v>
      </c>
      <c r="C131" s="13" t="s">
        <v>96</v>
      </c>
      <c r="D131" s="13" t="s">
        <v>149</v>
      </c>
      <c r="E131" s="13" t="s">
        <v>108</v>
      </c>
      <c r="F131" s="13" t="s">
        <v>74</v>
      </c>
      <c r="G131" s="13" t="s">
        <v>439</v>
      </c>
      <c r="H131" s="13" t="s">
        <v>74</v>
      </c>
      <c r="I131" s="13" t="s">
        <v>439</v>
      </c>
      <c r="J131" s="13" t="s">
        <v>77</v>
      </c>
      <c r="K131" s="13" t="s">
        <v>131</v>
      </c>
      <c r="L131" s="13" t="s">
        <v>79</v>
      </c>
      <c r="M131" s="13" t="s">
        <v>102</v>
      </c>
      <c r="N131" s="13" t="s">
        <v>82</v>
      </c>
      <c r="O131" s="13" t="s">
        <v>489</v>
      </c>
      <c r="P131" s="13" t="s">
        <v>79</v>
      </c>
      <c r="Q131" s="13" t="s">
        <v>103</v>
      </c>
      <c r="R131" s="13" t="s">
        <v>79</v>
      </c>
      <c r="S131" s="13" t="s">
        <v>79</v>
      </c>
      <c r="T131" s="13" t="s">
        <v>86</v>
      </c>
      <c r="U131" s="13" t="s">
        <v>87</v>
      </c>
      <c r="V131" s="13" t="s">
        <v>112</v>
      </c>
      <c r="W131" t="s">
        <v>486</v>
      </c>
      <c r="X131" s="12">
        <v>2.2727272727272729</v>
      </c>
      <c r="Y131" s="12">
        <v>1.6</v>
      </c>
      <c r="Z131" s="12">
        <v>1</v>
      </c>
      <c r="AA131" s="12">
        <v>2.2222222222222223</v>
      </c>
      <c r="AB131" s="12">
        <v>2</v>
      </c>
      <c r="AC131" s="12">
        <v>2</v>
      </c>
      <c r="AD131" s="12">
        <v>1.8491582491582494</v>
      </c>
    </row>
    <row r="132" spans="1:30" x14ac:dyDescent="0.3">
      <c r="A132" s="13">
        <v>20</v>
      </c>
      <c r="B132" s="13" t="s">
        <v>70</v>
      </c>
      <c r="C132" s="13" t="s">
        <v>157</v>
      </c>
      <c r="D132" s="13" t="s">
        <v>72</v>
      </c>
      <c r="E132" s="13" t="s">
        <v>114</v>
      </c>
      <c r="F132" s="13" t="s">
        <v>136</v>
      </c>
      <c r="G132" s="13" t="s">
        <v>438</v>
      </c>
      <c r="H132" s="13" t="s">
        <v>98</v>
      </c>
      <c r="I132" s="13" t="s">
        <v>76</v>
      </c>
      <c r="J132" s="13" t="s">
        <v>77</v>
      </c>
      <c r="K132" s="13" t="s">
        <v>125</v>
      </c>
      <c r="L132" s="13" t="s">
        <v>82</v>
      </c>
      <c r="M132" s="13" t="s">
        <v>102</v>
      </c>
      <c r="N132" s="13" t="s">
        <v>79</v>
      </c>
      <c r="O132" s="13" t="s">
        <v>489</v>
      </c>
      <c r="P132" s="13" t="s">
        <v>79</v>
      </c>
      <c r="Q132" s="13" t="s">
        <v>83</v>
      </c>
      <c r="R132" s="13" t="s">
        <v>79</v>
      </c>
      <c r="S132" s="13" t="s">
        <v>82</v>
      </c>
      <c r="T132" s="13" t="s">
        <v>264</v>
      </c>
      <c r="U132" s="13" t="s">
        <v>141</v>
      </c>
      <c r="V132" s="13" t="s">
        <v>237</v>
      </c>
      <c r="W132" t="s">
        <v>486</v>
      </c>
      <c r="X132" s="12">
        <v>2.3636363636363638</v>
      </c>
      <c r="Y132" s="12">
        <v>1.8</v>
      </c>
      <c r="Z132" s="12">
        <v>2.3333333333333335</v>
      </c>
      <c r="AA132" s="12">
        <v>2</v>
      </c>
      <c r="AB132" s="12">
        <v>2</v>
      </c>
      <c r="AC132" s="12">
        <v>2</v>
      </c>
      <c r="AD132" s="12">
        <v>2.0828282828282831</v>
      </c>
    </row>
    <row r="133" spans="1:30" x14ac:dyDescent="0.3">
      <c r="A133" s="13">
        <v>25</v>
      </c>
      <c r="B133" s="13" t="s">
        <v>70</v>
      </c>
      <c r="C133" s="13" t="s">
        <v>113</v>
      </c>
      <c r="D133" s="13" t="s">
        <v>72</v>
      </c>
      <c r="E133" s="13" t="s">
        <v>108</v>
      </c>
      <c r="F133" s="13" t="s">
        <v>74</v>
      </c>
      <c r="G133" s="13" t="s">
        <v>440</v>
      </c>
      <c r="H133" s="13" t="s">
        <v>74</v>
      </c>
      <c r="I133" s="13" t="s">
        <v>76</v>
      </c>
      <c r="J133" s="13" t="s">
        <v>77</v>
      </c>
      <c r="K133" s="13" t="s">
        <v>131</v>
      </c>
      <c r="L133" s="13" t="s">
        <v>79</v>
      </c>
      <c r="M133" s="13" t="s">
        <v>102</v>
      </c>
      <c r="N133" s="13" t="s">
        <v>79</v>
      </c>
      <c r="O133" s="13" t="s">
        <v>490</v>
      </c>
      <c r="P133" s="13" t="s">
        <v>79</v>
      </c>
      <c r="Q133" s="13" t="s">
        <v>83</v>
      </c>
      <c r="R133" s="13" t="s">
        <v>79</v>
      </c>
      <c r="S133" s="13" t="s">
        <v>79</v>
      </c>
      <c r="T133" s="13" t="s">
        <v>106</v>
      </c>
      <c r="U133" s="13" t="s">
        <v>120</v>
      </c>
      <c r="V133" s="13" t="s">
        <v>112</v>
      </c>
      <c r="W133" t="s">
        <v>486</v>
      </c>
      <c r="X133" s="12">
        <v>2</v>
      </c>
      <c r="Y133" s="12">
        <v>2</v>
      </c>
      <c r="Z133" s="12">
        <v>2</v>
      </c>
      <c r="AA133" s="12">
        <v>2</v>
      </c>
      <c r="AB133" s="12">
        <v>2</v>
      </c>
      <c r="AC133" s="12">
        <v>2</v>
      </c>
      <c r="AD133" s="12">
        <v>2</v>
      </c>
    </row>
    <row r="134" spans="1:30" x14ac:dyDescent="0.3">
      <c r="A134" s="13">
        <v>23</v>
      </c>
      <c r="B134" s="13" t="s">
        <v>70</v>
      </c>
      <c r="C134" s="13" t="s">
        <v>113</v>
      </c>
      <c r="D134" s="13" t="s">
        <v>72</v>
      </c>
      <c r="E134" s="13" t="s">
        <v>73</v>
      </c>
      <c r="F134" s="13" t="s">
        <v>74</v>
      </c>
      <c r="G134" s="13" t="s">
        <v>440</v>
      </c>
      <c r="H134" s="13" t="s">
        <v>74</v>
      </c>
      <c r="I134" s="13" t="s">
        <v>76</v>
      </c>
      <c r="J134" s="13" t="s">
        <v>101</v>
      </c>
      <c r="K134" s="13" t="s">
        <v>78</v>
      </c>
      <c r="L134" s="13" t="s">
        <v>79</v>
      </c>
      <c r="M134" s="13" t="s">
        <v>80</v>
      </c>
      <c r="N134" s="13" t="s">
        <v>79</v>
      </c>
      <c r="O134" s="13" t="s">
        <v>489</v>
      </c>
      <c r="P134" s="13" t="s">
        <v>79</v>
      </c>
      <c r="Q134" s="13" t="s">
        <v>83</v>
      </c>
      <c r="R134" s="13" t="s">
        <v>79</v>
      </c>
      <c r="S134" s="13" t="s">
        <v>79</v>
      </c>
      <c r="T134" s="13" t="s">
        <v>106</v>
      </c>
      <c r="U134" s="13" t="s">
        <v>141</v>
      </c>
      <c r="V134" s="13" t="s">
        <v>112</v>
      </c>
      <c r="W134" t="s">
        <v>486</v>
      </c>
      <c r="X134" s="12">
        <v>2</v>
      </c>
      <c r="Y134" s="12">
        <v>2</v>
      </c>
      <c r="Z134" s="12">
        <v>2</v>
      </c>
      <c r="AA134" s="12">
        <v>2</v>
      </c>
      <c r="AB134" s="12">
        <v>2</v>
      </c>
      <c r="AC134" s="12">
        <v>2</v>
      </c>
      <c r="AD134" s="12">
        <v>2</v>
      </c>
    </row>
    <row r="135" spans="1:30" x14ac:dyDescent="0.3">
      <c r="A135" s="13">
        <v>23</v>
      </c>
      <c r="B135" s="13" t="s">
        <v>70</v>
      </c>
      <c r="C135" s="13" t="s">
        <v>113</v>
      </c>
      <c r="D135" s="13" t="s">
        <v>72</v>
      </c>
      <c r="E135" s="13" t="s">
        <v>108</v>
      </c>
      <c r="F135" s="13" t="s">
        <v>74</v>
      </c>
      <c r="G135" s="13" t="s">
        <v>439</v>
      </c>
      <c r="H135" s="13" t="s">
        <v>74</v>
      </c>
      <c r="I135" s="13" t="s">
        <v>439</v>
      </c>
      <c r="J135" s="13" t="s">
        <v>77</v>
      </c>
      <c r="K135" s="13" t="s">
        <v>122</v>
      </c>
      <c r="L135" s="13" t="s">
        <v>79</v>
      </c>
      <c r="M135" s="13" t="s">
        <v>102</v>
      </c>
      <c r="N135" s="13" t="s">
        <v>79</v>
      </c>
      <c r="O135" s="13" t="s">
        <v>490</v>
      </c>
      <c r="P135" s="13" t="s">
        <v>82</v>
      </c>
      <c r="Q135" s="13" t="s">
        <v>83</v>
      </c>
      <c r="R135" s="13" t="s">
        <v>79</v>
      </c>
      <c r="S135" s="13" t="s">
        <v>82</v>
      </c>
      <c r="T135" s="13" t="s">
        <v>86</v>
      </c>
      <c r="U135" s="13" t="s">
        <v>141</v>
      </c>
      <c r="V135" s="13" t="s">
        <v>112</v>
      </c>
      <c r="W135" t="s">
        <v>485</v>
      </c>
      <c r="X135" s="12">
        <v>2</v>
      </c>
      <c r="Y135" s="12">
        <v>2</v>
      </c>
      <c r="Z135" s="12">
        <v>2</v>
      </c>
      <c r="AA135" s="12">
        <v>2</v>
      </c>
      <c r="AB135" s="12">
        <v>2</v>
      </c>
      <c r="AC135" s="12">
        <v>2</v>
      </c>
      <c r="AD135" s="12">
        <v>2</v>
      </c>
    </row>
    <row r="136" spans="1:30" x14ac:dyDescent="0.3">
      <c r="A136" s="13">
        <v>22</v>
      </c>
      <c r="B136" s="13" t="s">
        <v>70</v>
      </c>
      <c r="C136" s="13" t="s">
        <v>96</v>
      </c>
      <c r="D136" s="13" t="s">
        <v>72</v>
      </c>
      <c r="E136" s="13" t="s">
        <v>114</v>
      </c>
      <c r="F136" s="13" t="s">
        <v>74</v>
      </c>
      <c r="G136" s="13" t="s">
        <v>440</v>
      </c>
      <c r="H136" s="13" t="s">
        <v>74</v>
      </c>
      <c r="I136" s="13" t="s">
        <v>76</v>
      </c>
      <c r="J136" s="13" t="s">
        <v>77</v>
      </c>
      <c r="K136" s="13" t="s">
        <v>122</v>
      </c>
      <c r="L136" s="13" t="s">
        <v>79</v>
      </c>
      <c r="M136" s="13" t="s">
        <v>102</v>
      </c>
      <c r="N136" s="13" t="s">
        <v>79</v>
      </c>
      <c r="O136" s="13" t="s">
        <v>490</v>
      </c>
      <c r="P136" s="13" t="s">
        <v>79</v>
      </c>
      <c r="Q136" s="13" t="s">
        <v>83</v>
      </c>
      <c r="R136" s="13" t="s">
        <v>79</v>
      </c>
      <c r="S136" s="13" t="s">
        <v>82</v>
      </c>
      <c r="T136" s="13" t="s">
        <v>86</v>
      </c>
      <c r="U136" s="13" t="s">
        <v>141</v>
      </c>
      <c r="V136" s="13" t="s">
        <v>112</v>
      </c>
      <c r="W136" t="s">
        <v>485</v>
      </c>
      <c r="X136" s="12">
        <v>2</v>
      </c>
      <c r="Y136" s="12">
        <v>2</v>
      </c>
      <c r="Z136" s="12">
        <v>2</v>
      </c>
      <c r="AA136" s="12">
        <v>2</v>
      </c>
      <c r="AB136" s="12">
        <v>2</v>
      </c>
      <c r="AC136" s="12">
        <v>2</v>
      </c>
      <c r="AD136" s="12">
        <v>2</v>
      </c>
    </row>
    <row r="137" spans="1:30" x14ac:dyDescent="0.3">
      <c r="A137" s="13">
        <v>25</v>
      </c>
      <c r="B137" s="13" t="s">
        <v>70</v>
      </c>
      <c r="C137" s="13" t="s">
        <v>153</v>
      </c>
      <c r="D137" s="13" t="s">
        <v>72</v>
      </c>
      <c r="E137" s="13" t="s">
        <v>73</v>
      </c>
      <c r="F137" s="13" t="s">
        <v>136</v>
      </c>
      <c r="G137" s="13" t="s">
        <v>439</v>
      </c>
      <c r="H137" s="13" t="s">
        <v>100</v>
      </c>
      <c r="I137" s="13" t="s">
        <v>76</v>
      </c>
      <c r="J137" s="13" t="s">
        <v>77</v>
      </c>
      <c r="K137" s="13" t="s">
        <v>125</v>
      </c>
      <c r="L137" s="13" t="s">
        <v>82</v>
      </c>
      <c r="M137" s="13" t="s">
        <v>102</v>
      </c>
      <c r="N137" s="13" t="s">
        <v>82</v>
      </c>
      <c r="O137" s="13" t="s">
        <v>489</v>
      </c>
      <c r="P137" s="13" t="s">
        <v>82</v>
      </c>
      <c r="Q137" s="13" t="s">
        <v>118</v>
      </c>
      <c r="R137" s="13" t="s">
        <v>79</v>
      </c>
      <c r="S137" s="13" t="s">
        <v>82</v>
      </c>
      <c r="T137" s="13" t="s">
        <v>106</v>
      </c>
      <c r="U137" s="13" t="s">
        <v>87</v>
      </c>
      <c r="V137" s="13" t="s">
        <v>457</v>
      </c>
      <c r="W137" t="s">
        <v>486</v>
      </c>
      <c r="X137" s="12">
        <v>2</v>
      </c>
      <c r="Y137" s="12">
        <v>2</v>
      </c>
      <c r="Z137" s="12">
        <v>2</v>
      </c>
      <c r="AA137" s="12">
        <v>2</v>
      </c>
      <c r="AB137" s="12">
        <v>2</v>
      </c>
      <c r="AC137" s="12">
        <v>2</v>
      </c>
      <c r="AD137" s="12">
        <v>2</v>
      </c>
    </row>
    <row r="138" spans="1:30" x14ac:dyDescent="0.3">
      <c r="A138" s="13">
        <v>21</v>
      </c>
      <c r="B138" s="13" t="s">
        <v>70</v>
      </c>
      <c r="C138" s="13" t="s">
        <v>96</v>
      </c>
      <c r="D138" s="13" t="s">
        <v>72</v>
      </c>
      <c r="E138" s="13" t="s">
        <v>108</v>
      </c>
      <c r="F138" s="13" t="s">
        <v>74</v>
      </c>
      <c r="G138" s="13" t="s">
        <v>99</v>
      </c>
      <c r="H138" s="13" t="s">
        <v>74</v>
      </c>
      <c r="I138" s="13" t="s">
        <v>439</v>
      </c>
      <c r="J138" s="13" t="s">
        <v>77</v>
      </c>
      <c r="K138" s="13" t="s">
        <v>122</v>
      </c>
      <c r="L138" s="13" t="s">
        <v>79</v>
      </c>
      <c r="M138" s="13" t="s">
        <v>80</v>
      </c>
      <c r="N138" s="13" t="s">
        <v>79</v>
      </c>
      <c r="O138" s="13" t="s">
        <v>490</v>
      </c>
      <c r="P138" s="13" t="s">
        <v>82</v>
      </c>
      <c r="Q138" s="13" t="s">
        <v>83</v>
      </c>
      <c r="R138" s="13" t="s">
        <v>79</v>
      </c>
      <c r="S138" s="13" t="s">
        <v>82</v>
      </c>
      <c r="T138" s="13" t="s">
        <v>106</v>
      </c>
      <c r="U138" s="13" t="s">
        <v>141</v>
      </c>
      <c r="V138" s="13" t="s">
        <v>127</v>
      </c>
      <c r="W138" t="s">
        <v>486</v>
      </c>
      <c r="X138" s="12">
        <v>2</v>
      </c>
      <c r="Y138" s="12">
        <v>2</v>
      </c>
      <c r="Z138" s="12">
        <v>2</v>
      </c>
      <c r="AA138" s="12">
        <v>2</v>
      </c>
      <c r="AB138" s="12">
        <v>2</v>
      </c>
      <c r="AC138" s="12">
        <v>2</v>
      </c>
      <c r="AD138" s="12">
        <v>2</v>
      </c>
    </row>
    <row r="139" spans="1:30" x14ac:dyDescent="0.3">
      <c r="A139" s="13">
        <v>22</v>
      </c>
      <c r="B139" s="13" t="s">
        <v>70</v>
      </c>
      <c r="C139" s="13" t="s">
        <v>113</v>
      </c>
      <c r="D139" s="13" t="s">
        <v>97</v>
      </c>
      <c r="E139" s="13" t="s">
        <v>108</v>
      </c>
      <c r="F139" s="13" t="s">
        <v>74</v>
      </c>
      <c r="G139" s="13" t="s">
        <v>439</v>
      </c>
      <c r="H139" s="13" t="s">
        <v>74</v>
      </c>
      <c r="I139" s="13" t="s">
        <v>439</v>
      </c>
      <c r="J139" s="13" t="s">
        <v>77</v>
      </c>
      <c r="K139" s="13" t="s">
        <v>122</v>
      </c>
      <c r="L139" s="13" t="s">
        <v>79</v>
      </c>
      <c r="M139" s="13" t="s">
        <v>80</v>
      </c>
      <c r="N139" s="13" t="s">
        <v>79</v>
      </c>
      <c r="O139" s="13" t="s">
        <v>489</v>
      </c>
      <c r="P139" s="13" t="s">
        <v>79</v>
      </c>
      <c r="Q139" s="13" t="s">
        <v>83</v>
      </c>
      <c r="R139" s="13" t="s">
        <v>79</v>
      </c>
      <c r="S139" s="13" t="s">
        <v>79</v>
      </c>
      <c r="T139" s="13" t="s">
        <v>106</v>
      </c>
      <c r="U139" s="13" t="s">
        <v>120</v>
      </c>
      <c r="V139" s="13" t="s">
        <v>112</v>
      </c>
      <c r="W139" t="s">
        <v>486</v>
      </c>
      <c r="X139" s="12">
        <v>2</v>
      </c>
      <c r="Y139" s="12">
        <v>2</v>
      </c>
      <c r="Z139" s="12">
        <v>2</v>
      </c>
      <c r="AA139" s="12">
        <v>2</v>
      </c>
      <c r="AB139" s="12">
        <v>2</v>
      </c>
      <c r="AC139" s="12">
        <v>2</v>
      </c>
      <c r="AD139" s="12">
        <v>2</v>
      </c>
    </row>
    <row r="140" spans="1:30" x14ac:dyDescent="0.3">
      <c r="A140" s="13">
        <v>22</v>
      </c>
      <c r="B140" s="13" t="s">
        <v>70</v>
      </c>
      <c r="C140" s="13" t="s">
        <v>113</v>
      </c>
      <c r="D140" s="13" t="s">
        <v>72</v>
      </c>
      <c r="E140" s="13" t="s">
        <v>73</v>
      </c>
      <c r="F140" s="13" t="s">
        <v>74</v>
      </c>
      <c r="G140" s="13" t="s">
        <v>439</v>
      </c>
      <c r="H140" s="13" t="s">
        <v>74</v>
      </c>
      <c r="I140" s="13" t="s">
        <v>76</v>
      </c>
      <c r="J140" s="13" t="s">
        <v>77</v>
      </c>
      <c r="K140" s="13" t="s">
        <v>122</v>
      </c>
      <c r="L140" s="13" t="s">
        <v>79</v>
      </c>
      <c r="M140" s="13" t="s">
        <v>102</v>
      </c>
      <c r="N140" s="13" t="s">
        <v>79</v>
      </c>
      <c r="O140" s="13" t="s">
        <v>490</v>
      </c>
      <c r="P140" s="13" t="s">
        <v>79</v>
      </c>
      <c r="Q140" s="13" t="s">
        <v>83</v>
      </c>
      <c r="R140" s="13" t="s">
        <v>79</v>
      </c>
      <c r="S140" s="13" t="s">
        <v>82</v>
      </c>
      <c r="T140" s="13" t="s">
        <v>148</v>
      </c>
      <c r="U140" s="13" t="s">
        <v>141</v>
      </c>
      <c r="V140" s="13" t="s">
        <v>112</v>
      </c>
      <c r="W140" t="s">
        <v>485</v>
      </c>
      <c r="X140" s="12">
        <v>2</v>
      </c>
      <c r="Y140" s="12">
        <v>2</v>
      </c>
      <c r="Z140" s="12">
        <v>2</v>
      </c>
      <c r="AA140" s="12">
        <v>2</v>
      </c>
      <c r="AB140" s="12">
        <v>2</v>
      </c>
      <c r="AC140" s="12">
        <v>2</v>
      </c>
      <c r="AD140" s="12">
        <v>2</v>
      </c>
    </row>
    <row r="141" spans="1:30" x14ac:dyDescent="0.3">
      <c r="A141" s="13">
        <v>23</v>
      </c>
      <c r="B141" s="13" t="s">
        <v>70</v>
      </c>
      <c r="C141" s="13" t="s">
        <v>71</v>
      </c>
      <c r="D141" s="13" t="s">
        <v>72</v>
      </c>
      <c r="E141" s="13" t="s">
        <v>114</v>
      </c>
      <c r="F141" s="13" t="s">
        <v>74</v>
      </c>
      <c r="G141" s="13" t="s">
        <v>440</v>
      </c>
      <c r="H141" s="13" t="s">
        <v>74</v>
      </c>
      <c r="I141" s="13" t="s">
        <v>76</v>
      </c>
      <c r="J141" s="13" t="s">
        <v>77</v>
      </c>
      <c r="K141" s="13" t="s">
        <v>78</v>
      </c>
      <c r="L141" s="13" t="s">
        <v>79</v>
      </c>
      <c r="M141" s="13" t="s">
        <v>102</v>
      </c>
      <c r="N141" s="13" t="s">
        <v>79</v>
      </c>
      <c r="O141" s="13" t="s">
        <v>490</v>
      </c>
      <c r="P141" s="13" t="s">
        <v>79</v>
      </c>
      <c r="Q141" s="13" t="s">
        <v>83</v>
      </c>
      <c r="R141" s="13" t="s">
        <v>79</v>
      </c>
      <c r="S141" s="13" t="s">
        <v>79</v>
      </c>
      <c r="T141" s="13" t="s">
        <v>86</v>
      </c>
      <c r="U141" s="13" t="s">
        <v>141</v>
      </c>
      <c r="V141" s="13" t="s">
        <v>112</v>
      </c>
      <c r="W141" t="s">
        <v>486</v>
      </c>
      <c r="X141" s="12">
        <v>2</v>
      </c>
      <c r="Y141" s="12">
        <v>2</v>
      </c>
      <c r="Z141" s="12">
        <v>2</v>
      </c>
      <c r="AA141" s="12">
        <v>2</v>
      </c>
      <c r="AB141" s="12">
        <v>2</v>
      </c>
      <c r="AC141" s="12">
        <v>2</v>
      </c>
      <c r="AD141" s="12">
        <v>2</v>
      </c>
    </row>
    <row r="142" spans="1:30" x14ac:dyDescent="0.3">
      <c r="A142" s="13">
        <v>21</v>
      </c>
      <c r="B142" s="13" t="s">
        <v>70</v>
      </c>
      <c r="C142" s="13" t="s">
        <v>96</v>
      </c>
      <c r="D142" s="13" t="s">
        <v>72</v>
      </c>
      <c r="E142" s="13" t="s">
        <v>73</v>
      </c>
      <c r="F142" s="13" t="s">
        <v>74</v>
      </c>
      <c r="G142" s="13" t="s">
        <v>439</v>
      </c>
      <c r="H142" s="13" t="s">
        <v>74</v>
      </c>
      <c r="I142" s="13" t="s">
        <v>76</v>
      </c>
      <c r="J142" s="13" t="s">
        <v>77</v>
      </c>
      <c r="K142" s="13" t="s">
        <v>122</v>
      </c>
      <c r="L142" s="13" t="s">
        <v>79</v>
      </c>
      <c r="M142" s="13" t="s">
        <v>80</v>
      </c>
      <c r="N142" s="13" t="s">
        <v>79</v>
      </c>
      <c r="O142" s="13" t="s">
        <v>490</v>
      </c>
      <c r="P142" s="13" t="s">
        <v>79</v>
      </c>
      <c r="Q142" s="13" t="s">
        <v>83</v>
      </c>
      <c r="R142" s="13" t="s">
        <v>79</v>
      </c>
      <c r="S142" s="13" t="s">
        <v>82</v>
      </c>
      <c r="T142" s="13" t="s">
        <v>86</v>
      </c>
      <c r="U142" s="13" t="s">
        <v>141</v>
      </c>
      <c r="V142" s="13" t="s">
        <v>112</v>
      </c>
      <c r="W142" t="s">
        <v>486</v>
      </c>
      <c r="X142" s="12">
        <v>2</v>
      </c>
      <c r="Y142" s="12">
        <v>2</v>
      </c>
      <c r="Z142" s="12">
        <v>2</v>
      </c>
      <c r="AA142" s="12">
        <v>2</v>
      </c>
      <c r="AB142" s="12">
        <v>2</v>
      </c>
      <c r="AC142" s="12">
        <v>2</v>
      </c>
      <c r="AD142" s="12">
        <v>2</v>
      </c>
    </row>
    <row r="143" spans="1:30" x14ac:dyDescent="0.3">
      <c r="A143" s="13">
        <v>22</v>
      </c>
      <c r="B143" s="13" t="s">
        <v>70</v>
      </c>
      <c r="C143" s="13" t="s">
        <v>96</v>
      </c>
      <c r="D143" s="13" t="s">
        <v>72</v>
      </c>
      <c r="E143" s="13" t="s">
        <v>108</v>
      </c>
      <c r="F143" s="13" t="s">
        <v>74</v>
      </c>
      <c r="G143" s="13" t="s">
        <v>440</v>
      </c>
      <c r="H143" s="13" t="s">
        <v>74</v>
      </c>
      <c r="I143" s="13" t="s">
        <v>439</v>
      </c>
      <c r="J143" s="13" t="s">
        <v>77</v>
      </c>
      <c r="K143" s="13" t="s">
        <v>122</v>
      </c>
      <c r="L143" s="13" t="s">
        <v>79</v>
      </c>
      <c r="M143" s="13" t="s">
        <v>102</v>
      </c>
      <c r="N143" s="13" t="s">
        <v>79</v>
      </c>
      <c r="O143" s="13" t="s">
        <v>490</v>
      </c>
      <c r="P143" s="13" t="s">
        <v>79</v>
      </c>
      <c r="Q143" s="13" t="s">
        <v>83</v>
      </c>
      <c r="R143" s="13" t="s">
        <v>79</v>
      </c>
      <c r="S143" s="13" t="s">
        <v>82</v>
      </c>
      <c r="T143" s="13" t="s">
        <v>86</v>
      </c>
      <c r="U143" s="13" t="s">
        <v>141</v>
      </c>
      <c r="V143" s="13" t="s">
        <v>112</v>
      </c>
      <c r="W143" t="s">
        <v>486</v>
      </c>
      <c r="X143" s="12">
        <v>2</v>
      </c>
      <c r="Y143" s="12">
        <v>2</v>
      </c>
      <c r="Z143" s="12">
        <v>2</v>
      </c>
      <c r="AA143" s="12">
        <v>2</v>
      </c>
      <c r="AB143" s="12">
        <v>2</v>
      </c>
      <c r="AC143" s="12">
        <v>2</v>
      </c>
      <c r="AD143" s="12">
        <v>2</v>
      </c>
    </row>
    <row r="144" spans="1:30" x14ac:dyDescent="0.3">
      <c r="A144" s="13">
        <v>22</v>
      </c>
      <c r="B144" s="13" t="s">
        <v>70</v>
      </c>
      <c r="C144" s="13" t="s">
        <v>113</v>
      </c>
      <c r="D144" s="13" t="s">
        <v>97</v>
      </c>
      <c r="E144" s="13" t="s">
        <v>108</v>
      </c>
      <c r="F144" s="13" t="s">
        <v>74</v>
      </c>
      <c r="G144" s="13" t="s">
        <v>440</v>
      </c>
      <c r="H144" s="13" t="s">
        <v>74</v>
      </c>
      <c r="I144" s="13" t="s">
        <v>76</v>
      </c>
      <c r="J144" s="13" t="s">
        <v>101</v>
      </c>
      <c r="K144" s="13" t="s">
        <v>131</v>
      </c>
      <c r="L144" s="13" t="s">
        <v>79</v>
      </c>
      <c r="M144" s="13" t="s">
        <v>80</v>
      </c>
      <c r="N144" s="13" t="s">
        <v>79</v>
      </c>
      <c r="O144" s="13" t="s">
        <v>490</v>
      </c>
      <c r="P144" s="13" t="s">
        <v>79</v>
      </c>
      <c r="Q144" s="13" t="s">
        <v>83</v>
      </c>
      <c r="R144" s="13" t="s">
        <v>79</v>
      </c>
      <c r="S144" s="13" t="s">
        <v>79</v>
      </c>
      <c r="T144" s="13" t="s">
        <v>86</v>
      </c>
      <c r="U144" s="13" t="s">
        <v>141</v>
      </c>
      <c r="V144" s="13" t="s">
        <v>455</v>
      </c>
      <c r="W144" t="s">
        <v>486</v>
      </c>
      <c r="X144" s="12">
        <v>1.8181818181818181</v>
      </c>
      <c r="Y144" s="12">
        <v>2</v>
      </c>
      <c r="Z144" s="12">
        <v>2</v>
      </c>
      <c r="AA144" s="12">
        <v>2</v>
      </c>
      <c r="AB144" s="12">
        <v>2</v>
      </c>
      <c r="AC144" s="12">
        <v>2</v>
      </c>
      <c r="AD144" s="12">
        <v>1.9696969696969697</v>
      </c>
    </row>
    <row r="145" spans="1:30" x14ac:dyDescent="0.3">
      <c r="A145" s="13">
        <v>24</v>
      </c>
      <c r="B145" s="13" t="s">
        <v>70</v>
      </c>
      <c r="C145" s="13" t="s">
        <v>113</v>
      </c>
      <c r="D145" s="13" t="s">
        <v>72</v>
      </c>
      <c r="E145" s="13" t="s">
        <v>114</v>
      </c>
      <c r="F145" s="13" t="s">
        <v>136</v>
      </c>
      <c r="G145" s="13" t="s">
        <v>440</v>
      </c>
      <c r="H145" s="13" t="s">
        <v>136</v>
      </c>
      <c r="I145" s="13" t="s">
        <v>76</v>
      </c>
      <c r="J145" s="13" t="s">
        <v>101</v>
      </c>
      <c r="K145" s="13" t="s">
        <v>131</v>
      </c>
      <c r="L145" s="13" t="s">
        <v>79</v>
      </c>
      <c r="M145" s="13" t="s">
        <v>80</v>
      </c>
      <c r="N145" s="13" t="s">
        <v>79</v>
      </c>
      <c r="O145" s="13" t="s">
        <v>489</v>
      </c>
      <c r="P145" s="13" t="s">
        <v>79</v>
      </c>
      <c r="Q145" s="13" t="s">
        <v>83</v>
      </c>
      <c r="R145" s="13" t="s">
        <v>79</v>
      </c>
      <c r="S145" s="13" t="s">
        <v>79</v>
      </c>
      <c r="T145" s="13" t="s">
        <v>106</v>
      </c>
      <c r="U145" s="13" t="s">
        <v>120</v>
      </c>
      <c r="V145" s="13" t="s">
        <v>112</v>
      </c>
      <c r="W145" t="s">
        <v>486</v>
      </c>
      <c r="X145" s="12">
        <v>1.9090909090909092</v>
      </c>
      <c r="Y145" s="12">
        <v>1.8</v>
      </c>
      <c r="Z145" s="12">
        <v>2.3333333333333335</v>
      </c>
      <c r="AA145" s="12">
        <v>1.8888888888888888</v>
      </c>
      <c r="AB145" s="12">
        <v>2</v>
      </c>
      <c r="AC145" s="12">
        <v>2</v>
      </c>
      <c r="AD145" s="12">
        <v>1.9885521885521886</v>
      </c>
    </row>
    <row r="146" spans="1:30" x14ac:dyDescent="0.3">
      <c r="A146" s="13">
        <v>22</v>
      </c>
      <c r="B146" s="13" t="s">
        <v>70</v>
      </c>
      <c r="C146" s="13" t="s">
        <v>96</v>
      </c>
      <c r="D146" s="13" t="s">
        <v>72</v>
      </c>
      <c r="E146" s="13" t="s">
        <v>114</v>
      </c>
      <c r="F146" s="13" t="s">
        <v>98</v>
      </c>
      <c r="G146" s="13" t="s">
        <v>440</v>
      </c>
      <c r="H146" s="13" t="s">
        <v>100</v>
      </c>
      <c r="I146" s="13" t="s">
        <v>76</v>
      </c>
      <c r="J146" s="13" t="s">
        <v>101</v>
      </c>
      <c r="K146" s="13" t="s">
        <v>78</v>
      </c>
      <c r="L146" s="13" t="s">
        <v>79</v>
      </c>
      <c r="M146" s="13" t="s">
        <v>80</v>
      </c>
      <c r="N146" s="13" t="s">
        <v>79</v>
      </c>
      <c r="O146" s="13" t="s">
        <v>487</v>
      </c>
      <c r="P146" s="13" t="s">
        <v>79</v>
      </c>
      <c r="Q146" s="13" t="s">
        <v>83</v>
      </c>
      <c r="R146" s="13" t="s">
        <v>79</v>
      </c>
      <c r="S146" s="13" t="s">
        <v>79</v>
      </c>
      <c r="T146" s="13" t="s">
        <v>86</v>
      </c>
      <c r="U146" s="13" t="s">
        <v>120</v>
      </c>
      <c r="V146" s="13" t="s">
        <v>112</v>
      </c>
      <c r="W146" t="s">
        <v>486</v>
      </c>
      <c r="X146" s="12">
        <v>2.2727272727272729</v>
      </c>
      <c r="Y146" s="12">
        <v>1.6</v>
      </c>
      <c r="Z146" s="12">
        <v>1.6666666666666667</v>
      </c>
      <c r="AA146" s="12">
        <v>1.8888888888888888</v>
      </c>
      <c r="AB146" s="12">
        <v>2</v>
      </c>
      <c r="AC146" s="12">
        <v>2</v>
      </c>
      <c r="AD146" s="12">
        <v>1.9047138047138048</v>
      </c>
    </row>
    <row r="147" spans="1:30" x14ac:dyDescent="0.3">
      <c r="A147" s="13">
        <v>22</v>
      </c>
      <c r="B147" s="13" t="s">
        <v>128</v>
      </c>
      <c r="C147" s="13" t="s">
        <v>96</v>
      </c>
      <c r="D147" s="13" t="s">
        <v>72</v>
      </c>
      <c r="E147" s="13" t="s">
        <v>108</v>
      </c>
      <c r="F147" s="13" t="s">
        <v>100</v>
      </c>
      <c r="G147" s="13" t="s">
        <v>440</v>
      </c>
      <c r="H147" s="13" t="s">
        <v>100</v>
      </c>
      <c r="I147" s="13" t="s">
        <v>76</v>
      </c>
      <c r="J147" s="13" t="s">
        <v>77</v>
      </c>
      <c r="K147" s="13" t="s">
        <v>125</v>
      </c>
      <c r="L147" s="13" t="s">
        <v>79</v>
      </c>
      <c r="M147" s="13" t="s">
        <v>80</v>
      </c>
      <c r="N147" s="13" t="s">
        <v>79</v>
      </c>
      <c r="O147" s="13" t="s">
        <v>489</v>
      </c>
      <c r="P147" s="13" t="s">
        <v>79</v>
      </c>
      <c r="Q147" s="13" t="s">
        <v>118</v>
      </c>
      <c r="R147" s="13" t="s">
        <v>82</v>
      </c>
      <c r="S147" s="13" t="s">
        <v>82</v>
      </c>
      <c r="T147" s="13" t="s">
        <v>106</v>
      </c>
      <c r="U147" s="13" t="s">
        <v>87</v>
      </c>
      <c r="V147" s="13" t="s">
        <v>455</v>
      </c>
      <c r="W147" t="s">
        <v>486</v>
      </c>
      <c r="X147" s="12">
        <v>1.9090909090909092</v>
      </c>
      <c r="Y147" s="12">
        <v>1.6</v>
      </c>
      <c r="Z147" s="12">
        <v>1.3333333333333333</v>
      </c>
      <c r="AA147" s="12">
        <v>1.8888888888888888</v>
      </c>
      <c r="AB147" s="12">
        <v>2</v>
      </c>
      <c r="AC147" s="12">
        <v>2</v>
      </c>
      <c r="AD147" s="12">
        <v>1.7885521885521884</v>
      </c>
    </row>
    <row r="148" spans="1:30" x14ac:dyDescent="0.3">
      <c r="A148" s="13">
        <v>23</v>
      </c>
      <c r="B148" s="13" t="s">
        <v>70</v>
      </c>
      <c r="C148" s="13" t="s">
        <v>96</v>
      </c>
      <c r="D148" s="13" t="s">
        <v>97</v>
      </c>
      <c r="E148" s="13" t="s">
        <v>108</v>
      </c>
      <c r="F148" s="13" t="s">
        <v>98</v>
      </c>
      <c r="G148" s="13" t="s">
        <v>440</v>
      </c>
      <c r="H148" s="13" t="s">
        <v>98</v>
      </c>
      <c r="I148" s="13" t="s">
        <v>76</v>
      </c>
      <c r="J148" s="13" t="s">
        <v>77</v>
      </c>
      <c r="K148" s="13" t="s">
        <v>122</v>
      </c>
      <c r="L148" s="13" t="s">
        <v>82</v>
      </c>
      <c r="M148" s="13" t="s">
        <v>80</v>
      </c>
      <c r="N148" s="13" t="s">
        <v>79</v>
      </c>
      <c r="O148" s="13" t="s">
        <v>489</v>
      </c>
      <c r="P148" s="13" t="s">
        <v>82</v>
      </c>
      <c r="Q148" s="13" t="s">
        <v>103</v>
      </c>
      <c r="R148" s="13" t="s">
        <v>82</v>
      </c>
      <c r="S148" s="13" t="s">
        <v>82</v>
      </c>
      <c r="T148" s="13" t="s">
        <v>86</v>
      </c>
      <c r="U148" s="13" t="s">
        <v>141</v>
      </c>
      <c r="V148" s="13" t="s">
        <v>112</v>
      </c>
      <c r="W148" t="s">
        <v>486</v>
      </c>
      <c r="X148" s="12">
        <v>1.8181818181818181</v>
      </c>
      <c r="Y148" s="12">
        <v>1.6</v>
      </c>
      <c r="Z148" s="12">
        <v>1.6666666666666667</v>
      </c>
      <c r="AA148" s="12">
        <v>1.7777777777777777</v>
      </c>
      <c r="AB148" s="12">
        <v>2</v>
      </c>
      <c r="AC148" s="12">
        <v>2</v>
      </c>
      <c r="AD148" s="12">
        <v>1.8104377104377105</v>
      </c>
    </row>
    <row r="149" spans="1:30" x14ac:dyDescent="0.3">
      <c r="A149" s="13">
        <v>21</v>
      </c>
      <c r="B149" s="13" t="s">
        <v>128</v>
      </c>
      <c r="C149" s="13" t="s">
        <v>157</v>
      </c>
      <c r="D149" s="13" t="s">
        <v>97</v>
      </c>
      <c r="E149" s="13" t="s">
        <v>114</v>
      </c>
      <c r="F149" s="13" t="s">
        <v>74</v>
      </c>
      <c r="G149" s="13" t="s">
        <v>439</v>
      </c>
      <c r="H149" s="13" t="s">
        <v>74</v>
      </c>
      <c r="I149" s="13" t="s">
        <v>439</v>
      </c>
      <c r="J149" s="13" t="s">
        <v>77</v>
      </c>
      <c r="K149" s="13" t="s">
        <v>122</v>
      </c>
      <c r="L149" s="13" t="s">
        <v>79</v>
      </c>
      <c r="M149" s="13" t="s">
        <v>80</v>
      </c>
      <c r="N149" s="13" t="s">
        <v>79</v>
      </c>
      <c r="O149" s="13" t="s">
        <v>489</v>
      </c>
      <c r="P149" s="13" t="s">
        <v>79</v>
      </c>
      <c r="Q149" s="13" t="s">
        <v>83</v>
      </c>
      <c r="R149" s="13" t="s">
        <v>79</v>
      </c>
      <c r="S149" s="13" t="s">
        <v>82</v>
      </c>
      <c r="T149" s="13" t="s">
        <v>86</v>
      </c>
      <c r="U149" s="13" t="s">
        <v>87</v>
      </c>
      <c r="V149" s="13" t="s">
        <v>112</v>
      </c>
      <c r="W149" t="s">
        <v>486</v>
      </c>
      <c r="X149" s="12">
        <v>1.4545454545454546</v>
      </c>
      <c r="Y149" s="12">
        <v>1.6</v>
      </c>
      <c r="Z149" s="12">
        <v>1.6666666666666667</v>
      </c>
      <c r="AA149" s="12">
        <v>1.7777777777777777</v>
      </c>
      <c r="AB149" s="12">
        <v>2</v>
      </c>
      <c r="AC149" s="12">
        <v>2</v>
      </c>
      <c r="AD149" s="12">
        <v>1.74983164983165</v>
      </c>
    </row>
    <row r="150" spans="1:30" x14ac:dyDescent="0.3">
      <c r="A150" s="13">
        <v>20</v>
      </c>
      <c r="B150" s="13" t="s">
        <v>70</v>
      </c>
      <c r="C150" s="13" t="s">
        <v>96</v>
      </c>
      <c r="D150" s="13" t="s">
        <v>97</v>
      </c>
      <c r="E150" s="13" t="s">
        <v>108</v>
      </c>
      <c r="F150" s="13" t="s">
        <v>74</v>
      </c>
      <c r="G150" s="13" t="s">
        <v>440</v>
      </c>
      <c r="H150" s="13" t="s">
        <v>136</v>
      </c>
      <c r="I150" s="13" t="s">
        <v>76</v>
      </c>
      <c r="J150" s="13" t="s">
        <v>77</v>
      </c>
      <c r="K150" s="13" t="s">
        <v>78</v>
      </c>
      <c r="L150" s="13" t="s">
        <v>79</v>
      </c>
      <c r="M150" s="13" t="s">
        <v>102</v>
      </c>
      <c r="N150" s="13" t="s">
        <v>79</v>
      </c>
      <c r="O150" s="13" t="s">
        <v>490</v>
      </c>
      <c r="P150" s="13" t="s">
        <v>79</v>
      </c>
      <c r="Q150" s="13" t="s">
        <v>83</v>
      </c>
      <c r="R150" s="13" t="s">
        <v>82</v>
      </c>
      <c r="S150" s="13" t="s">
        <v>79</v>
      </c>
      <c r="T150" s="13" t="s">
        <v>148</v>
      </c>
      <c r="U150" s="13" t="s">
        <v>120</v>
      </c>
      <c r="V150" s="13" t="s">
        <v>127</v>
      </c>
      <c r="W150" t="s">
        <v>486</v>
      </c>
      <c r="X150" s="12">
        <v>1.2727272727272727</v>
      </c>
      <c r="Y150" s="12">
        <v>1.4</v>
      </c>
      <c r="Z150" s="12">
        <v>1</v>
      </c>
      <c r="AA150" s="12">
        <v>1.7777777777777777</v>
      </c>
      <c r="AB150" s="12">
        <v>2</v>
      </c>
      <c r="AC150" s="12">
        <v>2</v>
      </c>
      <c r="AD150" s="12">
        <v>1.5750841750841751</v>
      </c>
    </row>
    <row r="151" spans="1:30" x14ac:dyDescent="0.3">
      <c r="A151" s="13">
        <v>22</v>
      </c>
      <c r="B151" s="13" t="s">
        <v>70</v>
      </c>
      <c r="C151" s="13" t="s">
        <v>96</v>
      </c>
      <c r="D151" s="13" t="s">
        <v>72</v>
      </c>
      <c r="E151" s="13" t="s">
        <v>108</v>
      </c>
      <c r="F151" s="13" t="s">
        <v>74</v>
      </c>
      <c r="G151" s="13" t="s">
        <v>99</v>
      </c>
      <c r="H151" s="13" t="s">
        <v>74</v>
      </c>
      <c r="I151" s="13" t="s">
        <v>76</v>
      </c>
      <c r="J151" s="13" t="s">
        <v>77</v>
      </c>
      <c r="K151" s="13" t="s">
        <v>122</v>
      </c>
      <c r="L151" s="13" t="s">
        <v>82</v>
      </c>
      <c r="M151" s="13" t="s">
        <v>80</v>
      </c>
      <c r="N151" s="13" t="s">
        <v>79</v>
      </c>
      <c r="O151" s="13" t="s">
        <v>488</v>
      </c>
      <c r="P151" s="13" t="s">
        <v>82</v>
      </c>
      <c r="Q151" s="13" t="s">
        <v>83</v>
      </c>
      <c r="R151" s="13" t="s">
        <v>82</v>
      </c>
      <c r="S151" s="13" t="s">
        <v>82</v>
      </c>
      <c r="T151" s="13" t="s">
        <v>148</v>
      </c>
      <c r="U151" s="13" t="s">
        <v>141</v>
      </c>
      <c r="V151" s="13" t="s">
        <v>112</v>
      </c>
      <c r="W151" t="s">
        <v>486</v>
      </c>
      <c r="X151" s="12">
        <v>0.63636363636363635</v>
      </c>
      <c r="Y151" s="12">
        <v>1.6</v>
      </c>
      <c r="Z151" s="12">
        <v>0.66666666666666663</v>
      </c>
      <c r="AA151" s="12">
        <v>1.6666666666666667</v>
      </c>
      <c r="AB151" s="12">
        <v>2</v>
      </c>
      <c r="AC151" s="12">
        <v>2</v>
      </c>
      <c r="AD151" s="12">
        <v>1.4282828282828284</v>
      </c>
    </row>
    <row r="152" spans="1:30" x14ac:dyDescent="0.3">
      <c r="A152" s="13">
        <v>23</v>
      </c>
      <c r="B152" s="13" t="s">
        <v>70</v>
      </c>
      <c r="C152" s="13" t="s">
        <v>113</v>
      </c>
      <c r="D152" s="13" t="s">
        <v>72</v>
      </c>
      <c r="E152" s="13" t="s">
        <v>108</v>
      </c>
      <c r="F152" s="13" t="s">
        <v>74</v>
      </c>
      <c r="G152" s="13" t="s">
        <v>439</v>
      </c>
      <c r="H152" s="13" t="s">
        <v>74</v>
      </c>
      <c r="I152" s="13" t="s">
        <v>439</v>
      </c>
      <c r="J152" s="13" t="s">
        <v>77</v>
      </c>
      <c r="K152" s="13" t="s">
        <v>78</v>
      </c>
      <c r="L152" s="13" t="s">
        <v>79</v>
      </c>
      <c r="M152" s="13" t="s">
        <v>80</v>
      </c>
      <c r="N152" s="13" t="s">
        <v>79</v>
      </c>
      <c r="O152" s="13" t="s">
        <v>487</v>
      </c>
      <c r="P152" s="13" t="s">
        <v>79</v>
      </c>
      <c r="Q152" s="13" t="s">
        <v>83</v>
      </c>
      <c r="R152" s="13" t="s">
        <v>79</v>
      </c>
      <c r="S152" s="13" t="s">
        <v>79</v>
      </c>
      <c r="T152" s="13" t="s">
        <v>106</v>
      </c>
      <c r="U152" s="13" t="s">
        <v>141</v>
      </c>
      <c r="V152" s="13" t="s">
        <v>127</v>
      </c>
      <c r="W152" t="s">
        <v>485</v>
      </c>
      <c r="X152" s="12">
        <v>1.2727272727272727</v>
      </c>
      <c r="Y152" s="12">
        <v>1</v>
      </c>
      <c r="Z152" s="12">
        <v>1</v>
      </c>
      <c r="AA152" s="12">
        <v>1.4444444444444444</v>
      </c>
      <c r="AB152" s="12">
        <v>2</v>
      </c>
      <c r="AC152" s="12">
        <v>2</v>
      </c>
      <c r="AD152" s="12">
        <v>1.4528619528619526</v>
      </c>
    </row>
    <row r="153" spans="1:30" x14ac:dyDescent="0.3">
      <c r="A153" s="13">
        <v>20</v>
      </c>
      <c r="B153" s="13" t="s">
        <v>70</v>
      </c>
      <c r="C153" s="13" t="s">
        <v>157</v>
      </c>
      <c r="D153" s="13" t="s">
        <v>72</v>
      </c>
      <c r="E153" s="13" t="s">
        <v>114</v>
      </c>
      <c r="F153" s="13" t="s">
        <v>100</v>
      </c>
      <c r="G153" s="13" t="s">
        <v>440</v>
      </c>
      <c r="H153" s="13" t="s">
        <v>100</v>
      </c>
      <c r="I153" s="13" t="s">
        <v>76</v>
      </c>
      <c r="J153" s="13" t="s">
        <v>101</v>
      </c>
      <c r="K153" s="13" t="s">
        <v>125</v>
      </c>
      <c r="L153" s="13" t="s">
        <v>79</v>
      </c>
      <c r="M153" s="13" t="s">
        <v>102</v>
      </c>
      <c r="N153" s="13" t="s">
        <v>79</v>
      </c>
      <c r="O153" s="13" t="s">
        <v>487</v>
      </c>
      <c r="P153" s="13" t="s">
        <v>82</v>
      </c>
      <c r="Q153" s="13" t="s">
        <v>83</v>
      </c>
      <c r="R153" s="13" t="s">
        <v>82</v>
      </c>
      <c r="S153" s="13" t="s">
        <v>82</v>
      </c>
      <c r="T153" s="13" t="s">
        <v>86</v>
      </c>
      <c r="U153" s="13" t="s">
        <v>87</v>
      </c>
      <c r="V153" s="13" t="s">
        <v>455</v>
      </c>
      <c r="W153" t="s">
        <v>486</v>
      </c>
      <c r="X153" s="12">
        <v>1</v>
      </c>
      <c r="Y153" s="12">
        <v>1.6</v>
      </c>
      <c r="Z153" s="12">
        <v>1</v>
      </c>
      <c r="AA153" s="12">
        <v>1.3333333333333333</v>
      </c>
      <c r="AB153" s="12">
        <v>2</v>
      </c>
      <c r="AC153" s="12">
        <v>2</v>
      </c>
      <c r="AD153" s="12">
        <v>1.4888888888888889</v>
      </c>
    </row>
    <row r="154" spans="1:30" x14ac:dyDescent="0.3">
      <c r="A154" s="13">
        <v>21</v>
      </c>
      <c r="B154" s="13" t="s">
        <v>70</v>
      </c>
      <c r="C154" s="13" t="s">
        <v>96</v>
      </c>
      <c r="D154" s="13" t="s">
        <v>97</v>
      </c>
      <c r="E154" s="13" t="s">
        <v>108</v>
      </c>
      <c r="F154" s="13" t="s">
        <v>74</v>
      </c>
      <c r="G154" s="13" t="s">
        <v>440</v>
      </c>
      <c r="H154" s="13" t="s">
        <v>136</v>
      </c>
      <c r="I154" s="13" t="s">
        <v>76</v>
      </c>
      <c r="J154" s="13" t="s">
        <v>77</v>
      </c>
      <c r="K154" s="13" t="s">
        <v>78</v>
      </c>
      <c r="L154" s="13" t="s">
        <v>79</v>
      </c>
      <c r="M154" s="13" t="s">
        <v>80</v>
      </c>
      <c r="N154" s="13" t="s">
        <v>79</v>
      </c>
      <c r="O154" s="13" t="s">
        <v>490</v>
      </c>
      <c r="P154" s="13" t="s">
        <v>82</v>
      </c>
      <c r="Q154" s="13" t="s">
        <v>103</v>
      </c>
      <c r="R154" s="13" t="s">
        <v>82</v>
      </c>
      <c r="S154" s="13" t="s">
        <v>82</v>
      </c>
      <c r="T154" s="13" t="s">
        <v>106</v>
      </c>
      <c r="U154" s="13" t="s">
        <v>120</v>
      </c>
      <c r="V154" s="13" t="s">
        <v>112</v>
      </c>
      <c r="W154" t="s">
        <v>486</v>
      </c>
      <c r="X154" s="12">
        <v>1</v>
      </c>
      <c r="Y154" s="12">
        <v>1.6</v>
      </c>
      <c r="Z154" s="12">
        <v>1</v>
      </c>
      <c r="AA154" s="12">
        <v>1.3333333333333333</v>
      </c>
      <c r="AB154" s="12">
        <v>2</v>
      </c>
      <c r="AC154" s="12">
        <v>2</v>
      </c>
      <c r="AD154" s="12">
        <v>1.4888888888888889</v>
      </c>
    </row>
    <row r="155" spans="1:30" x14ac:dyDescent="0.3">
      <c r="A155" s="13">
        <v>21</v>
      </c>
      <c r="B155" s="13" t="s">
        <v>70</v>
      </c>
      <c r="C155" s="13" t="s">
        <v>113</v>
      </c>
      <c r="D155" s="13" t="s">
        <v>149</v>
      </c>
      <c r="E155" s="13" t="s">
        <v>73</v>
      </c>
      <c r="F155" s="13" t="s">
        <v>74</v>
      </c>
      <c r="G155" s="13" t="s">
        <v>439</v>
      </c>
      <c r="H155" s="13" t="s">
        <v>74</v>
      </c>
      <c r="I155" s="13" t="s">
        <v>439</v>
      </c>
      <c r="J155" s="13" t="s">
        <v>77</v>
      </c>
      <c r="K155" s="13" t="s">
        <v>131</v>
      </c>
      <c r="L155" s="13" t="s">
        <v>82</v>
      </c>
      <c r="M155" s="13" t="s">
        <v>132</v>
      </c>
      <c r="N155" s="13" t="s">
        <v>82</v>
      </c>
      <c r="O155" s="13" t="s">
        <v>487</v>
      </c>
      <c r="P155" s="13" t="s">
        <v>82</v>
      </c>
      <c r="Q155" s="13" t="s">
        <v>103</v>
      </c>
      <c r="R155" s="13" t="s">
        <v>82</v>
      </c>
      <c r="S155" s="13" t="s">
        <v>79</v>
      </c>
      <c r="T155" s="13" t="s">
        <v>297</v>
      </c>
      <c r="U155" s="13" t="s">
        <v>120</v>
      </c>
      <c r="V155" s="13" t="s">
        <v>112</v>
      </c>
      <c r="W155" t="s">
        <v>486</v>
      </c>
      <c r="X155" s="12">
        <v>2.4545454545454546</v>
      </c>
      <c r="Y155" s="12">
        <v>3</v>
      </c>
      <c r="Z155" s="12">
        <v>3</v>
      </c>
      <c r="AA155" s="12">
        <v>1.2222222222222223</v>
      </c>
      <c r="AB155" s="12">
        <v>2</v>
      </c>
      <c r="AC155" s="12">
        <v>2</v>
      </c>
      <c r="AD155" s="12">
        <v>2.2794612794612799</v>
      </c>
    </row>
    <row r="156" spans="1:30" x14ac:dyDescent="0.3">
      <c r="A156" s="13">
        <v>22</v>
      </c>
      <c r="B156" s="13" t="s">
        <v>70</v>
      </c>
      <c r="C156" s="13" t="s">
        <v>113</v>
      </c>
      <c r="D156" s="13" t="s">
        <v>97</v>
      </c>
      <c r="E156" s="13" t="s">
        <v>108</v>
      </c>
      <c r="F156" s="13" t="s">
        <v>74</v>
      </c>
      <c r="G156" s="13" t="s">
        <v>440</v>
      </c>
      <c r="H156" s="13" t="s">
        <v>136</v>
      </c>
      <c r="I156" s="13" t="s">
        <v>76</v>
      </c>
      <c r="J156" s="13" t="s">
        <v>101</v>
      </c>
      <c r="K156" s="13" t="s">
        <v>78</v>
      </c>
      <c r="L156" s="13" t="s">
        <v>79</v>
      </c>
      <c r="M156" s="13" t="s">
        <v>80</v>
      </c>
      <c r="N156" s="13" t="s">
        <v>79</v>
      </c>
      <c r="O156" s="13" t="s">
        <v>490</v>
      </c>
      <c r="P156" s="13" t="s">
        <v>79</v>
      </c>
      <c r="Q156" s="13" t="s">
        <v>83</v>
      </c>
      <c r="R156" s="13" t="s">
        <v>79</v>
      </c>
      <c r="S156" s="13" t="s">
        <v>82</v>
      </c>
      <c r="T156" s="13" t="s">
        <v>106</v>
      </c>
      <c r="U156" s="13" t="s">
        <v>120</v>
      </c>
      <c r="V156" s="13" t="s">
        <v>112</v>
      </c>
      <c r="W156" t="s">
        <v>486</v>
      </c>
      <c r="X156" s="12">
        <v>2.8181818181818183</v>
      </c>
      <c r="Y156" s="12">
        <v>2.2000000000000002</v>
      </c>
      <c r="Z156" s="12">
        <v>1.3333333333333333</v>
      </c>
      <c r="AA156" s="12">
        <v>1.2222222222222223</v>
      </c>
      <c r="AB156" s="12">
        <v>2</v>
      </c>
      <c r="AC156" s="12">
        <v>2</v>
      </c>
      <c r="AD156" s="12">
        <v>1.9289562289562288</v>
      </c>
    </row>
    <row r="157" spans="1:30" x14ac:dyDescent="0.3">
      <c r="A157" s="13">
        <v>22</v>
      </c>
      <c r="B157" s="13" t="s">
        <v>70</v>
      </c>
      <c r="C157" s="13" t="s">
        <v>96</v>
      </c>
      <c r="D157" s="13" t="s">
        <v>97</v>
      </c>
      <c r="E157" s="13" t="s">
        <v>73</v>
      </c>
      <c r="F157" s="13" t="s">
        <v>98</v>
      </c>
      <c r="G157" s="13" t="s">
        <v>99</v>
      </c>
      <c r="H157" s="13" t="s">
        <v>100</v>
      </c>
      <c r="I157" s="13" t="s">
        <v>76</v>
      </c>
      <c r="J157" s="13" t="s">
        <v>101</v>
      </c>
      <c r="K157" s="13" t="s">
        <v>78</v>
      </c>
      <c r="L157" s="13" t="s">
        <v>79</v>
      </c>
      <c r="M157" s="13" t="s">
        <v>102</v>
      </c>
      <c r="N157" s="13" t="s">
        <v>79</v>
      </c>
      <c r="O157" s="13" t="s">
        <v>490</v>
      </c>
      <c r="P157" s="13" t="s">
        <v>82</v>
      </c>
      <c r="Q157" s="13" t="s">
        <v>103</v>
      </c>
      <c r="R157" s="13" t="s">
        <v>79</v>
      </c>
      <c r="S157" s="13" t="s">
        <v>82</v>
      </c>
      <c r="T157" s="13" t="s">
        <v>106</v>
      </c>
      <c r="U157" s="13" t="s">
        <v>87</v>
      </c>
      <c r="V157" s="13" t="s">
        <v>455</v>
      </c>
      <c r="W157" t="s">
        <v>486</v>
      </c>
      <c r="X157" s="12">
        <v>1.6363636363636365</v>
      </c>
      <c r="Y157" s="12">
        <v>1.4</v>
      </c>
      <c r="Z157" s="12">
        <v>2</v>
      </c>
      <c r="AA157" s="12">
        <v>1.1111111111111112</v>
      </c>
      <c r="AB157" s="12">
        <v>2</v>
      </c>
      <c r="AC157" s="12">
        <v>2</v>
      </c>
      <c r="AD157" s="12">
        <v>1.6912457912457912</v>
      </c>
    </row>
    <row r="158" spans="1:30" x14ac:dyDescent="0.3">
      <c r="A158" s="13">
        <v>21</v>
      </c>
      <c r="B158" s="13" t="s">
        <v>70</v>
      </c>
      <c r="C158" s="13" t="s">
        <v>96</v>
      </c>
      <c r="D158" s="13" t="s">
        <v>72</v>
      </c>
      <c r="E158" s="13" t="s">
        <v>114</v>
      </c>
      <c r="F158" s="13" t="s">
        <v>74</v>
      </c>
      <c r="G158" s="13" t="s">
        <v>439</v>
      </c>
      <c r="H158" s="13" t="s">
        <v>98</v>
      </c>
      <c r="I158" s="13" t="s">
        <v>76</v>
      </c>
      <c r="J158" s="13" t="s">
        <v>77</v>
      </c>
      <c r="K158" s="13" t="s">
        <v>122</v>
      </c>
      <c r="L158" s="13" t="s">
        <v>79</v>
      </c>
      <c r="M158" s="13" t="s">
        <v>80</v>
      </c>
      <c r="N158" s="13" t="s">
        <v>79</v>
      </c>
      <c r="O158" s="13" t="s">
        <v>490</v>
      </c>
      <c r="P158" s="13" t="s">
        <v>82</v>
      </c>
      <c r="Q158" s="13" t="s">
        <v>83</v>
      </c>
      <c r="R158" s="13" t="s">
        <v>79</v>
      </c>
      <c r="S158" s="13" t="s">
        <v>82</v>
      </c>
      <c r="T158" s="13" t="s">
        <v>148</v>
      </c>
      <c r="U158" s="13" t="s">
        <v>141</v>
      </c>
      <c r="V158" s="13" t="s">
        <v>455</v>
      </c>
      <c r="W158" t="s">
        <v>486</v>
      </c>
      <c r="X158" s="12">
        <v>2</v>
      </c>
      <c r="Y158" s="12">
        <v>1.2</v>
      </c>
      <c r="Z158" s="12">
        <v>1</v>
      </c>
      <c r="AA158" s="12">
        <v>1.1111111111111112</v>
      </c>
      <c r="AB158" s="12">
        <v>2</v>
      </c>
      <c r="AC158" s="12">
        <v>2</v>
      </c>
      <c r="AD158" s="12">
        <v>1.551851851851852</v>
      </c>
    </row>
    <row r="159" spans="1:30" x14ac:dyDescent="0.3">
      <c r="A159" s="13">
        <v>21</v>
      </c>
      <c r="B159" s="13" t="s">
        <v>70</v>
      </c>
      <c r="C159" s="13" t="s">
        <v>157</v>
      </c>
      <c r="D159" s="13" t="s">
        <v>72</v>
      </c>
      <c r="E159" s="13" t="s">
        <v>108</v>
      </c>
      <c r="F159" s="13" t="s">
        <v>74</v>
      </c>
      <c r="G159" s="13" t="s">
        <v>439</v>
      </c>
      <c r="H159" s="13" t="s">
        <v>100</v>
      </c>
      <c r="I159" s="13" t="s">
        <v>76</v>
      </c>
      <c r="J159" s="13" t="s">
        <v>77</v>
      </c>
      <c r="K159" s="13" t="s">
        <v>125</v>
      </c>
      <c r="L159" s="13" t="s">
        <v>79</v>
      </c>
      <c r="M159" s="13" t="s">
        <v>80</v>
      </c>
      <c r="N159" s="13" t="s">
        <v>82</v>
      </c>
      <c r="O159" s="13" t="s">
        <v>489</v>
      </c>
      <c r="P159" s="13" t="s">
        <v>82</v>
      </c>
      <c r="Q159" s="13" t="s">
        <v>103</v>
      </c>
      <c r="R159" s="13" t="s">
        <v>82</v>
      </c>
      <c r="S159" s="13" t="s">
        <v>79</v>
      </c>
      <c r="T159" s="13" t="s">
        <v>258</v>
      </c>
      <c r="U159" s="13" t="s">
        <v>87</v>
      </c>
      <c r="V159" s="13" t="s">
        <v>112</v>
      </c>
      <c r="W159" t="s">
        <v>486</v>
      </c>
      <c r="X159" s="12">
        <v>2.1818181818181817</v>
      </c>
      <c r="Y159" s="12">
        <v>1.2</v>
      </c>
      <c r="Z159" s="12">
        <v>2</v>
      </c>
      <c r="AA159" s="12">
        <v>1</v>
      </c>
      <c r="AB159" s="12">
        <v>2</v>
      </c>
      <c r="AC159" s="12">
        <v>2</v>
      </c>
      <c r="AD159" s="12">
        <v>1.7303030303030305</v>
      </c>
    </row>
    <row r="160" spans="1:30" x14ac:dyDescent="0.3">
      <c r="A160" s="13">
        <v>22</v>
      </c>
      <c r="B160" s="13" t="s">
        <v>70</v>
      </c>
      <c r="C160" s="13" t="s">
        <v>113</v>
      </c>
      <c r="D160" s="13" t="s">
        <v>149</v>
      </c>
      <c r="E160" s="13" t="s">
        <v>73</v>
      </c>
      <c r="F160" s="13" t="s">
        <v>74</v>
      </c>
      <c r="G160" s="13" t="s">
        <v>439</v>
      </c>
      <c r="H160" s="13" t="s">
        <v>136</v>
      </c>
      <c r="I160" s="13" t="s">
        <v>76</v>
      </c>
      <c r="J160" s="13" t="s">
        <v>77</v>
      </c>
      <c r="K160" s="13" t="s">
        <v>125</v>
      </c>
      <c r="L160" s="13" t="s">
        <v>79</v>
      </c>
      <c r="M160" s="13" t="s">
        <v>80</v>
      </c>
      <c r="N160" s="13" t="s">
        <v>82</v>
      </c>
      <c r="O160" s="13" t="s">
        <v>487</v>
      </c>
      <c r="P160" s="13" t="s">
        <v>79</v>
      </c>
      <c r="Q160" s="13" t="s">
        <v>83</v>
      </c>
      <c r="R160" s="13" t="s">
        <v>82</v>
      </c>
      <c r="S160" s="13" t="s">
        <v>82</v>
      </c>
      <c r="T160" s="13" t="s">
        <v>106</v>
      </c>
      <c r="U160" s="13" t="s">
        <v>141</v>
      </c>
      <c r="V160" s="13" t="s">
        <v>457</v>
      </c>
      <c r="W160" t="s">
        <v>485</v>
      </c>
      <c r="X160" s="12">
        <v>2.0909090909090908</v>
      </c>
      <c r="Y160" s="12">
        <v>0</v>
      </c>
      <c r="Z160" s="12">
        <v>0</v>
      </c>
      <c r="AA160" s="12">
        <v>0.88888888888888884</v>
      </c>
      <c r="AB160" s="12">
        <v>2</v>
      </c>
      <c r="AC160" s="12">
        <v>2</v>
      </c>
      <c r="AD160" s="12">
        <v>1.1632996632996633</v>
      </c>
    </row>
    <row r="161" spans="1:30" x14ac:dyDescent="0.3">
      <c r="A161" s="13">
        <v>21</v>
      </c>
      <c r="B161" s="13" t="s">
        <v>128</v>
      </c>
      <c r="C161" s="13" t="s">
        <v>96</v>
      </c>
      <c r="D161" s="13" t="s">
        <v>72</v>
      </c>
      <c r="E161" s="13" t="s">
        <v>114</v>
      </c>
      <c r="F161" s="13" t="s">
        <v>74</v>
      </c>
      <c r="G161" s="13" t="s">
        <v>438</v>
      </c>
      <c r="H161" s="13" t="s">
        <v>74</v>
      </c>
      <c r="I161" s="13" t="s">
        <v>76</v>
      </c>
      <c r="J161" s="13" t="s">
        <v>77</v>
      </c>
      <c r="K161" s="13" t="s">
        <v>122</v>
      </c>
      <c r="L161" s="13" t="s">
        <v>79</v>
      </c>
      <c r="M161" s="13" t="s">
        <v>80</v>
      </c>
      <c r="N161" s="13" t="s">
        <v>79</v>
      </c>
      <c r="O161" s="13" t="s">
        <v>488</v>
      </c>
      <c r="P161" s="13" t="s">
        <v>79</v>
      </c>
      <c r="Q161" s="13" t="s">
        <v>83</v>
      </c>
      <c r="R161" s="13" t="s">
        <v>82</v>
      </c>
      <c r="S161" s="13" t="s">
        <v>82</v>
      </c>
      <c r="T161" s="13" t="s">
        <v>86</v>
      </c>
      <c r="U161" s="13" t="s">
        <v>120</v>
      </c>
      <c r="V161" s="13" t="s">
        <v>112</v>
      </c>
      <c r="W161" t="s">
        <v>486</v>
      </c>
      <c r="X161" s="12">
        <v>2.8181818181818183</v>
      </c>
      <c r="Y161" s="12">
        <v>2.2000000000000002</v>
      </c>
      <c r="Z161" s="12">
        <v>1</v>
      </c>
      <c r="AA161" s="12">
        <v>2.7777777777777777</v>
      </c>
      <c r="AB161" s="12">
        <v>1.8</v>
      </c>
      <c r="AC161" s="12">
        <v>2</v>
      </c>
      <c r="AD161" s="12">
        <v>2.0993265993265995</v>
      </c>
    </row>
    <row r="162" spans="1:30" x14ac:dyDescent="0.3">
      <c r="A162" s="13">
        <v>23</v>
      </c>
      <c r="B162" s="13" t="s">
        <v>70</v>
      </c>
      <c r="C162" s="13" t="s">
        <v>113</v>
      </c>
      <c r="D162" s="13" t="s">
        <v>72</v>
      </c>
      <c r="E162" s="13" t="s">
        <v>108</v>
      </c>
      <c r="F162" s="13" t="s">
        <v>98</v>
      </c>
      <c r="G162" s="13" t="s">
        <v>440</v>
      </c>
      <c r="H162" s="13" t="s">
        <v>100</v>
      </c>
      <c r="I162" s="13" t="s">
        <v>76</v>
      </c>
      <c r="J162" s="13" t="s">
        <v>77</v>
      </c>
      <c r="K162" s="13" t="s">
        <v>122</v>
      </c>
      <c r="L162" s="13" t="s">
        <v>79</v>
      </c>
      <c r="M162" s="13" t="s">
        <v>80</v>
      </c>
      <c r="N162" s="13" t="s">
        <v>79</v>
      </c>
      <c r="O162" s="13" t="s">
        <v>487</v>
      </c>
      <c r="P162" s="13" t="s">
        <v>79</v>
      </c>
      <c r="Q162" s="13" t="s">
        <v>118</v>
      </c>
      <c r="R162" s="13" t="s">
        <v>79</v>
      </c>
      <c r="S162" s="13" t="s">
        <v>79</v>
      </c>
      <c r="T162" s="13" t="s">
        <v>86</v>
      </c>
      <c r="U162" s="13" t="s">
        <v>141</v>
      </c>
      <c r="V162" s="13" t="s">
        <v>127</v>
      </c>
      <c r="W162" t="s">
        <v>486</v>
      </c>
      <c r="X162" s="12">
        <v>1.5454545454545454</v>
      </c>
      <c r="Y162" s="12">
        <v>1.8</v>
      </c>
      <c r="Z162" s="12">
        <v>1.6666666666666667</v>
      </c>
      <c r="AA162" s="12">
        <v>1.5555555555555556</v>
      </c>
      <c r="AB162" s="12">
        <v>1.8</v>
      </c>
      <c r="AC162" s="12">
        <v>2</v>
      </c>
      <c r="AD162" s="12">
        <v>1.7279461279461279</v>
      </c>
    </row>
    <row r="163" spans="1:30" x14ac:dyDescent="0.3">
      <c r="A163" s="13">
        <v>23</v>
      </c>
      <c r="B163" s="13" t="s">
        <v>70</v>
      </c>
      <c r="C163" s="13" t="s">
        <v>113</v>
      </c>
      <c r="D163" s="13" t="s">
        <v>72</v>
      </c>
      <c r="E163" s="13" t="s">
        <v>73</v>
      </c>
      <c r="F163" s="13" t="s">
        <v>74</v>
      </c>
      <c r="G163" s="13" t="s">
        <v>439</v>
      </c>
      <c r="H163" s="13" t="s">
        <v>98</v>
      </c>
      <c r="I163" s="13" t="s">
        <v>439</v>
      </c>
      <c r="J163" s="13" t="s">
        <v>77</v>
      </c>
      <c r="K163" s="13" t="s">
        <v>78</v>
      </c>
      <c r="L163" s="13" t="s">
        <v>79</v>
      </c>
      <c r="M163" s="13" t="s">
        <v>80</v>
      </c>
      <c r="N163" s="13" t="s">
        <v>79</v>
      </c>
      <c r="O163" s="13" t="s">
        <v>488</v>
      </c>
      <c r="P163" s="13" t="s">
        <v>79</v>
      </c>
      <c r="Q163" s="13" t="s">
        <v>83</v>
      </c>
      <c r="R163" s="13" t="s">
        <v>79</v>
      </c>
      <c r="S163" s="13" t="s">
        <v>79</v>
      </c>
      <c r="T163" s="13" t="s">
        <v>148</v>
      </c>
      <c r="U163" s="13" t="s">
        <v>141</v>
      </c>
      <c r="V163" s="13" t="s">
        <v>127</v>
      </c>
      <c r="W163" t="s">
        <v>485</v>
      </c>
      <c r="X163" s="12">
        <v>1.4545454545454546</v>
      </c>
      <c r="Y163" s="12">
        <v>1</v>
      </c>
      <c r="Z163" s="12">
        <v>1.6666666666666667</v>
      </c>
      <c r="AA163" s="12">
        <v>1.2222222222222223</v>
      </c>
      <c r="AB163" s="12">
        <v>1.8</v>
      </c>
      <c r="AC163" s="12">
        <v>2</v>
      </c>
      <c r="AD163" s="12">
        <v>1.5239057239057239</v>
      </c>
    </row>
    <row r="164" spans="1:30" x14ac:dyDescent="0.3">
      <c r="A164" s="13">
        <v>23</v>
      </c>
      <c r="B164" s="13" t="s">
        <v>70</v>
      </c>
      <c r="C164" s="13" t="s">
        <v>113</v>
      </c>
      <c r="D164" s="13" t="s">
        <v>72</v>
      </c>
      <c r="E164" s="13" t="s">
        <v>73</v>
      </c>
      <c r="F164" s="13" t="s">
        <v>136</v>
      </c>
      <c r="G164" s="13" t="s">
        <v>440</v>
      </c>
      <c r="H164" s="13" t="s">
        <v>98</v>
      </c>
      <c r="I164" s="13" t="s">
        <v>76</v>
      </c>
      <c r="J164" s="13" t="s">
        <v>77</v>
      </c>
      <c r="K164" s="13" t="s">
        <v>125</v>
      </c>
      <c r="L164" s="13" t="s">
        <v>79</v>
      </c>
      <c r="M164" s="13" t="s">
        <v>102</v>
      </c>
      <c r="N164" s="13" t="s">
        <v>79</v>
      </c>
      <c r="O164" s="13" t="s">
        <v>488</v>
      </c>
      <c r="P164" s="13" t="s">
        <v>82</v>
      </c>
      <c r="Q164" s="13" t="s">
        <v>103</v>
      </c>
      <c r="R164" s="13" t="s">
        <v>79</v>
      </c>
      <c r="S164" s="13" t="s">
        <v>82</v>
      </c>
      <c r="T164" s="13" t="s">
        <v>106</v>
      </c>
      <c r="U164" s="13" t="s">
        <v>141</v>
      </c>
      <c r="V164" s="13" t="s">
        <v>112</v>
      </c>
      <c r="W164" t="s">
        <v>485</v>
      </c>
      <c r="X164" s="12">
        <v>3</v>
      </c>
      <c r="Y164" s="12">
        <v>2.4</v>
      </c>
      <c r="Z164" s="12">
        <v>3</v>
      </c>
      <c r="AA164" s="12">
        <v>2.6666666666666665</v>
      </c>
      <c r="AB164" s="12">
        <v>1.6</v>
      </c>
      <c r="AC164" s="12">
        <v>2</v>
      </c>
      <c r="AD164" s="12">
        <v>2.4444444444444442</v>
      </c>
    </row>
    <row r="165" spans="1:30" x14ac:dyDescent="0.3">
      <c r="A165" s="13">
        <v>23</v>
      </c>
      <c r="B165" s="13" t="s">
        <v>70</v>
      </c>
      <c r="C165" s="13" t="s">
        <v>96</v>
      </c>
      <c r="D165" s="13" t="s">
        <v>72</v>
      </c>
      <c r="E165" s="13" t="s">
        <v>114</v>
      </c>
      <c r="F165" s="13" t="s">
        <v>100</v>
      </c>
      <c r="G165" s="13" t="s">
        <v>439</v>
      </c>
      <c r="H165" s="13" t="s">
        <v>100</v>
      </c>
      <c r="I165" s="13" t="s">
        <v>439</v>
      </c>
      <c r="J165" s="13" t="s">
        <v>77</v>
      </c>
      <c r="K165" s="13" t="s">
        <v>122</v>
      </c>
      <c r="L165" s="13" t="s">
        <v>79</v>
      </c>
      <c r="M165" s="13" t="s">
        <v>80</v>
      </c>
      <c r="N165" s="13" t="s">
        <v>79</v>
      </c>
      <c r="O165" s="13" t="s">
        <v>490</v>
      </c>
      <c r="P165" s="13" t="s">
        <v>79</v>
      </c>
      <c r="Q165" s="13" t="s">
        <v>118</v>
      </c>
      <c r="R165" s="13" t="s">
        <v>79</v>
      </c>
      <c r="S165" s="13" t="s">
        <v>79</v>
      </c>
      <c r="T165" s="13" t="s">
        <v>148</v>
      </c>
      <c r="U165" s="13" t="s">
        <v>87</v>
      </c>
      <c r="V165" s="13" t="s">
        <v>127</v>
      </c>
      <c r="W165" t="s">
        <v>486</v>
      </c>
      <c r="X165" s="12">
        <v>1.5454545454545454</v>
      </c>
      <c r="Y165" s="12">
        <v>1.8</v>
      </c>
      <c r="Z165" s="12">
        <v>1.6666666666666667</v>
      </c>
      <c r="AA165" s="12">
        <v>1.7777777777777777</v>
      </c>
      <c r="AB165" s="12">
        <v>1.6</v>
      </c>
      <c r="AC165" s="12">
        <v>2</v>
      </c>
      <c r="AD165" s="12">
        <v>1.7316498316498317</v>
      </c>
    </row>
    <row r="166" spans="1:30" x14ac:dyDescent="0.3">
      <c r="A166" s="13">
        <v>21</v>
      </c>
      <c r="B166" s="13" t="s">
        <v>70</v>
      </c>
      <c r="C166" s="13" t="s">
        <v>157</v>
      </c>
      <c r="D166" s="13" t="s">
        <v>97</v>
      </c>
      <c r="E166" s="13" t="s">
        <v>108</v>
      </c>
      <c r="F166" s="13" t="s">
        <v>74</v>
      </c>
      <c r="G166" s="13" t="s">
        <v>440</v>
      </c>
      <c r="H166" s="13" t="s">
        <v>74</v>
      </c>
      <c r="I166" s="13" t="s">
        <v>76</v>
      </c>
      <c r="J166" s="13" t="s">
        <v>77</v>
      </c>
      <c r="K166" s="13" t="s">
        <v>131</v>
      </c>
      <c r="L166" s="13" t="s">
        <v>79</v>
      </c>
      <c r="M166" s="13" t="s">
        <v>102</v>
      </c>
      <c r="N166" s="13" t="s">
        <v>79</v>
      </c>
      <c r="O166" s="13" t="s">
        <v>488</v>
      </c>
      <c r="P166" s="13" t="s">
        <v>79</v>
      </c>
      <c r="Q166" s="13" t="s">
        <v>83</v>
      </c>
      <c r="R166" s="13" t="s">
        <v>82</v>
      </c>
      <c r="S166" s="13" t="s">
        <v>82</v>
      </c>
      <c r="T166" s="13" t="s">
        <v>106</v>
      </c>
      <c r="U166" s="13" t="s">
        <v>87</v>
      </c>
      <c r="V166" s="13" t="s">
        <v>127</v>
      </c>
      <c r="W166" t="s">
        <v>486</v>
      </c>
      <c r="X166" s="12">
        <v>1.7272727272727273</v>
      </c>
      <c r="Y166" s="12">
        <v>1.6</v>
      </c>
      <c r="Z166" s="12">
        <v>1.3333333333333333</v>
      </c>
      <c r="AA166" s="12">
        <v>1.7777777777777777</v>
      </c>
      <c r="AB166" s="12">
        <v>1.6</v>
      </c>
      <c r="AC166" s="12">
        <v>2</v>
      </c>
      <c r="AD166" s="12">
        <v>1.6730639730639731</v>
      </c>
    </row>
    <row r="167" spans="1:30" x14ac:dyDescent="0.3">
      <c r="A167" s="13">
        <v>23</v>
      </c>
      <c r="B167" s="13" t="s">
        <v>128</v>
      </c>
      <c r="C167" s="13" t="s">
        <v>96</v>
      </c>
      <c r="D167" s="13" t="s">
        <v>72</v>
      </c>
      <c r="E167" s="13" t="s">
        <v>108</v>
      </c>
      <c r="F167" s="13" t="s">
        <v>100</v>
      </c>
      <c r="G167" s="13" t="s">
        <v>166</v>
      </c>
      <c r="H167" s="13" t="s">
        <v>98</v>
      </c>
      <c r="I167" s="13" t="s">
        <v>439</v>
      </c>
      <c r="J167" s="13" t="s">
        <v>77</v>
      </c>
      <c r="K167" s="13" t="s">
        <v>122</v>
      </c>
      <c r="L167" s="13" t="s">
        <v>79</v>
      </c>
      <c r="M167" s="13" t="s">
        <v>80</v>
      </c>
      <c r="N167" s="13" t="s">
        <v>79</v>
      </c>
      <c r="O167" s="13" t="s">
        <v>487</v>
      </c>
      <c r="P167" s="13" t="s">
        <v>79</v>
      </c>
      <c r="Q167" s="13" t="s">
        <v>118</v>
      </c>
      <c r="R167" s="13" t="s">
        <v>79</v>
      </c>
      <c r="S167" s="13" t="s">
        <v>82</v>
      </c>
      <c r="T167" s="13" t="s">
        <v>106</v>
      </c>
      <c r="U167" s="13" t="s">
        <v>87</v>
      </c>
      <c r="V167" s="13" t="s">
        <v>127</v>
      </c>
      <c r="W167" t="s">
        <v>486</v>
      </c>
      <c r="X167" s="12">
        <v>1.4545454545454546</v>
      </c>
      <c r="Y167" s="12">
        <v>1.6</v>
      </c>
      <c r="Z167" s="12">
        <v>1.3333333333333333</v>
      </c>
      <c r="AA167" s="12">
        <v>1.3333333333333333</v>
      </c>
      <c r="AB167" s="12">
        <v>1.6</v>
      </c>
      <c r="AC167" s="12">
        <v>2</v>
      </c>
      <c r="AD167" s="12">
        <v>1.5535353535353533</v>
      </c>
    </row>
    <row r="168" spans="1:30" x14ac:dyDescent="0.3">
      <c r="A168" s="13">
        <v>23</v>
      </c>
      <c r="B168" s="13" t="s">
        <v>128</v>
      </c>
      <c r="C168" s="13" t="s">
        <v>113</v>
      </c>
      <c r="D168" s="13" t="s">
        <v>72</v>
      </c>
      <c r="E168" s="13" t="s">
        <v>114</v>
      </c>
      <c r="F168" s="13" t="s">
        <v>74</v>
      </c>
      <c r="G168" s="13" t="s">
        <v>439</v>
      </c>
      <c r="H168" s="13" t="s">
        <v>74</v>
      </c>
      <c r="I168" s="13" t="s">
        <v>439</v>
      </c>
      <c r="J168" s="13" t="s">
        <v>77</v>
      </c>
      <c r="K168" s="13" t="s">
        <v>78</v>
      </c>
      <c r="L168" s="13" t="s">
        <v>82</v>
      </c>
      <c r="M168" s="13" t="s">
        <v>80</v>
      </c>
      <c r="N168" s="13" t="s">
        <v>79</v>
      </c>
      <c r="O168" s="13" t="s">
        <v>487</v>
      </c>
      <c r="P168" s="13" t="s">
        <v>82</v>
      </c>
      <c r="Q168" s="13" t="s">
        <v>103</v>
      </c>
      <c r="R168" s="13" t="s">
        <v>79</v>
      </c>
      <c r="S168" s="13" t="s">
        <v>82</v>
      </c>
      <c r="T168" s="13" t="s">
        <v>86</v>
      </c>
      <c r="U168" s="13" t="s">
        <v>87</v>
      </c>
      <c r="V168" s="13" t="s">
        <v>112</v>
      </c>
      <c r="W168" t="s">
        <v>486</v>
      </c>
      <c r="X168" s="12">
        <v>1</v>
      </c>
      <c r="Y168" s="12">
        <v>1</v>
      </c>
      <c r="Z168" s="12">
        <v>1</v>
      </c>
      <c r="AA168" s="12">
        <v>1</v>
      </c>
      <c r="AB168" s="12">
        <v>1.6</v>
      </c>
      <c r="AC168" s="12">
        <v>2</v>
      </c>
      <c r="AD168" s="12">
        <v>1.2666666666666666</v>
      </c>
    </row>
    <row r="169" spans="1:30" x14ac:dyDescent="0.3">
      <c r="A169" s="13">
        <v>24</v>
      </c>
      <c r="B169" s="13" t="s">
        <v>70</v>
      </c>
      <c r="C169" s="13" t="s">
        <v>113</v>
      </c>
      <c r="D169" s="13" t="s">
        <v>72</v>
      </c>
      <c r="E169" s="13" t="s">
        <v>108</v>
      </c>
      <c r="F169" s="13" t="s">
        <v>136</v>
      </c>
      <c r="G169" s="13" t="s">
        <v>166</v>
      </c>
      <c r="H169" s="13" t="s">
        <v>98</v>
      </c>
      <c r="I169" s="13" t="s">
        <v>76</v>
      </c>
      <c r="J169" s="13" t="s">
        <v>77</v>
      </c>
      <c r="K169" s="13" t="s">
        <v>122</v>
      </c>
      <c r="L169" s="13" t="s">
        <v>79</v>
      </c>
      <c r="M169" s="13" t="s">
        <v>132</v>
      </c>
      <c r="N169" s="13" t="s">
        <v>79</v>
      </c>
      <c r="O169" s="13" t="s">
        <v>488</v>
      </c>
      <c r="P169" s="13" t="s">
        <v>79</v>
      </c>
      <c r="Q169" s="13" t="s">
        <v>118</v>
      </c>
      <c r="R169" s="13" t="s">
        <v>79</v>
      </c>
      <c r="S169" s="13" t="s">
        <v>79</v>
      </c>
      <c r="T169" s="13" t="s">
        <v>106</v>
      </c>
      <c r="U169" s="13" t="s">
        <v>141</v>
      </c>
      <c r="V169" s="13" t="s">
        <v>127</v>
      </c>
      <c r="W169" t="s">
        <v>486</v>
      </c>
      <c r="X169" s="12">
        <v>1.2727272727272727</v>
      </c>
      <c r="Y169" s="12">
        <v>1.4</v>
      </c>
      <c r="Z169" s="12">
        <v>1.6666666666666667</v>
      </c>
      <c r="AA169" s="12">
        <v>1.6666666666666667</v>
      </c>
      <c r="AB169" s="12">
        <v>1.4</v>
      </c>
      <c r="AC169" s="12">
        <v>2</v>
      </c>
      <c r="AD169" s="12">
        <v>1.5676767676767678</v>
      </c>
    </row>
    <row r="170" spans="1:30" x14ac:dyDescent="0.3">
      <c r="A170" s="13">
        <v>20</v>
      </c>
      <c r="B170" s="13" t="s">
        <v>70</v>
      </c>
      <c r="C170" s="13" t="s">
        <v>96</v>
      </c>
      <c r="D170" s="13" t="s">
        <v>72</v>
      </c>
      <c r="E170" s="13" t="s">
        <v>73</v>
      </c>
      <c r="F170" s="13" t="s">
        <v>98</v>
      </c>
      <c r="G170" s="13" t="s">
        <v>439</v>
      </c>
      <c r="H170" s="13" t="s">
        <v>100</v>
      </c>
      <c r="I170" s="13" t="s">
        <v>76</v>
      </c>
      <c r="J170" s="13" t="s">
        <v>77</v>
      </c>
      <c r="K170" s="13" t="s">
        <v>125</v>
      </c>
      <c r="L170" s="13" t="s">
        <v>79</v>
      </c>
      <c r="M170" s="13" t="s">
        <v>80</v>
      </c>
      <c r="N170" s="13" t="s">
        <v>82</v>
      </c>
      <c r="O170" s="13" t="s">
        <v>489</v>
      </c>
      <c r="P170" s="13" t="s">
        <v>82</v>
      </c>
      <c r="Q170" s="13" t="s">
        <v>83</v>
      </c>
      <c r="R170" s="13" t="s">
        <v>82</v>
      </c>
      <c r="S170" s="13" t="s">
        <v>82</v>
      </c>
      <c r="T170" s="13" t="s">
        <v>106</v>
      </c>
      <c r="U170" s="13" t="s">
        <v>87</v>
      </c>
      <c r="V170" s="13" t="s">
        <v>112</v>
      </c>
      <c r="W170" t="s">
        <v>486</v>
      </c>
      <c r="X170" s="12">
        <v>0.72727272727272729</v>
      </c>
      <c r="Y170" s="12">
        <v>0.6</v>
      </c>
      <c r="Z170" s="12">
        <v>1.3333333333333333</v>
      </c>
      <c r="AA170" s="12">
        <v>1</v>
      </c>
      <c r="AB170" s="12">
        <v>1.4</v>
      </c>
      <c r="AC170" s="12">
        <v>2</v>
      </c>
      <c r="AD170" s="12">
        <v>1.1767676767676767</v>
      </c>
    </row>
    <row r="171" spans="1:30" x14ac:dyDescent="0.3">
      <c r="A171" s="13">
        <v>22</v>
      </c>
      <c r="B171" s="13" t="s">
        <v>70</v>
      </c>
      <c r="C171" s="13" t="s">
        <v>113</v>
      </c>
      <c r="D171" s="13" t="s">
        <v>72</v>
      </c>
      <c r="E171" s="13" t="s">
        <v>73</v>
      </c>
      <c r="F171" s="13" t="s">
        <v>136</v>
      </c>
      <c r="G171" s="13" t="s">
        <v>438</v>
      </c>
      <c r="H171" s="13" t="s">
        <v>98</v>
      </c>
      <c r="I171" s="13" t="s">
        <v>76</v>
      </c>
      <c r="J171" s="13" t="s">
        <v>77</v>
      </c>
      <c r="K171" s="13" t="s">
        <v>122</v>
      </c>
      <c r="L171" s="13" t="s">
        <v>79</v>
      </c>
      <c r="M171" s="13" t="s">
        <v>102</v>
      </c>
      <c r="N171" s="13" t="s">
        <v>79</v>
      </c>
      <c r="O171" s="13" t="s">
        <v>489</v>
      </c>
      <c r="P171" s="13" t="s">
        <v>79</v>
      </c>
      <c r="Q171" s="13" t="s">
        <v>83</v>
      </c>
      <c r="R171" s="13" t="s">
        <v>79</v>
      </c>
      <c r="S171" s="13" t="s">
        <v>82</v>
      </c>
      <c r="T171" s="13" t="s">
        <v>106</v>
      </c>
      <c r="U171" s="13" t="s">
        <v>141</v>
      </c>
      <c r="V171" s="13" t="s">
        <v>112</v>
      </c>
      <c r="W171" t="s">
        <v>486</v>
      </c>
      <c r="X171" s="12">
        <v>1.0909090909090908</v>
      </c>
      <c r="Y171" s="12">
        <v>1</v>
      </c>
      <c r="Z171" s="12">
        <v>1</v>
      </c>
      <c r="AA171" s="12">
        <v>1</v>
      </c>
      <c r="AB171" s="12">
        <v>1.4</v>
      </c>
      <c r="AC171" s="12">
        <v>2</v>
      </c>
      <c r="AD171" s="12">
        <v>1.2484848484848483</v>
      </c>
    </row>
    <row r="172" spans="1:30" x14ac:dyDescent="0.3">
      <c r="A172" s="13">
        <v>23</v>
      </c>
      <c r="B172" s="13" t="s">
        <v>128</v>
      </c>
      <c r="C172" s="13" t="s">
        <v>113</v>
      </c>
      <c r="D172" s="13" t="s">
        <v>97</v>
      </c>
      <c r="E172" s="13" t="s">
        <v>114</v>
      </c>
      <c r="F172" s="13" t="s">
        <v>98</v>
      </c>
      <c r="G172" s="13" t="s">
        <v>439</v>
      </c>
      <c r="H172" s="13" t="s">
        <v>100</v>
      </c>
      <c r="I172" s="13" t="s">
        <v>76</v>
      </c>
      <c r="J172" s="13" t="s">
        <v>77</v>
      </c>
      <c r="K172" s="13" t="s">
        <v>122</v>
      </c>
      <c r="L172" s="13" t="s">
        <v>79</v>
      </c>
      <c r="M172" s="13" t="s">
        <v>80</v>
      </c>
      <c r="N172" s="13" t="s">
        <v>79</v>
      </c>
      <c r="O172" s="13" t="s">
        <v>488</v>
      </c>
      <c r="P172" s="13" t="s">
        <v>79</v>
      </c>
      <c r="Q172" s="13" t="s">
        <v>83</v>
      </c>
      <c r="R172" s="13" t="s">
        <v>79</v>
      </c>
      <c r="S172" s="13" t="s">
        <v>79</v>
      </c>
      <c r="T172" s="13" t="s">
        <v>86</v>
      </c>
      <c r="U172" s="13" t="s">
        <v>87</v>
      </c>
      <c r="V172" s="13" t="s">
        <v>127</v>
      </c>
      <c r="W172" t="s">
        <v>486</v>
      </c>
      <c r="X172" s="12">
        <v>2</v>
      </c>
      <c r="Y172" s="12">
        <v>2</v>
      </c>
      <c r="Z172" s="12">
        <v>2</v>
      </c>
      <c r="AA172" s="12">
        <v>2.1111111111111112</v>
      </c>
      <c r="AB172" s="12">
        <v>1.2</v>
      </c>
      <c r="AC172" s="12">
        <v>2</v>
      </c>
      <c r="AD172" s="12">
        <v>1.8851851851851851</v>
      </c>
    </row>
    <row r="173" spans="1:30" x14ac:dyDescent="0.3">
      <c r="A173" s="13">
        <v>22</v>
      </c>
      <c r="B173" s="13" t="s">
        <v>70</v>
      </c>
      <c r="C173" s="13" t="s">
        <v>96</v>
      </c>
      <c r="D173" s="13" t="s">
        <v>72</v>
      </c>
      <c r="E173" s="13" t="s">
        <v>108</v>
      </c>
      <c r="F173" s="13" t="s">
        <v>74</v>
      </c>
      <c r="G173" s="13" t="s">
        <v>99</v>
      </c>
      <c r="H173" s="13" t="s">
        <v>98</v>
      </c>
      <c r="I173" s="13" t="s">
        <v>76</v>
      </c>
      <c r="J173" s="13" t="s">
        <v>101</v>
      </c>
      <c r="K173" s="13" t="s">
        <v>125</v>
      </c>
      <c r="L173" s="13" t="s">
        <v>82</v>
      </c>
      <c r="M173" s="13" t="s">
        <v>80</v>
      </c>
      <c r="N173" s="13" t="s">
        <v>79</v>
      </c>
      <c r="O173" s="13" t="s">
        <v>488</v>
      </c>
      <c r="P173" s="13" t="s">
        <v>82</v>
      </c>
      <c r="Q173" s="13" t="s">
        <v>103</v>
      </c>
      <c r="R173" s="13" t="s">
        <v>82</v>
      </c>
      <c r="S173" s="13" t="s">
        <v>82</v>
      </c>
      <c r="T173" s="13" t="s">
        <v>106</v>
      </c>
      <c r="U173" s="13" t="s">
        <v>141</v>
      </c>
      <c r="V173" s="13" t="s">
        <v>112</v>
      </c>
      <c r="W173" t="s">
        <v>486</v>
      </c>
      <c r="X173" s="12">
        <v>2.3636363636363638</v>
      </c>
      <c r="Y173" s="12">
        <v>1.8</v>
      </c>
      <c r="Z173" s="12">
        <v>0.66666666666666663</v>
      </c>
      <c r="AA173" s="12">
        <v>2.1111111111111112</v>
      </c>
      <c r="AB173" s="12">
        <v>1.2</v>
      </c>
      <c r="AC173" s="12">
        <v>2</v>
      </c>
      <c r="AD173" s="12">
        <v>1.6902356902356903</v>
      </c>
    </row>
    <row r="174" spans="1:30" x14ac:dyDescent="0.3">
      <c r="A174" s="13">
        <v>23</v>
      </c>
      <c r="B174" s="13" t="s">
        <v>128</v>
      </c>
      <c r="C174" s="13" t="s">
        <v>113</v>
      </c>
      <c r="D174" s="13" t="s">
        <v>72</v>
      </c>
      <c r="E174" s="13" t="s">
        <v>73</v>
      </c>
      <c r="F174" s="13" t="s">
        <v>98</v>
      </c>
      <c r="G174" s="13" t="s">
        <v>440</v>
      </c>
      <c r="H174" s="13" t="s">
        <v>100</v>
      </c>
      <c r="I174" s="13" t="s">
        <v>76</v>
      </c>
      <c r="J174" s="13" t="s">
        <v>77</v>
      </c>
      <c r="K174" s="13" t="s">
        <v>122</v>
      </c>
      <c r="L174" s="13" t="s">
        <v>79</v>
      </c>
      <c r="M174" s="13" t="s">
        <v>132</v>
      </c>
      <c r="N174" s="13" t="s">
        <v>79</v>
      </c>
      <c r="O174" s="13" t="s">
        <v>487</v>
      </c>
      <c r="P174" s="13" t="s">
        <v>79</v>
      </c>
      <c r="Q174" s="13" t="s">
        <v>83</v>
      </c>
      <c r="R174" s="13" t="s">
        <v>79</v>
      </c>
      <c r="S174" s="13" t="s">
        <v>79</v>
      </c>
      <c r="T174" s="13" t="s">
        <v>86</v>
      </c>
      <c r="U174" s="13" t="s">
        <v>141</v>
      </c>
      <c r="V174" s="13" t="s">
        <v>127</v>
      </c>
      <c r="W174" t="s">
        <v>486</v>
      </c>
      <c r="X174" s="12">
        <v>1.7272727272727273</v>
      </c>
      <c r="Y174" s="12">
        <v>1.6</v>
      </c>
      <c r="Z174" s="12">
        <v>1.6666666666666667</v>
      </c>
      <c r="AA174" s="12">
        <v>1.5555555555555556</v>
      </c>
      <c r="AB174" s="12">
        <v>1</v>
      </c>
      <c r="AC174" s="12">
        <v>2</v>
      </c>
      <c r="AD174" s="12">
        <v>1.5915824915824917</v>
      </c>
    </row>
    <row r="175" spans="1:30" x14ac:dyDescent="0.3">
      <c r="A175" s="13">
        <v>23</v>
      </c>
      <c r="B175" s="13" t="s">
        <v>70</v>
      </c>
      <c r="C175" s="13" t="s">
        <v>113</v>
      </c>
      <c r="D175" s="13" t="s">
        <v>72</v>
      </c>
      <c r="E175" s="13" t="s">
        <v>114</v>
      </c>
      <c r="F175" s="13" t="s">
        <v>136</v>
      </c>
      <c r="G175" s="13" t="s">
        <v>440</v>
      </c>
      <c r="H175" s="13" t="s">
        <v>136</v>
      </c>
      <c r="I175" s="13" t="s">
        <v>76</v>
      </c>
      <c r="J175" s="13" t="s">
        <v>77</v>
      </c>
      <c r="K175" s="13" t="s">
        <v>125</v>
      </c>
      <c r="L175" s="13" t="s">
        <v>79</v>
      </c>
      <c r="M175" s="13" t="s">
        <v>80</v>
      </c>
      <c r="N175" s="13" t="s">
        <v>79</v>
      </c>
      <c r="O175" s="13" t="s">
        <v>488</v>
      </c>
      <c r="P175" s="13" t="s">
        <v>79</v>
      </c>
      <c r="Q175" s="13" t="s">
        <v>83</v>
      </c>
      <c r="R175" s="13" t="s">
        <v>79</v>
      </c>
      <c r="S175" s="13" t="s">
        <v>82</v>
      </c>
      <c r="T175" s="13" t="s">
        <v>106</v>
      </c>
      <c r="U175" s="13" t="s">
        <v>141</v>
      </c>
      <c r="V175" s="13" t="s">
        <v>112</v>
      </c>
      <c r="W175" t="s">
        <v>486</v>
      </c>
      <c r="X175" s="12">
        <v>3</v>
      </c>
      <c r="Y175" s="12">
        <v>3</v>
      </c>
      <c r="Z175" s="12">
        <v>1</v>
      </c>
      <c r="AA175" s="12">
        <v>0.33333333333333331</v>
      </c>
      <c r="AB175" s="12">
        <v>1</v>
      </c>
      <c r="AC175" s="12">
        <v>2</v>
      </c>
      <c r="AD175" s="12">
        <v>1.7222222222222221</v>
      </c>
    </row>
    <row r="176" spans="1:30" x14ac:dyDescent="0.3">
      <c r="A176" s="13">
        <v>23</v>
      </c>
      <c r="B176" s="13" t="s">
        <v>162</v>
      </c>
      <c r="C176" s="13" t="s">
        <v>113</v>
      </c>
      <c r="D176" s="13" t="s">
        <v>149</v>
      </c>
      <c r="E176" s="13" t="s">
        <v>108</v>
      </c>
      <c r="F176" s="13" t="s">
        <v>98</v>
      </c>
      <c r="G176" s="13" t="s">
        <v>439</v>
      </c>
      <c r="H176" s="13" t="s">
        <v>98</v>
      </c>
      <c r="I176" s="13" t="s">
        <v>76</v>
      </c>
      <c r="J176" s="13" t="s">
        <v>77</v>
      </c>
      <c r="K176" s="13" t="s">
        <v>122</v>
      </c>
      <c r="L176" s="13" t="s">
        <v>79</v>
      </c>
      <c r="M176" s="13" t="s">
        <v>80</v>
      </c>
      <c r="N176" s="13" t="s">
        <v>79</v>
      </c>
      <c r="O176" s="13" t="s">
        <v>487</v>
      </c>
      <c r="P176" s="13" t="s">
        <v>79</v>
      </c>
      <c r="Q176" s="13" t="s">
        <v>83</v>
      </c>
      <c r="R176" s="13" t="s">
        <v>79</v>
      </c>
      <c r="S176" s="13" t="s">
        <v>79</v>
      </c>
      <c r="T176" s="13" t="s">
        <v>86</v>
      </c>
      <c r="U176" s="13" t="s">
        <v>87</v>
      </c>
      <c r="V176" s="13" t="s">
        <v>127</v>
      </c>
      <c r="W176" t="s">
        <v>486</v>
      </c>
      <c r="X176" s="12">
        <v>1.5454545454545454</v>
      </c>
      <c r="Y176" s="12">
        <v>1.8</v>
      </c>
      <c r="Z176" s="12">
        <v>1</v>
      </c>
      <c r="AA176" s="12">
        <v>1.3333333333333333</v>
      </c>
      <c r="AB176" s="12">
        <v>0.8</v>
      </c>
      <c r="AC176" s="12">
        <v>2</v>
      </c>
      <c r="AD176" s="12">
        <v>1.413131313131313</v>
      </c>
    </row>
    <row r="177" spans="1:30" x14ac:dyDescent="0.3">
      <c r="A177" s="13">
        <v>20</v>
      </c>
      <c r="B177" s="13" t="s">
        <v>70</v>
      </c>
      <c r="C177" s="13" t="s">
        <v>157</v>
      </c>
      <c r="D177" s="13" t="s">
        <v>149</v>
      </c>
      <c r="E177" s="13" t="s">
        <v>108</v>
      </c>
      <c r="F177" s="13" t="s">
        <v>74</v>
      </c>
      <c r="G177" s="13" t="s">
        <v>439</v>
      </c>
      <c r="H177" s="13" t="s">
        <v>74</v>
      </c>
      <c r="I177" s="13" t="s">
        <v>439</v>
      </c>
      <c r="J177" s="13" t="s">
        <v>77</v>
      </c>
      <c r="K177" s="13" t="s">
        <v>131</v>
      </c>
      <c r="L177" s="13" t="s">
        <v>79</v>
      </c>
      <c r="M177" s="13" t="s">
        <v>80</v>
      </c>
      <c r="N177" s="13" t="s">
        <v>82</v>
      </c>
      <c r="O177" s="13" t="s">
        <v>489</v>
      </c>
      <c r="P177" s="13" t="s">
        <v>79</v>
      </c>
      <c r="Q177" s="13" t="s">
        <v>83</v>
      </c>
      <c r="R177" s="13" t="s">
        <v>79</v>
      </c>
      <c r="S177" s="13" t="s">
        <v>79</v>
      </c>
      <c r="T177" s="13" t="s">
        <v>86</v>
      </c>
      <c r="U177" s="13" t="s">
        <v>120</v>
      </c>
      <c r="V177" s="13" t="s">
        <v>112</v>
      </c>
      <c r="W177" t="s">
        <v>486</v>
      </c>
      <c r="X177" s="12">
        <v>2.9090909090909092</v>
      </c>
      <c r="Y177" s="12">
        <v>1.8</v>
      </c>
      <c r="Z177" s="12">
        <v>2.3333333333333335</v>
      </c>
      <c r="AA177" s="12">
        <v>0.66666666666666663</v>
      </c>
      <c r="AB177" s="12">
        <v>0.8</v>
      </c>
      <c r="AC177" s="12">
        <v>2</v>
      </c>
      <c r="AD177" s="12">
        <v>1.7515151515151517</v>
      </c>
    </row>
    <row r="178" spans="1:30" x14ac:dyDescent="0.3">
      <c r="A178" s="13">
        <v>23</v>
      </c>
      <c r="B178" s="13" t="s">
        <v>128</v>
      </c>
      <c r="C178" s="13" t="s">
        <v>113</v>
      </c>
      <c r="D178" s="13" t="s">
        <v>72</v>
      </c>
      <c r="E178" s="13" t="s">
        <v>114</v>
      </c>
      <c r="F178" s="13" t="s">
        <v>136</v>
      </c>
      <c r="G178" s="13" t="s">
        <v>439</v>
      </c>
      <c r="H178" s="13" t="s">
        <v>165</v>
      </c>
      <c r="I178" s="13" t="s">
        <v>439</v>
      </c>
      <c r="J178" s="13" t="s">
        <v>77</v>
      </c>
      <c r="K178" s="13" t="s">
        <v>122</v>
      </c>
      <c r="L178" s="13" t="s">
        <v>79</v>
      </c>
      <c r="M178" s="13" t="s">
        <v>80</v>
      </c>
      <c r="N178" s="13" t="s">
        <v>79</v>
      </c>
      <c r="O178" s="13" t="s">
        <v>487</v>
      </c>
      <c r="P178" s="13" t="s">
        <v>79</v>
      </c>
      <c r="Q178" s="13" t="s">
        <v>103</v>
      </c>
      <c r="R178" s="13" t="s">
        <v>82</v>
      </c>
      <c r="S178" s="13" t="s">
        <v>79</v>
      </c>
      <c r="T178" s="13" t="s">
        <v>148</v>
      </c>
      <c r="U178" s="13" t="s">
        <v>120</v>
      </c>
      <c r="V178" s="13" t="s">
        <v>127</v>
      </c>
      <c r="W178" t="s">
        <v>486</v>
      </c>
      <c r="X178" s="12">
        <v>1.5454545454545454</v>
      </c>
      <c r="Y178" s="12">
        <v>1.8</v>
      </c>
      <c r="Z178" s="12">
        <v>1.3333333333333333</v>
      </c>
      <c r="AA178" s="12">
        <v>1.4444444444444444</v>
      </c>
      <c r="AB178" s="12">
        <v>0.6</v>
      </c>
      <c r="AC178" s="12">
        <v>2</v>
      </c>
      <c r="AD178" s="12">
        <v>1.453872053872054</v>
      </c>
    </row>
    <row r="179" spans="1:30" x14ac:dyDescent="0.3">
      <c r="A179" s="13">
        <v>23</v>
      </c>
      <c r="B179" s="13" t="s">
        <v>70</v>
      </c>
      <c r="C179" s="13" t="s">
        <v>113</v>
      </c>
      <c r="D179" s="13" t="s">
        <v>97</v>
      </c>
      <c r="E179" s="13" t="s">
        <v>108</v>
      </c>
      <c r="F179" s="13" t="s">
        <v>74</v>
      </c>
      <c r="G179" s="13" t="s">
        <v>439</v>
      </c>
      <c r="H179" s="13" t="s">
        <v>98</v>
      </c>
      <c r="I179" s="13" t="s">
        <v>76</v>
      </c>
      <c r="J179" s="13" t="s">
        <v>77</v>
      </c>
      <c r="K179" s="13" t="s">
        <v>122</v>
      </c>
      <c r="L179" s="13" t="s">
        <v>79</v>
      </c>
      <c r="M179" s="13" t="s">
        <v>80</v>
      </c>
      <c r="N179" s="13" t="s">
        <v>82</v>
      </c>
      <c r="O179" s="13" t="s">
        <v>488</v>
      </c>
      <c r="P179" s="13" t="s">
        <v>79</v>
      </c>
      <c r="Q179" s="13" t="s">
        <v>103</v>
      </c>
      <c r="R179" s="13" t="s">
        <v>79</v>
      </c>
      <c r="S179" s="13" t="s">
        <v>82</v>
      </c>
      <c r="T179" s="13" t="s">
        <v>106</v>
      </c>
      <c r="U179" s="13" t="s">
        <v>87</v>
      </c>
      <c r="V179" s="13" t="s">
        <v>112</v>
      </c>
      <c r="W179" t="s">
        <v>485</v>
      </c>
      <c r="X179" s="12">
        <v>2.9090909090909092</v>
      </c>
      <c r="Y179" s="12">
        <v>3</v>
      </c>
      <c r="Z179" s="12">
        <v>2</v>
      </c>
      <c r="AA179" s="12">
        <v>3</v>
      </c>
      <c r="AB179" s="12">
        <v>3</v>
      </c>
      <c r="AC179" s="12">
        <v>1.6666666666666667</v>
      </c>
      <c r="AD179" s="12">
        <v>2.595959595959596</v>
      </c>
    </row>
    <row r="180" spans="1:30" x14ac:dyDescent="0.3">
      <c r="A180" s="13">
        <v>23</v>
      </c>
      <c r="B180" s="13" t="s">
        <v>70</v>
      </c>
      <c r="C180" s="13" t="s">
        <v>113</v>
      </c>
      <c r="D180" s="13" t="s">
        <v>72</v>
      </c>
      <c r="E180" s="13" t="s">
        <v>114</v>
      </c>
      <c r="F180" s="13" t="s">
        <v>100</v>
      </c>
      <c r="G180" s="13" t="s">
        <v>438</v>
      </c>
      <c r="H180" s="13" t="s">
        <v>100</v>
      </c>
      <c r="I180" s="13" t="s">
        <v>76</v>
      </c>
      <c r="J180" s="13" t="s">
        <v>101</v>
      </c>
      <c r="K180" s="13" t="s">
        <v>125</v>
      </c>
      <c r="L180" s="13" t="s">
        <v>82</v>
      </c>
      <c r="M180" s="13" t="s">
        <v>80</v>
      </c>
      <c r="N180" s="13" t="s">
        <v>79</v>
      </c>
      <c r="O180" s="13" t="s">
        <v>488</v>
      </c>
      <c r="P180" s="13" t="s">
        <v>82</v>
      </c>
      <c r="Q180" s="13" t="s">
        <v>103</v>
      </c>
      <c r="R180" s="13" t="s">
        <v>79</v>
      </c>
      <c r="S180" s="13" t="s">
        <v>82</v>
      </c>
      <c r="T180" s="13" t="s">
        <v>86</v>
      </c>
      <c r="U180" s="13" t="s">
        <v>141</v>
      </c>
      <c r="V180" s="13" t="s">
        <v>112</v>
      </c>
      <c r="W180" t="s">
        <v>486</v>
      </c>
      <c r="X180" s="12">
        <v>2.7272727272727271</v>
      </c>
      <c r="Y180" s="12">
        <v>2.6</v>
      </c>
      <c r="Z180" s="12">
        <v>2.6666666666666665</v>
      </c>
      <c r="AA180" s="12">
        <v>2.1111111111111112</v>
      </c>
      <c r="AB180" s="12">
        <v>3</v>
      </c>
      <c r="AC180" s="12">
        <v>1.6666666666666667</v>
      </c>
      <c r="AD180" s="12">
        <v>2.4619528619528617</v>
      </c>
    </row>
    <row r="181" spans="1:30" x14ac:dyDescent="0.3">
      <c r="A181" s="13">
        <v>27</v>
      </c>
      <c r="B181" s="13" t="s">
        <v>70</v>
      </c>
      <c r="C181" s="13" t="s">
        <v>153</v>
      </c>
      <c r="D181" s="13" t="s">
        <v>97</v>
      </c>
      <c r="E181" s="13" t="s">
        <v>108</v>
      </c>
      <c r="F181" s="13" t="s">
        <v>136</v>
      </c>
      <c r="G181" s="13" t="s">
        <v>440</v>
      </c>
      <c r="H181" s="13" t="s">
        <v>74</v>
      </c>
      <c r="I181" s="13" t="s">
        <v>76</v>
      </c>
      <c r="J181" s="13" t="s">
        <v>77</v>
      </c>
      <c r="K181" s="13" t="s">
        <v>78</v>
      </c>
      <c r="L181" s="13" t="s">
        <v>82</v>
      </c>
      <c r="M181" s="13" t="s">
        <v>80</v>
      </c>
      <c r="N181" s="13" t="s">
        <v>79</v>
      </c>
      <c r="O181" s="13" t="s">
        <v>488</v>
      </c>
      <c r="P181" s="13" t="s">
        <v>79</v>
      </c>
      <c r="Q181" s="13" t="s">
        <v>103</v>
      </c>
      <c r="R181" s="13" t="s">
        <v>79</v>
      </c>
      <c r="S181" s="13" t="s">
        <v>79</v>
      </c>
      <c r="T181" s="13" t="s">
        <v>86</v>
      </c>
      <c r="U181" s="13" t="s">
        <v>141</v>
      </c>
      <c r="V181" s="13" t="s">
        <v>127</v>
      </c>
      <c r="W181" t="s">
        <v>486</v>
      </c>
      <c r="X181" s="12">
        <v>3</v>
      </c>
      <c r="Y181" s="12">
        <v>2.4</v>
      </c>
      <c r="Z181" s="12">
        <v>2.3333333333333335</v>
      </c>
      <c r="AA181" s="12">
        <v>1.8888888888888888</v>
      </c>
      <c r="AB181" s="12">
        <v>3</v>
      </c>
      <c r="AC181" s="12">
        <v>1.6666666666666667</v>
      </c>
      <c r="AD181" s="12">
        <v>2.3814814814814818</v>
      </c>
    </row>
    <row r="182" spans="1:30" x14ac:dyDescent="0.3">
      <c r="A182" s="13">
        <v>22</v>
      </c>
      <c r="B182" s="13" t="s">
        <v>70</v>
      </c>
      <c r="C182" s="13" t="s">
        <v>96</v>
      </c>
      <c r="D182" s="13" t="s">
        <v>149</v>
      </c>
      <c r="E182" s="13" t="s">
        <v>114</v>
      </c>
      <c r="F182" s="13" t="s">
        <v>74</v>
      </c>
      <c r="G182" s="13" t="s">
        <v>439</v>
      </c>
      <c r="H182" s="13" t="s">
        <v>74</v>
      </c>
      <c r="I182" s="13" t="s">
        <v>76</v>
      </c>
      <c r="J182" s="13" t="s">
        <v>77</v>
      </c>
      <c r="K182" s="13" t="s">
        <v>122</v>
      </c>
      <c r="L182" s="13" t="s">
        <v>79</v>
      </c>
      <c r="M182" s="13" t="s">
        <v>80</v>
      </c>
      <c r="N182" s="13" t="s">
        <v>79</v>
      </c>
      <c r="O182" s="13" t="s">
        <v>487</v>
      </c>
      <c r="P182" s="13" t="s">
        <v>79</v>
      </c>
      <c r="Q182" s="13" t="s">
        <v>103</v>
      </c>
      <c r="R182" s="13" t="s">
        <v>79</v>
      </c>
      <c r="S182" s="13" t="s">
        <v>79</v>
      </c>
      <c r="T182" s="13" t="s">
        <v>106</v>
      </c>
      <c r="U182" s="13" t="s">
        <v>87</v>
      </c>
      <c r="V182" s="13" t="s">
        <v>127</v>
      </c>
      <c r="W182" t="s">
        <v>486</v>
      </c>
      <c r="X182" s="12">
        <v>2.7272727272727271</v>
      </c>
      <c r="Y182" s="12">
        <v>1.6</v>
      </c>
      <c r="Z182" s="12">
        <v>2</v>
      </c>
      <c r="AA182" s="12">
        <v>1.2222222222222223</v>
      </c>
      <c r="AB182" s="12">
        <v>3</v>
      </c>
      <c r="AC182" s="12">
        <v>1.6666666666666667</v>
      </c>
      <c r="AD182" s="12">
        <v>2.0360269360269361</v>
      </c>
    </row>
    <row r="183" spans="1:30" x14ac:dyDescent="0.3">
      <c r="A183" s="13">
        <v>21</v>
      </c>
      <c r="B183" s="13" t="s">
        <v>70</v>
      </c>
      <c r="C183" s="13" t="s">
        <v>113</v>
      </c>
      <c r="D183" s="13" t="s">
        <v>97</v>
      </c>
      <c r="E183" s="13" t="s">
        <v>73</v>
      </c>
      <c r="F183" s="13" t="s">
        <v>98</v>
      </c>
      <c r="G183" s="13" t="s">
        <v>440</v>
      </c>
      <c r="H183" s="13" t="s">
        <v>98</v>
      </c>
      <c r="I183" s="13" t="s">
        <v>76</v>
      </c>
      <c r="J183" s="13" t="s">
        <v>77</v>
      </c>
      <c r="K183" s="13" t="s">
        <v>125</v>
      </c>
      <c r="L183" s="13" t="s">
        <v>82</v>
      </c>
      <c r="M183" s="13" t="s">
        <v>80</v>
      </c>
      <c r="N183" s="13" t="s">
        <v>79</v>
      </c>
      <c r="O183" s="13" t="s">
        <v>489</v>
      </c>
      <c r="P183" s="13" t="s">
        <v>82</v>
      </c>
      <c r="Q183" s="13" t="s">
        <v>83</v>
      </c>
      <c r="R183" s="13" t="s">
        <v>82</v>
      </c>
      <c r="S183" s="13" t="s">
        <v>82</v>
      </c>
      <c r="T183" s="13" t="s">
        <v>106</v>
      </c>
      <c r="U183" s="13" t="s">
        <v>87</v>
      </c>
      <c r="V183" s="13" t="s">
        <v>112</v>
      </c>
      <c r="W183" t="s">
        <v>486</v>
      </c>
      <c r="X183" s="12">
        <v>2.5454545454545454</v>
      </c>
      <c r="Y183" s="12">
        <v>2.2000000000000002</v>
      </c>
      <c r="Z183" s="12">
        <v>1</v>
      </c>
      <c r="AA183" s="12">
        <v>1.1111111111111112</v>
      </c>
      <c r="AB183" s="12">
        <v>3</v>
      </c>
      <c r="AC183" s="12">
        <v>1.6666666666666667</v>
      </c>
      <c r="AD183" s="12">
        <v>1.9205387205387205</v>
      </c>
    </row>
    <row r="184" spans="1:30" x14ac:dyDescent="0.3">
      <c r="A184" s="13">
        <v>24</v>
      </c>
      <c r="B184" s="13" t="s">
        <v>70</v>
      </c>
      <c r="C184" s="13" t="s">
        <v>71</v>
      </c>
      <c r="D184" s="13" t="s">
        <v>72</v>
      </c>
      <c r="E184" s="13" t="s">
        <v>108</v>
      </c>
      <c r="F184" s="13" t="s">
        <v>74</v>
      </c>
      <c r="G184" s="13" t="s">
        <v>439</v>
      </c>
      <c r="H184" s="13" t="s">
        <v>136</v>
      </c>
      <c r="I184" s="13" t="s">
        <v>76</v>
      </c>
      <c r="J184" s="13" t="s">
        <v>77</v>
      </c>
      <c r="K184" s="13" t="s">
        <v>78</v>
      </c>
      <c r="L184" s="13" t="s">
        <v>79</v>
      </c>
      <c r="M184" s="13" t="s">
        <v>80</v>
      </c>
      <c r="N184" s="13" t="s">
        <v>79</v>
      </c>
      <c r="O184" s="13" t="s">
        <v>489</v>
      </c>
      <c r="P184" s="13" t="s">
        <v>82</v>
      </c>
      <c r="Q184" s="13" t="s">
        <v>83</v>
      </c>
      <c r="R184" s="13" t="s">
        <v>82</v>
      </c>
      <c r="S184" s="13" t="s">
        <v>82</v>
      </c>
      <c r="T184" s="13" t="s">
        <v>106</v>
      </c>
      <c r="U184" s="13" t="s">
        <v>120</v>
      </c>
      <c r="V184" s="13" t="s">
        <v>127</v>
      </c>
      <c r="W184" t="s">
        <v>485</v>
      </c>
      <c r="X184" s="12">
        <v>1.8181818181818181</v>
      </c>
      <c r="Y184" s="12">
        <v>1</v>
      </c>
      <c r="Z184" s="12">
        <v>1</v>
      </c>
      <c r="AA184" s="12">
        <v>0.88888888888888884</v>
      </c>
      <c r="AB184" s="12">
        <v>3</v>
      </c>
      <c r="AC184" s="12">
        <v>1.6666666666666667</v>
      </c>
      <c r="AD184" s="12">
        <v>1.5622895622895623</v>
      </c>
    </row>
    <row r="185" spans="1:30" x14ac:dyDescent="0.3">
      <c r="A185" s="13">
        <v>21</v>
      </c>
      <c r="B185" s="13" t="s">
        <v>70</v>
      </c>
      <c r="C185" s="13" t="s">
        <v>157</v>
      </c>
      <c r="D185" s="13" t="s">
        <v>97</v>
      </c>
      <c r="E185" s="13" t="s">
        <v>114</v>
      </c>
      <c r="F185" s="13" t="s">
        <v>136</v>
      </c>
      <c r="G185" s="13" t="s">
        <v>439</v>
      </c>
      <c r="H185" s="13" t="s">
        <v>136</v>
      </c>
      <c r="I185" s="13" t="s">
        <v>76</v>
      </c>
      <c r="J185" s="13" t="s">
        <v>77</v>
      </c>
      <c r="K185" s="13" t="s">
        <v>122</v>
      </c>
      <c r="L185" s="13" t="s">
        <v>79</v>
      </c>
      <c r="M185" s="13" t="s">
        <v>80</v>
      </c>
      <c r="N185" s="13" t="s">
        <v>79</v>
      </c>
      <c r="O185" s="13" t="s">
        <v>490</v>
      </c>
      <c r="P185" s="13" t="s">
        <v>82</v>
      </c>
      <c r="Q185" s="13" t="s">
        <v>103</v>
      </c>
      <c r="R185" s="13" t="s">
        <v>82</v>
      </c>
      <c r="S185" s="13" t="s">
        <v>82</v>
      </c>
      <c r="T185" s="13" t="s">
        <v>106</v>
      </c>
      <c r="U185" s="13" t="s">
        <v>87</v>
      </c>
      <c r="V185" s="13" t="s">
        <v>112</v>
      </c>
      <c r="W185" t="s">
        <v>486</v>
      </c>
      <c r="X185" s="12">
        <v>3</v>
      </c>
      <c r="Y185" s="12">
        <v>2.6</v>
      </c>
      <c r="Z185" s="12">
        <v>2.3333333333333335</v>
      </c>
      <c r="AA185" s="12">
        <v>0.44444444444444442</v>
      </c>
      <c r="AB185" s="12">
        <v>3</v>
      </c>
      <c r="AC185" s="12">
        <v>1.6666666666666667</v>
      </c>
      <c r="AD185" s="12">
        <v>2.174074074074074</v>
      </c>
    </row>
    <row r="186" spans="1:30" x14ac:dyDescent="0.3">
      <c r="A186" s="13">
        <v>26</v>
      </c>
      <c r="B186" s="13" t="s">
        <v>70</v>
      </c>
      <c r="C186" s="13" t="s">
        <v>153</v>
      </c>
      <c r="D186" s="13" t="s">
        <v>97</v>
      </c>
      <c r="E186" s="13" t="s">
        <v>114</v>
      </c>
      <c r="F186" s="13" t="s">
        <v>74</v>
      </c>
      <c r="G186" s="13" t="s">
        <v>440</v>
      </c>
      <c r="H186" s="13" t="s">
        <v>74</v>
      </c>
      <c r="I186" s="13" t="s">
        <v>439</v>
      </c>
      <c r="J186" s="13" t="s">
        <v>77</v>
      </c>
      <c r="K186" s="13" t="s">
        <v>78</v>
      </c>
      <c r="L186" s="13" t="s">
        <v>79</v>
      </c>
      <c r="M186" s="13" t="s">
        <v>102</v>
      </c>
      <c r="N186" s="13" t="s">
        <v>79</v>
      </c>
      <c r="O186" s="13" t="s">
        <v>487</v>
      </c>
      <c r="P186" s="13" t="s">
        <v>79</v>
      </c>
      <c r="Q186" s="13" t="s">
        <v>103</v>
      </c>
      <c r="R186" s="13" t="s">
        <v>79</v>
      </c>
      <c r="S186" s="13" t="s">
        <v>79</v>
      </c>
      <c r="T186" s="13" t="s">
        <v>148</v>
      </c>
      <c r="U186" s="13" t="s">
        <v>141</v>
      </c>
      <c r="V186" s="13" t="s">
        <v>127</v>
      </c>
      <c r="W186" t="s">
        <v>486</v>
      </c>
      <c r="X186" s="12">
        <v>1.1818181818181819</v>
      </c>
      <c r="Y186" s="12">
        <v>1.2</v>
      </c>
      <c r="Z186" s="12">
        <v>0.33333333333333331</v>
      </c>
      <c r="AA186" s="12">
        <v>2</v>
      </c>
      <c r="AB186" s="12">
        <v>2.8</v>
      </c>
      <c r="AC186" s="12">
        <v>1.6666666666666667</v>
      </c>
      <c r="AD186" s="12">
        <v>1.5303030303030303</v>
      </c>
    </row>
    <row r="187" spans="1:30" x14ac:dyDescent="0.3">
      <c r="A187" s="13">
        <v>21</v>
      </c>
      <c r="B187" s="13" t="s">
        <v>70</v>
      </c>
      <c r="C187" s="13" t="s">
        <v>96</v>
      </c>
      <c r="D187" s="13" t="s">
        <v>149</v>
      </c>
      <c r="E187" s="13" t="s">
        <v>108</v>
      </c>
      <c r="F187" s="13" t="s">
        <v>74</v>
      </c>
      <c r="G187" s="13" t="s">
        <v>439</v>
      </c>
      <c r="H187" s="13" t="s">
        <v>74</v>
      </c>
      <c r="I187" s="13" t="s">
        <v>439</v>
      </c>
      <c r="J187" s="13" t="s">
        <v>77</v>
      </c>
      <c r="K187" s="13" t="s">
        <v>131</v>
      </c>
      <c r="L187" s="13" t="s">
        <v>79</v>
      </c>
      <c r="M187" s="13" t="s">
        <v>102</v>
      </c>
      <c r="N187" s="13" t="s">
        <v>82</v>
      </c>
      <c r="O187" s="13" t="s">
        <v>487</v>
      </c>
      <c r="P187" s="13" t="s">
        <v>79</v>
      </c>
      <c r="Q187" s="13" t="s">
        <v>103</v>
      </c>
      <c r="R187" s="13" t="s">
        <v>82</v>
      </c>
      <c r="S187" s="13" t="s">
        <v>79</v>
      </c>
      <c r="T187" s="13" t="s">
        <v>86</v>
      </c>
      <c r="U187" s="13" t="s">
        <v>87</v>
      </c>
      <c r="V187" s="13" t="s">
        <v>112</v>
      </c>
      <c r="W187" t="s">
        <v>485</v>
      </c>
      <c r="X187" s="12">
        <v>2.8181818181818183</v>
      </c>
      <c r="Y187" s="12">
        <v>2.2000000000000002</v>
      </c>
      <c r="Z187" s="12">
        <v>0</v>
      </c>
      <c r="AA187" s="12">
        <v>1.3333333333333333</v>
      </c>
      <c r="AB187" s="12">
        <v>2.8</v>
      </c>
      <c r="AC187" s="12">
        <v>1.6666666666666667</v>
      </c>
      <c r="AD187" s="12">
        <v>1.803030303030303</v>
      </c>
    </row>
    <row r="188" spans="1:30" x14ac:dyDescent="0.3">
      <c r="A188" s="13">
        <v>23</v>
      </c>
      <c r="B188" s="13" t="s">
        <v>70</v>
      </c>
      <c r="C188" s="13" t="s">
        <v>113</v>
      </c>
      <c r="D188" s="13" t="s">
        <v>149</v>
      </c>
      <c r="E188" s="13" t="s">
        <v>73</v>
      </c>
      <c r="F188" s="13" t="s">
        <v>136</v>
      </c>
      <c r="G188" s="13" t="s">
        <v>439</v>
      </c>
      <c r="H188" s="13" t="s">
        <v>98</v>
      </c>
      <c r="I188" s="13" t="s">
        <v>76</v>
      </c>
      <c r="J188" s="13" t="s">
        <v>77</v>
      </c>
      <c r="K188" s="13" t="s">
        <v>122</v>
      </c>
      <c r="L188" s="13" t="s">
        <v>82</v>
      </c>
      <c r="M188" s="13" t="s">
        <v>80</v>
      </c>
      <c r="N188" s="13" t="s">
        <v>79</v>
      </c>
      <c r="O188" s="13" t="s">
        <v>489</v>
      </c>
      <c r="P188" s="13" t="s">
        <v>79</v>
      </c>
      <c r="Q188" s="13" t="s">
        <v>83</v>
      </c>
      <c r="R188" s="13" t="s">
        <v>82</v>
      </c>
      <c r="S188" s="13" t="s">
        <v>79</v>
      </c>
      <c r="T188" s="13" t="s">
        <v>106</v>
      </c>
      <c r="U188" s="13" t="s">
        <v>141</v>
      </c>
      <c r="V188" s="13" t="s">
        <v>112</v>
      </c>
      <c r="W188" t="s">
        <v>486</v>
      </c>
      <c r="X188" s="12">
        <v>2.8181818181818183</v>
      </c>
      <c r="Y188" s="12">
        <v>2</v>
      </c>
      <c r="Z188" s="12">
        <v>2.3333333333333335</v>
      </c>
      <c r="AA188" s="12">
        <v>0.88888888888888884</v>
      </c>
      <c r="AB188" s="12">
        <v>2.8</v>
      </c>
      <c r="AC188" s="12">
        <v>1.6666666666666667</v>
      </c>
      <c r="AD188" s="12">
        <v>2.0845117845117849</v>
      </c>
    </row>
    <row r="189" spans="1:30" x14ac:dyDescent="0.3">
      <c r="A189" s="13">
        <v>21</v>
      </c>
      <c r="B189" s="13" t="s">
        <v>70</v>
      </c>
      <c r="C189" s="13" t="s">
        <v>113</v>
      </c>
      <c r="D189" s="13" t="s">
        <v>72</v>
      </c>
      <c r="E189" s="13" t="s">
        <v>73</v>
      </c>
      <c r="F189" s="13" t="s">
        <v>74</v>
      </c>
      <c r="G189" s="13" t="s">
        <v>440</v>
      </c>
      <c r="H189" s="13" t="s">
        <v>74</v>
      </c>
      <c r="I189" s="13" t="s">
        <v>76</v>
      </c>
      <c r="J189" s="13" t="s">
        <v>77</v>
      </c>
      <c r="K189" s="13" t="s">
        <v>122</v>
      </c>
      <c r="L189" s="13" t="s">
        <v>82</v>
      </c>
      <c r="M189" s="13" t="s">
        <v>80</v>
      </c>
      <c r="N189" s="13" t="s">
        <v>79</v>
      </c>
      <c r="O189" s="13" t="s">
        <v>488</v>
      </c>
      <c r="P189" s="13" t="s">
        <v>82</v>
      </c>
      <c r="Q189" s="13" t="s">
        <v>103</v>
      </c>
      <c r="R189" s="13" t="s">
        <v>79</v>
      </c>
      <c r="S189" s="13" t="s">
        <v>82</v>
      </c>
      <c r="T189" s="13" t="s">
        <v>86</v>
      </c>
      <c r="U189" s="13" t="s">
        <v>141</v>
      </c>
      <c r="V189" s="13" t="s">
        <v>112</v>
      </c>
      <c r="W189" t="s">
        <v>486</v>
      </c>
      <c r="X189" s="12">
        <v>2.7272727272727271</v>
      </c>
      <c r="Y189" s="12">
        <v>1.2</v>
      </c>
      <c r="Z189" s="12">
        <v>2.6666666666666665</v>
      </c>
      <c r="AA189" s="12">
        <v>0.55555555555555558</v>
      </c>
      <c r="AB189" s="12">
        <v>2.8</v>
      </c>
      <c r="AC189" s="12">
        <v>1.6666666666666667</v>
      </c>
      <c r="AD189" s="12">
        <v>1.9360269360269358</v>
      </c>
    </row>
    <row r="190" spans="1:30" x14ac:dyDescent="0.3">
      <c r="A190" s="13">
        <v>23</v>
      </c>
      <c r="B190" s="13" t="s">
        <v>70</v>
      </c>
      <c r="C190" s="13" t="s">
        <v>153</v>
      </c>
      <c r="D190" s="13" t="s">
        <v>97</v>
      </c>
      <c r="E190" s="13" t="s">
        <v>108</v>
      </c>
      <c r="F190" s="13" t="s">
        <v>74</v>
      </c>
      <c r="G190" s="13" t="s">
        <v>439</v>
      </c>
      <c r="H190" s="13" t="s">
        <v>74</v>
      </c>
      <c r="I190" s="13" t="s">
        <v>439</v>
      </c>
      <c r="J190" s="13" t="s">
        <v>77</v>
      </c>
      <c r="K190" s="13" t="s">
        <v>78</v>
      </c>
      <c r="L190" s="13" t="s">
        <v>79</v>
      </c>
      <c r="M190" s="13" t="s">
        <v>132</v>
      </c>
      <c r="N190" s="13" t="s">
        <v>79</v>
      </c>
      <c r="O190" s="13" t="s">
        <v>489</v>
      </c>
      <c r="P190" s="13" t="s">
        <v>79</v>
      </c>
      <c r="Q190" s="13" t="s">
        <v>83</v>
      </c>
      <c r="R190" s="13" t="s">
        <v>79</v>
      </c>
      <c r="S190" s="13" t="s">
        <v>82</v>
      </c>
      <c r="T190" s="13" t="s">
        <v>86</v>
      </c>
      <c r="U190" s="13" t="s">
        <v>87</v>
      </c>
      <c r="V190" s="13" t="s">
        <v>112</v>
      </c>
      <c r="W190" t="s">
        <v>486</v>
      </c>
      <c r="X190" s="12">
        <v>2.6363636363636362</v>
      </c>
      <c r="Y190" s="12">
        <v>2.4</v>
      </c>
      <c r="Z190" s="12">
        <v>1.3333333333333333</v>
      </c>
      <c r="AA190" s="12">
        <v>0.55555555555555558</v>
      </c>
      <c r="AB190" s="12">
        <v>2.8</v>
      </c>
      <c r="AC190" s="12">
        <v>1.6666666666666667</v>
      </c>
      <c r="AD190" s="12">
        <v>1.8986531986531985</v>
      </c>
    </row>
    <row r="191" spans="1:30" x14ac:dyDescent="0.3">
      <c r="A191" s="13">
        <v>21</v>
      </c>
      <c r="B191" s="13" t="s">
        <v>70</v>
      </c>
      <c r="C191" s="13" t="s">
        <v>96</v>
      </c>
      <c r="D191" s="13" t="s">
        <v>149</v>
      </c>
      <c r="E191" s="13" t="s">
        <v>108</v>
      </c>
      <c r="F191" s="13" t="s">
        <v>74</v>
      </c>
      <c r="G191" s="13" t="s">
        <v>439</v>
      </c>
      <c r="H191" s="13" t="s">
        <v>74</v>
      </c>
      <c r="I191" s="13" t="s">
        <v>439</v>
      </c>
      <c r="J191" s="13" t="s">
        <v>77</v>
      </c>
      <c r="K191" s="13" t="s">
        <v>131</v>
      </c>
      <c r="L191" s="13" t="s">
        <v>79</v>
      </c>
      <c r="M191" s="13" t="s">
        <v>102</v>
      </c>
      <c r="N191" s="13" t="s">
        <v>82</v>
      </c>
      <c r="O191" s="13" t="s">
        <v>487</v>
      </c>
      <c r="P191" s="13" t="s">
        <v>82</v>
      </c>
      <c r="Q191" s="13" t="s">
        <v>103</v>
      </c>
      <c r="R191" s="13" t="s">
        <v>79</v>
      </c>
      <c r="S191" s="13" t="s">
        <v>79</v>
      </c>
      <c r="T191" s="13" t="s">
        <v>106</v>
      </c>
      <c r="U191" s="13" t="s">
        <v>87</v>
      </c>
      <c r="V191" s="13" t="s">
        <v>112</v>
      </c>
      <c r="W191" t="s">
        <v>486</v>
      </c>
      <c r="X191" s="12">
        <v>2.5454545454545454</v>
      </c>
      <c r="Y191" s="12">
        <v>3</v>
      </c>
      <c r="Z191" s="12">
        <v>0</v>
      </c>
      <c r="AA191" s="12">
        <v>0</v>
      </c>
      <c r="AB191" s="12">
        <v>2.8</v>
      </c>
      <c r="AC191" s="12">
        <v>1.6666666666666667</v>
      </c>
      <c r="AD191" s="12">
        <v>1.6686868686868683</v>
      </c>
    </row>
    <row r="192" spans="1:30" x14ac:dyDescent="0.3">
      <c r="A192" s="13">
        <v>20</v>
      </c>
      <c r="B192" s="13" t="s">
        <v>70</v>
      </c>
      <c r="C192" s="13" t="s">
        <v>96</v>
      </c>
      <c r="D192" s="13" t="s">
        <v>72</v>
      </c>
      <c r="E192" s="13" t="s">
        <v>114</v>
      </c>
      <c r="F192" s="13" t="s">
        <v>74</v>
      </c>
      <c r="G192" s="13" t="s">
        <v>439</v>
      </c>
      <c r="H192" s="13" t="s">
        <v>98</v>
      </c>
      <c r="I192" s="13" t="s">
        <v>76</v>
      </c>
      <c r="J192" s="13" t="s">
        <v>77</v>
      </c>
      <c r="K192" s="13" t="s">
        <v>125</v>
      </c>
      <c r="L192" s="13" t="s">
        <v>82</v>
      </c>
      <c r="M192" s="13" t="s">
        <v>80</v>
      </c>
      <c r="N192" s="13" t="s">
        <v>79</v>
      </c>
      <c r="O192" s="13" t="s">
        <v>488</v>
      </c>
      <c r="P192" s="13" t="s">
        <v>79</v>
      </c>
      <c r="Q192" s="13" t="s">
        <v>83</v>
      </c>
      <c r="R192" s="13" t="s">
        <v>79</v>
      </c>
      <c r="S192" s="13" t="s">
        <v>79</v>
      </c>
      <c r="T192" s="13" t="s">
        <v>86</v>
      </c>
      <c r="U192" s="13" t="s">
        <v>141</v>
      </c>
      <c r="V192" s="13" t="s">
        <v>260</v>
      </c>
      <c r="W192" t="s">
        <v>486</v>
      </c>
      <c r="X192" s="12">
        <v>2.1818181818181817</v>
      </c>
      <c r="Y192" s="12">
        <v>2.2000000000000002</v>
      </c>
      <c r="Z192" s="12">
        <v>1.3333333333333333</v>
      </c>
      <c r="AA192" s="12">
        <v>2.1111111111111112</v>
      </c>
      <c r="AB192" s="12">
        <v>2.4</v>
      </c>
      <c r="AC192" s="12">
        <v>1.6666666666666667</v>
      </c>
      <c r="AD192" s="12">
        <v>1.982154882154882</v>
      </c>
    </row>
    <row r="193" spans="1:30" x14ac:dyDescent="0.3">
      <c r="A193" s="13">
        <v>22</v>
      </c>
      <c r="B193" s="13" t="s">
        <v>70</v>
      </c>
      <c r="C193" s="13" t="s">
        <v>113</v>
      </c>
      <c r="D193" s="13" t="s">
        <v>97</v>
      </c>
      <c r="E193" s="13" t="s">
        <v>73</v>
      </c>
      <c r="F193" s="13" t="s">
        <v>74</v>
      </c>
      <c r="G193" s="13" t="s">
        <v>440</v>
      </c>
      <c r="H193" s="13" t="s">
        <v>136</v>
      </c>
      <c r="I193" s="13" t="s">
        <v>76</v>
      </c>
      <c r="J193" s="13" t="s">
        <v>77</v>
      </c>
      <c r="K193" s="13" t="s">
        <v>131</v>
      </c>
      <c r="L193" s="13" t="s">
        <v>79</v>
      </c>
      <c r="M193" s="13" t="s">
        <v>80</v>
      </c>
      <c r="N193" s="13" t="s">
        <v>79</v>
      </c>
      <c r="O193" s="13" t="s">
        <v>490</v>
      </c>
      <c r="P193" s="13" t="s">
        <v>82</v>
      </c>
      <c r="Q193" s="13" t="s">
        <v>83</v>
      </c>
      <c r="R193" s="13" t="s">
        <v>79</v>
      </c>
      <c r="S193" s="13" t="s">
        <v>82</v>
      </c>
      <c r="T193" s="13" t="s">
        <v>106</v>
      </c>
      <c r="U193" s="13" t="s">
        <v>87</v>
      </c>
      <c r="V193" s="13" t="s">
        <v>112</v>
      </c>
      <c r="W193" t="s">
        <v>485</v>
      </c>
      <c r="X193" s="12">
        <v>2.4545454545454546</v>
      </c>
      <c r="Y193" s="12">
        <v>1.2</v>
      </c>
      <c r="Z193" s="12">
        <v>2.3333333333333335</v>
      </c>
      <c r="AA193" s="12">
        <v>1.6666666666666667</v>
      </c>
      <c r="AB193" s="12">
        <v>2.4</v>
      </c>
      <c r="AC193" s="12">
        <v>1.6666666666666667</v>
      </c>
      <c r="AD193" s="12">
        <v>1.9535353535353535</v>
      </c>
    </row>
    <row r="194" spans="1:30" x14ac:dyDescent="0.3">
      <c r="A194" s="13">
        <v>21</v>
      </c>
      <c r="B194" s="13" t="s">
        <v>70</v>
      </c>
      <c r="C194" s="13" t="s">
        <v>157</v>
      </c>
      <c r="D194" s="13" t="s">
        <v>97</v>
      </c>
      <c r="E194" s="13" t="s">
        <v>108</v>
      </c>
      <c r="F194" s="13" t="s">
        <v>74</v>
      </c>
      <c r="G194" s="13" t="s">
        <v>439</v>
      </c>
      <c r="H194" s="13" t="s">
        <v>74</v>
      </c>
      <c r="I194" s="13" t="s">
        <v>76</v>
      </c>
      <c r="J194" s="13" t="s">
        <v>77</v>
      </c>
      <c r="K194" s="13" t="s">
        <v>131</v>
      </c>
      <c r="L194" s="13" t="s">
        <v>79</v>
      </c>
      <c r="M194" s="13" t="s">
        <v>80</v>
      </c>
      <c r="N194" s="13" t="s">
        <v>79</v>
      </c>
      <c r="O194" s="13" t="s">
        <v>489</v>
      </c>
      <c r="P194" s="13" t="s">
        <v>82</v>
      </c>
      <c r="Q194" s="13" t="s">
        <v>83</v>
      </c>
      <c r="R194" s="13" t="s">
        <v>82</v>
      </c>
      <c r="S194" s="13" t="s">
        <v>82</v>
      </c>
      <c r="T194" s="13" t="s">
        <v>106</v>
      </c>
      <c r="U194" s="13" t="s">
        <v>87</v>
      </c>
      <c r="V194" s="13" t="s">
        <v>112</v>
      </c>
      <c r="W194" t="s">
        <v>486</v>
      </c>
      <c r="X194" s="12">
        <v>2.9090909090909092</v>
      </c>
      <c r="Y194" s="12">
        <v>2.2000000000000002</v>
      </c>
      <c r="Z194" s="12">
        <v>3</v>
      </c>
      <c r="AA194" s="12">
        <v>1.4444444444444444</v>
      </c>
      <c r="AB194" s="12">
        <v>2.4</v>
      </c>
      <c r="AC194" s="12">
        <v>1.6666666666666667</v>
      </c>
      <c r="AD194" s="12">
        <v>2.2700336700336701</v>
      </c>
    </row>
    <row r="195" spans="1:30" x14ac:dyDescent="0.3">
      <c r="A195" s="13">
        <v>23</v>
      </c>
      <c r="B195" s="13" t="s">
        <v>70</v>
      </c>
      <c r="C195" s="13" t="s">
        <v>96</v>
      </c>
      <c r="D195" s="13" t="s">
        <v>97</v>
      </c>
      <c r="E195" s="13" t="s">
        <v>108</v>
      </c>
      <c r="F195" s="13" t="s">
        <v>136</v>
      </c>
      <c r="G195" s="13" t="s">
        <v>99</v>
      </c>
      <c r="H195" s="13" t="s">
        <v>136</v>
      </c>
      <c r="I195" s="13" t="s">
        <v>76</v>
      </c>
      <c r="J195" s="13" t="s">
        <v>77</v>
      </c>
      <c r="K195" s="13" t="s">
        <v>122</v>
      </c>
      <c r="L195" s="13" t="s">
        <v>79</v>
      </c>
      <c r="M195" s="13" t="s">
        <v>80</v>
      </c>
      <c r="N195" s="13" t="s">
        <v>79</v>
      </c>
      <c r="O195" s="13" t="s">
        <v>490</v>
      </c>
      <c r="P195" s="13" t="s">
        <v>82</v>
      </c>
      <c r="Q195" s="13" t="s">
        <v>118</v>
      </c>
      <c r="R195" s="13" t="s">
        <v>79</v>
      </c>
      <c r="S195" s="13" t="s">
        <v>82</v>
      </c>
      <c r="T195" s="13" t="s">
        <v>106</v>
      </c>
      <c r="U195" s="13" t="s">
        <v>141</v>
      </c>
      <c r="V195" s="13" t="s">
        <v>112</v>
      </c>
      <c r="W195" t="s">
        <v>486</v>
      </c>
      <c r="X195" s="12">
        <v>1.9090909090909092</v>
      </c>
      <c r="Y195" s="12">
        <v>1</v>
      </c>
      <c r="Z195" s="12">
        <v>1.3333333333333333</v>
      </c>
      <c r="AA195" s="12">
        <v>1.6666666666666667</v>
      </c>
      <c r="AB195" s="12">
        <v>2.2000000000000002</v>
      </c>
      <c r="AC195" s="12">
        <v>1.6666666666666667</v>
      </c>
      <c r="AD195" s="12">
        <v>1.6292929292929292</v>
      </c>
    </row>
    <row r="196" spans="1:30" x14ac:dyDescent="0.3">
      <c r="A196" s="13">
        <v>21</v>
      </c>
      <c r="B196" s="13" t="s">
        <v>70</v>
      </c>
      <c r="C196" s="13" t="s">
        <v>113</v>
      </c>
      <c r="D196" s="13" t="s">
        <v>72</v>
      </c>
      <c r="E196" s="13" t="s">
        <v>73</v>
      </c>
      <c r="F196" s="13" t="s">
        <v>74</v>
      </c>
      <c r="G196" s="13" t="s">
        <v>99</v>
      </c>
      <c r="H196" s="13" t="s">
        <v>74</v>
      </c>
      <c r="I196" s="13" t="s">
        <v>76</v>
      </c>
      <c r="J196" s="13" t="s">
        <v>77</v>
      </c>
      <c r="K196" s="13" t="s">
        <v>78</v>
      </c>
      <c r="L196" s="13" t="s">
        <v>82</v>
      </c>
      <c r="M196" s="13" t="s">
        <v>80</v>
      </c>
      <c r="N196" s="13" t="s">
        <v>79</v>
      </c>
      <c r="O196" s="13" t="s">
        <v>487</v>
      </c>
      <c r="P196" s="13" t="s">
        <v>82</v>
      </c>
      <c r="Q196" s="13" t="s">
        <v>83</v>
      </c>
      <c r="R196" s="13" t="s">
        <v>79</v>
      </c>
      <c r="S196" s="13" t="s">
        <v>82</v>
      </c>
      <c r="T196" s="13" t="s">
        <v>86</v>
      </c>
      <c r="U196" s="13" t="s">
        <v>141</v>
      </c>
      <c r="V196" s="13" t="s">
        <v>457</v>
      </c>
      <c r="W196" t="s">
        <v>486</v>
      </c>
      <c r="X196" s="12">
        <v>2.0909090909090908</v>
      </c>
      <c r="Y196" s="12">
        <v>1.4</v>
      </c>
      <c r="Z196" s="12">
        <v>2</v>
      </c>
      <c r="AA196" s="12">
        <v>1.1111111111111112</v>
      </c>
      <c r="AB196" s="12">
        <v>2.2000000000000002</v>
      </c>
      <c r="AC196" s="12">
        <v>1.6666666666666667</v>
      </c>
      <c r="AD196" s="12">
        <v>1.7447811447811448</v>
      </c>
    </row>
    <row r="197" spans="1:30" x14ac:dyDescent="0.3">
      <c r="A197" s="13">
        <v>24</v>
      </c>
      <c r="B197" s="13" t="s">
        <v>70</v>
      </c>
      <c r="C197" s="13" t="s">
        <v>96</v>
      </c>
      <c r="D197" s="13" t="s">
        <v>97</v>
      </c>
      <c r="E197" s="13" t="s">
        <v>108</v>
      </c>
      <c r="F197" s="13" t="s">
        <v>74</v>
      </c>
      <c r="G197" s="13" t="s">
        <v>438</v>
      </c>
      <c r="H197" s="13" t="s">
        <v>74</v>
      </c>
      <c r="I197" s="13" t="s">
        <v>76</v>
      </c>
      <c r="J197" s="13" t="s">
        <v>77</v>
      </c>
      <c r="K197" s="13" t="s">
        <v>122</v>
      </c>
      <c r="L197" s="13" t="s">
        <v>79</v>
      </c>
      <c r="M197" s="13" t="s">
        <v>132</v>
      </c>
      <c r="N197" s="13" t="s">
        <v>79</v>
      </c>
      <c r="O197" s="13" t="s">
        <v>488</v>
      </c>
      <c r="P197" s="13" t="s">
        <v>82</v>
      </c>
      <c r="Q197" s="13" t="s">
        <v>103</v>
      </c>
      <c r="R197" s="13" t="s">
        <v>79</v>
      </c>
      <c r="S197" s="13" t="s">
        <v>82</v>
      </c>
      <c r="T197" s="13" t="s">
        <v>106</v>
      </c>
      <c r="U197" s="13" t="s">
        <v>120</v>
      </c>
      <c r="V197" s="13" t="s">
        <v>112</v>
      </c>
      <c r="W197" t="s">
        <v>485</v>
      </c>
      <c r="X197" s="12">
        <v>2.6363636363636362</v>
      </c>
      <c r="Y197" s="12">
        <v>2.2000000000000002</v>
      </c>
      <c r="Z197" s="12">
        <v>1</v>
      </c>
      <c r="AA197" s="12">
        <v>2.4444444444444446</v>
      </c>
      <c r="AB197" s="12">
        <v>2</v>
      </c>
      <c r="AC197" s="12">
        <v>1.6666666666666667</v>
      </c>
      <c r="AD197" s="12">
        <v>1.991245791245791</v>
      </c>
    </row>
    <row r="198" spans="1:30" x14ac:dyDescent="0.3">
      <c r="A198" s="13">
        <v>21</v>
      </c>
      <c r="B198" s="13" t="s">
        <v>70</v>
      </c>
      <c r="C198" s="13" t="s">
        <v>96</v>
      </c>
      <c r="D198" s="13" t="s">
        <v>72</v>
      </c>
      <c r="E198" s="13" t="s">
        <v>114</v>
      </c>
      <c r="F198" s="13" t="s">
        <v>98</v>
      </c>
      <c r="G198" s="13" t="s">
        <v>440</v>
      </c>
      <c r="H198" s="13" t="s">
        <v>98</v>
      </c>
      <c r="I198" s="13" t="s">
        <v>76</v>
      </c>
      <c r="J198" s="13" t="s">
        <v>101</v>
      </c>
      <c r="K198" s="13" t="s">
        <v>125</v>
      </c>
      <c r="L198" s="13" t="s">
        <v>79</v>
      </c>
      <c r="M198" s="13" t="s">
        <v>80</v>
      </c>
      <c r="N198" s="13" t="s">
        <v>79</v>
      </c>
      <c r="O198" s="13" t="s">
        <v>488</v>
      </c>
      <c r="P198" s="13" t="s">
        <v>79</v>
      </c>
      <c r="Q198" s="13" t="s">
        <v>83</v>
      </c>
      <c r="R198" s="13" t="s">
        <v>79</v>
      </c>
      <c r="S198" s="13" t="s">
        <v>79</v>
      </c>
      <c r="T198" s="13" t="s">
        <v>106</v>
      </c>
      <c r="U198" s="13" t="s">
        <v>141</v>
      </c>
      <c r="V198" s="13" t="s">
        <v>112</v>
      </c>
      <c r="W198" t="s">
        <v>486</v>
      </c>
      <c r="X198" s="12">
        <v>2.5454545454545454</v>
      </c>
      <c r="Y198" s="12">
        <v>2.2000000000000002</v>
      </c>
      <c r="Z198" s="12">
        <v>1</v>
      </c>
      <c r="AA198" s="12">
        <v>1.8888888888888888</v>
      </c>
      <c r="AB198" s="12">
        <v>2</v>
      </c>
      <c r="AC198" s="12">
        <v>1.6666666666666667</v>
      </c>
      <c r="AD198" s="12">
        <v>1.8835016835016836</v>
      </c>
    </row>
    <row r="199" spans="1:30" x14ac:dyDescent="0.3">
      <c r="A199" s="13">
        <v>23</v>
      </c>
      <c r="B199" s="13" t="s">
        <v>70</v>
      </c>
      <c r="C199" s="13" t="s">
        <v>113</v>
      </c>
      <c r="D199" s="13" t="s">
        <v>97</v>
      </c>
      <c r="E199" s="13" t="s">
        <v>108</v>
      </c>
      <c r="F199" s="13" t="s">
        <v>98</v>
      </c>
      <c r="G199" s="13" t="s">
        <v>99</v>
      </c>
      <c r="H199" s="13" t="s">
        <v>100</v>
      </c>
      <c r="I199" s="13" t="s">
        <v>76</v>
      </c>
      <c r="J199" s="13" t="s">
        <v>77</v>
      </c>
      <c r="K199" s="13" t="s">
        <v>122</v>
      </c>
      <c r="L199" s="13" t="s">
        <v>79</v>
      </c>
      <c r="M199" s="13" t="s">
        <v>80</v>
      </c>
      <c r="N199" s="13" t="s">
        <v>79</v>
      </c>
      <c r="O199" s="13" t="s">
        <v>488</v>
      </c>
      <c r="P199" s="13" t="s">
        <v>79</v>
      </c>
      <c r="Q199" s="13" t="s">
        <v>83</v>
      </c>
      <c r="R199" s="13" t="s">
        <v>79</v>
      </c>
      <c r="S199" s="13" t="s">
        <v>79</v>
      </c>
      <c r="T199" s="13" t="s">
        <v>148</v>
      </c>
      <c r="U199" s="13" t="s">
        <v>141</v>
      </c>
      <c r="V199" s="13" t="s">
        <v>127</v>
      </c>
      <c r="W199" t="s">
        <v>486</v>
      </c>
      <c r="X199" s="12">
        <v>1.6363636363636365</v>
      </c>
      <c r="Y199" s="12">
        <v>1</v>
      </c>
      <c r="Z199" s="12">
        <v>1.3333333333333333</v>
      </c>
      <c r="AA199" s="12">
        <v>1.5555555555555556</v>
      </c>
      <c r="AB199" s="12">
        <v>2</v>
      </c>
      <c r="AC199" s="12">
        <v>1.6666666666666667</v>
      </c>
      <c r="AD199" s="12">
        <v>1.531986531986532</v>
      </c>
    </row>
    <row r="200" spans="1:30" x14ac:dyDescent="0.3">
      <c r="A200" s="13">
        <v>21</v>
      </c>
      <c r="B200" s="13" t="s">
        <v>70</v>
      </c>
      <c r="C200" s="13" t="s">
        <v>153</v>
      </c>
      <c r="D200" s="13" t="s">
        <v>72</v>
      </c>
      <c r="E200" s="13" t="s">
        <v>73</v>
      </c>
      <c r="F200" s="13" t="s">
        <v>136</v>
      </c>
      <c r="G200" s="13" t="s">
        <v>99</v>
      </c>
      <c r="H200" s="13" t="s">
        <v>74</v>
      </c>
      <c r="I200" s="13" t="s">
        <v>99</v>
      </c>
      <c r="J200" s="13" t="s">
        <v>101</v>
      </c>
      <c r="K200" s="13" t="s">
        <v>131</v>
      </c>
      <c r="L200" s="13" t="s">
        <v>82</v>
      </c>
      <c r="M200" s="13" t="s">
        <v>201</v>
      </c>
      <c r="N200" s="13" t="s">
        <v>82</v>
      </c>
      <c r="O200" s="13" t="s">
        <v>487</v>
      </c>
      <c r="P200" s="13" t="s">
        <v>82</v>
      </c>
      <c r="Q200" s="13" t="s">
        <v>103</v>
      </c>
      <c r="R200" s="13" t="s">
        <v>82</v>
      </c>
      <c r="S200" s="13" t="s">
        <v>79</v>
      </c>
      <c r="T200" s="13" t="s">
        <v>86</v>
      </c>
      <c r="U200" s="13" t="s">
        <v>141</v>
      </c>
      <c r="V200" s="13" t="s">
        <v>160</v>
      </c>
      <c r="W200" t="s">
        <v>486</v>
      </c>
      <c r="X200" s="12">
        <v>2.3636363636363638</v>
      </c>
      <c r="Y200" s="12">
        <v>2.4</v>
      </c>
      <c r="Z200" s="12">
        <v>2.3333333333333335</v>
      </c>
      <c r="AA200" s="12">
        <v>2</v>
      </c>
      <c r="AB200" s="12">
        <v>1.8</v>
      </c>
      <c r="AC200" s="12">
        <v>1.6666666666666667</v>
      </c>
      <c r="AD200" s="12">
        <v>2.0939393939393942</v>
      </c>
    </row>
    <row r="201" spans="1:30" x14ac:dyDescent="0.3">
      <c r="A201" s="13">
        <v>22</v>
      </c>
      <c r="B201" s="13" t="s">
        <v>70</v>
      </c>
      <c r="C201" s="13" t="s">
        <v>96</v>
      </c>
      <c r="D201" s="13" t="s">
        <v>72</v>
      </c>
      <c r="E201" s="13" t="s">
        <v>73</v>
      </c>
      <c r="F201" s="13" t="s">
        <v>74</v>
      </c>
      <c r="G201" s="13" t="s">
        <v>440</v>
      </c>
      <c r="H201" s="13" t="s">
        <v>74</v>
      </c>
      <c r="I201" s="13" t="s">
        <v>76</v>
      </c>
      <c r="J201" s="13" t="s">
        <v>77</v>
      </c>
      <c r="K201" s="13" t="s">
        <v>122</v>
      </c>
      <c r="L201" s="13" t="s">
        <v>79</v>
      </c>
      <c r="M201" s="13" t="s">
        <v>80</v>
      </c>
      <c r="N201" s="13" t="s">
        <v>79</v>
      </c>
      <c r="O201" s="13" t="s">
        <v>489</v>
      </c>
      <c r="P201" s="13" t="s">
        <v>82</v>
      </c>
      <c r="Q201" s="13" t="s">
        <v>83</v>
      </c>
      <c r="R201" s="13" t="s">
        <v>79</v>
      </c>
      <c r="S201" s="13" t="s">
        <v>82</v>
      </c>
      <c r="T201" s="13" t="s">
        <v>86</v>
      </c>
      <c r="U201" s="13" t="s">
        <v>87</v>
      </c>
      <c r="V201" s="13" t="s">
        <v>112</v>
      </c>
      <c r="W201" t="s">
        <v>486</v>
      </c>
      <c r="X201" s="12">
        <v>1.8181818181818181</v>
      </c>
      <c r="Y201" s="12">
        <v>1.6</v>
      </c>
      <c r="Z201" s="12">
        <v>2</v>
      </c>
      <c r="AA201" s="12">
        <v>1.7777777777777777</v>
      </c>
      <c r="AB201" s="12">
        <v>1.8</v>
      </c>
      <c r="AC201" s="12">
        <v>1.6666666666666667</v>
      </c>
      <c r="AD201" s="12">
        <v>1.7771043771043769</v>
      </c>
    </row>
    <row r="202" spans="1:30" x14ac:dyDescent="0.3">
      <c r="A202" s="13">
        <v>24</v>
      </c>
      <c r="B202" s="13" t="s">
        <v>128</v>
      </c>
      <c r="C202" s="13" t="s">
        <v>96</v>
      </c>
      <c r="D202" s="13" t="s">
        <v>72</v>
      </c>
      <c r="E202" s="13" t="s">
        <v>114</v>
      </c>
      <c r="F202" s="13" t="s">
        <v>165</v>
      </c>
      <c r="G202" s="13" t="s">
        <v>440</v>
      </c>
      <c r="H202" s="13" t="s">
        <v>165</v>
      </c>
      <c r="I202" s="13" t="s">
        <v>76</v>
      </c>
      <c r="J202" s="13" t="s">
        <v>77</v>
      </c>
      <c r="K202" s="13" t="s">
        <v>125</v>
      </c>
      <c r="L202" s="13" t="s">
        <v>79</v>
      </c>
      <c r="M202" s="13" t="s">
        <v>80</v>
      </c>
      <c r="N202" s="13" t="s">
        <v>79</v>
      </c>
      <c r="O202" s="13" t="s">
        <v>488</v>
      </c>
      <c r="P202" s="13" t="s">
        <v>79</v>
      </c>
      <c r="Q202" s="13" t="s">
        <v>83</v>
      </c>
      <c r="R202" s="13" t="s">
        <v>79</v>
      </c>
      <c r="S202" s="13" t="s">
        <v>79</v>
      </c>
      <c r="T202" s="13" t="s">
        <v>106</v>
      </c>
      <c r="U202" s="13" t="s">
        <v>141</v>
      </c>
      <c r="V202" s="13" t="s">
        <v>112</v>
      </c>
      <c r="W202" t="s">
        <v>486</v>
      </c>
      <c r="X202" s="12">
        <v>1.8181818181818181</v>
      </c>
      <c r="Y202" s="12">
        <v>1.4</v>
      </c>
      <c r="Z202" s="12">
        <v>2</v>
      </c>
      <c r="AA202" s="12">
        <v>1.4444444444444444</v>
      </c>
      <c r="AB202" s="12">
        <v>1.8</v>
      </c>
      <c r="AC202" s="12">
        <v>1.6666666666666667</v>
      </c>
      <c r="AD202" s="12">
        <v>1.6882154882154881</v>
      </c>
    </row>
    <row r="203" spans="1:30" x14ac:dyDescent="0.3">
      <c r="A203" s="13">
        <v>22</v>
      </c>
      <c r="B203" s="13" t="s">
        <v>70</v>
      </c>
      <c r="C203" s="13" t="s">
        <v>96</v>
      </c>
      <c r="D203" s="13" t="s">
        <v>72</v>
      </c>
      <c r="E203" s="13" t="s">
        <v>108</v>
      </c>
      <c r="F203" s="13" t="s">
        <v>74</v>
      </c>
      <c r="G203" s="13" t="s">
        <v>99</v>
      </c>
      <c r="H203" s="13" t="s">
        <v>74</v>
      </c>
      <c r="I203" s="13" t="s">
        <v>76</v>
      </c>
      <c r="J203" s="13" t="s">
        <v>77</v>
      </c>
      <c r="K203" s="13" t="s">
        <v>78</v>
      </c>
      <c r="L203" s="13" t="s">
        <v>79</v>
      </c>
      <c r="M203" s="13" t="s">
        <v>102</v>
      </c>
      <c r="N203" s="13" t="s">
        <v>82</v>
      </c>
      <c r="O203" s="13" t="s">
        <v>487</v>
      </c>
      <c r="P203" s="13" t="s">
        <v>79</v>
      </c>
      <c r="Q203" s="13" t="s">
        <v>83</v>
      </c>
      <c r="R203" s="13" t="s">
        <v>79</v>
      </c>
      <c r="S203" s="13" t="s">
        <v>82</v>
      </c>
      <c r="T203" s="13" t="s">
        <v>86</v>
      </c>
      <c r="U203" s="13" t="s">
        <v>141</v>
      </c>
      <c r="V203" s="13" t="s">
        <v>112</v>
      </c>
      <c r="W203" t="s">
        <v>486</v>
      </c>
      <c r="X203" s="12">
        <v>1.6363636363636365</v>
      </c>
      <c r="Y203" s="12">
        <v>1.6</v>
      </c>
      <c r="Z203" s="12">
        <v>1.6666666666666667</v>
      </c>
      <c r="AA203" s="12">
        <v>1.4444444444444444</v>
      </c>
      <c r="AB203" s="12">
        <v>1.8</v>
      </c>
      <c r="AC203" s="12">
        <v>1.6666666666666667</v>
      </c>
      <c r="AD203" s="12">
        <v>1.6356902356902356</v>
      </c>
    </row>
    <row r="204" spans="1:30" x14ac:dyDescent="0.3">
      <c r="A204" s="13">
        <v>23</v>
      </c>
      <c r="B204" s="13" t="s">
        <v>70</v>
      </c>
      <c r="C204" s="13" t="s">
        <v>96</v>
      </c>
      <c r="D204" s="13" t="s">
        <v>149</v>
      </c>
      <c r="E204" s="13" t="s">
        <v>108</v>
      </c>
      <c r="F204" s="13" t="s">
        <v>136</v>
      </c>
      <c r="G204" s="13" t="s">
        <v>439</v>
      </c>
      <c r="H204" s="13" t="s">
        <v>98</v>
      </c>
      <c r="I204" s="13" t="s">
        <v>76</v>
      </c>
      <c r="J204" s="13" t="s">
        <v>77</v>
      </c>
      <c r="K204" s="13" t="s">
        <v>122</v>
      </c>
      <c r="L204" s="13" t="s">
        <v>82</v>
      </c>
      <c r="M204" s="13" t="s">
        <v>102</v>
      </c>
      <c r="N204" s="13" t="s">
        <v>79</v>
      </c>
      <c r="O204" s="13" t="s">
        <v>490</v>
      </c>
      <c r="P204" s="13" t="s">
        <v>82</v>
      </c>
      <c r="Q204" s="13" t="s">
        <v>83</v>
      </c>
      <c r="R204" s="13" t="s">
        <v>79</v>
      </c>
      <c r="S204" s="13" t="s">
        <v>82</v>
      </c>
      <c r="T204" s="13" t="s">
        <v>106</v>
      </c>
      <c r="U204" s="13" t="s">
        <v>141</v>
      </c>
      <c r="V204" s="13" t="s">
        <v>457</v>
      </c>
      <c r="W204" t="s">
        <v>486</v>
      </c>
      <c r="X204" s="12">
        <v>1.2727272727272727</v>
      </c>
      <c r="Y204" s="12">
        <v>1.2</v>
      </c>
      <c r="Z204" s="12">
        <v>2</v>
      </c>
      <c r="AA204" s="12">
        <v>1.3333333333333333</v>
      </c>
      <c r="AB204" s="12">
        <v>1.8</v>
      </c>
      <c r="AC204" s="12">
        <v>1.6666666666666667</v>
      </c>
      <c r="AD204" s="12">
        <v>1.5454545454545452</v>
      </c>
    </row>
    <row r="205" spans="1:30" x14ac:dyDescent="0.3">
      <c r="A205" s="13">
        <v>23</v>
      </c>
      <c r="B205" s="13" t="s">
        <v>70</v>
      </c>
      <c r="C205" s="13" t="s">
        <v>96</v>
      </c>
      <c r="D205" s="13" t="s">
        <v>149</v>
      </c>
      <c r="E205" s="13" t="s">
        <v>108</v>
      </c>
      <c r="F205" s="13" t="s">
        <v>98</v>
      </c>
      <c r="G205" s="13" t="s">
        <v>439</v>
      </c>
      <c r="H205" s="13" t="s">
        <v>100</v>
      </c>
      <c r="I205" s="13" t="s">
        <v>439</v>
      </c>
      <c r="J205" s="13" t="s">
        <v>77</v>
      </c>
      <c r="K205" s="13" t="s">
        <v>122</v>
      </c>
      <c r="L205" s="13" t="s">
        <v>79</v>
      </c>
      <c r="M205" s="13" t="s">
        <v>80</v>
      </c>
      <c r="N205" s="13" t="s">
        <v>79</v>
      </c>
      <c r="O205" s="13" t="s">
        <v>488</v>
      </c>
      <c r="P205" s="13" t="s">
        <v>79</v>
      </c>
      <c r="Q205" s="13" t="s">
        <v>83</v>
      </c>
      <c r="R205" s="13" t="s">
        <v>79</v>
      </c>
      <c r="S205" s="13" t="s">
        <v>79</v>
      </c>
      <c r="T205" s="13" t="s">
        <v>148</v>
      </c>
      <c r="U205" s="13" t="s">
        <v>120</v>
      </c>
      <c r="V205" s="13" t="s">
        <v>127</v>
      </c>
      <c r="W205" t="s">
        <v>486</v>
      </c>
      <c r="X205" s="12">
        <v>1.7272727272727273</v>
      </c>
      <c r="Y205" s="12">
        <v>0.8</v>
      </c>
      <c r="Z205" s="12">
        <v>1.6666666666666667</v>
      </c>
      <c r="AA205" s="12">
        <v>1.3333333333333333</v>
      </c>
      <c r="AB205" s="12">
        <v>1.8</v>
      </c>
      <c r="AC205" s="12">
        <v>1.6666666666666667</v>
      </c>
      <c r="AD205" s="12">
        <v>1.4989898989898991</v>
      </c>
    </row>
    <row r="206" spans="1:30" x14ac:dyDescent="0.3">
      <c r="A206" s="13">
        <v>25</v>
      </c>
      <c r="B206" s="13" t="s">
        <v>70</v>
      </c>
      <c r="C206" s="13" t="s">
        <v>153</v>
      </c>
      <c r="D206" s="13" t="s">
        <v>149</v>
      </c>
      <c r="E206" s="13" t="s">
        <v>73</v>
      </c>
      <c r="F206" s="13" t="s">
        <v>74</v>
      </c>
      <c r="G206" s="13" t="s">
        <v>439</v>
      </c>
      <c r="H206" s="13" t="s">
        <v>98</v>
      </c>
      <c r="I206" s="13" t="s">
        <v>76</v>
      </c>
      <c r="J206" s="13" t="s">
        <v>77</v>
      </c>
      <c r="K206" s="13" t="s">
        <v>122</v>
      </c>
      <c r="L206" s="13" t="s">
        <v>79</v>
      </c>
      <c r="M206" s="13" t="s">
        <v>102</v>
      </c>
      <c r="N206" s="13" t="s">
        <v>82</v>
      </c>
      <c r="O206" s="13" t="s">
        <v>487</v>
      </c>
      <c r="P206" s="13" t="s">
        <v>82</v>
      </c>
      <c r="Q206" s="13" t="s">
        <v>103</v>
      </c>
      <c r="R206" s="13" t="s">
        <v>79</v>
      </c>
      <c r="S206" s="13" t="s">
        <v>79</v>
      </c>
      <c r="T206" s="13" t="s">
        <v>86</v>
      </c>
      <c r="U206" s="13" t="s">
        <v>87</v>
      </c>
      <c r="V206" s="13" t="s">
        <v>457</v>
      </c>
      <c r="W206" t="s">
        <v>486</v>
      </c>
      <c r="X206" s="12">
        <v>2.2727272727272729</v>
      </c>
      <c r="Y206" s="12">
        <v>1.4</v>
      </c>
      <c r="Z206" s="12">
        <v>3</v>
      </c>
      <c r="AA206" s="12">
        <v>3</v>
      </c>
      <c r="AB206" s="12">
        <v>1.6</v>
      </c>
      <c r="AC206" s="12">
        <v>1.6666666666666667</v>
      </c>
      <c r="AD206" s="12">
        <v>2.1565656565656561</v>
      </c>
    </row>
    <row r="207" spans="1:30" x14ac:dyDescent="0.3">
      <c r="A207" s="13">
        <v>25</v>
      </c>
      <c r="B207" s="13" t="s">
        <v>70</v>
      </c>
      <c r="C207" s="13" t="s">
        <v>153</v>
      </c>
      <c r="D207" s="13" t="s">
        <v>149</v>
      </c>
      <c r="E207" s="13" t="s">
        <v>73</v>
      </c>
      <c r="F207" s="13" t="s">
        <v>74</v>
      </c>
      <c r="G207" s="13" t="s">
        <v>439</v>
      </c>
      <c r="H207" s="13" t="s">
        <v>98</v>
      </c>
      <c r="I207" s="13" t="s">
        <v>76</v>
      </c>
      <c r="J207" s="13" t="s">
        <v>77</v>
      </c>
      <c r="K207" s="13" t="s">
        <v>122</v>
      </c>
      <c r="L207" s="13" t="s">
        <v>79</v>
      </c>
      <c r="M207" s="13" t="s">
        <v>102</v>
      </c>
      <c r="N207" s="13" t="s">
        <v>82</v>
      </c>
      <c r="O207" s="13" t="s">
        <v>487</v>
      </c>
      <c r="P207" s="13" t="s">
        <v>82</v>
      </c>
      <c r="Q207" s="13" t="s">
        <v>103</v>
      </c>
      <c r="R207" s="13" t="s">
        <v>79</v>
      </c>
      <c r="S207" s="13" t="s">
        <v>79</v>
      </c>
      <c r="T207" s="13" t="s">
        <v>86</v>
      </c>
      <c r="U207" s="13" t="s">
        <v>87</v>
      </c>
      <c r="V207" s="13" t="s">
        <v>457</v>
      </c>
      <c r="W207" t="s">
        <v>486</v>
      </c>
      <c r="X207" s="12">
        <v>2.2727272727272729</v>
      </c>
      <c r="Y207" s="12">
        <v>1.4</v>
      </c>
      <c r="Z207" s="12">
        <v>3</v>
      </c>
      <c r="AA207" s="12">
        <v>3</v>
      </c>
      <c r="AB207" s="12">
        <v>1.6</v>
      </c>
      <c r="AC207" s="12">
        <v>1.6666666666666667</v>
      </c>
      <c r="AD207" s="12">
        <v>2.1565656565656561</v>
      </c>
    </row>
    <row r="208" spans="1:30" x14ac:dyDescent="0.3">
      <c r="A208" s="13">
        <v>25</v>
      </c>
      <c r="B208" s="13" t="s">
        <v>70</v>
      </c>
      <c r="C208" s="13" t="s">
        <v>153</v>
      </c>
      <c r="D208" s="13" t="s">
        <v>149</v>
      </c>
      <c r="E208" s="13" t="s">
        <v>73</v>
      </c>
      <c r="F208" s="13" t="s">
        <v>74</v>
      </c>
      <c r="G208" s="13" t="s">
        <v>439</v>
      </c>
      <c r="H208" s="13" t="s">
        <v>98</v>
      </c>
      <c r="I208" s="13" t="s">
        <v>76</v>
      </c>
      <c r="J208" s="13" t="s">
        <v>77</v>
      </c>
      <c r="K208" s="13" t="s">
        <v>122</v>
      </c>
      <c r="L208" s="13" t="s">
        <v>79</v>
      </c>
      <c r="M208" s="13" t="s">
        <v>102</v>
      </c>
      <c r="N208" s="13" t="s">
        <v>82</v>
      </c>
      <c r="O208" s="13" t="s">
        <v>487</v>
      </c>
      <c r="P208" s="13" t="s">
        <v>82</v>
      </c>
      <c r="Q208" s="13" t="s">
        <v>103</v>
      </c>
      <c r="R208" s="13" t="s">
        <v>79</v>
      </c>
      <c r="S208" s="13" t="s">
        <v>79</v>
      </c>
      <c r="T208" s="13" t="s">
        <v>86</v>
      </c>
      <c r="U208" s="13" t="s">
        <v>87</v>
      </c>
      <c r="V208" s="13" t="s">
        <v>457</v>
      </c>
      <c r="W208" t="s">
        <v>485</v>
      </c>
      <c r="X208" s="12">
        <v>2.2727272727272729</v>
      </c>
      <c r="Y208" s="12">
        <v>1.4</v>
      </c>
      <c r="Z208" s="12">
        <v>3</v>
      </c>
      <c r="AA208" s="12">
        <v>3</v>
      </c>
      <c r="AB208" s="12">
        <v>1.6</v>
      </c>
      <c r="AC208" s="12">
        <v>1.6666666666666667</v>
      </c>
      <c r="AD208" s="12">
        <v>2.1565656565656561</v>
      </c>
    </row>
    <row r="209" spans="1:30" x14ac:dyDescent="0.3">
      <c r="A209" s="13">
        <v>21</v>
      </c>
      <c r="B209" s="13" t="s">
        <v>70</v>
      </c>
      <c r="C209" s="13" t="s">
        <v>157</v>
      </c>
      <c r="D209" s="13" t="s">
        <v>97</v>
      </c>
      <c r="E209" s="13" t="s">
        <v>108</v>
      </c>
      <c r="F209" s="13" t="s">
        <v>74</v>
      </c>
      <c r="G209" s="13" t="s">
        <v>439</v>
      </c>
      <c r="H209" s="13" t="s">
        <v>74</v>
      </c>
      <c r="I209" s="13" t="s">
        <v>76</v>
      </c>
      <c r="J209" s="13" t="s">
        <v>77</v>
      </c>
      <c r="K209" s="13" t="s">
        <v>131</v>
      </c>
      <c r="L209" s="13" t="s">
        <v>79</v>
      </c>
      <c r="M209" s="13" t="s">
        <v>80</v>
      </c>
      <c r="N209" s="13" t="s">
        <v>82</v>
      </c>
      <c r="O209" s="13" t="s">
        <v>487</v>
      </c>
      <c r="P209" s="13" t="s">
        <v>79</v>
      </c>
      <c r="Q209" s="13" t="s">
        <v>83</v>
      </c>
      <c r="R209" s="13" t="s">
        <v>79</v>
      </c>
      <c r="S209" s="13" t="s">
        <v>79</v>
      </c>
      <c r="T209" s="13" t="s">
        <v>106</v>
      </c>
      <c r="U209" s="13" t="s">
        <v>87</v>
      </c>
      <c r="V209" s="13" t="s">
        <v>112</v>
      </c>
      <c r="W209" t="s">
        <v>485</v>
      </c>
      <c r="X209" s="12">
        <v>2.2727272727272729</v>
      </c>
      <c r="Y209" s="12">
        <v>0.8</v>
      </c>
      <c r="Z209" s="12">
        <v>2</v>
      </c>
      <c r="AA209" s="12">
        <v>2.1111111111111112</v>
      </c>
      <c r="AB209" s="12">
        <v>1.6</v>
      </c>
      <c r="AC209" s="12">
        <v>1.6666666666666667</v>
      </c>
      <c r="AD209" s="12">
        <v>1.7417508417508418</v>
      </c>
    </row>
    <row r="210" spans="1:30" x14ac:dyDescent="0.3">
      <c r="A210" s="13">
        <v>21</v>
      </c>
      <c r="B210" s="13" t="s">
        <v>128</v>
      </c>
      <c r="C210" s="13" t="s">
        <v>96</v>
      </c>
      <c r="D210" s="13" t="s">
        <v>72</v>
      </c>
      <c r="E210" s="13" t="s">
        <v>108</v>
      </c>
      <c r="F210" s="13" t="s">
        <v>74</v>
      </c>
      <c r="G210" s="13" t="s">
        <v>438</v>
      </c>
      <c r="H210" s="13" t="s">
        <v>74</v>
      </c>
      <c r="I210" s="13" t="s">
        <v>76</v>
      </c>
      <c r="J210" s="13" t="s">
        <v>77</v>
      </c>
      <c r="K210" s="13" t="s">
        <v>122</v>
      </c>
      <c r="L210" s="13" t="s">
        <v>79</v>
      </c>
      <c r="M210" s="13" t="s">
        <v>80</v>
      </c>
      <c r="N210" s="13" t="s">
        <v>79</v>
      </c>
      <c r="O210" s="13" t="s">
        <v>487</v>
      </c>
      <c r="P210" s="13" t="s">
        <v>79</v>
      </c>
      <c r="Q210" s="13" t="s">
        <v>83</v>
      </c>
      <c r="R210" s="13" t="s">
        <v>82</v>
      </c>
      <c r="S210" s="13" t="s">
        <v>82</v>
      </c>
      <c r="T210" s="13" t="s">
        <v>86</v>
      </c>
      <c r="U210" s="13" t="s">
        <v>120</v>
      </c>
      <c r="V210" s="13" t="s">
        <v>112</v>
      </c>
      <c r="W210" t="s">
        <v>486</v>
      </c>
      <c r="X210" s="12">
        <v>1.6363636363636365</v>
      </c>
      <c r="Y210" s="12">
        <v>1.4</v>
      </c>
      <c r="Z210" s="12">
        <v>2.3333333333333335</v>
      </c>
      <c r="AA210" s="12">
        <v>1.7777777777777777</v>
      </c>
      <c r="AB210" s="12">
        <v>1.6</v>
      </c>
      <c r="AC210" s="12">
        <v>1.6666666666666667</v>
      </c>
      <c r="AD210" s="12">
        <v>1.7356902356902355</v>
      </c>
    </row>
    <row r="211" spans="1:30" x14ac:dyDescent="0.3">
      <c r="A211" s="13">
        <v>25</v>
      </c>
      <c r="B211" s="13" t="s">
        <v>70</v>
      </c>
      <c r="C211" s="13" t="s">
        <v>71</v>
      </c>
      <c r="D211" s="13" t="s">
        <v>97</v>
      </c>
      <c r="E211" s="13" t="s">
        <v>114</v>
      </c>
      <c r="F211" s="13" t="s">
        <v>100</v>
      </c>
      <c r="G211" s="13" t="s">
        <v>440</v>
      </c>
      <c r="H211" s="13" t="s">
        <v>100</v>
      </c>
      <c r="I211" s="13" t="s">
        <v>76</v>
      </c>
      <c r="J211" s="13" t="s">
        <v>101</v>
      </c>
      <c r="K211" s="13" t="s">
        <v>78</v>
      </c>
      <c r="L211" s="13" t="s">
        <v>79</v>
      </c>
      <c r="M211" s="13" t="s">
        <v>132</v>
      </c>
      <c r="N211" s="13" t="s">
        <v>79</v>
      </c>
      <c r="O211" s="13" t="s">
        <v>489</v>
      </c>
      <c r="P211" s="13" t="s">
        <v>79</v>
      </c>
      <c r="Q211" s="13" t="s">
        <v>83</v>
      </c>
      <c r="R211" s="13" t="s">
        <v>79</v>
      </c>
      <c r="S211" s="13" t="s">
        <v>79</v>
      </c>
      <c r="T211" s="13" t="s">
        <v>148</v>
      </c>
      <c r="U211" s="13" t="s">
        <v>87</v>
      </c>
      <c r="V211" s="13" t="s">
        <v>127</v>
      </c>
      <c r="W211" t="s">
        <v>486</v>
      </c>
      <c r="X211" s="12">
        <v>1.6363636363636365</v>
      </c>
      <c r="Y211" s="12">
        <v>1.6</v>
      </c>
      <c r="Z211" s="12">
        <v>1.6666666666666667</v>
      </c>
      <c r="AA211" s="12">
        <v>1.6666666666666667</v>
      </c>
      <c r="AB211" s="12">
        <v>1.6</v>
      </c>
      <c r="AC211" s="12">
        <v>1.6666666666666667</v>
      </c>
      <c r="AD211" s="12">
        <v>1.6393939393939394</v>
      </c>
    </row>
    <row r="212" spans="1:30" x14ac:dyDescent="0.3">
      <c r="A212" s="13">
        <v>23</v>
      </c>
      <c r="B212" s="13" t="s">
        <v>70</v>
      </c>
      <c r="C212" s="13" t="s">
        <v>96</v>
      </c>
      <c r="D212" s="13" t="s">
        <v>149</v>
      </c>
      <c r="E212" s="13" t="s">
        <v>73</v>
      </c>
      <c r="F212" s="13" t="s">
        <v>136</v>
      </c>
      <c r="G212" s="13" t="s">
        <v>99</v>
      </c>
      <c r="H212" s="13" t="s">
        <v>98</v>
      </c>
      <c r="I212" s="13" t="s">
        <v>439</v>
      </c>
      <c r="J212" s="13" t="s">
        <v>77</v>
      </c>
      <c r="K212" s="13" t="s">
        <v>122</v>
      </c>
      <c r="L212" s="13" t="s">
        <v>79</v>
      </c>
      <c r="M212" s="13" t="s">
        <v>80</v>
      </c>
      <c r="N212" s="13" t="s">
        <v>79</v>
      </c>
      <c r="O212" s="13" t="s">
        <v>490</v>
      </c>
      <c r="P212" s="13" t="s">
        <v>79</v>
      </c>
      <c r="Q212" s="13" t="s">
        <v>83</v>
      </c>
      <c r="R212" s="13" t="s">
        <v>82</v>
      </c>
      <c r="S212" s="13" t="s">
        <v>79</v>
      </c>
      <c r="T212" s="13" t="s">
        <v>106</v>
      </c>
      <c r="U212" s="13" t="s">
        <v>87</v>
      </c>
      <c r="V212" s="13" t="s">
        <v>112</v>
      </c>
      <c r="W212" t="s">
        <v>486</v>
      </c>
      <c r="X212" s="12">
        <v>1.7272727272727273</v>
      </c>
      <c r="Y212" s="12">
        <v>1</v>
      </c>
      <c r="Z212" s="12">
        <v>1.3333333333333333</v>
      </c>
      <c r="AA212" s="12">
        <v>1.5555555555555556</v>
      </c>
      <c r="AB212" s="12">
        <v>1.6</v>
      </c>
      <c r="AC212" s="12">
        <v>1.6666666666666667</v>
      </c>
      <c r="AD212" s="12">
        <v>1.4804713804713803</v>
      </c>
    </row>
    <row r="213" spans="1:30" x14ac:dyDescent="0.3">
      <c r="A213" s="13">
        <v>24</v>
      </c>
      <c r="B213" s="13" t="s">
        <v>70</v>
      </c>
      <c r="C213" s="13" t="s">
        <v>71</v>
      </c>
      <c r="D213" s="13" t="s">
        <v>72</v>
      </c>
      <c r="E213" s="13" t="s">
        <v>108</v>
      </c>
      <c r="F213" s="13" t="s">
        <v>136</v>
      </c>
      <c r="G213" s="13" t="s">
        <v>99</v>
      </c>
      <c r="H213" s="13" t="s">
        <v>98</v>
      </c>
      <c r="I213" s="13" t="s">
        <v>99</v>
      </c>
      <c r="J213" s="13" t="s">
        <v>77</v>
      </c>
      <c r="K213" s="13" t="s">
        <v>78</v>
      </c>
      <c r="L213" s="13" t="s">
        <v>79</v>
      </c>
      <c r="M213" s="13" t="s">
        <v>102</v>
      </c>
      <c r="N213" s="13" t="s">
        <v>79</v>
      </c>
      <c r="O213" s="13" t="s">
        <v>487</v>
      </c>
      <c r="P213" s="13" t="s">
        <v>79</v>
      </c>
      <c r="Q213" s="13" t="s">
        <v>83</v>
      </c>
      <c r="R213" s="13" t="s">
        <v>79</v>
      </c>
      <c r="S213" s="13" t="s">
        <v>79</v>
      </c>
      <c r="T213" s="13" t="s">
        <v>106</v>
      </c>
      <c r="U213" s="13" t="s">
        <v>141</v>
      </c>
      <c r="V213" s="13" t="s">
        <v>127</v>
      </c>
      <c r="W213" t="s">
        <v>486</v>
      </c>
      <c r="X213" s="12">
        <v>1.3636363636363635</v>
      </c>
      <c r="Y213" s="12">
        <v>1</v>
      </c>
      <c r="Z213" s="12">
        <v>2</v>
      </c>
      <c r="AA213" s="12">
        <v>1.4444444444444444</v>
      </c>
      <c r="AB213" s="12">
        <v>1.6</v>
      </c>
      <c r="AC213" s="12">
        <v>1.6666666666666667</v>
      </c>
      <c r="AD213" s="12">
        <v>1.5124579124579123</v>
      </c>
    </row>
    <row r="214" spans="1:30" x14ac:dyDescent="0.3">
      <c r="A214" s="13">
        <v>23</v>
      </c>
      <c r="B214" s="13" t="s">
        <v>70</v>
      </c>
      <c r="C214" s="13" t="s">
        <v>113</v>
      </c>
      <c r="D214" s="13" t="s">
        <v>97</v>
      </c>
      <c r="E214" s="13" t="s">
        <v>108</v>
      </c>
      <c r="F214" s="13" t="s">
        <v>98</v>
      </c>
      <c r="G214" s="13" t="s">
        <v>440</v>
      </c>
      <c r="H214" s="13" t="s">
        <v>100</v>
      </c>
      <c r="I214" s="13" t="s">
        <v>76</v>
      </c>
      <c r="J214" s="13" t="s">
        <v>77</v>
      </c>
      <c r="K214" s="13" t="s">
        <v>122</v>
      </c>
      <c r="L214" s="13" t="s">
        <v>79</v>
      </c>
      <c r="M214" s="13" t="s">
        <v>80</v>
      </c>
      <c r="N214" s="13" t="s">
        <v>79</v>
      </c>
      <c r="O214" s="13" t="s">
        <v>488</v>
      </c>
      <c r="P214" s="13" t="s">
        <v>79</v>
      </c>
      <c r="Q214" s="13" t="s">
        <v>83</v>
      </c>
      <c r="R214" s="13" t="s">
        <v>79</v>
      </c>
      <c r="S214" s="13" t="s">
        <v>79</v>
      </c>
      <c r="T214" s="13" t="s">
        <v>86</v>
      </c>
      <c r="U214" s="13" t="s">
        <v>120</v>
      </c>
      <c r="V214" s="13" t="s">
        <v>127</v>
      </c>
      <c r="W214" t="s">
        <v>486</v>
      </c>
      <c r="X214" s="12">
        <v>1.6363636363636365</v>
      </c>
      <c r="Y214" s="12">
        <v>1.6</v>
      </c>
      <c r="Z214" s="12">
        <v>1.6666666666666667</v>
      </c>
      <c r="AA214" s="12">
        <v>1.4444444444444444</v>
      </c>
      <c r="AB214" s="12">
        <v>1.6</v>
      </c>
      <c r="AC214" s="12">
        <v>1.6666666666666667</v>
      </c>
      <c r="AD214" s="12">
        <v>1.6023569023569024</v>
      </c>
    </row>
    <row r="215" spans="1:30" x14ac:dyDescent="0.3">
      <c r="A215" s="13">
        <v>23</v>
      </c>
      <c r="B215" s="13" t="s">
        <v>70</v>
      </c>
      <c r="C215" s="13" t="s">
        <v>96</v>
      </c>
      <c r="D215" s="13" t="s">
        <v>149</v>
      </c>
      <c r="E215" s="13" t="s">
        <v>73</v>
      </c>
      <c r="F215" s="13" t="s">
        <v>136</v>
      </c>
      <c r="G215" s="13" t="s">
        <v>439</v>
      </c>
      <c r="H215" s="13" t="s">
        <v>136</v>
      </c>
      <c r="I215" s="13" t="s">
        <v>76</v>
      </c>
      <c r="J215" s="13" t="s">
        <v>77</v>
      </c>
      <c r="K215" s="13" t="s">
        <v>78</v>
      </c>
      <c r="L215" s="13" t="s">
        <v>79</v>
      </c>
      <c r="M215" s="13" t="s">
        <v>80</v>
      </c>
      <c r="N215" s="13" t="s">
        <v>82</v>
      </c>
      <c r="O215" s="13" t="s">
        <v>489</v>
      </c>
      <c r="P215" s="13" t="s">
        <v>79</v>
      </c>
      <c r="Q215" s="13" t="s">
        <v>118</v>
      </c>
      <c r="R215" s="13" t="s">
        <v>79</v>
      </c>
      <c r="S215" s="13" t="s">
        <v>79</v>
      </c>
      <c r="T215" s="13" t="s">
        <v>148</v>
      </c>
      <c r="U215" s="13" t="s">
        <v>120</v>
      </c>
      <c r="V215" s="13" t="s">
        <v>455</v>
      </c>
      <c r="W215" t="s">
        <v>485</v>
      </c>
      <c r="X215" s="12">
        <v>1.5454545454545454</v>
      </c>
      <c r="Y215" s="12">
        <v>1.6</v>
      </c>
      <c r="Z215" s="12">
        <v>1.6666666666666667</v>
      </c>
      <c r="AA215" s="12">
        <v>1.4444444444444444</v>
      </c>
      <c r="AB215" s="12">
        <v>1.6</v>
      </c>
      <c r="AC215" s="12">
        <v>1.6666666666666667</v>
      </c>
      <c r="AD215" s="12">
        <v>1.5872053872053871</v>
      </c>
    </row>
    <row r="216" spans="1:30" x14ac:dyDescent="0.3">
      <c r="A216" s="13">
        <v>23</v>
      </c>
      <c r="B216" s="13" t="s">
        <v>70</v>
      </c>
      <c r="C216" s="13" t="s">
        <v>113</v>
      </c>
      <c r="D216" s="13" t="s">
        <v>149</v>
      </c>
      <c r="E216" s="13" t="s">
        <v>73</v>
      </c>
      <c r="F216" s="13" t="s">
        <v>98</v>
      </c>
      <c r="G216" s="13" t="s">
        <v>440</v>
      </c>
      <c r="H216" s="13" t="s">
        <v>98</v>
      </c>
      <c r="I216" s="13" t="s">
        <v>76</v>
      </c>
      <c r="J216" s="13" t="s">
        <v>77</v>
      </c>
      <c r="K216" s="13" t="s">
        <v>78</v>
      </c>
      <c r="L216" s="13" t="s">
        <v>79</v>
      </c>
      <c r="M216" s="13" t="s">
        <v>80</v>
      </c>
      <c r="N216" s="13" t="s">
        <v>82</v>
      </c>
      <c r="O216" s="13" t="s">
        <v>487</v>
      </c>
      <c r="P216" s="13" t="s">
        <v>79</v>
      </c>
      <c r="Q216" s="13" t="s">
        <v>103</v>
      </c>
      <c r="R216" s="13" t="s">
        <v>79</v>
      </c>
      <c r="S216" s="13" t="s">
        <v>79</v>
      </c>
      <c r="T216" s="13" t="s">
        <v>86</v>
      </c>
      <c r="U216" s="13" t="s">
        <v>141</v>
      </c>
      <c r="V216" s="13" t="s">
        <v>112</v>
      </c>
      <c r="W216" t="s">
        <v>485</v>
      </c>
      <c r="X216" s="12">
        <v>1.1818181818181819</v>
      </c>
      <c r="Y216" s="12">
        <v>1.2</v>
      </c>
      <c r="Z216" s="12">
        <v>1</v>
      </c>
      <c r="AA216" s="12">
        <v>1.4444444444444444</v>
      </c>
      <c r="AB216" s="12">
        <v>1.6</v>
      </c>
      <c r="AC216" s="12">
        <v>1.6666666666666667</v>
      </c>
      <c r="AD216" s="12">
        <v>1.3488215488215489</v>
      </c>
    </row>
    <row r="217" spans="1:30" x14ac:dyDescent="0.3">
      <c r="A217" s="13">
        <v>23</v>
      </c>
      <c r="B217" s="13" t="s">
        <v>70</v>
      </c>
      <c r="C217" s="13" t="s">
        <v>96</v>
      </c>
      <c r="D217" s="13" t="s">
        <v>72</v>
      </c>
      <c r="E217" s="13" t="s">
        <v>108</v>
      </c>
      <c r="F217" s="13" t="s">
        <v>136</v>
      </c>
      <c r="G217" s="13" t="s">
        <v>439</v>
      </c>
      <c r="H217" s="13" t="s">
        <v>100</v>
      </c>
      <c r="I217" s="13" t="s">
        <v>76</v>
      </c>
      <c r="J217" s="13" t="s">
        <v>77</v>
      </c>
      <c r="K217" s="13" t="s">
        <v>122</v>
      </c>
      <c r="L217" s="13" t="s">
        <v>79</v>
      </c>
      <c r="M217" s="13" t="s">
        <v>80</v>
      </c>
      <c r="N217" s="13" t="s">
        <v>79</v>
      </c>
      <c r="O217" s="13" t="s">
        <v>487</v>
      </c>
      <c r="P217" s="13" t="s">
        <v>79</v>
      </c>
      <c r="Q217" s="13" t="s">
        <v>83</v>
      </c>
      <c r="R217" s="13" t="s">
        <v>82</v>
      </c>
      <c r="S217" s="13" t="s">
        <v>79</v>
      </c>
      <c r="T217" s="13" t="s">
        <v>86</v>
      </c>
      <c r="U217" s="13" t="s">
        <v>87</v>
      </c>
      <c r="V217" s="13" t="s">
        <v>127</v>
      </c>
      <c r="W217" t="s">
        <v>485</v>
      </c>
      <c r="X217" s="12">
        <v>1.6363636363636365</v>
      </c>
      <c r="Y217" s="12">
        <v>1.6</v>
      </c>
      <c r="Z217" s="12">
        <v>1.6666666666666667</v>
      </c>
      <c r="AA217" s="12">
        <v>1.3333333333333333</v>
      </c>
      <c r="AB217" s="12">
        <v>1.6</v>
      </c>
      <c r="AC217" s="12">
        <v>1.6666666666666667</v>
      </c>
      <c r="AD217" s="12">
        <v>1.5838383838383836</v>
      </c>
    </row>
    <row r="218" spans="1:30" x14ac:dyDescent="0.3">
      <c r="A218" s="13">
        <v>23</v>
      </c>
      <c r="B218" s="13" t="s">
        <v>70</v>
      </c>
      <c r="C218" s="13" t="s">
        <v>113</v>
      </c>
      <c r="D218" s="13" t="s">
        <v>72</v>
      </c>
      <c r="E218" s="13" t="s">
        <v>114</v>
      </c>
      <c r="F218" s="13" t="s">
        <v>74</v>
      </c>
      <c r="G218" s="13" t="s">
        <v>439</v>
      </c>
      <c r="H218" s="13" t="s">
        <v>98</v>
      </c>
      <c r="I218" s="13" t="s">
        <v>76</v>
      </c>
      <c r="J218" s="13" t="s">
        <v>77</v>
      </c>
      <c r="K218" s="13" t="s">
        <v>78</v>
      </c>
      <c r="L218" s="13" t="s">
        <v>79</v>
      </c>
      <c r="M218" s="13" t="s">
        <v>80</v>
      </c>
      <c r="N218" s="13" t="s">
        <v>82</v>
      </c>
      <c r="O218" s="13" t="s">
        <v>489</v>
      </c>
      <c r="P218" s="13" t="s">
        <v>79</v>
      </c>
      <c r="Q218" s="13" t="s">
        <v>103</v>
      </c>
      <c r="R218" s="13" t="s">
        <v>82</v>
      </c>
      <c r="S218" s="13" t="s">
        <v>82</v>
      </c>
      <c r="T218" s="13" t="s">
        <v>106</v>
      </c>
      <c r="U218" s="13" t="s">
        <v>141</v>
      </c>
      <c r="V218" s="13" t="s">
        <v>112</v>
      </c>
      <c r="W218" t="s">
        <v>485</v>
      </c>
      <c r="X218" s="12">
        <v>1.0909090909090908</v>
      </c>
      <c r="Y218" s="12">
        <v>1.4</v>
      </c>
      <c r="Z218" s="12">
        <v>1</v>
      </c>
      <c r="AA218" s="12">
        <v>1.2222222222222223</v>
      </c>
      <c r="AB218" s="12">
        <v>1.6</v>
      </c>
      <c r="AC218" s="12">
        <v>1.6666666666666667</v>
      </c>
      <c r="AD218" s="12">
        <v>1.32996632996633</v>
      </c>
    </row>
    <row r="219" spans="1:30" x14ac:dyDescent="0.3">
      <c r="A219" s="13">
        <v>23</v>
      </c>
      <c r="B219" s="13" t="s">
        <v>70</v>
      </c>
      <c r="C219" s="13" t="s">
        <v>113</v>
      </c>
      <c r="D219" s="13" t="s">
        <v>72</v>
      </c>
      <c r="E219" s="13" t="s">
        <v>108</v>
      </c>
      <c r="F219" s="13" t="s">
        <v>98</v>
      </c>
      <c r="G219" s="13" t="s">
        <v>440</v>
      </c>
      <c r="H219" s="13" t="s">
        <v>98</v>
      </c>
      <c r="I219" s="13" t="s">
        <v>439</v>
      </c>
      <c r="J219" s="13" t="s">
        <v>101</v>
      </c>
      <c r="K219" s="13" t="s">
        <v>78</v>
      </c>
      <c r="L219" s="13" t="s">
        <v>79</v>
      </c>
      <c r="M219" s="13" t="s">
        <v>80</v>
      </c>
      <c r="N219" s="13" t="s">
        <v>82</v>
      </c>
      <c r="O219" s="13" t="s">
        <v>487</v>
      </c>
      <c r="P219" s="13" t="s">
        <v>79</v>
      </c>
      <c r="Q219" s="13" t="s">
        <v>83</v>
      </c>
      <c r="R219" s="13" t="s">
        <v>79</v>
      </c>
      <c r="S219" s="13" t="s">
        <v>79</v>
      </c>
      <c r="T219" s="13" t="s">
        <v>86</v>
      </c>
      <c r="U219" s="13" t="s">
        <v>141</v>
      </c>
      <c r="V219" s="13" t="s">
        <v>127</v>
      </c>
      <c r="W219" t="s">
        <v>486</v>
      </c>
      <c r="X219" s="12">
        <v>0.81818181818181823</v>
      </c>
      <c r="Y219" s="12">
        <v>1.4</v>
      </c>
      <c r="Z219" s="12">
        <v>1</v>
      </c>
      <c r="AA219" s="12">
        <v>1</v>
      </c>
      <c r="AB219" s="12">
        <v>1.6</v>
      </c>
      <c r="AC219" s="12">
        <v>1.6666666666666667</v>
      </c>
      <c r="AD219" s="12">
        <v>1.2474747474747476</v>
      </c>
    </row>
    <row r="220" spans="1:30" x14ac:dyDescent="0.3">
      <c r="A220" s="13">
        <v>22</v>
      </c>
      <c r="B220" s="13" t="s">
        <v>128</v>
      </c>
      <c r="C220" s="13" t="s">
        <v>96</v>
      </c>
      <c r="D220" s="13" t="s">
        <v>149</v>
      </c>
      <c r="E220" s="13" t="s">
        <v>73</v>
      </c>
      <c r="F220" s="13" t="s">
        <v>74</v>
      </c>
      <c r="G220" s="13" t="s">
        <v>439</v>
      </c>
      <c r="H220" s="13" t="s">
        <v>136</v>
      </c>
      <c r="I220" s="13" t="s">
        <v>439</v>
      </c>
      <c r="J220" s="13" t="s">
        <v>77</v>
      </c>
      <c r="K220" s="13" t="s">
        <v>122</v>
      </c>
      <c r="L220" s="13" t="s">
        <v>79</v>
      </c>
      <c r="M220" s="13" t="s">
        <v>80</v>
      </c>
      <c r="N220" s="13" t="s">
        <v>79</v>
      </c>
      <c r="O220" s="13" t="s">
        <v>487</v>
      </c>
      <c r="P220" s="13" t="s">
        <v>79</v>
      </c>
      <c r="Q220" s="13" t="s">
        <v>118</v>
      </c>
      <c r="R220" s="13" t="s">
        <v>79</v>
      </c>
      <c r="S220" s="13" t="s">
        <v>79</v>
      </c>
      <c r="T220" s="13" t="s">
        <v>106</v>
      </c>
      <c r="U220" s="13" t="s">
        <v>120</v>
      </c>
      <c r="V220" s="13" t="s">
        <v>127</v>
      </c>
      <c r="W220" t="s">
        <v>485</v>
      </c>
      <c r="X220" s="12">
        <v>1.5454545454545454</v>
      </c>
      <c r="Y220" s="12">
        <v>1.4</v>
      </c>
      <c r="Z220" s="12">
        <v>1.3333333333333333</v>
      </c>
      <c r="AA220" s="12">
        <v>1.8888888888888888</v>
      </c>
      <c r="AB220" s="12">
        <v>1.4</v>
      </c>
      <c r="AC220" s="12">
        <v>1.6666666666666667</v>
      </c>
      <c r="AD220" s="12">
        <v>1.5390572390572388</v>
      </c>
    </row>
    <row r="221" spans="1:30" x14ac:dyDescent="0.3">
      <c r="A221" s="13">
        <v>21</v>
      </c>
      <c r="B221" s="13" t="s">
        <v>70</v>
      </c>
      <c r="C221" s="13" t="s">
        <v>96</v>
      </c>
      <c r="D221" s="13" t="s">
        <v>72</v>
      </c>
      <c r="E221" s="13" t="s">
        <v>114</v>
      </c>
      <c r="F221" s="13" t="s">
        <v>136</v>
      </c>
      <c r="G221" s="13" t="s">
        <v>439</v>
      </c>
      <c r="H221" s="13" t="s">
        <v>98</v>
      </c>
      <c r="I221" s="13" t="s">
        <v>76</v>
      </c>
      <c r="J221" s="13" t="s">
        <v>77</v>
      </c>
      <c r="K221" s="13" t="s">
        <v>125</v>
      </c>
      <c r="L221" s="13" t="s">
        <v>79</v>
      </c>
      <c r="M221" s="13" t="s">
        <v>132</v>
      </c>
      <c r="N221" s="13" t="s">
        <v>79</v>
      </c>
      <c r="O221" s="13" t="s">
        <v>487</v>
      </c>
      <c r="P221" s="13" t="s">
        <v>82</v>
      </c>
      <c r="Q221" s="13" t="s">
        <v>83</v>
      </c>
      <c r="R221" s="13" t="s">
        <v>79</v>
      </c>
      <c r="S221" s="13" t="s">
        <v>79</v>
      </c>
      <c r="T221" s="13" t="s">
        <v>106</v>
      </c>
      <c r="U221" s="13" t="s">
        <v>120</v>
      </c>
      <c r="V221" s="13" t="s">
        <v>455</v>
      </c>
      <c r="W221" t="s">
        <v>485</v>
      </c>
      <c r="X221" s="12">
        <v>2.2727272727272729</v>
      </c>
      <c r="Y221" s="12">
        <v>2.2000000000000002</v>
      </c>
      <c r="Z221" s="12">
        <v>3</v>
      </c>
      <c r="AA221" s="12">
        <v>1.6666666666666667</v>
      </c>
      <c r="AB221" s="12">
        <v>1.4</v>
      </c>
      <c r="AC221" s="12">
        <v>1.6666666666666667</v>
      </c>
      <c r="AD221" s="12">
        <v>2.0343434343434343</v>
      </c>
    </row>
    <row r="222" spans="1:30" x14ac:dyDescent="0.3">
      <c r="A222" s="13">
        <v>23</v>
      </c>
      <c r="B222" s="13" t="s">
        <v>70</v>
      </c>
      <c r="C222" s="13" t="s">
        <v>96</v>
      </c>
      <c r="D222" s="13" t="s">
        <v>72</v>
      </c>
      <c r="E222" s="13" t="s">
        <v>114</v>
      </c>
      <c r="F222" s="13" t="s">
        <v>100</v>
      </c>
      <c r="G222" s="13" t="s">
        <v>439</v>
      </c>
      <c r="H222" s="13" t="s">
        <v>100</v>
      </c>
      <c r="I222" s="13" t="s">
        <v>439</v>
      </c>
      <c r="J222" s="13" t="s">
        <v>77</v>
      </c>
      <c r="K222" s="13" t="s">
        <v>78</v>
      </c>
      <c r="L222" s="13" t="s">
        <v>79</v>
      </c>
      <c r="M222" s="13" t="s">
        <v>80</v>
      </c>
      <c r="N222" s="13" t="s">
        <v>82</v>
      </c>
      <c r="O222" s="13" t="s">
        <v>490</v>
      </c>
      <c r="P222" s="13" t="s">
        <v>79</v>
      </c>
      <c r="Q222" s="13" t="s">
        <v>83</v>
      </c>
      <c r="R222" s="13" t="s">
        <v>82</v>
      </c>
      <c r="S222" s="13" t="s">
        <v>79</v>
      </c>
      <c r="T222" s="13" t="s">
        <v>86</v>
      </c>
      <c r="U222" s="13" t="s">
        <v>87</v>
      </c>
      <c r="V222" s="13" t="s">
        <v>127</v>
      </c>
      <c r="W222" t="s">
        <v>485</v>
      </c>
      <c r="X222" s="12">
        <v>1.6363636363636365</v>
      </c>
      <c r="Y222" s="12">
        <v>1.8</v>
      </c>
      <c r="Z222" s="12">
        <v>1.3333333333333333</v>
      </c>
      <c r="AA222" s="12">
        <v>1.6666666666666667</v>
      </c>
      <c r="AB222" s="12">
        <v>1.4</v>
      </c>
      <c r="AC222" s="12">
        <v>1.6666666666666667</v>
      </c>
      <c r="AD222" s="12">
        <v>1.5838383838383836</v>
      </c>
    </row>
    <row r="223" spans="1:30" x14ac:dyDescent="0.3">
      <c r="A223" s="13">
        <v>23</v>
      </c>
      <c r="B223" s="13" t="s">
        <v>70</v>
      </c>
      <c r="C223" s="13" t="s">
        <v>113</v>
      </c>
      <c r="D223" s="13" t="s">
        <v>72</v>
      </c>
      <c r="E223" s="13" t="s">
        <v>73</v>
      </c>
      <c r="F223" s="13" t="s">
        <v>98</v>
      </c>
      <c r="G223" s="13" t="s">
        <v>440</v>
      </c>
      <c r="H223" s="13" t="s">
        <v>100</v>
      </c>
      <c r="I223" s="13" t="s">
        <v>166</v>
      </c>
      <c r="J223" s="13" t="s">
        <v>77</v>
      </c>
      <c r="K223" s="13" t="s">
        <v>122</v>
      </c>
      <c r="L223" s="13" t="s">
        <v>79</v>
      </c>
      <c r="M223" s="13" t="s">
        <v>80</v>
      </c>
      <c r="N223" s="13" t="s">
        <v>79</v>
      </c>
      <c r="O223" s="13" t="s">
        <v>488</v>
      </c>
      <c r="P223" s="13" t="s">
        <v>79</v>
      </c>
      <c r="Q223" s="13" t="s">
        <v>118</v>
      </c>
      <c r="R223" s="13" t="s">
        <v>79</v>
      </c>
      <c r="S223" s="13" t="s">
        <v>82</v>
      </c>
      <c r="T223" s="13" t="s">
        <v>106</v>
      </c>
      <c r="U223" s="13" t="s">
        <v>120</v>
      </c>
      <c r="V223" s="13" t="s">
        <v>112</v>
      </c>
      <c r="W223" t="s">
        <v>485</v>
      </c>
      <c r="X223" s="12">
        <v>1.7272727272727273</v>
      </c>
      <c r="Y223" s="12">
        <v>1</v>
      </c>
      <c r="Z223" s="12">
        <v>1.6666666666666667</v>
      </c>
      <c r="AA223" s="12">
        <v>1.5555555555555556</v>
      </c>
      <c r="AB223" s="12">
        <v>1.4</v>
      </c>
      <c r="AC223" s="12">
        <v>1.6666666666666667</v>
      </c>
      <c r="AD223" s="12">
        <v>1.5026936026936026</v>
      </c>
    </row>
    <row r="224" spans="1:30" x14ac:dyDescent="0.3">
      <c r="A224" s="13">
        <v>26</v>
      </c>
      <c r="B224" s="13" t="s">
        <v>70</v>
      </c>
      <c r="C224" s="13" t="s">
        <v>153</v>
      </c>
      <c r="D224" s="13" t="s">
        <v>72</v>
      </c>
      <c r="E224" s="13" t="s">
        <v>73</v>
      </c>
      <c r="F224" s="13" t="s">
        <v>74</v>
      </c>
      <c r="G224" s="13" t="s">
        <v>439</v>
      </c>
      <c r="H224" s="13" t="s">
        <v>74</v>
      </c>
      <c r="I224" s="13" t="s">
        <v>439</v>
      </c>
      <c r="J224" s="13" t="s">
        <v>77</v>
      </c>
      <c r="K224" s="13" t="s">
        <v>78</v>
      </c>
      <c r="L224" s="13" t="s">
        <v>79</v>
      </c>
      <c r="M224" s="13" t="s">
        <v>80</v>
      </c>
      <c r="N224" s="13" t="s">
        <v>79</v>
      </c>
      <c r="O224" s="13" t="s">
        <v>489</v>
      </c>
      <c r="P224" s="13" t="s">
        <v>82</v>
      </c>
      <c r="Q224" s="13" t="s">
        <v>103</v>
      </c>
      <c r="R224" s="13" t="s">
        <v>79</v>
      </c>
      <c r="S224" s="13" t="s">
        <v>79</v>
      </c>
      <c r="T224" s="13" t="s">
        <v>86</v>
      </c>
      <c r="U224" s="13" t="s">
        <v>120</v>
      </c>
      <c r="V224" s="13" t="s">
        <v>457</v>
      </c>
      <c r="W224" t="s">
        <v>485</v>
      </c>
      <c r="X224" s="12">
        <v>1.7272727272727273</v>
      </c>
      <c r="Y224" s="12">
        <v>1.8</v>
      </c>
      <c r="Z224" s="12">
        <v>1.3333333333333333</v>
      </c>
      <c r="AA224" s="12">
        <v>1.5555555555555556</v>
      </c>
      <c r="AB224" s="12">
        <v>1.4</v>
      </c>
      <c r="AC224" s="12">
        <v>1.6666666666666667</v>
      </c>
      <c r="AD224" s="12">
        <v>1.5804713804713801</v>
      </c>
    </row>
    <row r="225" spans="1:30" x14ac:dyDescent="0.3">
      <c r="A225" s="13">
        <v>20</v>
      </c>
      <c r="B225" s="13" t="s">
        <v>70</v>
      </c>
      <c r="C225" s="13" t="s">
        <v>96</v>
      </c>
      <c r="D225" s="13" t="s">
        <v>97</v>
      </c>
      <c r="E225" s="13" t="s">
        <v>73</v>
      </c>
      <c r="F225" s="13" t="s">
        <v>98</v>
      </c>
      <c r="G225" s="13" t="s">
        <v>440</v>
      </c>
      <c r="H225" s="13" t="s">
        <v>100</v>
      </c>
      <c r="I225" s="13" t="s">
        <v>76</v>
      </c>
      <c r="J225" s="13" t="s">
        <v>77</v>
      </c>
      <c r="K225" s="13" t="s">
        <v>122</v>
      </c>
      <c r="L225" s="13" t="s">
        <v>79</v>
      </c>
      <c r="M225" s="13" t="s">
        <v>80</v>
      </c>
      <c r="N225" s="13" t="s">
        <v>79</v>
      </c>
      <c r="O225" s="13" t="s">
        <v>487</v>
      </c>
      <c r="P225" s="13" t="s">
        <v>79</v>
      </c>
      <c r="Q225" s="13" t="s">
        <v>83</v>
      </c>
      <c r="R225" s="13" t="s">
        <v>79</v>
      </c>
      <c r="S225" s="13" t="s">
        <v>82</v>
      </c>
      <c r="T225" s="13" t="s">
        <v>86</v>
      </c>
      <c r="U225" s="13" t="s">
        <v>141</v>
      </c>
      <c r="V225" s="13" t="s">
        <v>112</v>
      </c>
      <c r="W225" t="s">
        <v>485</v>
      </c>
      <c r="X225" s="12">
        <v>1.5454545454545454</v>
      </c>
      <c r="Y225" s="12">
        <v>1.6</v>
      </c>
      <c r="Z225" s="12">
        <v>1.3333333333333333</v>
      </c>
      <c r="AA225" s="12">
        <v>1.5555555555555556</v>
      </c>
      <c r="AB225" s="12">
        <v>1.4</v>
      </c>
      <c r="AC225" s="12">
        <v>1.6666666666666667</v>
      </c>
      <c r="AD225" s="12">
        <v>1.5168350168350166</v>
      </c>
    </row>
    <row r="226" spans="1:30" x14ac:dyDescent="0.3">
      <c r="A226" s="13">
        <v>22</v>
      </c>
      <c r="B226" s="13" t="s">
        <v>128</v>
      </c>
      <c r="C226" s="13" t="s">
        <v>113</v>
      </c>
      <c r="D226" s="13" t="s">
        <v>72</v>
      </c>
      <c r="E226" s="13" t="s">
        <v>73</v>
      </c>
      <c r="F226" s="13" t="s">
        <v>98</v>
      </c>
      <c r="G226" s="13" t="s">
        <v>440</v>
      </c>
      <c r="H226" s="13" t="s">
        <v>165</v>
      </c>
      <c r="I226" s="13" t="s">
        <v>76</v>
      </c>
      <c r="J226" s="13" t="s">
        <v>77</v>
      </c>
      <c r="K226" s="13" t="s">
        <v>122</v>
      </c>
      <c r="L226" s="13" t="s">
        <v>79</v>
      </c>
      <c r="M226" s="13" t="s">
        <v>102</v>
      </c>
      <c r="N226" s="13" t="s">
        <v>79</v>
      </c>
      <c r="O226" s="13" t="s">
        <v>489</v>
      </c>
      <c r="P226" s="13" t="s">
        <v>79</v>
      </c>
      <c r="Q226" s="13" t="s">
        <v>103</v>
      </c>
      <c r="R226" s="13" t="s">
        <v>79</v>
      </c>
      <c r="S226" s="13" t="s">
        <v>79</v>
      </c>
      <c r="T226" s="13" t="s">
        <v>106</v>
      </c>
      <c r="U226" s="13" t="s">
        <v>87</v>
      </c>
      <c r="V226" s="13" t="s">
        <v>457</v>
      </c>
      <c r="W226" t="s">
        <v>485</v>
      </c>
      <c r="X226" s="12">
        <v>1.9090909090909092</v>
      </c>
      <c r="Y226" s="12">
        <v>1.8</v>
      </c>
      <c r="Z226" s="12">
        <v>3</v>
      </c>
      <c r="AA226" s="12">
        <v>1.4444444444444444</v>
      </c>
      <c r="AB226" s="12">
        <v>1.4</v>
      </c>
      <c r="AC226" s="12">
        <v>1.6666666666666667</v>
      </c>
      <c r="AD226" s="12">
        <v>1.8700336700336699</v>
      </c>
    </row>
    <row r="227" spans="1:30" x14ac:dyDescent="0.3">
      <c r="A227" s="13">
        <v>22</v>
      </c>
      <c r="B227" s="13" t="s">
        <v>128</v>
      </c>
      <c r="C227" s="13" t="s">
        <v>113</v>
      </c>
      <c r="D227" s="13" t="s">
        <v>72</v>
      </c>
      <c r="E227" s="13" t="s">
        <v>73</v>
      </c>
      <c r="F227" s="13" t="s">
        <v>98</v>
      </c>
      <c r="G227" s="13" t="s">
        <v>440</v>
      </c>
      <c r="H227" s="13" t="s">
        <v>165</v>
      </c>
      <c r="I227" s="13" t="s">
        <v>76</v>
      </c>
      <c r="J227" s="13" t="s">
        <v>77</v>
      </c>
      <c r="K227" s="13" t="s">
        <v>122</v>
      </c>
      <c r="L227" s="13" t="s">
        <v>79</v>
      </c>
      <c r="M227" s="13" t="s">
        <v>102</v>
      </c>
      <c r="N227" s="13" t="s">
        <v>79</v>
      </c>
      <c r="O227" s="13" t="s">
        <v>489</v>
      </c>
      <c r="P227" s="13" t="s">
        <v>79</v>
      </c>
      <c r="Q227" s="13" t="s">
        <v>103</v>
      </c>
      <c r="R227" s="13" t="s">
        <v>79</v>
      </c>
      <c r="S227" s="13" t="s">
        <v>79</v>
      </c>
      <c r="T227" s="13" t="s">
        <v>106</v>
      </c>
      <c r="U227" s="13" t="s">
        <v>87</v>
      </c>
      <c r="V227" s="13" t="s">
        <v>457</v>
      </c>
      <c r="W227" t="s">
        <v>485</v>
      </c>
      <c r="X227" s="12">
        <v>1.9090909090909092</v>
      </c>
      <c r="Y227" s="12">
        <v>1.8</v>
      </c>
      <c r="Z227" s="12">
        <v>3</v>
      </c>
      <c r="AA227" s="12">
        <v>1.4444444444444444</v>
      </c>
      <c r="AB227" s="12">
        <v>1.4</v>
      </c>
      <c r="AC227" s="12">
        <v>1.6666666666666667</v>
      </c>
      <c r="AD227" s="12">
        <v>1.8700336700336699</v>
      </c>
    </row>
    <row r="228" spans="1:30" x14ac:dyDescent="0.3">
      <c r="A228" s="13">
        <v>22</v>
      </c>
      <c r="B228" s="13" t="s">
        <v>128</v>
      </c>
      <c r="C228" s="13" t="s">
        <v>113</v>
      </c>
      <c r="D228" s="13" t="s">
        <v>72</v>
      </c>
      <c r="E228" s="13" t="s">
        <v>73</v>
      </c>
      <c r="F228" s="13" t="s">
        <v>98</v>
      </c>
      <c r="G228" s="13" t="s">
        <v>440</v>
      </c>
      <c r="H228" s="13" t="s">
        <v>165</v>
      </c>
      <c r="I228" s="13" t="s">
        <v>76</v>
      </c>
      <c r="J228" s="13" t="s">
        <v>77</v>
      </c>
      <c r="K228" s="13" t="s">
        <v>122</v>
      </c>
      <c r="L228" s="13" t="s">
        <v>79</v>
      </c>
      <c r="M228" s="13" t="s">
        <v>102</v>
      </c>
      <c r="N228" s="13" t="s">
        <v>79</v>
      </c>
      <c r="O228" s="13" t="s">
        <v>489</v>
      </c>
      <c r="P228" s="13" t="s">
        <v>79</v>
      </c>
      <c r="Q228" s="13" t="s">
        <v>103</v>
      </c>
      <c r="R228" s="13" t="s">
        <v>79</v>
      </c>
      <c r="S228" s="13" t="s">
        <v>79</v>
      </c>
      <c r="T228" s="13" t="s">
        <v>106</v>
      </c>
      <c r="U228" s="13" t="s">
        <v>87</v>
      </c>
      <c r="V228" s="13" t="s">
        <v>457</v>
      </c>
      <c r="W228" t="s">
        <v>486</v>
      </c>
      <c r="X228" s="12">
        <v>1.9090909090909092</v>
      </c>
      <c r="Y228" s="12">
        <v>1.8</v>
      </c>
      <c r="Z228" s="12">
        <v>3</v>
      </c>
      <c r="AA228" s="12">
        <v>1.4444444444444444</v>
      </c>
      <c r="AB228" s="12">
        <v>1.4</v>
      </c>
      <c r="AC228" s="12">
        <v>1.6666666666666667</v>
      </c>
      <c r="AD228" s="12">
        <v>1.8700336700336699</v>
      </c>
    </row>
    <row r="229" spans="1:30" x14ac:dyDescent="0.3">
      <c r="A229" s="13">
        <v>22</v>
      </c>
      <c r="B229" s="13" t="s">
        <v>128</v>
      </c>
      <c r="C229" s="13" t="s">
        <v>113</v>
      </c>
      <c r="D229" s="13" t="s">
        <v>72</v>
      </c>
      <c r="E229" s="13" t="s">
        <v>73</v>
      </c>
      <c r="F229" s="13" t="s">
        <v>98</v>
      </c>
      <c r="G229" s="13" t="s">
        <v>440</v>
      </c>
      <c r="H229" s="13" t="s">
        <v>165</v>
      </c>
      <c r="I229" s="13" t="s">
        <v>76</v>
      </c>
      <c r="J229" s="13" t="s">
        <v>77</v>
      </c>
      <c r="K229" s="13" t="s">
        <v>122</v>
      </c>
      <c r="L229" s="13" t="s">
        <v>79</v>
      </c>
      <c r="M229" s="13" t="s">
        <v>102</v>
      </c>
      <c r="N229" s="13" t="s">
        <v>79</v>
      </c>
      <c r="O229" s="13" t="s">
        <v>489</v>
      </c>
      <c r="P229" s="13" t="s">
        <v>79</v>
      </c>
      <c r="Q229" s="13" t="s">
        <v>103</v>
      </c>
      <c r="R229" s="13" t="s">
        <v>79</v>
      </c>
      <c r="S229" s="13" t="s">
        <v>79</v>
      </c>
      <c r="T229" s="13" t="s">
        <v>106</v>
      </c>
      <c r="U229" s="13" t="s">
        <v>87</v>
      </c>
      <c r="V229" s="13" t="s">
        <v>457</v>
      </c>
      <c r="W229" t="s">
        <v>486</v>
      </c>
      <c r="X229" s="12">
        <v>1.9090909090909092</v>
      </c>
      <c r="Y229" s="12">
        <v>1.8</v>
      </c>
      <c r="Z229" s="12">
        <v>3</v>
      </c>
      <c r="AA229" s="12">
        <v>1.4444444444444444</v>
      </c>
      <c r="AB229" s="12">
        <v>1.4</v>
      </c>
      <c r="AC229" s="12">
        <v>1.6666666666666667</v>
      </c>
      <c r="AD229" s="12">
        <v>1.8700336700336699</v>
      </c>
    </row>
    <row r="230" spans="1:30" x14ac:dyDescent="0.3">
      <c r="A230" s="13">
        <v>22</v>
      </c>
      <c r="B230" s="13" t="s">
        <v>128</v>
      </c>
      <c r="C230" s="13" t="s">
        <v>113</v>
      </c>
      <c r="D230" s="13" t="s">
        <v>72</v>
      </c>
      <c r="E230" s="13" t="s">
        <v>73</v>
      </c>
      <c r="F230" s="13" t="s">
        <v>98</v>
      </c>
      <c r="G230" s="13" t="s">
        <v>440</v>
      </c>
      <c r="H230" s="13" t="s">
        <v>165</v>
      </c>
      <c r="I230" s="13" t="s">
        <v>76</v>
      </c>
      <c r="J230" s="13" t="s">
        <v>77</v>
      </c>
      <c r="K230" s="13" t="s">
        <v>122</v>
      </c>
      <c r="L230" s="13" t="s">
        <v>79</v>
      </c>
      <c r="M230" s="13" t="s">
        <v>102</v>
      </c>
      <c r="N230" s="13" t="s">
        <v>79</v>
      </c>
      <c r="O230" s="13" t="s">
        <v>489</v>
      </c>
      <c r="P230" s="13" t="s">
        <v>79</v>
      </c>
      <c r="Q230" s="13" t="s">
        <v>103</v>
      </c>
      <c r="R230" s="13" t="s">
        <v>79</v>
      </c>
      <c r="S230" s="13" t="s">
        <v>79</v>
      </c>
      <c r="T230" s="13" t="s">
        <v>106</v>
      </c>
      <c r="U230" s="13" t="s">
        <v>87</v>
      </c>
      <c r="V230" s="13" t="s">
        <v>457</v>
      </c>
      <c r="W230" t="s">
        <v>486</v>
      </c>
      <c r="X230" s="12">
        <v>1.9090909090909092</v>
      </c>
      <c r="Y230" s="12">
        <v>1.8</v>
      </c>
      <c r="Z230" s="12">
        <v>3</v>
      </c>
      <c r="AA230" s="12">
        <v>1.4444444444444444</v>
      </c>
      <c r="AB230" s="12">
        <v>1.4</v>
      </c>
      <c r="AC230" s="12">
        <v>1.6666666666666667</v>
      </c>
      <c r="AD230" s="12">
        <v>1.8700336700336699</v>
      </c>
    </row>
    <row r="231" spans="1:30" x14ac:dyDescent="0.3">
      <c r="A231" s="13">
        <v>22</v>
      </c>
      <c r="B231" s="13" t="s">
        <v>128</v>
      </c>
      <c r="C231" s="13" t="s">
        <v>113</v>
      </c>
      <c r="D231" s="13" t="s">
        <v>72</v>
      </c>
      <c r="E231" s="13" t="s">
        <v>73</v>
      </c>
      <c r="F231" s="13" t="s">
        <v>98</v>
      </c>
      <c r="G231" s="13" t="s">
        <v>440</v>
      </c>
      <c r="H231" s="13" t="s">
        <v>165</v>
      </c>
      <c r="I231" s="13" t="s">
        <v>76</v>
      </c>
      <c r="J231" s="13" t="s">
        <v>77</v>
      </c>
      <c r="K231" s="13" t="s">
        <v>122</v>
      </c>
      <c r="L231" s="13" t="s">
        <v>79</v>
      </c>
      <c r="M231" s="13" t="s">
        <v>102</v>
      </c>
      <c r="N231" s="13" t="s">
        <v>79</v>
      </c>
      <c r="O231" s="13" t="s">
        <v>489</v>
      </c>
      <c r="P231" s="13" t="s">
        <v>79</v>
      </c>
      <c r="Q231" s="13" t="s">
        <v>103</v>
      </c>
      <c r="R231" s="13" t="s">
        <v>79</v>
      </c>
      <c r="S231" s="13" t="s">
        <v>79</v>
      </c>
      <c r="T231" s="13" t="s">
        <v>106</v>
      </c>
      <c r="U231" s="13" t="s">
        <v>87</v>
      </c>
      <c r="V231" s="13" t="s">
        <v>457</v>
      </c>
      <c r="W231" t="s">
        <v>485</v>
      </c>
      <c r="X231" s="12">
        <v>1.9090909090909092</v>
      </c>
      <c r="Y231" s="12">
        <v>1.8</v>
      </c>
      <c r="Z231" s="12">
        <v>3</v>
      </c>
      <c r="AA231" s="12">
        <v>1.4444444444444444</v>
      </c>
      <c r="AB231" s="12">
        <v>1.4</v>
      </c>
      <c r="AC231" s="12">
        <v>1.6666666666666667</v>
      </c>
      <c r="AD231" s="12">
        <v>1.8700336700336699</v>
      </c>
    </row>
    <row r="232" spans="1:30" x14ac:dyDescent="0.3">
      <c r="A232" s="13">
        <v>22</v>
      </c>
      <c r="B232" s="13" t="s">
        <v>128</v>
      </c>
      <c r="C232" s="13" t="s">
        <v>113</v>
      </c>
      <c r="D232" s="13" t="s">
        <v>72</v>
      </c>
      <c r="E232" s="13" t="s">
        <v>73</v>
      </c>
      <c r="F232" s="13" t="s">
        <v>98</v>
      </c>
      <c r="G232" s="13" t="s">
        <v>440</v>
      </c>
      <c r="H232" s="13" t="s">
        <v>165</v>
      </c>
      <c r="I232" s="13" t="s">
        <v>76</v>
      </c>
      <c r="J232" s="13" t="s">
        <v>77</v>
      </c>
      <c r="K232" s="13" t="s">
        <v>122</v>
      </c>
      <c r="L232" s="13" t="s">
        <v>79</v>
      </c>
      <c r="M232" s="13" t="s">
        <v>102</v>
      </c>
      <c r="N232" s="13" t="s">
        <v>79</v>
      </c>
      <c r="O232" s="13" t="s">
        <v>489</v>
      </c>
      <c r="P232" s="13" t="s">
        <v>79</v>
      </c>
      <c r="Q232" s="13" t="s">
        <v>103</v>
      </c>
      <c r="R232" s="13" t="s">
        <v>79</v>
      </c>
      <c r="S232" s="13" t="s">
        <v>79</v>
      </c>
      <c r="T232" s="13" t="s">
        <v>106</v>
      </c>
      <c r="U232" s="13" t="s">
        <v>87</v>
      </c>
      <c r="V232" s="13" t="s">
        <v>457</v>
      </c>
      <c r="W232" t="s">
        <v>485</v>
      </c>
      <c r="X232" s="12">
        <v>1.9090909090909092</v>
      </c>
      <c r="Y232" s="12">
        <v>1.8</v>
      </c>
      <c r="Z232" s="12">
        <v>3</v>
      </c>
      <c r="AA232" s="12">
        <v>1.4444444444444444</v>
      </c>
      <c r="AB232" s="12">
        <v>1.4</v>
      </c>
      <c r="AC232" s="12">
        <v>1.6666666666666667</v>
      </c>
      <c r="AD232" s="12">
        <v>1.8700336700336699</v>
      </c>
    </row>
    <row r="233" spans="1:30" x14ac:dyDescent="0.3">
      <c r="A233" s="13">
        <v>22</v>
      </c>
      <c r="B233" s="13" t="s">
        <v>128</v>
      </c>
      <c r="C233" s="13" t="s">
        <v>113</v>
      </c>
      <c r="D233" s="13" t="s">
        <v>72</v>
      </c>
      <c r="E233" s="13" t="s">
        <v>73</v>
      </c>
      <c r="F233" s="13" t="s">
        <v>98</v>
      </c>
      <c r="G233" s="13" t="s">
        <v>440</v>
      </c>
      <c r="H233" s="13" t="s">
        <v>165</v>
      </c>
      <c r="I233" s="13" t="s">
        <v>76</v>
      </c>
      <c r="J233" s="13" t="s">
        <v>77</v>
      </c>
      <c r="K233" s="13" t="s">
        <v>122</v>
      </c>
      <c r="L233" s="13" t="s">
        <v>79</v>
      </c>
      <c r="M233" s="13" t="s">
        <v>102</v>
      </c>
      <c r="N233" s="13" t="s">
        <v>79</v>
      </c>
      <c r="O233" s="13" t="s">
        <v>489</v>
      </c>
      <c r="P233" s="13" t="s">
        <v>79</v>
      </c>
      <c r="Q233" s="13" t="s">
        <v>103</v>
      </c>
      <c r="R233" s="13" t="s">
        <v>79</v>
      </c>
      <c r="S233" s="13" t="s">
        <v>79</v>
      </c>
      <c r="T233" s="13" t="s">
        <v>106</v>
      </c>
      <c r="U233" s="13" t="s">
        <v>87</v>
      </c>
      <c r="V233" s="13" t="s">
        <v>457</v>
      </c>
      <c r="W233" t="s">
        <v>485</v>
      </c>
      <c r="X233" s="12">
        <v>1.9090909090909092</v>
      </c>
      <c r="Y233" s="12">
        <v>1.8</v>
      </c>
      <c r="Z233" s="12">
        <v>3</v>
      </c>
      <c r="AA233" s="12">
        <v>1.4444444444444444</v>
      </c>
      <c r="AB233" s="12">
        <v>1.4</v>
      </c>
      <c r="AC233" s="12">
        <v>1.6666666666666667</v>
      </c>
      <c r="AD233" s="12">
        <v>1.8700336700336699</v>
      </c>
    </row>
    <row r="234" spans="1:30" x14ac:dyDescent="0.3">
      <c r="A234" s="13">
        <v>22</v>
      </c>
      <c r="B234" s="13" t="s">
        <v>128</v>
      </c>
      <c r="C234" s="13" t="s">
        <v>113</v>
      </c>
      <c r="D234" s="13" t="s">
        <v>72</v>
      </c>
      <c r="E234" s="13" t="s">
        <v>73</v>
      </c>
      <c r="F234" s="13" t="s">
        <v>98</v>
      </c>
      <c r="G234" s="13" t="s">
        <v>440</v>
      </c>
      <c r="H234" s="13" t="s">
        <v>165</v>
      </c>
      <c r="I234" s="13" t="s">
        <v>76</v>
      </c>
      <c r="J234" s="13" t="s">
        <v>77</v>
      </c>
      <c r="K234" s="13" t="s">
        <v>122</v>
      </c>
      <c r="L234" s="13" t="s">
        <v>79</v>
      </c>
      <c r="M234" s="13" t="s">
        <v>102</v>
      </c>
      <c r="N234" s="13" t="s">
        <v>79</v>
      </c>
      <c r="O234" s="13" t="s">
        <v>489</v>
      </c>
      <c r="P234" s="13" t="s">
        <v>79</v>
      </c>
      <c r="Q234" s="13" t="s">
        <v>103</v>
      </c>
      <c r="R234" s="13" t="s">
        <v>79</v>
      </c>
      <c r="S234" s="13" t="s">
        <v>79</v>
      </c>
      <c r="T234" s="13" t="s">
        <v>106</v>
      </c>
      <c r="U234" s="13" t="s">
        <v>87</v>
      </c>
      <c r="V234" s="13" t="s">
        <v>457</v>
      </c>
      <c r="W234" t="s">
        <v>485</v>
      </c>
      <c r="X234" s="12">
        <v>1.9090909090909092</v>
      </c>
      <c r="Y234" s="12">
        <v>1.8</v>
      </c>
      <c r="Z234" s="12">
        <v>3</v>
      </c>
      <c r="AA234" s="12">
        <v>1.4444444444444444</v>
      </c>
      <c r="AB234" s="12">
        <v>1.4</v>
      </c>
      <c r="AC234" s="12">
        <v>1.6666666666666667</v>
      </c>
      <c r="AD234" s="12">
        <v>1.8700336700336699</v>
      </c>
    </row>
    <row r="235" spans="1:30" x14ac:dyDescent="0.3">
      <c r="A235" s="13">
        <v>24</v>
      </c>
      <c r="B235" s="13" t="s">
        <v>70</v>
      </c>
      <c r="C235" s="13" t="s">
        <v>113</v>
      </c>
      <c r="D235" s="13" t="s">
        <v>149</v>
      </c>
      <c r="E235" s="13" t="s">
        <v>108</v>
      </c>
      <c r="F235" s="13" t="s">
        <v>98</v>
      </c>
      <c r="G235" s="13" t="s">
        <v>440</v>
      </c>
      <c r="H235" s="13" t="s">
        <v>100</v>
      </c>
      <c r="I235" s="13" t="s">
        <v>439</v>
      </c>
      <c r="J235" s="13" t="s">
        <v>77</v>
      </c>
      <c r="K235" s="13" t="s">
        <v>122</v>
      </c>
      <c r="L235" s="13" t="s">
        <v>79</v>
      </c>
      <c r="M235" s="13" t="s">
        <v>80</v>
      </c>
      <c r="N235" s="13" t="s">
        <v>79</v>
      </c>
      <c r="O235" s="13" t="s">
        <v>489</v>
      </c>
      <c r="P235" s="13" t="s">
        <v>79</v>
      </c>
      <c r="Q235" s="13" t="s">
        <v>83</v>
      </c>
      <c r="R235" s="13" t="s">
        <v>79</v>
      </c>
      <c r="S235" s="13" t="s">
        <v>79</v>
      </c>
      <c r="T235" s="13" t="s">
        <v>86</v>
      </c>
      <c r="U235" s="13" t="s">
        <v>120</v>
      </c>
      <c r="V235" s="13" t="s">
        <v>127</v>
      </c>
      <c r="W235" t="s">
        <v>486</v>
      </c>
      <c r="X235" s="12">
        <v>1.6363636363636365</v>
      </c>
      <c r="Y235" s="12">
        <v>1.4</v>
      </c>
      <c r="Z235" s="12">
        <v>2</v>
      </c>
      <c r="AA235" s="12">
        <v>1.4444444444444444</v>
      </c>
      <c r="AB235" s="12">
        <v>1.4</v>
      </c>
      <c r="AC235" s="12">
        <v>1.6666666666666667</v>
      </c>
      <c r="AD235" s="12">
        <v>1.5912457912457911</v>
      </c>
    </row>
    <row r="236" spans="1:30" x14ac:dyDescent="0.3">
      <c r="A236" s="13">
        <v>23</v>
      </c>
      <c r="B236" s="13" t="s">
        <v>128</v>
      </c>
      <c r="C236" s="13" t="s">
        <v>96</v>
      </c>
      <c r="D236" s="13" t="s">
        <v>72</v>
      </c>
      <c r="E236" s="13" t="s">
        <v>114</v>
      </c>
      <c r="F236" s="13" t="s">
        <v>136</v>
      </c>
      <c r="G236" s="13" t="s">
        <v>440</v>
      </c>
      <c r="H236" s="13" t="s">
        <v>165</v>
      </c>
      <c r="I236" s="13" t="s">
        <v>76</v>
      </c>
      <c r="J236" s="13" t="s">
        <v>77</v>
      </c>
      <c r="K236" s="13" t="s">
        <v>125</v>
      </c>
      <c r="L236" s="13" t="s">
        <v>79</v>
      </c>
      <c r="M236" s="13" t="s">
        <v>80</v>
      </c>
      <c r="N236" s="13" t="s">
        <v>82</v>
      </c>
      <c r="O236" s="13" t="s">
        <v>488</v>
      </c>
      <c r="P236" s="13" t="s">
        <v>79</v>
      </c>
      <c r="Q236" s="13" t="s">
        <v>118</v>
      </c>
      <c r="R236" s="13" t="s">
        <v>79</v>
      </c>
      <c r="S236" s="13" t="s">
        <v>79</v>
      </c>
      <c r="T236" s="13" t="s">
        <v>148</v>
      </c>
      <c r="U236" s="13" t="s">
        <v>120</v>
      </c>
      <c r="V236" s="13" t="s">
        <v>112</v>
      </c>
      <c r="W236" t="s">
        <v>485</v>
      </c>
      <c r="X236" s="12">
        <v>1.2727272727272727</v>
      </c>
      <c r="Y236" s="12">
        <v>1.4</v>
      </c>
      <c r="Z236" s="12">
        <v>1.6666666666666667</v>
      </c>
      <c r="AA236" s="12">
        <v>1.4444444444444444</v>
      </c>
      <c r="AB236" s="12">
        <v>1.4</v>
      </c>
      <c r="AC236" s="12">
        <v>1.6666666666666667</v>
      </c>
      <c r="AD236" s="12">
        <v>1.4750841750841752</v>
      </c>
    </row>
    <row r="237" spans="1:30" x14ac:dyDescent="0.3">
      <c r="A237" s="13">
        <v>24</v>
      </c>
      <c r="B237" s="13" t="s">
        <v>70</v>
      </c>
      <c r="C237" s="13" t="s">
        <v>113</v>
      </c>
      <c r="D237" s="13" t="s">
        <v>72</v>
      </c>
      <c r="E237" s="13" t="s">
        <v>108</v>
      </c>
      <c r="F237" s="13" t="s">
        <v>74</v>
      </c>
      <c r="G237" s="13" t="s">
        <v>440</v>
      </c>
      <c r="H237" s="13" t="s">
        <v>74</v>
      </c>
      <c r="I237" s="13" t="s">
        <v>76</v>
      </c>
      <c r="J237" s="13" t="s">
        <v>101</v>
      </c>
      <c r="K237" s="13" t="s">
        <v>122</v>
      </c>
      <c r="L237" s="13" t="s">
        <v>79</v>
      </c>
      <c r="M237" s="13" t="s">
        <v>80</v>
      </c>
      <c r="N237" s="13" t="s">
        <v>79</v>
      </c>
      <c r="O237" s="13" t="s">
        <v>490</v>
      </c>
      <c r="P237" s="13" t="s">
        <v>82</v>
      </c>
      <c r="Q237" s="13" t="s">
        <v>103</v>
      </c>
      <c r="R237" s="13" t="s">
        <v>79</v>
      </c>
      <c r="S237" s="13" t="s">
        <v>82</v>
      </c>
      <c r="T237" s="13" t="s">
        <v>106</v>
      </c>
      <c r="U237" s="13" t="s">
        <v>120</v>
      </c>
      <c r="V237" s="13" t="s">
        <v>112</v>
      </c>
      <c r="W237" t="s">
        <v>486</v>
      </c>
      <c r="X237" s="12">
        <v>0.90909090909090906</v>
      </c>
      <c r="Y237" s="12">
        <v>1.2</v>
      </c>
      <c r="Z237" s="12">
        <v>0.66666666666666663</v>
      </c>
      <c r="AA237" s="12">
        <v>1.4444444444444444</v>
      </c>
      <c r="AB237" s="12">
        <v>1.4</v>
      </c>
      <c r="AC237" s="12">
        <v>1.6666666666666667</v>
      </c>
      <c r="AD237" s="12">
        <v>1.2144781144781145</v>
      </c>
    </row>
    <row r="238" spans="1:30" x14ac:dyDescent="0.3">
      <c r="A238" s="13">
        <v>24</v>
      </c>
      <c r="B238" s="13" t="s">
        <v>70</v>
      </c>
      <c r="C238" s="13" t="s">
        <v>113</v>
      </c>
      <c r="D238" s="13" t="s">
        <v>72</v>
      </c>
      <c r="E238" s="13" t="s">
        <v>108</v>
      </c>
      <c r="F238" s="13" t="s">
        <v>136</v>
      </c>
      <c r="G238" s="13" t="s">
        <v>439</v>
      </c>
      <c r="H238" s="13" t="s">
        <v>98</v>
      </c>
      <c r="I238" s="13" t="s">
        <v>76</v>
      </c>
      <c r="J238" s="13" t="s">
        <v>101</v>
      </c>
      <c r="K238" s="13" t="s">
        <v>78</v>
      </c>
      <c r="L238" s="13" t="s">
        <v>79</v>
      </c>
      <c r="M238" s="13" t="s">
        <v>80</v>
      </c>
      <c r="N238" s="13" t="s">
        <v>79</v>
      </c>
      <c r="O238" s="13" t="s">
        <v>488</v>
      </c>
      <c r="P238" s="13" t="s">
        <v>79</v>
      </c>
      <c r="Q238" s="13" t="s">
        <v>83</v>
      </c>
      <c r="R238" s="13" t="s">
        <v>79</v>
      </c>
      <c r="S238" s="13" t="s">
        <v>79</v>
      </c>
      <c r="T238" s="13" t="s">
        <v>148</v>
      </c>
      <c r="U238" s="13" t="s">
        <v>87</v>
      </c>
      <c r="V238" s="13" t="s">
        <v>160</v>
      </c>
      <c r="W238" t="s">
        <v>485</v>
      </c>
      <c r="X238" s="12">
        <v>1.5454545454545454</v>
      </c>
      <c r="Y238" s="12">
        <v>1</v>
      </c>
      <c r="Z238" s="12">
        <v>2</v>
      </c>
      <c r="AA238" s="12">
        <v>1.3333333333333333</v>
      </c>
      <c r="AB238" s="12">
        <v>1.4</v>
      </c>
      <c r="AC238" s="12">
        <v>1.6666666666666667</v>
      </c>
      <c r="AD238" s="12">
        <v>1.4909090909090905</v>
      </c>
    </row>
    <row r="239" spans="1:30" x14ac:dyDescent="0.3">
      <c r="A239" s="13">
        <v>20</v>
      </c>
      <c r="B239" s="13" t="s">
        <v>70</v>
      </c>
      <c r="C239" s="13" t="s">
        <v>96</v>
      </c>
      <c r="D239" s="13" t="s">
        <v>97</v>
      </c>
      <c r="E239" s="13" t="s">
        <v>73</v>
      </c>
      <c r="F239" s="13" t="s">
        <v>98</v>
      </c>
      <c r="G239" s="13" t="s">
        <v>440</v>
      </c>
      <c r="H239" s="13" t="s">
        <v>100</v>
      </c>
      <c r="I239" s="13" t="s">
        <v>76</v>
      </c>
      <c r="J239" s="13" t="s">
        <v>77</v>
      </c>
      <c r="K239" s="13" t="s">
        <v>125</v>
      </c>
      <c r="L239" s="13" t="s">
        <v>79</v>
      </c>
      <c r="M239" s="13" t="s">
        <v>80</v>
      </c>
      <c r="N239" s="13" t="s">
        <v>79</v>
      </c>
      <c r="O239" s="13" t="s">
        <v>487</v>
      </c>
      <c r="P239" s="13" t="s">
        <v>79</v>
      </c>
      <c r="Q239" s="13" t="s">
        <v>83</v>
      </c>
      <c r="R239" s="13" t="s">
        <v>79</v>
      </c>
      <c r="S239" s="13" t="s">
        <v>82</v>
      </c>
      <c r="T239" s="13" t="s">
        <v>86</v>
      </c>
      <c r="U239" s="13" t="s">
        <v>141</v>
      </c>
      <c r="V239" s="13" t="s">
        <v>112</v>
      </c>
      <c r="W239" t="s">
        <v>485</v>
      </c>
      <c r="X239" s="12">
        <v>1.8181818181818181</v>
      </c>
      <c r="Y239" s="12">
        <v>1.8</v>
      </c>
      <c r="Z239" s="12">
        <v>1</v>
      </c>
      <c r="AA239" s="12">
        <v>1.3333333333333333</v>
      </c>
      <c r="AB239" s="12">
        <v>1.4</v>
      </c>
      <c r="AC239" s="12">
        <v>1.6666666666666667</v>
      </c>
      <c r="AD239" s="12">
        <v>1.5030303030303029</v>
      </c>
    </row>
    <row r="240" spans="1:30" x14ac:dyDescent="0.3">
      <c r="A240" s="13">
        <v>23</v>
      </c>
      <c r="B240" s="13" t="s">
        <v>70</v>
      </c>
      <c r="C240" s="13" t="s">
        <v>113</v>
      </c>
      <c r="D240" s="13" t="s">
        <v>72</v>
      </c>
      <c r="E240" s="13" t="s">
        <v>114</v>
      </c>
      <c r="F240" s="13" t="s">
        <v>100</v>
      </c>
      <c r="G240" s="13" t="s">
        <v>438</v>
      </c>
      <c r="H240" s="13" t="s">
        <v>100</v>
      </c>
      <c r="I240" s="13" t="s">
        <v>76</v>
      </c>
      <c r="J240" s="13" t="s">
        <v>101</v>
      </c>
      <c r="K240" s="13" t="s">
        <v>125</v>
      </c>
      <c r="L240" s="13" t="s">
        <v>79</v>
      </c>
      <c r="M240" s="13" t="s">
        <v>80</v>
      </c>
      <c r="N240" s="13" t="s">
        <v>82</v>
      </c>
      <c r="O240" s="13" t="s">
        <v>487</v>
      </c>
      <c r="P240" s="13" t="s">
        <v>79</v>
      </c>
      <c r="Q240" s="13" t="s">
        <v>103</v>
      </c>
      <c r="R240" s="13" t="s">
        <v>79</v>
      </c>
      <c r="S240" s="13" t="s">
        <v>82</v>
      </c>
      <c r="T240" s="13" t="s">
        <v>106</v>
      </c>
      <c r="U240" s="13" t="s">
        <v>141</v>
      </c>
      <c r="V240" s="13" t="s">
        <v>112</v>
      </c>
      <c r="W240" t="s">
        <v>486</v>
      </c>
      <c r="X240" s="12">
        <v>1.4545454545454546</v>
      </c>
      <c r="Y240" s="12">
        <v>1.6</v>
      </c>
      <c r="Z240" s="12">
        <v>2.6666666666666665</v>
      </c>
      <c r="AA240" s="12">
        <v>1.2222222222222223</v>
      </c>
      <c r="AB240" s="12">
        <v>1.4</v>
      </c>
      <c r="AC240" s="12">
        <v>1.6666666666666667</v>
      </c>
      <c r="AD240" s="12">
        <v>1.668350168350168</v>
      </c>
    </row>
    <row r="241" spans="1:30" x14ac:dyDescent="0.3">
      <c r="A241" s="13">
        <v>23</v>
      </c>
      <c r="B241" s="13" t="s">
        <v>128</v>
      </c>
      <c r="C241" s="13" t="s">
        <v>113</v>
      </c>
      <c r="D241" s="13" t="s">
        <v>149</v>
      </c>
      <c r="E241" s="13" t="s">
        <v>73</v>
      </c>
      <c r="F241" s="13" t="s">
        <v>98</v>
      </c>
      <c r="G241" s="13" t="s">
        <v>439</v>
      </c>
      <c r="H241" s="13" t="s">
        <v>100</v>
      </c>
      <c r="I241" s="13" t="s">
        <v>439</v>
      </c>
      <c r="J241" s="13" t="s">
        <v>77</v>
      </c>
      <c r="K241" s="13" t="s">
        <v>125</v>
      </c>
      <c r="L241" s="13" t="s">
        <v>79</v>
      </c>
      <c r="M241" s="13" t="s">
        <v>80</v>
      </c>
      <c r="N241" s="13" t="s">
        <v>79</v>
      </c>
      <c r="O241" s="13" t="s">
        <v>489</v>
      </c>
      <c r="P241" s="13" t="s">
        <v>79</v>
      </c>
      <c r="Q241" s="13" t="s">
        <v>83</v>
      </c>
      <c r="R241" s="13" t="s">
        <v>79</v>
      </c>
      <c r="S241" s="13" t="s">
        <v>79</v>
      </c>
      <c r="T241" s="13" t="s">
        <v>86</v>
      </c>
      <c r="U241" s="13" t="s">
        <v>87</v>
      </c>
      <c r="V241" s="13" t="s">
        <v>127</v>
      </c>
      <c r="W241" t="s">
        <v>486</v>
      </c>
      <c r="X241" s="12">
        <v>1.6363636363636365</v>
      </c>
      <c r="Y241" s="12">
        <v>1.4</v>
      </c>
      <c r="Z241" s="12">
        <v>1.6666666666666667</v>
      </c>
      <c r="AA241" s="12">
        <v>1.1111111111111112</v>
      </c>
      <c r="AB241" s="12">
        <v>1.4</v>
      </c>
      <c r="AC241" s="12">
        <v>1.6666666666666667</v>
      </c>
      <c r="AD241" s="12">
        <v>1.48013468013468</v>
      </c>
    </row>
    <row r="242" spans="1:30" x14ac:dyDescent="0.3">
      <c r="A242" s="13">
        <v>22</v>
      </c>
      <c r="B242" s="13" t="s">
        <v>70</v>
      </c>
      <c r="C242" s="13" t="s">
        <v>113</v>
      </c>
      <c r="D242" s="13" t="s">
        <v>149</v>
      </c>
      <c r="E242" s="13" t="s">
        <v>73</v>
      </c>
      <c r="F242" s="13" t="s">
        <v>100</v>
      </c>
      <c r="G242" s="13" t="s">
        <v>439</v>
      </c>
      <c r="H242" s="13" t="s">
        <v>98</v>
      </c>
      <c r="I242" s="13" t="s">
        <v>166</v>
      </c>
      <c r="J242" s="13" t="s">
        <v>77</v>
      </c>
      <c r="K242" s="13" t="s">
        <v>122</v>
      </c>
      <c r="L242" s="13" t="s">
        <v>79</v>
      </c>
      <c r="M242" s="13" t="s">
        <v>80</v>
      </c>
      <c r="N242" s="13" t="s">
        <v>79</v>
      </c>
      <c r="O242" s="13" t="s">
        <v>487</v>
      </c>
      <c r="P242" s="13" t="s">
        <v>79</v>
      </c>
      <c r="Q242" s="13" t="s">
        <v>83</v>
      </c>
      <c r="R242" s="13" t="s">
        <v>79</v>
      </c>
      <c r="S242" s="13" t="s">
        <v>79</v>
      </c>
      <c r="T242" s="13" t="s">
        <v>86</v>
      </c>
      <c r="U242" s="13" t="s">
        <v>120</v>
      </c>
      <c r="V242" s="13" t="s">
        <v>127</v>
      </c>
      <c r="W242" t="s">
        <v>486</v>
      </c>
      <c r="X242" s="12">
        <v>1.5454545454545454</v>
      </c>
      <c r="Y242" s="12">
        <v>1.4</v>
      </c>
      <c r="Z242" s="12">
        <v>1.3333333333333333</v>
      </c>
      <c r="AA242" s="12">
        <v>1.1111111111111112</v>
      </c>
      <c r="AB242" s="12">
        <v>1.4</v>
      </c>
      <c r="AC242" s="12">
        <v>1.6666666666666667</v>
      </c>
      <c r="AD242" s="12">
        <v>1.4094276094276095</v>
      </c>
    </row>
    <row r="243" spans="1:30" x14ac:dyDescent="0.3">
      <c r="A243" s="13">
        <v>24</v>
      </c>
      <c r="B243" s="13" t="s">
        <v>128</v>
      </c>
      <c r="C243" s="13" t="s">
        <v>113</v>
      </c>
      <c r="D243" s="13" t="s">
        <v>72</v>
      </c>
      <c r="E243" s="13" t="s">
        <v>73</v>
      </c>
      <c r="F243" s="13" t="s">
        <v>136</v>
      </c>
      <c r="G243" s="13" t="s">
        <v>440</v>
      </c>
      <c r="H243" s="13" t="s">
        <v>98</v>
      </c>
      <c r="I243" s="13" t="s">
        <v>439</v>
      </c>
      <c r="J243" s="13" t="s">
        <v>77</v>
      </c>
      <c r="K243" s="13" t="s">
        <v>122</v>
      </c>
      <c r="L243" s="13" t="s">
        <v>79</v>
      </c>
      <c r="M243" s="13" t="s">
        <v>80</v>
      </c>
      <c r="N243" s="13" t="s">
        <v>79</v>
      </c>
      <c r="O243" s="13" t="s">
        <v>487</v>
      </c>
      <c r="P243" s="13" t="s">
        <v>79</v>
      </c>
      <c r="Q243" s="13" t="s">
        <v>118</v>
      </c>
      <c r="R243" s="13" t="s">
        <v>79</v>
      </c>
      <c r="S243" s="13" t="s">
        <v>79</v>
      </c>
      <c r="T243" s="13" t="s">
        <v>86</v>
      </c>
      <c r="U243" s="13" t="s">
        <v>141</v>
      </c>
      <c r="V243" s="13" t="s">
        <v>127</v>
      </c>
      <c r="W243" t="s">
        <v>486</v>
      </c>
      <c r="X243" s="12">
        <v>1.7272727272727273</v>
      </c>
      <c r="Y243" s="12">
        <v>1.6</v>
      </c>
      <c r="Z243" s="12">
        <v>1.3333333333333333</v>
      </c>
      <c r="AA243" s="12">
        <v>0.88888888888888884</v>
      </c>
      <c r="AB243" s="12">
        <v>1.4</v>
      </c>
      <c r="AC243" s="12">
        <v>1.6666666666666667</v>
      </c>
      <c r="AD243" s="12">
        <v>1.436026936026936</v>
      </c>
    </row>
    <row r="244" spans="1:30" x14ac:dyDescent="0.3">
      <c r="A244" s="13">
        <v>21</v>
      </c>
      <c r="B244" s="13" t="s">
        <v>70</v>
      </c>
      <c r="C244" s="13" t="s">
        <v>157</v>
      </c>
      <c r="D244" s="13" t="s">
        <v>72</v>
      </c>
      <c r="E244" s="13" t="s">
        <v>73</v>
      </c>
      <c r="F244" s="13" t="s">
        <v>74</v>
      </c>
      <c r="G244" s="13" t="s">
        <v>439</v>
      </c>
      <c r="H244" s="13" t="s">
        <v>98</v>
      </c>
      <c r="I244" s="13" t="s">
        <v>76</v>
      </c>
      <c r="J244" s="13" t="s">
        <v>77</v>
      </c>
      <c r="K244" s="13" t="s">
        <v>122</v>
      </c>
      <c r="L244" s="13" t="s">
        <v>79</v>
      </c>
      <c r="M244" s="13" t="s">
        <v>80</v>
      </c>
      <c r="N244" s="13" t="s">
        <v>82</v>
      </c>
      <c r="O244" s="13" t="s">
        <v>489</v>
      </c>
      <c r="P244" s="13" t="s">
        <v>79</v>
      </c>
      <c r="Q244" s="13" t="s">
        <v>118</v>
      </c>
      <c r="R244" s="13" t="s">
        <v>82</v>
      </c>
      <c r="S244" s="13" t="s">
        <v>82</v>
      </c>
      <c r="T244" s="13" t="s">
        <v>86</v>
      </c>
      <c r="U244" s="13" t="s">
        <v>120</v>
      </c>
      <c r="V244" s="13" t="s">
        <v>112</v>
      </c>
      <c r="W244" t="s">
        <v>486</v>
      </c>
      <c r="X244" s="12">
        <v>0.54545454545454541</v>
      </c>
      <c r="Y244" s="12">
        <v>0.6</v>
      </c>
      <c r="Z244" s="12">
        <v>0.33333333333333331</v>
      </c>
      <c r="AA244" s="12">
        <v>0.77777777777777779</v>
      </c>
      <c r="AB244" s="12">
        <v>1.4</v>
      </c>
      <c r="AC244" s="12">
        <v>1.6666666666666667</v>
      </c>
      <c r="AD244" s="12">
        <v>0.88720538720538722</v>
      </c>
    </row>
    <row r="245" spans="1:30" x14ac:dyDescent="0.3">
      <c r="A245" s="13">
        <v>24</v>
      </c>
      <c r="B245" s="13" t="s">
        <v>70</v>
      </c>
      <c r="C245" s="13" t="s">
        <v>113</v>
      </c>
      <c r="D245" s="13" t="s">
        <v>149</v>
      </c>
      <c r="E245" s="13" t="s">
        <v>108</v>
      </c>
      <c r="F245" s="13" t="s">
        <v>136</v>
      </c>
      <c r="G245" s="13" t="s">
        <v>439</v>
      </c>
      <c r="H245" s="13" t="s">
        <v>100</v>
      </c>
      <c r="I245" s="13" t="s">
        <v>76</v>
      </c>
      <c r="J245" s="13" t="s">
        <v>77</v>
      </c>
      <c r="K245" s="13" t="s">
        <v>122</v>
      </c>
      <c r="L245" s="13" t="s">
        <v>82</v>
      </c>
      <c r="M245" s="13" t="s">
        <v>80</v>
      </c>
      <c r="N245" s="13" t="s">
        <v>82</v>
      </c>
      <c r="O245" s="13" t="s">
        <v>489</v>
      </c>
      <c r="P245" s="13" t="s">
        <v>79</v>
      </c>
      <c r="Q245" s="13" t="s">
        <v>83</v>
      </c>
      <c r="R245" s="13" t="s">
        <v>79</v>
      </c>
      <c r="S245" s="13" t="s">
        <v>79</v>
      </c>
      <c r="T245" s="13" t="s">
        <v>106</v>
      </c>
      <c r="U245" s="13" t="s">
        <v>141</v>
      </c>
      <c r="V245" s="13" t="s">
        <v>112</v>
      </c>
      <c r="W245" t="s">
        <v>486</v>
      </c>
      <c r="X245" s="12">
        <v>1.0909090909090908</v>
      </c>
      <c r="Y245" s="12">
        <v>1</v>
      </c>
      <c r="Z245" s="12">
        <v>1.3333333333333333</v>
      </c>
      <c r="AA245" s="12">
        <v>1.4444444444444444</v>
      </c>
      <c r="AB245" s="12">
        <v>1.2</v>
      </c>
      <c r="AC245" s="12">
        <v>1.6666666666666667</v>
      </c>
      <c r="AD245" s="12">
        <v>1.2892255892255893</v>
      </c>
    </row>
    <row r="246" spans="1:30" x14ac:dyDescent="0.3">
      <c r="A246" s="13">
        <v>20</v>
      </c>
      <c r="B246" s="13" t="s">
        <v>128</v>
      </c>
      <c r="C246" s="13" t="s">
        <v>96</v>
      </c>
      <c r="D246" s="13" t="s">
        <v>149</v>
      </c>
      <c r="E246" s="13" t="s">
        <v>114</v>
      </c>
      <c r="F246" s="13" t="s">
        <v>165</v>
      </c>
      <c r="G246" s="13" t="s">
        <v>440</v>
      </c>
      <c r="H246" s="13" t="s">
        <v>165</v>
      </c>
      <c r="I246" s="13" t="s">
        <v>76</v>
      </c>
      <c r="J246" s="13" t="s">
        <v>77</v>
      </c>
      <c r="K246" s="13" t="s">
        <v>122</v>
      </c>
      <c r="L246" s="13" t="s">
        <v>79</v>
      </c>
      <c r="M246" s="13" t="s">
        <v>80</v>
      </c>
      <c r="N246" s="13" t="s">
        <v>79</v>
      </c>
      <c r="O246" s="13" t="s">
        <v>488</v>
      </c>
      <c r="P246" s="13" t="s">
        <v>79</v>
      </c>
      <c r="Q246" s="13" t="s">
        <v>118</v>
      </c>
      <c r="R246" s="13" t="s">
        <v>79</v>
      </c>
      <c r="S246" s="13" t="s">
        <v>79</v>
      </c>
      <c r="T246" s="13" t="s">
        <v>106</v>
      </c>
      <c r="U246" s="13" t="s">
        <v>141</v>
      </c>
      <c r="V246" s="13" t="s">
        <v>112</v>
      </c>
      <c r="W246" t="s">
        <v>486</v>
      </c>
      <c r="X246" s="12">
        <v>1.4545454545454546</v>
      </c>
      <c r="Y246" s="12">
        <v>1.4</v>
      </c>
      <c r="Z246" s="12">
        <v>1.3333333333333333</v>
      </c>
      <c r="AA246" s="12">
        <v>1.3333333333333333</v>
      </c>
      <c r="AB246" s="12">
        <v>1.2</v>
      </c>
      <c r="AC246" s="12">
        <v>1.6666666666666667</v>
      </c>
      <c r="AD246" s="12">
        <v>1.3979797979797979</v>
      </c>
    </row>
    <row r="247" spans="1:30" x14ac:dyDescent="0.3">
      <c r="A247" s="13">
        <v>23</v>
      </c>
      <c r="B247" s="13" t="s">
        <v>70</v>
      </c>
      <c r="C247" s="13" t="s">
        <v>96</v>
      </c>
      <c r="D247" s="13" t="s">
        <v>149</v>
      </c>
      <c r="E247" s="13" t="s">
        <v>73</v>
      </c>
      <c r="F247" s="13" t="s">
        <v>136</v>
      </c>
      <c r="G247" s="13" t="s">
        <v>439</v>
      </c>
      <c r="H247" s="13" t="s">
        <v>136</v>
      </c>
      <c r="I247" s="13" t="s">
        <v>76</v>
      </c>
      <c r="J247" s="13" t="s">
        <v>77</v>
      </c>
      <c r="K247" s="13" t="s">
        <v>122</v>
      </c>
      <c r="L247" s="13" t="s">
        <v>79</v>
      </c>
      <c r="M247" s="13" t="s">
        <v>80</v>
      </c>
      <c r="N247" s="13" t="s">
        <v>79</v>
      </c>
      <c r="O247" s="13" t="s">
        <v>490</v>
      </c>
      <c r="P247" s="13" t="s">
        <v>79</v>
      </c>
      <c r="Q247" s="13" t="s">
        <v>83</v>
      </c>
      <c r="R247" s="13" t="s">
        <v>79</v>
      </c>
      <c r="S247" s="13" t="s">
        <v>79</v>
      </c>
      <c r="T247" s="13" t="s">
        <v>106</v>
      </c>
      <c r="U247" s="13" t="s">
        <v>141</v>
      </c>
      <c r="V247" s="13" t="s">
        <v>112</v>
      </c>
      <c r="W247" t="s">
        <v>486</v>
      </c>
      <c r="X247" s="12">
        <v>1.2727272727272727</v>
      </c>
      <c r="Y247" s="12">
        <v>1.2</v>
      </c>
      <c r="Z247" s="12">
        <v>1.6666666666666667</v>
      </c>
      <c r="AA247" s="12">
        <v>1</v>
      </c>
      <c r="AB247" s="12">
        <v>1.2</v>
      </c>
      <c r="AC247" s="12">
        <v>1.6666666666666667</v>
      </c>
      <c r="AD247" s="12">
        <v>1.3343434343434344</v>
      </c>
    </row>
    <row r="248" spans="1:30" x14ac:dyDescent="0.3">
      <c r="A248" s="13">
        <v>20</v>
      </c>
      <c r="B248" s="13" t="s">
        <v>70</v>
      </c>
      <c r="C248" s="13" t="s">
        <v>157</v>
      </c>
      <c r="D248" s="13" t="s">
        <v>72</v>
      </c>
      <c r="E248" s="13" t="s">
        <v>108</v>
      </c>
      <c r="F248" s="13" t="s">
        <v>98</v>
      </c>
      <c r="G248" s="13" t="s">
        <v>438</v>
      </c>
      <c r="H248" s="13" t="s">
        <v>100</v>
      </c>
      <c r="I248" s="13" t="s">
        <v>76</v>
      </c>
      <c r="J248" s="13" t="s">
        <v>77</v>
      </c>
      <c r="K248" s="13" t="s">
        <v>78</v>
      </c>
      <c r="L248" s="13" t="s">
        <v>82</v>
      </c>
      <c r="M248" s="13" t="s">
        <v>102</v>
      </c>
      <c r="N248" s="13" t="s">
        <v>79</v>
      </c>
      <c r="O248" s="13" t="s">
        <v>490</v>
      </c>
      <c r="P248" s="13" t="s">
        <v>82</v>
      </c>
      <c r="Q248" s="13" t="s">
        <v>83</v>
      </c>
      <c r="R248" s="13" t="s">
        <v>79</v>
      </c>
      <c r="S248" s="13" t="s">
        <v>79</v>
      </c>
      <c r="T248" s="13" t="s">
        <v>86</v>
      </c>
      <c r="U248" s="13" t="s">
        <v>120</v>
      </c>
      <c r="V248" s="13" t="s">
        <v>112</v>
      </c>
      <c r="W248" t="s">
        <v>485</v>
      </c>
      <c r="X248" s="12">
        <v>9.0909090909090912E-2</v>
      </c>
      <c r="Y248" s="12">
        <v>0</v>
      </c>
      <c r="Z248" s="12">
        <v>0</v>
      </c>
      <c r="AA248" s="12">
        <v>0</v>
      </c>
      <c r="AB248" s="12">
        <v>1.2</v>
      </c>
      <c r="AC248" s="12">
        <v>1.6666666666666667</v>
      </c>
      <c r="AD248" s="12">
        <v>0.49292929292929294</v>
      </c>
    </row>
    <row r="249" spans="1:30" x14ac:dyDescent="0.3">
      <c r="A249" s="13">
        <v>23</v>
      </c>
      <c r="B249" s="13" t="s">
        <v>70</v>
      </c>
      <c r="C249" s="13" t="s">
        <v>113</v>
      </c>
      <c r="D249" s="13" t="s">
        <v>72</v>
      </c>
      <c r="E249" s="13" t="s">
        <v>73</v>
      </c>
      <c r="F249" s="13" t="s">
        <v>98</v>
      </c>
      <c r="G249" s="13" t="s">
        <v>440</v>
      </c>
      <c r="H249" s="13" t="s">
        <v>98</v>
      </c>
      <c r="I249" s="13" t="s">
        <v>76</v>
      </c>
      <c r="J249" s="13" t="s">
        <v>77</v>
      </c>
      <c r="K249" s="13" t="s">
        <v>125</v>
      </c>
      <c r="L249" s="13" t="s">
        <v>79</v>
      </c>
      <c r="M249" s="13" t="s">
        <v>80</v>
      </c>
      <c r="N249" s="13" t="s">
        <v>79</v>
      </c>
      <c r="O249" s="13" t="s">
        <v>490</v>
      </c>
      <c r="P249" s="13" t="s">
        <v>79</v>
      </c>
      <c r="Q249" s="13" t="s">
        <v>83</v>
      </c>
      <c r="R249" s="13" t="s">
        <v>79</v>
      </c>
      <c r="S249" s="13" t="s">
        <v>79</v>
      </c>
      <c r="T249" s="13" t="s">
        <v>86</v>
      </c>
      <c r="U249" s="13" t="s">
        <v>120</v>
      </c>
      <c r="V249" s="13" t="s">
        <v>127</v>
      </c>
      <c r="W249" t="s">
        <v>486</v>
      </c>
      <c r="X249" s="12">
        <v>1.7272727272727273</v>
      </c>
      <c r="Y249" s="12">
        <v>1.8</v>
      </c>
      <c r="Z249" s="12">
        <v>1</v>
      </c>
      <c r="AA249" s="12">
        <v>1.6666666666666667</v>
      </c>
      <c r="AB249" s="12">
        <v>1</v>
      </c>
      <c r="AC249" s="12">
        <v>1.6666666666666667</v>
      </c>
      <c r="AD249" s="12">
        <v>1.476767676767677</v>
      </c>
    </row>
    <row r="250" spans="1:30" x14ac:dyDescent="0.3">
      <c r="A250" s="13">
        <v>23</v>
      </c>
      <c r="B250" s="13" t="s">
        <v>70</v>
      </c>
      <c r="C250" s="13" t="s">
        <v>113</v>
      </c>
      <c r="D250" s="13" t="s">
        <v>72</v>
      </c>
      <c r="E250" s="13" t="s">
        <v>108</v>
      </c>
      <c r="F250" s="13" t="s">
        <v>74</v>
      </c>
      <c r="G250" s="13" t="s">
        <v>439</v>
      </c>
      <c r="H250" s="13" t="s">
        <v>74</v>
      </c>
      <c r="I250" s="13" t="s">
        <v>439</v>
      </c>
      <c r="J250" s="13" t="s">
        <v>77</v>
      </c>
      <c r="K250" s="13" t="s">
        <v>78</v>
      </c>
      <c r="L250" s="13" t="s">
        <v>79</v>
      </c>
      <c r="M250" s="13" t="s">
        <v>80</v>
      </c>
      <c r="N250" s="13" t="s">
        <v>79</v>
      </c>
      <c r="O250" s="13" t="s">
        <v>489</v>
      </c>
      <c r="P250" s="13" t="s">
        <v>82</v>
      </c>
      <c r="Q250" s="13" t="s">
        <v>83</v>
      </c>
      <c r="R250" s="13" t="s">
        <v>79</v>
      </c>
      <c r="S250" s="13" t="s">
        <v>82</v>
      </c>
      <c r="T250" s="13" t="s">
        <v>148</v>
      </c>
      <c r="U250" s="13" t="s">
        <v>87</v>
      </c>
      <c r="V250" s="13" t="s">
        <v>112</v>
      </c>
      <c r="W250" t="s">
        <v>486</v>
      </c>
      <c r="X250" s="12">
        <v>2</v>
      </c>
      <c r="Y250" s="12">
        <v>1.4</v>
      </c>
      <c r="Z250" s="12">
        <v>2</v>
      </c>
      <c r="AA250" s="12">
        <v>1.5555555555555556</v>
      </c>
      <c r="AB250" s="12">
        <v>1</v>
      </c>
      <c r="AC250" s="12">
        <v>1.6666666666666667</v>
      </c>
      <c r="AD250" s="12">
        <v>1.6037037037037036</v>
      </c>
    </row>
    <row r="251" spans="1:30" x14ac:dyDescent="0.3">
      <c r="A251" s="13">
        <v>21</v>
      </c>
      <c r="B251" s="13" t="s">
        <v>70</v>
      </c>
      <c r="C251" s="13" t="s">
        <v>96</v>
      </c>
      <c r="D251" s="13" t="s">
        <v>72</v>
      </c>
      <c r="E251" s="13" t="s">
        <v>114</v>
      </c>
      <c r="F251" s="13" t="s">
        <v>74</v>
      </c>
      <c r="G251" s="13" t="s">
        <v>439</v>
      </c>
      <c r="H251" s="13" t="s">
        <v>136</v>
      </c>
      <c r="I251" s="13" t="s">
        <v>76</v>
      </c>
      <c r="J251" s="13" t="s">
        <v>101</v>
      </c>
      <c r="K251" s="13" t="s">
        <v>125</v>
      </c>
      <c r="L251" s="13" t="s">
        <v>79</v>
      </c>
      <c r="M251" s="13" t="s">
        <v>80</v>
      </c>
      <c r="N251" s="13" t="s">
        <v>82</v>
      </c>
      <c r="O251" s="13" t="s">
        <v>487</v>
      </c>
      <c r="P251" s="13" t="s">
        <v>79</v>
      </c>
      <c r="Q251" s="13" t="s">
        <v>83</v>
      </c>
      <c r="R251" s="13" t="s">
        <v>79</v>
      </c>
      <c r="S251" s="13" t="s">
        <v>79</v>
      </c>
      <c r="T251" s="13" t="s">
        <v>86</v>
      </c>
      <c r="U251" s="13" t="s">
        <v>87</v>
      </c>
      <c r="V251" s="13" t="s">
        <v>127</v>
      </c>
      <c r="W251" t="s">
        <v>486</v>
      </c>
      <c r="X251" s="12">
        <v>1.1818181818181819</v>
      </c>
      <c r="Y251" s="12">
        <v>1.6</v>
      </c>
      <c r="Z251" s="12">
        <v>1.3333333333333333</v>
      </c>
      <c r="AA251" s="12">
        <v>1.5555555555555556</v>
      </c>
      <c r="AB251" s="12">
        <v>1</v>
      </c>
      <c r="AC251" s="12">
        <v>1.6666666666666667</v>
      </c>
      <c r="AD251" s="12">
        <v>1.3895622895622894</v>
      </c>
    </row>
    <row r="252" spans="1:30" x14ac:dyDescent="0.3">
      <c r="A252" s="13">
        <v>23</v>
      </c>
      <c r="B252" s="13" t="s">
        <v>70</v>
      </c>
      <c r="C252" s="13" t="s">
        <v>96</v>
      </c>
      <c r="D252" s="13" t="s">
        <v>72</v>
      </c>
      <c r="E252" s="13" t="s">
        <v>108</v>
      </c>
      <c r="F252" s="13" t="s">
        <v>136</v>
      </c>
      <c r="G252" s="13" t="s">
        <v>440</v>
      </c>
      <c r="H252" s="13" t="s">
        <v>98</v>
      </c>
      <c r="I252" s="13" t="s">
        <v>76</v>
      </c>
      <c r="J252" s="13" t="s">
        <v>77</v>
      </c>
      <c r="K252" s="13" t="s">
        <v>125</v>
      </c>
      <c r="L252" s="13" t="s">
        <v>79</v>
      </c>
      <c r="M252" s="13" t="s">
        <v>80</v>
      </c>
      <c r="N252" s="13" t="s">
        <v>79</v>
      </c>
      <c r="O252" s="13" t="s">
        <v>489</v>
      </c>
      <c r="P252" s="13" t="s">
        <v>82</v>
      </c>
      <c r="Q252" s="13" t="s">
        <v>83</v>
      </c>
      <c r="R252" s="13" t="s">
        <v>79</v>
      </c>
      <c r="S252" s="13" t="s">
        <v>82</v>
      </c>
      <c r="T252" s="13" t="s">
        <v>106</v>
      </c>
      <c r="U252" s="13" t="s">
        <v>141</v>
      </c>
      <c r="V252" s="13" t="s">
        <v>112</v>
      </c>
      <c r="W252" t="s">
        <v>486</v>
      </c>
      <c r="X252" s="12">
        <v>1.6363636363636365</v>
      </c>
      <c r="Y252" s="12">
        <v>1</v>
      </c>
      <c r="Z252" s="12">
        <v>1.3333333333333333</v>
      </c>
      <c r="AA252" s="12">
        <v>1.3333333333333333</v>
      </c>
      <c r="AB252" s="12">
        <v>1</v>
      </c>
      <c r="AC252" s="12">
        <v>1.6666666666666667</v>
      </c>
      <c r="AD252" s="12">
        <v>1.3282828282828283</v>
      </c>
    </row>
    <row r="253" spans="1:30" x14ac:dyDescent="0.3">
      <c r="A253" s="13">
        <v>22</v>
      </c>
      <c r="B253" s="13" t="s">
        <v>70</v>
      </c>
      <c r="C253" s="13" t="s">
        <v>96</v>
      </c>
      <c r="D253" s="13" t="s">
        <v>97</v>
      </c>
      <c r="E253" s="13" t="s">
        <v>114</v>
      </c>
      <c r="F253" s="13" t="s">
        <v>98</v>
      </c>
      <c r="G253" s="13" t="s">
        <v>439</v>
      </c>
      <c r="H253" s="13" t="s">
        <v>100</v>
      </c>
      <c r="I253" s="13" t="s">
        <v>76</v>
      </c>
      <c r="J253" s="13" t="s">
        <v>77</v>
      </c>
      <c r="K253" s="13" t="s">
        <v>125</v>
      </c>
      <c r="L253" s="13" t="s">
        <v>79</v>
      </c>
      <c r="M253" s="13" t="s">
        <v>80</v>
      </c>
      <c r="N253" s="13" t="s">
        <v>79</v>
      </c>
      <c r="O253" s="13" t="s">
        <v>487</v>
      </c>
      <c r="P253" s="13" t="s">
        <v>79</v>
      </c>
      <c r="Q253" s="13" t="s">
        <v>83</v>
      </c>
      <c r="R253" s="13" t="s">
        <v>79</v>
      </c>
      <c r="S253" s="13" t="s">
        <v>79</v>
      </c>
      <c r="T253" s="13" t="s">
        <v>106</v>
      </c>
      <c r="U253" s="13" t="s">
        <v>87</v>
      </c>
      <c r="V253" s="13" t="s">
        <v>307</v>
      </c>
      <c r="W253" t="s">
        <v>486</v>
      </c>
      <c r="X253" s="12">
        <v>0.72727272727272729</v>
      </c>
      <c r="Y253" s="12">
        <v>1</v>
      </c>
      <c r="Z253" s="12">
        <v>1</v>
      </c>
      <c r="AA253" s="12">
        <v>1.5555555555555556</v>
      </c>
      <c r="AB253" s="12">
        <v>0.8</v>
      </c>
      <c r="AC253" s="12">
        <v>1.6666666666666667</v>
      </c>
      <c r="AD253" s="12">
        <v>1.1249158249158249</v>
      </c>
    </row>
    <row r="254" spans="1:30" x14ac:dyDescent="0.3">
      <c r="A254" s="13">
        <v>27</v>
      </c>
      <c r="B254" s="13" t="s">
        <v>70</v>
      </c>
      <c r="C254" s="13" t="s">
        <v>153</v>
      </c>
      <c r="D254" s="13" t="s">
        <v>97</v>
      </c>
      <c r="E254" s="13" t="s">
        <v>73</v>
      </c>
      <c r="F254" s="13" t="s">
        <v>136</v>
      </c>
      <c r="G254" s="13" t="s">
        <v>440</v>
      </c>
      <c r="H254" s="13" t="s">
        <v>98</v>
      </c>
      <c r="I254" s="13" t="s">
        <v>76</v>
      </c>
      <c r="J254" s="13" t="s">
        <v>77</v>
      </c>
      <c r="K254" s="13" t="s">
        <v>78</v>
      </c>
      <c r="L254" s="13" t="s">
        <v>79</v>
      </c>
      <c r="M254" s="13" t="s">
        <v>80</v>
      </c>
      <c r="N254" s="13" t="s">
        <v>79</v>
      </c>
      <c r="O254" s="13" t="s">
        <v>488</v>
      </c>
      <c r="P254" s="13" t="s">
        <v>79</v>
      </c>
      <c r="Q254" s="13" t="s">
        <v>83</v>
      </c>
      <c r="R254" s="13" t="s">
        <v>79</v>
      </c>
      <c r="S254" s="13" t="s">
        <v>82</v>
      </c>
      <c r="T254" s="13" t="s">
        <v>148</v>
      </c>
      <c r="U254" s="13" t="s">
        <v>141</v>
      </c>
      <c r="V254" s="13" t="s">
        <v>112</v>
      </c>
      <c r="W254" t="s">
        <v>485</v>
      </c>
      <c r="X254" s="12">
        <v>2.3636363636363638</v>
      </c>
      <c r="Y254" s="12">
        <v>0.8</v>
      </c>
      <c r="Z254" s="12">
        <v>2.6666666666666665</v>
      </c>
      <c r="AA254" s="12">
        <v>0.88888888888888884</v>
      </c>
      <c r="AB254" s="12">
        <v>3</v>
      </c>
      <c r="AC254" s="12">
        <v>1.3333333333333333</v>
      </c>
      <c r="AD254" s="12">
        <v>1.8420875420875422</v>
      </c>
    </row>
    <row r="255" spans="1:30" x14ac:dyDescent="0.3">
      <c r="A255" s="13">
        <v>24</v>
      </c>
      <c r="B255" s="13" t="s">
        <v>70</v>
      </c>
      <c r="C255" s="13" t="s">
        <v>113</v>
      </c>
      <c r="D255" s="13" t="s">
        <v>97</v>
      </c>
      <c r="E255" s="13" t="s">
        <v>108</v>
      </c>
      <c r="F255" s="13" t="s">
        <v>136</v>
      </c>
      <c r="G255" s="13" t="s">
        <v>99</v>
      </c>
      <c r="H255" s="13" t="s">
        <v>136</v>
      </c>
      <c r="I255" s="13" t="s">
        <v>76</v>
      </c>
      <c r="J255" s="13" t="s">
        <v>77</v>
      </c>
      <c r="K255" s="13" t="s">
        <v>122</v>
      </c>
      <c r="L255" s="13" t="s">
        <v>79</v>
      </c>
      <c r="M255" s="13" t="s">
        <v>132</v>
      </c>
      <c r="N255" s="13" t="s">
        <v>79</v>
      </c>
      <c r="O255" s="13" t="s">
        <v>489</v>
      </c>
      <c r="P255" s="13" t="s">
        <v>79</v>
      </c>
      <c r="Q255" s="13" t="s">
        <v>83</v>
      </c>
      <c r="R255" s="13" t="s">
        <v>82</v>
      </c>
      <c r="S255" s="13" t="s">
        <v>82</v>
      </c>
      <c r="T255" s="13" t="s">
        <v>106</v>
      </c>
      <c r="U255" s="13" t="s">
        <v>87</v>
      </c>
      <c r="V255" s="13" t="s">
        <v>112</v>
      </c>
      <c r="W255" t="s">
        <v>486</v>
      </c>
      <c r="X255" s="12">
        <v>2.8181818181818183</v>
      </c>
      <c r="Y255" s="12">
        <v>1.2</v>
      </c>
      <c r="Z255" s="12">
        <v>1.3333333333333333</v>
      </c>
      <c r="AA255" s="12">
        <v>0.88888888888888884</v>
      </c>
      <c r="AB255" s="12">
        <v>3</v>
      </c>
      <c r="AC255" s="12">
        <v>1.3333333333333333</v>
      </c>
      <c r="AD255" s="12">
        <v>1.7622895622895625</v>
      </c>
    </row>
    <row r="256" spans="1:30" x14ac:dyDescent="0.3">
      <c r="A256" s="13">
        <v>22</v>
      </c>
      <c r="B256" s="13" t="s">
        <v>70</v>
      </c>
      <c r="C256" s="13" t="s">
        <v>96</v>
      </c>
      <c r="D256" s="13" t="s">
        <v>149</v>
      </c>
      <c r="E256" s="13" t="s">
        <v>114</v>
      </c>
      <c r="F256" s="13" t="s">
        <v>74</v>
      </c>
      <c r="G256" s="13" t="s">
        <v>439</v>
      </c>
      <c r="H256" s="13" t="s">
        <v>136</v>
      </c>
      <c r="I256" s="13" t="s">
        <v>439</v>
      </c>
      <c r="J256" s="13" t="s">
        <v>77</v>
      </c>
      <c r="K256" s="13" t="s">
        <v>125</v>
      </c>
      <c r="L256" s="13" t="s">
        <v>79</v>
      </c>
      <c r="M256" s="13" t="s">
        <v>80</v>
      </c>
      <c r="N256" s="13" t="s">
        <v>79</v>
      </c>
      <c r="O256" s="13" t="s">
        <v>488</v>
      </c>
      <c r="P256" s="13" t="s">
        <v>79</v>
      </c>
      <c r="Q256" s="13" t="s">
        <v>83</v>
      </c>
      <c r="R256" s="13" t="s">
        <v>79</v>
      </c>
      <c r="S256" s="13" t="s">
        <v>79</v>
      </c>
      <c r="T256" s="13" t="s">
        <v>106</v>
      </c>
      <c r="U256" s="13" t="s">
        <v>141</v>
      </c>
      <c r="V256" s="13" t="s">
        <v>112</v>
      </c>
      <c r="W256" t="s">
        <v>486</v>
      </c>
      <c r="X256" s="12">
        <v>2.9090909090909092</v>
      </c>
      <c r="Y256" s="12">
        <v>1</v>
      </c>
      <c r="Z256" s="12">
        <v>1.3333333333333333</v>
      </c>
      <c r="AA256" s="12">
        <v>0.88888888888888884</v>
      </c>
      <c r="AB256" s="12">
        <v>3</v>
      </c>
      <c r="AC256" s="12">
        <v>1.3333333333333333</v>
      </c>
      <c r="AD256" s="12">
        <v>1.7441077441077442</v>
      </c>
    </row>
    <row r="257" spans="1:30" x14ac:dyDescent="0.3">
      <c r="A257" s="13">
        <v>22</v>
      </c>
      <c r="B257" s="13" t="s">
        <v>70</v>
      </c>
      <c r="C257" s="13" t="s">
        <v>113</v>
      </c>
      <c r="D257" s="13" t="s">
        <v>97</v>
      </c>
      <c r="E257" s="13" t="s">
        <v>73</v>
      </c>
      <c r="F257" s="13" t="s">
        <v>98</v>
      </c>
      <c r="G257" s="13" t="s">
        <v>99</v>
      </c>
      <c r="H257" s="13" t="s">
        <v>98</v>
      </c>
      <c r="I257" s="13" t="s">
        <v>76</v>
      </c>
      <c r="J257" s="13" t="s">
        <v>77</v>
      </c>
      <c r="K257" s="13" t="s">
        <v>125</v>
      </c>
      <c r="L257" s="13" t="s">
        <v>79</v>
      </c>
      <c r="M257" s="13" t="s">
        <v>80</v>
      </c>
      <c r="N257" s="13" t="s">
        <v>79</v>
      </c>
      <c r="O257" s="13" t="s">
        <v>488</v>
      </c>
      <c r="P257" s="13" t="s">
        <v>79</v>
      </c>
      <c r="Q257" s="13" t="s">
        <v>103</v>
      </c>
      <c r="R257" s="13" t="s">
        <v>79</v>
      </c>
      <c r="S257" s="13" t="s">
        <v>82</v>
      </c>
      <c r="T257" s="13" t="s">
        <v>106</v>
      </c>
      <c r="U257" s="13" t="s">
        <v>87</v>
      </c>
      <c r="V257" s="13" t="s">
        <v>127</v>
      </c>
      <c r="W257" t="s">
        <v>486</v>
      </c>
      <c r="X257" s="12">
        <v>2.2727272727272729</v>
      </c>
      <c r="Y257" s="12">
        <v>2</v>
      </c>
      <c r="Z257" s="12">
        <v>2.6666666666666665</v>
      </c>
      <c r="AA257" s="12">
        <v>0.77777777777777779</v>
      </c>
      <c r="AB257" s="12">
        <v>3</v>
      </c>
      <c r="AC257" s="12">
        <v>1.3333333333333333</v>
      </c>
      <c r="AD257" s="12">
        <v>2.0084175084175082</v>
      </c>
    </row>
    <row r="258" spans="1:30" x14ac:dyDescent="0.3">
      <c r="A258" s="13">
        <v>22</v>
      </c>
      <c r="B258" s="13" t="s">
        <v>70</v>
      </c>
      <c r="C258" s="13" t="s">
        <v>113</v>
      </c>
      <c r="D258" s="13" t="s">
        <v>97</v>
      </c>
      <c r="E258" s="13" t="s">
        <v>108</v>
      </c>
      <c r="F258" s="13" t="s">
        <v>74</v>
      </c>
      <c r="G258" s="13" t="s">
        <v>440</v>
      </c>
      <c r="H258" s="13" t="s">
        <v>74</v>
      </c>
      <c r="I258" s="13" t="s">
        <v>76</v>
      </c>
      <c r="J258" s="13" t="s">
        <v>77</v>
      </c>
      <c r="K258" s="13" t="s">
        <v>131</v>
      </c>
      <c r="L258" s="13" t="s">
        <v>79</v>
      </c>
      <c r="M258" s="13" t="s">
        <v>80</v>
      </c>
      <c r="N258" s="13" t="s">
        <v>79</v>
      </c>
      <c r="O258" s="13" t="s">
        <v>489</v>
      </c>
      <c r="P258" s="13" t="s">
        <v>82</v>
      </c>
      <c r="Q258" s="13" t="s">
        <v>83</v>
      </c>
      <c r="R258" s="13" t="s">
        <v>82</v>
      </c>
      <c r="S258" s="13" t="s">
        <v>82</v>
      </c>
      <c r="T258" s="13" t="s">
        <v>106</v>
      </c>
      <c r="U258" s="13" t="s">
        <v>87</v>
      </c>
      <c r="V258" s="13" t="s">
        <v>112</v>
      </c>
      <c r="W258" t="s">
        <v>486</v>
      </c>
      <c r="X258" s="12">
        <v>2.1818181818181817</v>
      </c>
      <c r="Y258" s="12">
        <v>2.4</v>
      </c>
      <c r="Z258" s="12">
        <v>1.3333333333333333</v>
      </c>
      <c r="AA258" s="12">
        <v>0.44444444444444442</v>
      </c>
      <c r="AB258" s="12">
        <v>3</v>
      </c>
      <c r="AC258" s="12">
        <v>1.3333333333333333</v>
      </c>
      <c r="AD258" s="12">
        <v>1.7821548821548825</v>
      </c>
    </row>
    <row r="259" spans="1:30" x14ac:dyDescent="0.3">
      <c r="A259" s="13">
        <v>21</v>
      </c>
      <c r="B259" s="13" t="s">
        <v>70</v>
      </c>
      <c r="C259" s="13" t="s">
        <v>96</v>
      </c>
      <c r="D259" s="13" t="s">
        <v>72</v>
      </c>
      <c r="E259" s="13" t="s">
        <v>114</v>
      </c>
      <c r="F259" s="13" t="s">
        <v>98</v>
      </c>
      <c r="G259" s="13" t="s">
        <v>440</v>
      </c>
      <c r="H259" s="13" t="s">
        <v>98</v>
      </c>
      <c r="I259" s="13" t="s">
        <v>76</v>
      </c>
      <c r="J259" s="13" t="s">
        <v>77</v>
      </c>
      <c r="K259" s="13" t="s">
        <v>125</v>
      </c>
      <c r="L259" s="13" t="s">
        <v>79</v>
      </c>
      <c r="M259" s="13" t="s">
        <v>80</v>
      </c>
      <c r="N259" s="13" t="s">
        <v>79</v>
      </c>
      <c r="O259" s="13" t="s">
        <v>488</v>
      </c>
      <c r="P259" s="13" t="s">
        <v>82</v>
      </c>
      <c r="Q259" s="13" t="s">
        <v>103</v>
      </c>
      <c r="R259" s="13" t="s">
        <v>79</v>
      </c>
      <c r="S259" s="13" t="s">
        <v>82</v>
      </c>
      <c r="T259" s="13" t="s">
        <v>106</v>
      </c>
      <c r="U259" s="13" t="s">
        <v>141</v>
      </c>
      <c r="V259" s="13" t="s">
        <v>127</v>
      </c>
      <c r="W259" t="s">
        <v>486</v>
      </c>
      <c r="X259" s="12">
        <v>2</v>
      </c>
      <c r="Y259" s="12">
        <v>1.6</v>
      </c>
      <c r="Z259" s="12">
        <v>1</v>
      </c>
      <c r="AA259" s="12">
        <v>0.44444444444444442</v>
      </c>
      <c r="AB259" s="12">
        <v>2.6</v>
      </c>
      <c r="AC259" s="12">
        <v>1.3333333333333333</v>
      </c>
      <c r="AD259" s="12">
        <v>1.4962962962962962</v>
      </c>
    </row>
    <row r="260" spans="1:30" x14ac:dyDescent="0.3">
      <c r="A260" s="13">
        <v>21</v>
      </c>
      <c r="B260" s="13" t="s">
        <v>70</v>
      </c>
      <c r="C260" s="13" t="s">
        <v>157</v>
      </c>
      <c r="D260" s="13" t="s">
        <v>72</v>
      </c>
      <c r="E260" s="13" t="s">
        <v>108</v>
      </c>
      <c r="F260" s="13" t="s">
        <v>74</v>
      </c>
      <c r="G260" s="13" t="s">
        <v>439</v>
      </c>
      <c r="H260" s="13" t="s">
        <v>74</v>
      </c>
      <c r="I260" s="13" t="s">
        <v>76</v>
      </c>
      <c r="J260" s="13" t="s">
        <v>77</v>
      </c>
      <c r="K260" s="13" t="s">
        <v>131</v>
      </c>
      <c r="L260" s="13" t="s">
        <v>79</v>
      </c>
      <c r="M260" s="13" t="s">
        <v>80</v>
      </c>
      <c r="N260" s="13" t="s">
        <v>79</v>
      </c>
      <c r="O260" s="13" t="s">
        <v>488</v>
      </c>
      <c r="P260" s="13" t="s">
        <v>82</v>
      </c>
      <c r="Q260" s="13" t="s">
        <v>83</v>
      </c>
      <c r="R260" s="13" t="s">
        <v>82</v>
      </c>
      <c r="S260" s="13" t="s">
        <v>82</v>
      </c>
      <c r="T260" s="13" t="s">
        <v>106</v>
      </c>
      <c r="U260" s="13" t="s">
        <v>120</v>
      </c>
      <c r="V260" s="13" t="s">
        <v>112</v>
      </c>
      <c r="W260" t="s">
        <v>486</v>
      </c>
      <c r="X260" s="12">
        <v>2.4545454545454546</v>
      </c>
      <c r="Y260" s="12">
        <v>1.4</v>
      </c>
      <c r="Z260" s="12">
        <v>2</v>
      </c>
      <c r="AA260" s="12">
        <v>0.66666666666666663</v>
      </c>
      <c r="AB260" s="12">
        <v>2.4</v>
      </c>
      <c r="AC260" s="12">
        <v>1.3333333333333333</v>
      </c>
      <c r="AD260" s="12">
        <v>1.7090909090909092</v>
      </c>
    </row>
    <row r="261" spans="1:30" x14ac:dyDescent="0.3">
      <c r="A261" s="13">
        <v>22</v>
      </c>
      <c r="B261" s="13" t="s">
        <v>70</v>
      </c>
      <c r="C261" s="13" t="s">
        <v>113</v>
      </c>
      <c r="D261" s="13" t="s">
        <v>72</v>
      </c>
      <c r="E261" s="13" t="s">
        <v>108</v>
      </c>
      <c r="F261" s="13" t="s">
        <v>74</v>
      </c>
      <c r="G261" s="13" t="s">
        <v>99</v>
      </c>
      <c r="H261" s="13" t="s">
        <v>74</v>
      </c>
      <c r="I261" s="13" t="s">
        <v>76</v>
      </c>
      <c r="J261" s="13" t="s">
        <v>77</v>
      </c>
      <c r="K261" s="13" t="s">
        <v>122</v>
      </c>
      <c r="L261" s="13" t="s">
        <v>79</v>
      </c>
      <c r="M261" s="13" t="s">
        <v>80</v>
      </c>
      <c r="N261" s="13" t="s">
        <v>79</v>
      </c>
      <c r="O261" s="13" t="s">
        <v>488</v>
      </c>
      <c r="P261" s="13" t="s">
        <v>82</v>
      </c>
      <c r="Q261" s="13" t="s">
        <v>103</v>
      </c>
      <c r="R261" s="13" t="s">
        <v>82</v>
      </c>
      <c r="S261" s="13" t="s">
        <v>82</v>
      </c>
      <c r="T261" s="13" t="s">
        <v>106</v>
      </c>
      <c r="U261" s="13" t="s">
        <v>141</v>
      </c>
      <c r="V261" s="13" t="s">
        <v>112</v>
      </c>
      <c r="W261" t="s">
        <v>485</v>
      </c>
      <c r="X261" s="12">
        <v>2.4545454545454546</v>
      </c>
      <c r="Y261" s="12">
        <v>2</v>
      </c>
      <c r="Z261" s="12">
        <v>1.6666666666666667</v>
      </c>
      <c r="AA261" s="12">
        <v>0.22222222222222221</v>
      </c>
      <c r="AB261" s="12">
        <v>2.4</v>
      </c>
      <c r="AC261" s="12">
        <v>1.3333333333333333</v>
      </c>
      <c r="AD261" s="12">
        <v>1.6794612794612798</v>
      </c>
    </row>
    <row r="262" spans="1:30" x14ac:dyDescent="0.3">
      <c r="A262" s="13">
        <v>23</v>
      </c>
      <c r="B262" s="13" t="s">
        <v>70</v>
      </c>
      <c r="C262" s="13" t="s">
        <v>71</v>
      </c>
      <c r="D262" s="13" t="s">
        <v>72</v>
      </c>
      <c r="E262" s="13" t="s">
        <v>114</v>
      </c>
      <c r="F262" s="13" t="s">
        <v>136</v>
      </c>
      <c r="G262" s="13" t="s">
        <v>440</v>
      </c>
      <c r="H262" s="13" t="s">
        <v>100</v>
      </c>
      <c r="I262" s="13" t="s">
        <v>76</v>
      </c>
      <c r="J262" s="13" t="s">
        <v>77</v>
      </c>
      <c r="K262" s="13" t="s">
        <v>125</v>
      </c>
      <c r="L262" s="13" t="s">
        <v>79</v>
      </c>
      <c r="M262" s="13" t="s">
        <v>102</v>
      </c>
      <c r="N262" s="13" t="s">
        <v>79</v>
      </c>
      <c r="O262" s="13" t="s">
        <v>487</v>
      </c>
      <c r="P262" s="13" t="s">
        <v>82</v>
      </c>
      <c r="Q262" s="13" t="s">
        <v>83</v>
      </c>
      <c r="R262" s="13" t="s">
        <v>79</v>
      </c>
      <c r="S262" s="13" t="s">
        <v>82</v>
      </c>
      <c r="T262" s="13" t="s">
        <v>106</v>
      </c>
      <c r="U262" s="13" t="s">
        <v>141</v>
      </c>
      <c r="V262" s="13" t="s">
        <v>112</v>
      </c>
      <c r="W262" t="s">
        <v>485</v>
      </c>
      <c r="X262" s="12">
        <v>2.1818181818181817</v>
      </c>
      <c r="Y262" s="12">
        <v>2.2000000000000002</v>
      </c>
      <c r="Z262" s="12">
        <v>1.3333333333333333</v>
      </c>
      <c r="AA262" s="12">
        <v>1.8888888888888888</v>
      </c>
      <c r="AB262" s="12">
        <v>2</v>
      </c>
      <c r="AC262" s="12">
        <v>1.3333333333333333</v>
      </c>
      <c r="AD262" s="12">
        <v>1.822895622895623</v>
      </c>
    </row>
    <row r="263" spans="1:30" x14ac:dyDescent="0.3">
      <c r="A263" s="13">
        <v>21</v>
      </c>
      <c r="B263" s="13" t="s">
        <v>70</v>
      </c>
      <c r="C263" s="13" t="s">
        <v>96</v>
      </c>
      <c r="D263" s="13" t="s">
        <v>72</v>
      </c>
      <c r="E263" s="13" t="s">
        <v>114</v>
      </c>
      <c r="F263" s="13" t="s">
        <v>136</v>
      </c>
      <c r="G263" s="13" t="s">
        <v>438</v>
      </c>
      <c r="H263" s="13" t="s">
        <v>100</v>
      </c>
      <c r="I263" s="13" t="s">
        <v>76</v>
      </c>
      <c r="J263" s="13" t="s">
        <v>101</v>
      </c>
      <c r="K263" s="13" t="s">
        <v>122</v>
      </c>
      <c r="L263" s="13" t="s">
        <v>82</v>
      </c>
      <c r="M263" s="13" t="s">
        <v>80</v>
      </c>
      <c r="N263" s="13" t="s">
        <v>82</v>
      </c>
      <c r="O263" s="13" t="s">
        <v>489</v>
      </c>
      <c r="P263" s="13" t="s">
        <v>82</v>
      </c>
      <c r="Q263" s="13" t="s">
        <v>83</v>
      </c>
      <c r="R263" s="13" t="s">
        <v>82</v>
      </c>
      <c r="S263" s="13" t="s">
        <v>82</v>
      </c>
      <c r="T263" s="13" t="s">
        <v>106</v>
      </c>
      <c r="U263" s="13" t="s">
        <v>120</v>
      </c>
      <c r="V263" s="13" t="s">
        <v>127</v>
      </c>
      <c r="W263" t="s">
        <v>486</v>
      </c>
      <c r="X263" s="12">
        <v>2.5454545454545454</v>
      </c>
      <c r="Y263" s="12">
        <v>2.8</v>
      </c>
      <c r="Z263" s="12">
        <v>2.3333333333333335</v>
      </c>
      <c r="AA263" s="12">
        <v>1.2222222222222223</v>
      </c>
      <c r="AB263" s="12">
        <v>2</v>
      </c>
      <c r="AC263" s="12">
        <v>1.3333333333333333</v>
      </c>
      <c r="AD263" s="12">
        <v>2.039057239057239</v>
      </c>
    </row>
    <row r="264" spans="1:30" x14ac:dyDescent="0.3">
      <c r="A264" s="13">
        <v>21</v>
      </c>
      <c r="B264" s="13" t="s">
        <v>70</v>
      </c>
      <c r="C264" s="13" t="s">
        <v>96</v>
      </c>
      <c r="D264" s="13" t="s">
        <v>72</v>
      </c>
      <c r="E264" s="13" t="s">
        <v>108</v>
      </c>
      <c r="F264" s="13" t="s">
        <v>136</v>
      </c>
      <c r="G264" s="13" t="s">
        <v>439</v>
      </c>
      <c r="H264" s="13" t="s">
        <v>98</v>
      </c>
      <c r="I264" s="13" t="s">
        <v>76</v>
      </c>
      <c r="J264" s="13" t="s">
        <v>77</v>
      </c>
      <c r="K264" s="13" t="s">
        <v>125</v>
      </c>
      <c r="L264" s="13" t="s">
        <v>82</v>
      </c>
      <c r="M264" s="13" t="s">
        <v>80</v>
      </c>
      <c r="N264" s="13" t="s">
        <v>79</v>
      </c>
      <c r="O264" s="13" t="s">
        <v>489</v>
      </c>
      <c r="P264" s="13" t="s">
        <v>79</v>
      </c>
      <c r="Q264" s="13" t="s">
        <v>83</v>
      </c>
      <c r="R264" s="13" t="s">
        <v>79</v>
      </c>
      <c r="S264" s="13" t="s">
        <v>82</v>
      </c>
      <c r="T264" s="13" t="s">
        <v>106</v>
      </c>
      <c r="U264" s="13" t="s">
        <v>141</v>
      </c>
      <c r="V264" s="13" t="s">
        <v>112</v>
      </c>
      <c r="W264" t="s">
        <v>486</v>
      </c>
      <c r="X264" s="12">
        <v>1.9090909090909092</v>
      </c>
      <c r="Y264" s="12">
        <v>1.6</v>
      </c>
      <c r="Z264" s="12">
        <v>1</v>
      </c>
      <c r="AA264" s="12">
        <v>1.2222222222222223</v>
      </c>
      <c r="AB264" s="12">
        <v>2</v>
      </c>
      <c r="AC264" s="12">
        <v>1.3333333333333333</v>
      </c>
      <c r="AD264" s="12">
        <v>1.5107744107744108</v>
      </c>
    </row>
    <row r="265" spans="1:30" x14ac:dyDescent="0.3">
      <c r="A265" s="13">
        <v>24</v>
      </c>
      <c r="B265" s="13" t="s">
        <v>70</v>
      </c>
      <c r="C265" s="13" t="s">
        <v>113</v>
      </c>
      <c r="D265" s="13" t="s">
        <v>72</v>
      </c>
      <c r="E265" s="13" t="s">
        <v>73</v>
      </c>
      <c r="F265" s="13" t="s">
        <v>136</v>
      </c>
      <c r="G265" s="13" t="s">
        <v>440</v>
      </c>
      <c r="H265" s="13" t="s">
        <v>98</v>
      </c>
      <c r="I265" s="13" t="s">
        <v>76</v>
      </c>
      <c r="J265" s="13" t="s">
        <v>101</v>
      </c>
      <c r="K265" s="13" t="s">
        <v>122</v>
      </c>
      <c r="L265" s="13" t="s">
        <v>79</v>
      </c>
      <c r="M265" s="13" t="s">
        <v>80</v>
      </c>
      <c r="N265" s="13" t="s">
        <v>79</v>
      </c>
      <c r="O265" s="13" t="s">
        <v>488</v>
      </c>
      <c r="P265" s="13" t="s">
        <v>79</v>
      </c>
      <c r="Q265" s="13" t="s">
        <v>83</v>
      </c>
      <c r="R265" s="13" t="s">
        <v>79</v>
      </c>
      <c r="S265" s="13" t="s">
        <v>79</v>
      </c>
      <c r="T265" s="13" t="s">
        <v>148</v>
      </c>
      <c r="U265" s="13" t="s">
        <v>141</v>
      </c>
      <c r="V265" s="13" t="s">
        <v>112</v>
      </c>
      <c r="W265" t="s">
        <v>486</v>
      </c>
      <c r="X265" s="12">
        <v>1.2727272727272727</v>
      </c>
      <c r="Y265" s="12">
        <v>2</v>
      </c>
      <c r="Z265" s="12">
        <v>2</v>
      </c>
      <c r="AA265" s="12">
        <v>1.6666666666666667</v>
      </c>
      <c r="AB265" s="12">
        <v>1.8</v>
      </c>
      <c r="AC265" s="12">
        <v>1.3333333333333333</v>
      </c>
      <c r="AD265" s="12">
        <v>1.6787878787878789</v>
      </c>
    </row>
    <row r="266" spans="1:30" x14ac:dyDescent="0.3">
      <c r="A266" s="13">
        <v>21</v>
      </c>
      <c r="B266" s="13" t="s">
        <v>70</v>
      </c>
      <c r="C266" s="13" t="s">
        <v>96</v>
      </c>
      <c r="D266" s="13" t="s">
        <v>72</v>
      </c>
      <c r="E266" s="13" t="s">
        <v>73</v>
      </c>
      <c r="F266" s="13" t="s">
        <v>74</v>
      </c>
      <c r="G266" s="13" t="s">
        <v>440</v>
      </c>
      <c r="H266" s="13" t="s">
        <v>74</v>
      </c>
      <c r="I266" s="13" t="s">
        <v>99</v>
      </c>
      <c r="J266" s="13" t="s">
        <v>77</v>
      </c>
      <c r="K266" s="13" t="s">
        <v>78</v>
      </c>
      <c r="L266" s="13" t="s">
        <v>79</v>
      </c>
      <c r="M266" s="13" t="s">
        <v>80</v>
      </c>
      <c r="N266" s="13" t="s">
        <v>79</v>
      </c>
      <c r="O266" s="13" t="s">
        <v>490</v>
      </c>
      <c r="P266" s="13" t="s">
        <v>79</v>
      </c>
      <c r="Q266" s="13" t="s">
        <v>83</v>
      </c>
      <c r="R266" s="13" t="s">
        <v>82</v>
      </c>
      <c r="S266" s="13" t="s">
        <v>82</v>
      </c>
      <c r="T266" s="13" t="s">
        <v>106</v>
      </c>
      <c r="U266" s="13" t="s">
        <v>87</v>
      </c>
      <c r="V266" s="13" t="s">
        <v>112</v>
      </c>
      <c r="W266" t="s">
        <v>485</v>
      </c>
      <c r="X266" s="12">
        <v>1.5454545454545454</v>
      </c>
      <c r="Y266" s="12">
        <v>2.2000000000000002</v>
      </c>
      <c r="Z266" s="12">
        <v>1</v>
      </c>
      <c r="AA266" s="12">
        <v>1.6666666666666667</v>
      </c>
      <c r="AB266" s="12">
        <v>1.8</v>
      </c>
      <c r="AC266" s="12">
        <v>1.3333333333333333</v>
      </c>
      <c r="AD266" s="12">
        <v>1.5909090909090911</v>
      </c>
    </row>
    <row r="267" spans="1:30" x14ac:dyDescent="0.3">
      <c r="A267" s="13">
        <v>22</v>
      </c>
      <c r="B267" s="13" t="s">
        <v>128</v>
      </c>
      <c r="C267" s="13" t="s">
        <v>96</v>
      </c>
      <c r="D267" s="13" t="s">
        <v>72</v>
      </c>
      <c r="E267" s="13" t="s">
        <v>73</v>
      </c>
      <c r="F267" s="13" t="s">
        <v>98</v>
      </c>
      <c r="G267" s="13" t="s">
        <v>440</v>
      </c>
      <c r="H267" s="13" t="s">
        <v>165</v>
      </c>
      <c r="I267" s="13" t="s">
        <v>76</v>
      </c>
      <c r="J267" s="13" t="s">
        <v>77</v>
      </c>
      <c r="K267" s="13" t="s">
        <v>125</v>
      </c>
      <c r="L267" s="13" t="s">
        <v>79</v>
      </c>
      <c r="M267" s="13" t="s">
        <v>102</v>
      </c>
      <c r="N267" s="13" t="s">
        <v>79</v>
      </c>
      <c r="O267" s="13" t="s">
        <v>488</v>
      </c>
      <c r="P267" s="13" t="s">
        <v>79</v>
      </c>
      <c r="Q267" s="13" t="s">
        <v>83</v>
      </c>
      <c r="R267" s="13" t="s">
        <v>79</v>
      </c>
      <c r="S267" s="13" t="s">
        <v>82</v>
      </c>
      <c r="T267" s="13" t="s">
        <v>106</v>
      </c>
      <c r="U267" s="13" t="s">
        <v>120</v>
      </c>
      <c r="V267" s="13" t="s">
        <v>112</v>
      </c>
      <c r="W267" t="s">
        <v>486</v>
      </c>
      <c r="X267" s="12">
        <v>1.3636363636363635</v>
      </c>
      <c r="Y267" s="12">
        <v>2</v>
      </c>
      <c r="Z267" s="12">
        <v>2</v>
      </c>
      <c r="AA267" s="12">
        <v>1.4444444444444444</v>
      </c>
      <c r="AB267" s="12">
        <v>1.8</v>
      </c>
      <c r="AC267" s="12">
        <v>1.3333333333333333</v>
      </c>
      <c r="AD267" s="12">
        <v>1.6569023569023571</v>
      </c>
    </row>
    <row r="268" spans="1:30" x14ac:dyDescent="0.3">
      <c r="A268" s="13">
        <v>24</v>
      </c>
      <c r="B268" s="13" t="s">
        <v>70</v>
      </c>
      <c r="C268" s="13" t="s">
        <v>96</v>
      </c>
      <c r="D268" s="13" t="s">
        <v>149</v>
      </c>
      <c r="E268" s="13" t="s">
        <v>73</v>
      </c>
      <c r="F268" s="13" t="s">
        <v>98</v>
      </c>
      <c r="G268" s="13" t="s">
        <v>439</v>
      </c>
      <c r="H268" s="13" t="s">
        <v>100</v>
      </c>
      <c r="I268" s="13" t="s">
        <v>439</v>
      </c>
      <c r="J268" s="13" t="s">
        <v>77</v>
      </c>
      <c r="K268" s="13" t="s">
        <v>122</v>
      </c>
      <c r="L268" s="13" t="s">
        <v>79</v>
      </c>
      <c r="M268" s="13" t="s">
        <v>132</v>
      </c>
      <c r="N268" s="13" t="s">
        <v>79</v>
      </c>
      <c r="O268" s="13" t="s">
        <v>488</v>
      </c>
      <c r="P268" s="13" t="s">
        <v>79</v>
      </c>
      <c r="Q268" s="13" t="s">
        <v>103</v>
      </c>
      <c r="R268" s="13" t="s">
        <v>79</v>
      </c>
      <c r="S268" s="13" t="s">
        <v>79</v>
      </c>
      <c r="T268" s="13" t="s">
        <v>86</v>
      </c>
      <c r="U268" s="13" t="s">
        <v>120</v>
      </c>
      <c r="V268" s="13" t="s">
        <v>112</v>
      </c>
      <c r="W268" t="s">
        <v>486</v>
      </c>
      <c r="X268" s="12">
        <v>1.6363636363636365</v>
      </c>
      <c r="Y268" s="12">
        <v>1.8</v>
      </c>
      <c r="Z268" s="12">
        <v>1.3333333333333333</v>
      </c>
      <c r="AA268" s="12">
        <v>1.4444444444444444</v>
      </c>
      <c r="AB268" s="12">
        <v>1.8</v>
      </c>
      <c r="AC268" s="12">
        <v>1.3333333333333333</v>
      </c>
      <c r="AD268" s="12">
        <v>1.5579124579124581</v>
      </c>
    </row>
    <row r="269" spans="1:30" x14ac:dyDescent="0.3">
      <c r="A269" s="13">
        <v>24</v>
      </c>
      <c r="B269" s="13" t="s">
        <v>70</v>
      </c>
      <c r="C269" s="13" t="s">
        <v>113</v>
      </c>
      <c r="D269" s="13" t="s">
        <v>97</v>
      </c>
      <c r="E269" s="13" t="s">
        <v>114</v>
      </c>
      <c r="F269" s="13" t="s">
        <v>136</v>
      </c>
      <c r="G269" s="13" t="s">
        <v>99</v>
      </c>
      <c r="H269" s="13" t="s">
        <v>136</v>
      </c>
      <c r="I269" s="13" t="s">
        <v>99</v>
      </c>
      <c r="J269" s="13" t="s">
        <v>77</v>
      </c>
      <c r="K269" s="13" t="s">
        <v>125</v>
      </c>
      <c r="L269" s="13" t="s">
        <v>79</v>
      </c>
      <c r="M269" s="13" t="s">
        <v>80</v>
      </c>
      <c r="N269" s="13" t="s">
        <v>79</v>
      </c>
      <c r="O269" s="13" t="s">
        <v>488</v>
      </c>
      <c r="P269" s="13" t="s">
        <v>79</v>
      </c>
      <c r="Q269" s="13" t="s">
        <v>83</v>
      </c>
      <c r="R269" s="13" t="s">
        <v>79</v>
      </c>
      <c r="S269" s="13" t="s">
        <v>82</v>
      </c>
      <c r="T269" s="13" t="s">
        <v>148</v>
      </c>
      <c r="U269" s="13" t="s">
        <v>87</v>
      </c>
      <c r="V269" s="13" t="s">
        <v>160</v>
      </c>
      <c r="W269" t="s">
        <v>486</v>
      </c>
      <c r="X269" s="12">
        <v>2.1818181818181817</v>
      </c>
      <c r="Y269" s="12">
        <v>0.2</v>
      </c>
      <c r="Z269" s="12">
        <v>2</v>
      </c>
      <c r="AA269" s="12">
        <v>1.2222222222222223</v>
      </c>
      <c r="AB269" s="12">
        <v>1.8</v>
      </c>
      <c r="AC269" s="12">
        <v>1.3333333333333333</v>
      </c>
      <c r="AD269" s="12">
        <v>1.4562289562289561</v>
      </c>
    </row>
    <row r="270" spans="1:30" x14ac:dyDescent="0.3">
      <c r="A270" s="13">
        <v>23</v>
      </c>
      <c r="B270" s="13" t="s">
        <v>70</v>
      </c>
      <c r="C270" s="13" t="s">
        <v>71</v>
      </c>
      <c r="D270" s="13" t="s">
        <v>72</v>
      </c>
      <c r="E270" s="13" t="s">
        <v>114</v>
      </c>
      <c r="F270" s="13" t="s">
        <v>98</v>
      </c>
      <c r="G270" s="13" t="s">
        <v>440</v>
      </c>
      <c r="H270" s="13" t="s">
        <v>98</v>
      </c>
      <c r="I270" s="13" t="s">
        <v>76</v>
      </c>
      <c r="J270" s="13" t="s">
        <v>77</v>
      </c>
      <c r="K270" s="13" t="s">
        <v>125</v>
      </c>
      <c r="L270" s="13" t="s">
        <v>79</v>
      </c>
      <c r="M270" s="13" t="s">
        <v>201</v>
      </c>
      <c r="N270" s="13" t="s">
        <v>79</v>
      </c>
      <c r="O270" s="13" t="s">
        <v>488</v>
      </c>
      <c r="P270" s="13" t="s">
        <v>79</v>
      </c>
      <c r="Q270" s="13" t="s">
        <v>103</v>
      </c>
      <c r="R270" s="13" t="s">
        <v>79</v>
      </c>
      <c r="S270" s="13" t="s">
        <v>82</v>
      </c>
      <c r="T270" s="13" t="s">
        <v>106</v>
      </c>
      <c r="U270" s="13" t="s">
        <v>87</v>
      </c>
      <c r="V270" s="13" t="s">
        <v>112</v>
      </c>
      <c r="W270" t="s">
        <v>485</v>
      </c>
      <c r="X270" s="12">
        <v>2.6363636363636362</v>
      </c>
      <c r="Y270" s="12">
        <v>1.6</v>
      </c>
      <c r="Z270" s="12">
        <v>1.3333333333333333</v>
      </c>
      <c r="AA270" s="12">
        <v>1.1111111111111112</v>
      </c>
      <c r="AB270" s="12">
        <v>1.8</v>
      </c>
      <c r="AC270" s="12">
        <v>1.3333333333333333</v>
      </c>
      <c r="AD270" s="12">
        <v>1.6356902356902359</v>
      </c>
    </row>
    <row r="271" spans="1:30" x14ac:dyDescent="0.3">
      <c r="A271" s="13">
        <v>23</v>
      </c>
      <c r="B271" s="13" t="s">
        <v>70</v>
      </c>
      <c r="C271" s="13" t="s">
        <v>71</v>
      </c>
      <c r="D271" s="13" t="s">
        <v>97</v>
      </c>
      <c r="E271" s="13" t="s">
        <v>108</v>
      </c>
      <c r="F271" s="13" t="s">
        <v>74</v>
      </c>
      <c r="G271" s="13" t="s">
        <v>439</v>
      </c>
      <c r="H271" s="13" t="s">
        <v>136</v>
      </c>
      <c r="I271" s="13" t="s">
        <v>76</v>
      </c>
      <c r="J271" s="13" t="s">
        <v>77</v>
      </c>
      <c r="K271" s="13" t="s">
        <v>125</v>
      </c>
      <c r="L271" s="13" t="s">
        <v>82</v>
      </c>
      <c r="M271" s="13" t="s">
        <v>80</v>
      </c>
      <c r="N271" s="13" t="s">
        <v>79</v>
      </c>
      <c r="O271" s="13" t="s">
        <v>490</v>
      </c>
      <c r="P271" s="13" t="s">
        <v>82</v>
      </c>
      <c r="Q271" s="13" t="s">
        <v>83</v>
      </c>
      <c r="R271" s="13" t="s">
        <v>82</v>
      </c>
      <c r="S271" s="13" t="s">
        <v>82</v>
      </c>
      <c r="T271" s="13" t="s">
        <v>106</v>
      </c>
      <c r="U271" s="13" t="s">
        <v>120</v>
      </c>
      <c r="V271" s="13" t="s">
        <v>457</v>
      </c>
      <c r="W271" t="s">
        <v>486</v>
      </c>
      <c r="X271" s="12">
        <v>2.4545454545454546</v>
      </c>
      <c r="Y271" s="12">
        <v>1.8</v>
      </c>
      <c r="Z271" s="12">
        <v>2</v>
      </c>
      <c r="AA271" s="12">
        <v>2.3333333333333335</v>
      </c>
      <c r="AB271" s="12">
        <v>1.6</v>
      </c>
      <c r="AC271" s="12">
        <v>1.3333333333333333</v>
      </c>
      <c r="AD271" s="12">
        <v>1.9202020202020202</v>
      </c>
    </row>
    <row r="272" spans="1:30" x14ac:dyDescent="0.3">
      <c r="A272" s="13">
        <v>23</v>
      </c>
      <c r="B272" s="13" t="s">
        <v>70</v>
      </c>
      <c r="C272" s="13" t="s">
        <v>113</v>
      </c>
      <c r="D272" s="13" t="s">
        <v>97</v>
      </c>
      <c r="E272" s="13" t="s">
        <v>114</v>
      </c>
      <c r="F272" s="13" t="s">
        <v>100</v>
      </c>
      <c r="G272" s="13" t="s">
        <v>440</v>
      </c>
      <c r="H272" s="13" t="s">
        <v>98</v>
      </c>
      <c r="I272" s="13" t="s">
        <v>76</v>
      </c>
      <c r="J272" s="13" t="s">
        <v>77</v>
      </c>
      <c r="K272" s="13" t="s">
        <v>122</v>
      </c>
      <c r="L272" s="13" t="s">
        <v>79</v>
      </c>
      <c r="M272" s="13" t="s">
        <v>80</v>
      </c>
      <c r="N272" s="13" t="s">
        <v>79</v>
      </c>
      <c r="O272" s="13" t="s">
        <v>487</v>
      </c>
      <c r="P272" s="13" t="s">
        <v>79</v>
      </c>
      <c r="Q272" s="13" t="s">
        <v>83</v>
      </c>
      <c r="R272" s="13" t="s">
        <v>79</v>
      </c>
      <c r="S272" s="13" t="s">
        <v>79</v>
      </c>
      <c r="T272" s="13" t="s">
        <v>86</v>
      </c>
      <c r="U272" s="13" t="s">
        <v>87</v>
      </c>
      <c r="V272" s="13" t="s">
        <v>127</v>
      </c>
      <c r="W272" t="s">
        <v>486</v>
      </c>
      <c r="X272" s="12">
        <v>1.6363636363636365</v>
      </c>
      <c r="Y272" s="12">
        <v>1.6</v>
      </c>
      <c r="Z272" s="12">
        <v>1.6666666666666667</v>
      </c>
      <c r="AA272" s="12">
        <v>1.8888888888888888</v>
      </c>
      <c r="AB272" s="12">
        <v>1.6</v>
      </c>
      <c r="AC272" s="12">
        <v>1.3333333333333333</v>
      </c>
      <c r="AD272" s="12">
        <v>1.6208754208754208</v>
      </c>
    </row>
    <row r="273" spans="1:30" x14ac:dyDescent="0.3">
      <c r="A273" s="13">
        <v>22</v>
      </c>
      <c r="B273" s="13" t="s">
        <v>70</v>
      </c>
      <c r="C273" s="13" t="s">
        <v>113</v>
      </c>
      <c r="D273" s="13" t="s">
        <v>72</v>
      </c>
      <c r="E273" s="13" t="s">
        <v>108</v>
      </c>
      <c r="F273" s="13" t="s">
        <v>74</v>
      </c>
      <c r="G273" s="13" t="s">
        <v>439</v>
      </c>
      <c r="H273" s="13" t="s">
        <v>136</v>
      </c>
      <c r="I273" s="13" t="s">
        <v>76</v>
      </c>
      <c r="J273" s="13" t="s">
        <v>77</v>
      </c>
      <c r="K273" s="13" t="s">
        <v>125</v>
      </c>
      <c r="L273" s="13" t="s">
        <v>79</v>
      </c>
      <c r="M273" s="13" t="s">
        <v>80</v>
      </c>
      <c r="N273" s="13" t="s">
        <v>79</v>
      </c>
      <c r="O273" s="13" t="s">
        <v>490</v>
      </c>
      <c r="P273" s="13" t="s">
        <v>82</v>
      </c>
      <c r="Q273" s="13" t="s">
        <v>83</v>
      </c>
      <c r="R273" s="13" t="s">
        <v>82</v>
      </c>
      <c r="S273" s="13" t="s">
        <v>82</v>
      </c>
      <c r="T273" s="13" t="s">
        <v>106</v>
      </c>
      <c r="U273" s="13" t="s">
        <v>120</v>
      </c>
      <c r="V273" s="13" t="s">
        <v>455</v>
      </c>
      <c r="W273" t="s">
        <v>485</v>
      </c>
      <c r="X273" s="12">
        <v>1.7272727272727273</v>
      </c>
      <c r="Y273" s="12">
        <v>1.6</v>
      </c>
      <c r="Z273" s="12">
        <v>1.3333333333333333</v>
      </c>
      <c r="AA273" s="12">
        <v>1.7777777777777777</v>
      </c>
      <c r="AB273" s="12">
        <v>1.6</v>
      </c>
      <c r="AC273" s="12">
        <v>1.3333333333333333</v>
      </c>
      <c r="AD273" s="12">
        <v>1.561952861952862</v>
      </c>
    </row>
    <row r="274" spans="1:30" x14ac:dyDescent="0.3">
      <c r="A274" s="13">
        <v>22</v>
      </c>
      <c r="B274" s="13" t="s">
        <v>128</v>
      </c>
      <c r="C274" s="13" t="s">
        <v>113</v>
      </c>
      <c r="D274" s="13" t="s">
        <v>97</v>
      </c>
      <c r="E274" s="13" t="s">
        <v>108</v>
      </c>
      <c r="F274" s="13" t="s">
        <v>136</v>
      </c>
      <c r="G274" s="13" t="s">
        <v>440</v>
      </c>
      <c r="H274" s="13" t="s">
        <v>98</v>
      </c>
      <c r="I274" s="13" t="s">
        <v>76</v>
      </c>
      <c r="J274" s="13" t="s">
        <v>77</v>
      </c>
      <c r="K274" s="13" t="s">
        <v>78</v>
      </c>
      <c r="L274" s="13" t="s">
        <v>79</v>
      </c>
      <c r="M274" s="13" t="s">
        <v>80</v>
      </c>
      <c r="N274" s="13" t="s">
        <v>79</v>
      </c>
      <c r="O274" s="13" t="s">
        <v>487</v>
      </c>
      <c r="P274" s="13" t="s">
        <v>82</v>
      </c>
      <c r="Q274" s="13" t="s">
        <v>83</v>
      </c>
      <c r="R274" s="13" t="s">
        <v>79</v>
      </c>
      <c r="S274" s="13" t="s">
        <v>79</v>
      </c>
      <c r="T274" s="13" t="s">
        <v>86</v>
      </c>
      <c r="U274" s="13" t="s">
        <v>141</v>
      </c>
      <c r="V274" s="13" t="s">
        <v>112</v>
      </c>
      <c r="W274" t="s">
        <v>486</v>
      </c>
      <c r="X274" s="12">
        <v>1.6363636363636365</v>
      </c>
      <c r="Y274" s="12">
        <v>1.6</v>
      </c>
      <c r="Z274" s="12">
        <v>1.6666666666666667</v>
      </c>
      <c r="AA274" s="12">
        <v>1.6666666666666667</v>
      </c>
      <c r="AB274" s="12">
        <v>1.6</v>
      </c>
      <c r="AC274" s="12">
        <v>1.3333333333333333</v>
      </c>
      <c r="AD274" s="12">
        <v>1.583838383838384</v>
      </c>
    </row>
    <row r="275" spans="1:30" x14ac:dyDescent="0.3">
      <c r="A275" s="13">
        <v>23</v>
      </c>
      <c r="B275" s="13" t="s">
        <v>70</v>
      </c>
      <c r="C275" s="13" t="s">
        <v>96</v>
      </c>
      <c r="D275" s="13" t="s">
        <v>72</v>
      </c>
      <c r="E275" s="13" t="s">
        <v>73</v>
      </c>
      <c r="F275" s="13" t="s">
        <v>136</v>
      </c>
      <c r="G275" s="13" t="s">
        <v>439</v>
      </c>
      <c r="H275" s="13" t="s">
        <v>136</v>
      </c>
      <c r="I275" s="13" t="s">
        <v>166</v>
      </c>
      <c r="J275" s="13" t="s">
        <v>77</v>
      </c>
      <c r="K275" s="13" t="s">
        <v>122</v>
      </c>
      <c r="L275" s="13" t="s">
        <v>82</v>
      </c>
      <c r="M275" s="13" t="s">
        <v>102</v>
      </c>
      <c r="N275" s="13" t="s">
        <v>79</v>
      </c>
      <c r="O275" s="13" t="s">
        <v>490</v>
      </c>
      <c r="P275" s="13" t="s">
        <v>82</v>
      </c>
      <c r="Q275" s="13" t="s">
        <v>83</v>
      </c>
      <c r="R275" s="13" t="s">
        <v>82</v>
      </c>
      <c r="S275" s="13" t="s">
        <v>82</v>
      </c>
      <c r="T275" s="13" t="s">
        <v>106</v>
      </c>
      <c r="U275" s="13" t="s">
        <v>141</v>
      </c>
      <c r="V275" s="13" t="s">
        <v>457</v>
      </c>
      <c r="W275" t="s">
        <v>485</v>
      </c>
      <c r="X275" s="12">
        <v>1.5454545454545454</v>
      </c>
      <c r="Y275" s="12">
        <v>1.8</v>
      </c>
      <c r="Z275" s="12">
        <v>1.3333333333333333</v>
      </c>
      <c r="AA275" s="12">
        <v>1.6666666666666667</v>
      </c>
      <c r="AB275" s="12">
        <v>1.6</v>
      </c>
      <c r="AC275" s="12">
        <v>1.3333333333333333</v>
      </c>
      <c r="AD275" s="12">
        <v>1.5464646464646465</v>
      </c>
    </row>
    <row r="276" spans="1:30" x14ac:dyDescent="0.3">
      <c r="A276" s="13">
        <v>22</v>
      </c>
      <c r="B276" s="13" t="s">
        <v>70</v>
      </c>
      <c r="C276" s="13" t="s">
        <v>113</v>
      </c>
      <c r="D276" s="13" t="s">
        <v>72</v>
      </c>
      <c r="E276" s="13" t="s">
        <v>108</v>
      </c>
      <c r="F276" s="13" t="s">
        <v>98</v>
      </c>
      <c r="G276" s="13" t="s">
        <v>440</v>
      </c>
      <c r="H276" s="13" t="s">
        <v>98</v>
      </c>
      <c r="I276" s="13" t="s">
        <v>76</v>
      </c>
      <c r="J276" s="13" t="s">
        <v>77</v>
      </c>
      <c r="K276" s="13" t="s">
        <v>122</v>
      </c>
      <c r="L276" s="13" t="s">
        <v>79</v>
      </c>
      <c r="M276" s="13" t="s">
        <v>80</v>
      </c>
      <c r="N276" s="13" t="s">
        <v>79</v>
      </c>
      <c r="O276" s="13" t="s">
        <v>487</v>
      </c>
      <c r="P276" s="13" t="s">
        <v>79</v>
      </c>
      <c r="Q276" s="13" t="s">
        <v>118</v>
      </c>
      <c r="R276" s="13" t="s">
        <v>79</v>
      </c>
      <c r="S276" s="13" t="s">
        <v>79</v>
      </c>
      <c r="T276" s="13" t="s">
        <v>86</v>
      </c>
      <c r="U276" s="13" t="s">
        <v>120</v>
      </c>
      <c r="V276" s="13" t="s">
        <v>127</v>
      </c>
      <c r="W276" t="s">
        <v>486</v>
      </c>
      <c r="X276" s="12">
        <v>1.3636363636363635</v>
      </c>
      <c r="Y276" s="12">
        <v>1.8</v>
      </c>
      <c r="Z276" s="12">
        <v>1.3333333333333333</v>
      </c>
      <c r="AA276" s="12">
        <v>1.5555555555555556</v>
      </c>
      <c r="AB276" s="12">
        <v>1.6</v>
      </c>
      <c r="AC276" s="12">
        <v>1.3333333333333333</v>
      </c>
      <c r="AD276" s="12">
        <v>1.4976430976430979</v>
      </c>
    </row>
    <row r="277" spans="1:30" x14ac:dyDescent="0.3">
      <c r="A277" s="13">
        <v>23</v>
      </c>
      <c r="B277" s="13" t="s">
        <v>128</v>
      </c>
      <c r="C277" s="13" t="s">
        <v>113</v>
      </c>
      <c r="D277" s="13" t="s">
        <v>149</v>
      </c>
      <c r="E277" s="13" t="s">
        <v>114</v>
      </c>
      <c r="F277" s="13" t="s">
        <v>98</v>
      </c>
      <c r="G277" s="13" t="s">
        <v>440</v>
      </c>
      <c r="H277" s="13" t="s">
        <v>98</v>
      </c>
      <c r="I277" s="13" t="s">
        <v>166</v>
      </c>
      <c r="J277" s="13" t="s">
        <v>101</v>
      </c>
      <c r="K277" s="13" t="s">
        <v>122</v>
      </c>
      <c r="L277" s="13" t="s">
        <v>79</v>
      </c>
      <c r="M277" s="13" t="s">
        <v>102</v>
      </c>
      <c r="N277" s="13" t="s">
        <v>79</v>
      </c>
      <c r="O277" s="13" t="s">
        <v>487</v>
      </c>
      <c r="P277" s="13" t="s">
        <v>79</v>
      </c>
      <c r="Q277" s="13" t="s">
        <v>83</v>
      </c>
      <c r="R277" s="13" t="s">
        <v>79</v>
      </c>
      <c r="S277" s="13" t="s">
        <v>79</v>
      </c>
      <c r="T277" s="13" t="s">
        <v>86</v>
      </c>
      <c r="U277" s="13" t="s">
        <v>87</v>
      </c>
      <c r="V277" s="13" t="s">
        <v>127</v>
      </c>
      <c r="W277" t="s">
        <v>486</v>
      </c>
      <c r="X277" s="12">
        <v>1.5454545454545454</v>
      </c>
      <c r="Y277" s="12">
        <v>1.6</v>
      </c>
      <c r="Z277" s="12">
        <v>1.3333333333333333</v>
      </c>
      <c r="AA277" s="12">
        <v>1.5555555555555556</v>
      </c>
      <c r="AB277" s="12">
        <v>1.6</v>
      </c>
      <c r="AC277" s="12">
        <v>1.3333333333333333</v>
      </c>
      <c r="AD277" s="12">
        <v>1.4946127946127945</v>
      </c>
    </row>
    <row r="278" spans="1:30" x14ac:dyDescent="0.3">
      <c r="A278" s="13">
        <v>22</v>
      </c>
      <c r="B278" s="13" t="s">
        <v>70</v>
      </c>
      <c r="C278" s="13" t="s">
        <v>96</v>
      </c>
      <c r="D278" s="13" t="s">
        <v>72</v>
      </c>
      <c r="E278" s="13" t="s">
        <v>114</v>
      </c>
      <c r="F278" s="13" t="s">
        <v>100</v>
      </c>
      <c r="G278" s="13" t="s">
        <v>440</v>
      </c>
      <c r="H278" s="13" t="s">
        <v>100</v>
      </c>
      <c r="I278" s="13" t="s">
        <v>76</v>
      </c>
      <c r="J278" s="13" t="s">
        <v>77</v>
      </c>
      <c r="K278" s="13" t="s">
        <v>122</v>
      </c>
      <c r="L278" s="13" t="s">
        <v>79</v>
      </c>
      <c r="M278" s="13" t="s">
        <v>80</v>
      </c>
      <c r="N278" s="13" t="s">
        <v>79</v>
      </c>
      <c r="O278" s="13" t="s">
        <v>487</v>
      </c>
      <c r="P278" s="13" t="s">
        <v>79</v>
      </c>
      <c r="Q278" s="13" t="s">
        <v>83</v>
      </c>
      <c r="R278" s="13" t="s">
        <v>79</v>
      </c>
      <c r="S278" s="13" t="s">
        <v>79</v>
      </c>
      <c r="T278" s="13" t="s">
        <v>148</v>
      </c>
      <c r="U278" s="13" t="s">
        <v>120</v>
      </c>
      <c r="V278" s="13" t="s">
        <v>127</v>
      </c>
      <c r="W278" t="s">
        <v>485</v>
      </c>
      <c r="X278" s="12">
        <v>1.5454545454545454</v>
      </c>
      <c r="Y278" s="12">
        <v>1.6</v>
      </c>
      <c r="Z278" s="12">
        <v>1</v>
      </c>
      <c r="AA278" s="12">
        <v>1.5555555555555556</v>
      </c>
      <c r="AB278" s="12">
        <v>1.6</v>
      </c>
      <c r="AC278" s="12">
        <v>1.3333333333333333</v>
      </c>
      <c r="AD278" s="12">
        <v>1.4390572390572391</v>
      </c>
    </row>
    <row r="279" spans="1:30" x14ac:dyDescent="0.3">
      <c r="A279" s="13">
        <v>21</v>
      </c>
      <c r="B279" s="13" t="s">
        <v>70</v>
      </c>
      <c r="C279" s="13" t="s">
        <v>157</v>
      </c>
      <c r="D279" s="13" t="s">
        <v>97</v>
      </c>
      <c r="E279" s="13" t="s">
        <v>108</v>
      </c>
      <c r="F279" s="13" t="s">
        <v>74</v>
      </c>
      <c r="G279" s="13" t="s">
        <v>440</v>
      </c>
      <c r="H279" s="13" t="s">
        <v>74</v>
      </c>
      <c r="I279" s="13" t="s">
        <v>166</v>
      </c>
      <c r="J279" s="13" t="s">
        <v>77</v>
      </c>
      <c r="K279" s="13" t="s">
        <v>122</v>
      </c>
      <c r="L279" s="13" t="s">
        <v>79</v>
      </c>
      <c r="M279" s="13" t="s">
        <v>102</v>
      </c>
      <c r="N279" s="13" t="s">
        <v>79</v>
      </c>
      <c r="O279" s="13" t="s">
        <v>489</v>
      </c>
      <c r="P279" s="13" t="s">
        <v>82</v>
      </c>
      <c r="Q279" s="13" t="s">
        <v>83</v>
      </c>
      <c r="R279" s="13" t="s">
        <v>82</v>
      </c>
      <c r="S279" s="13" t="s">
        <v>79</v>
      </c>
      <c r="T279" s="13" t="s">
        <v>106</v>
      </c>
      <c r="U279" s="13" t="s">
        <v>141</v>
      </c>
      <c r="V279" s="13" t="s">
        <v>160</v>
      </c>
      <c r="W279" t="s">
        <v>485</v>
      </c>
      <c r="X279" s="12">
        <v>1.1818181818181819</v>
      </c>
      <c r="Y279" s="12">
        <v>1.2</v>
      </c>
      <c r="Z279" s="12">
        <v>1.3333333333333333</v>
      </c>
      <c r="AA279" s="12">
        <v>1.1111111111111112</v>
      </c>
      <c r="AB279" s="12">
        <v>1.6</v>
      </c>
      <c r="AC279" s="12">
        <v>1.3333333333333333</v>
      </c>
      <c r="AD279" s="12">
        <v>1.2932659932659931</v>
      </c>
    </row>
    <row r="280" spans="1:30" x14ac:dyDescent="0.3">
      <c r="A280" s="13">
        <v>23</v>
      </c>
      <c r="B280" s="13" t="s">
        <v>70</v>
      </c>
      <c r="C280" s="13" t="s">
        <v>96</v>
      </c>
      <c r="D280" s="13" t="s">
        <v>72</v>
      </c>
      <c r="E280" s="13" t="s">
        <v>114</v>
      </c>
      <c r="F280" s="13" t="s">
        <v>98</v>
      </c>
      <c r="G280" s="13" t="s">
        <v>440</v>
      </c>
      <c r="H280" s="13" t="s">
        <v>98</v>
      </c>
      <c r="I280" s="13" t="s">
        <v>76</v>
      </c>
      <c r="J280" s="13" t="s">
        <v>77</v>
      </c>
      <c r="K280" s="13" t="s">
        <v>125</v>
      </c>
      <c r="L280" s="13" t="s">
        <v>79</v>
      </c>
      <c r="M280" s="13" t="s">
        <v>80</v>
      </c>
      <c r="N280" s="13" t="s">
        <v>79</v>
      </c>
      <c r="O280" s="13" t="s">
        <v>490</v>
      </c>
      <c r="P280" s="13" t="s">
        <v>82</v>
      </c>
      <c r="Q280" s="13" t="s">
        <v>103</v>
      </c>
      <c r="R280" s="13" t="s">
        <v>82</v>
      </c>
      <c r="S280" s="13" t="s">
        <v>82</v>
      </c>
      <c r="T280" s="13" t="s">
        <v>106</v>
      </c>
      <c r="U280" s="13" t="s">
        <v>87</v>
      </c>
      <c r="V280" s="13" t="s">
        <v>112</v>
      </c>
      <c r="W280" t="s">
        <v>486</v>
      </c>
      <c r="X280" s="12">
        <v>1.0909090909090908</v>
      </c>
      <c r="Y280" s="12">
        <v>1.2</v>
      </c>
      <c r="Z280" s="12">
        <v>1</v>
      </c>
      <c r="AA280" s="12">
        <v>1.1111111111111112</v>
      </c>
      <c r="AB280" s="12">
        <v>1.6</v>
      </c>
      <c r="AC280" s="12">
        <v>1.3333333333333333</v>
      </c>
      <c r="AD280" s="12">
        <v>1.2225589225589224</v>
      </c>
    </row>
    <row r="281" spans="1:30" x14ac:dyDescent="0.3">
      <c r="A281" s="13">
        <v>21</v>
      </c>
      <c r="B281" s="13" t="s">
        <v>70</v>
      </c>
      <c r="C281" s="13" t="s">
        <v>96</v>
      </c>
      <c r="D281" s="13" t="s">
        <v>72</v>
      </c>
      <c r="E281" s="13" t="s">
        <v>114</v>
      </c>
      <c r="F281" s="13" t="s">
        <v>98</v>
      </c>
      <c r="G281" s="13" t="s">
        <v>439</v>
      </c>
      <c r="H281" s="13" t="s">
        <v>165</v>
      </c>
      <c r="I281" s="13" t="s">
        <v>76</v>
      </c>
      <c r="J281" s="13" t="s">
        <v>101</v>
      </c>
      <c r="K281" s="13" t="s">
        <v>125</v>
      </c>
      <c r="L281" s="13" t="s">
        <v>79</v>
      </c>
      <c r="M281" s="13" t="s">
        <v>102</v>
      </c>
      <c r="N281" s="13" t="s">
        <v>82</v>
      </c>
      <c r="O281" s="13" t="s">
        <v>487</v>
      </c>
      <c r="P281" s="13" t="s">
        <v>82</v>
      </c>
      <c r="Q281" s="13" t="s">
        <v>103</v>
      </c>
      <c r="R281" s="13" t="s">
        <v>82</v>
      </c>
      <c r="S281" s="13" t="s">
        <v>82</v>
      </c>
      <c r="T281" s="13" t="s">
        <v>106</v>
      </c>
      <c r="U281" s="13" t="s">
        <v>87</v>
      </c>
      <c r="V281" s="13" t="s">
        <v>457</v>
      </c>
      <c r="W281" t="s">
        <v>486</v>
      </c>
      <c r="X281" s="12">
        <v>2.7272727272727271</v>
      </c>
      <c r="Y281" s="12">
        <v>2.4</v>
      </c>
      <c r="Z281" s="12">
        <v>1.6666666666666667</v>
      </c>
      <c r="AA281" s="12">
        <v>2.2222222222222223</v>
      </c>
      <c r="AB281" s="12">
        <v>1.4</v>
      </c>
      <c r="AC281" s="12">
        <v>1.3333333333333333</v>
      </c>
      <c r="AD281" s="12">
        <v>1.9582491582491584</v>
      </c>
    </row>
    <row r="282" spans="1:30" x14ac:dyDescent="0.3">
      <c r="A282" s="13">
        <v>23</v>
      </c>
      <c r="B282" s="13" t="s">
        <v>70</v>
      </c>
      <c r="C282" s="13" t="s">
        <v>113</v>
      </c>
      <c r="D282" s="13" t="s">
        <v>72</v>
      </c>
      <c r="E282" s="13" t="s">
        <v>108</v>
      </c>
      <c r="F282" s="13" t="s">
        <v>136</v>
      </c>
      <c r="G282" s="13" t="s">
        <v>439</v>
      </c>
      <c r="H282" s="13" t="s">
        <v>98</v>
      </c>
      <c r="I282" s="13" t="s">
        <v>76</v>
      </c>
      <c r="J282" s="13" t="s">
        <v>77</v>
      </c>
      <c r="K282" s="13" t="s">
        <v>122</v>
      </c>
      <c r="L282" s="13" t="s">
        <v>79</v>
      </c>
      <c r="M282" s="13" t="s">
        <v>80</v>
      </c>
      <c r="N282" s="13" t="s">
        <v>79</v>
      </c>
      <c r="O282" s="13" t="s">
        <v>487</v>
      </c>
      <c r="P282" s="13" t="s">
        <v>79</v>
      </c>
      <c r="Q282" s="13" t="s">
        <v>118</v>
      </c>
      <c r="R282" s="13" t="s">
        <v>79</v>
      </c>
      <c r="S282" s="13" t="s">
        <v>79</v>
      </c>
      <c r="T282" s="13" t="s">
        <v>106</v>
      </c>
      <c r="U282" s="13" t="s">
        <v>87</v>
      </c>
      <c r="V282" s="13" t="s">
        <v>112</v>
      </c>
      <c r="W282" t="s">
        <v>486</v>
      </c>
      <c r="X282" s="12">
        <v>1.5454545454545454</v>
      </c>
      <c r="Y282" s="12">
        <v>1.4</v>
      </c>
      <c r="Z282" s="12">
        <v>1.3333333333333333</v>
      </c>
      <c r="AA282" s="12">
        <v>1.7777777777777777</v>
      </c>
      <c r="AB282" s="12">
        <v>1.4</v>
      </c>
      <c r="AC282" s="12">
        <v>1.3333333333333333</v>
      </c>
      <c r="AD282" s="12">
        <v>1.4649831649831651</v>
      </c>
    </row>
    <row r="283" spans="1:30" x14ac:dyDescent="0.3">
      <c r="A283" s="13">
        <v>22</v>
      </c>
      <c r="B283" s="13" t="s">
        <v>70</v>
      </c>
      <c r="C283" s="13" t="s">
        <v>113</v>
      </c>
      <c r="D283" s="13" t="s">
        <v>72</v>
      </c>
      <c r="E283" s="13" t="s">
        <v>114</v>
      </c>
      <c r="F283" s="13" t="s">
        <v>136</v>
      </c>
      <c r="G283" s="13" t="s">
        <v>440</v>
      </c>
      <c r="H283" s="13" t="s">
        <v>136</v>
      </c>
      <c r="I283" s="13" t="s">
        <v>76</v>
      </c>
      <c r="J283" s="13" t="s">
        <v>77</v>
      </c>
      <c r="K283" s="13" t="s">
        <v>122</v>
      </c>
      <c r="L283" s="13" t="s">
        <v>82</v>
      </c>
      <c r="M283" s="13" t="s">
        <v>102</v>
      </c>
      <c r="N283" s="13" t="s">
        <v>79</v>
      </c>
      <c r="O283" s="13" t="s">
        <v>490</v>
      </c>
      <c r="P283" s="13" t="s">
        <v>82</v>
      </c>
      <c r="Q283" s="13" t="s">
        <v>83</v>
      </c>
      <c r="R283" s="13" t="s">
        <v>79</v>
      </c>
      <c r="S283" s="13" t="s">
        <v>79</v>
      </c>
      <c r="T283" s="13" t="s">
        <v>86</v>
      </c>
      <c r="U283" s="13" t="s">
        <v>87</v>
      </c>
      <c r="V283" s="13" t="s">
        <v>457</v>
      </c>
      <c r="W283" t="s">
        <v>486</v>
      </c>
      <c r="X283" s="12">
        <v>1.4545454545454546</v>
      </c>
      <c r="Y283" s="12">
        <v>1.4</v>
      </c>
      <c r="Z283" s="12">
        <v>1</v>
      </c>
      <c r="AA283" s="12">
        <v>1.7777777777777777</v>
      </c>
      <c r="AB283" s="12">
        <v>1.4</v>
      </c>
      <c r="AC283" s="12">
        <v>1.3333333333333333</v>
      </c>
      <c r="AD283" s="12">
        <v>1.3942760942760943</v>
      </c>
    </row>
    <row r="284" spans="1:30" x14ac:dyDescent="0.3">
      <c r="A284" s="13">
        <v>23</v>
      </c>
      <c r="B284" s="13" t="s">
        <v>70</v>
      </c>
      <c r="C284" s="13" t="s">
        <v>96</v>
      </c>
      <c r="D284" s="13" t="s">
        <v>72</v>
      </c>
      <c r="E284" s="13" t="s">
        <v>108</v>
      </c>
      <c r="F284" s="13" t="s">
        <v>100</v>
      </c>
      <c r="G284" s="13" t="s">
        <v>440</v>
      </c>
      <c r="H284" s="13" t="s">
        <v>100</v>
      </c>
      <c r="I284" s="13" t="s">
        <v>76</v>
      </c>
      <c r="J284" s="13" t="s">
        <v>77</v>
      </c>
      <c r="K284" s="13" t="s">
        <v>122</v>
      </c>
      <c r="L284" s="13" t="s">
        <v>79</v>
      </c>
      <c r="M284" s="13" t="s">
        <v>80</v>
      </c>
      <c r="N284" s="13" t="s">
        <v>79</v>
      </c>
      <c r="O284" s="13" t="s">
        <v>487</v>
      </c>
      <c r="P284" s="13" t="s">
        <v>79</v>
      </c>
      <c r="Q284" s="13" t="s">
        <v>83</v>
      </c>
      <c r="R284" s="13" t="s">
        <v>79</v>
      </c>
      <c r="S284" s="13" t="s">
        <v>79</v>
      </c>
      <c r="T284" s="13" t="s">
        <v>86</v>
      </c>
      <c r="U284" s="13" t="s">
        <v>120</v>
      </c>
      <c r="V284" s="13" t="s">
        <v>127</v>
      </c>
      <c r="W284" t="s">
        <v>486</v>
      </c>
      <c r="X284" s="12">
        <v>1.6363636363636365</v>
      </c>
      <c r="Y284" s="12">
        <v>2</v>
      </c>
      <c r="Z284" s="12">
        <v>3</v>
      </c>
      <c r="AA284" s="12">
        <v>1.6666666666666667</v>
      </c>
      <c r="AB284" s="12">
        <v>1.4</v>
      </c>
      <c r="AC284" s="12">
        <v>1.3333333333333333</v>
      </c>
      <c r="AD284" s="12">
        <v>1.8393939393939396</v>
      </c>
    </row>
    <row r="285" spans="1:30" x14ac:dyDescent="0.3">
      <c r="A285" s="13">
        <v>23</v>
      </c>
      <c r="B285" s="13" t="s">
        <v>70</v>
      </c>
      <c r="C285" s="13" t="s">
        <v>113</v>
      </c>
      <c r="D285" s="13" t="s">
        <v>72</v>
      </c>
      <c r="E285" s="13" t="s">
        <v>114</v>
      </c>
      <c r="F285" s="13" t="s">
        <v>74</v>
      </c>
      <c r="G285" s="13" t="s">
        <v>439</v>
      </c>
      <c r="H285" s="13" t="s">
        <v>98</v>
      </c>
      <c r="I285" s="13" t="s">
        <v>76</v>
      </c>
      <c r="J285" s="13" t="s">
        <v>77</v>
      </c>
      <c r="K285" s="13" t="s">
        <v>78</v>
      </c>
      <c r="L285" s="13" t="s">
        <v>79</v>
      </c>
      <c r="M285" s="13" t="s">
        <v>80</v>
      </c>
      <c r="N285" s="13" t="s">
        <v>79</v>
      </c>
      <c r="O285" s="13" t="s">
        <v>487</v>
      </c>
      <c r="P285" s="13" t="s">
        <v>79</v>
      </c>
      <c r="Q285" s="13" t="s">
        <v>83</v>
      </c>
      <c r="R285" s="13" t="s">
        <v>79</v>
      </c>
      <c r="S285" s="13" t="s">
        <v>79</v>
      </c>
      <c r="T285" s="13" t="s">
        <v>86</v>
      </c>
      <c r="U285" s="13" t="s">
        <v>141</v>
      </c>
      <c r="V285" s="13" t="s">
        <v>127</v>
      </c>
      <c r="W285" t="s">
        <v>486</v>
      </c>
      <c r="X285" s="12">
        <v>1.3636363636363635</v>
      </c>
      <c r="Y285" s="12">
        <v>1.4</v>
      </c>
      <c r="Z285" s="12">
        <v>1.3333333333333333</v>
      </c>
      <c r="AA285" s="12">
        <v>1.6666666666666667</v>
      </c>
      <c r="AB285" s="12">
        <v>1.4</v>
      </c>
      <c r="AC285" s="12">
        <v>1.3333333333333333</v>
      </c>
      <c r="AD285" s="12">
        <v>1.4161616161616164</v>
      </c>
    </row>
    <row r="286" spans="1:30" x14ac:dyDescent="0.3">
      <c r="A286" s="13">
        <v>23</v>
      </c>
      <c r="B286" s="13" t="s">
        <v>70</v>
      </c>
      <c r="C286" s="13" t="s">
        <v>113</v>
      </c>
      <c r="D286" s="13" t="s">
        <v>72</v>
      </c>
      <c r="E286" s="13" t="s">
        <v>73</v>
      </c>
      <c r="F286" s="13" t="s">
        <v>100</v>
      </c>
      <c r="G286" s="13" t="s">
        <v>439</v>
      </c>
      <c r="H286" s="13" t="s">
        <v>100</v>
      </c>
      <c r="I286" s="13" t="s">
        <v>76</v>
      </c>
      <c r="J286" s="13" t="s">
        <v>101</v>
      </c>
      <c r="K286" s="13" t="s">
        <v>122</v>
      </c>
      <c r="L286" s="13" t="s">
        <v>79</v>
      </c>
      <c r="M286" s="13" t="s">
        <v>80</v>
      </c>
      <c r="N286" s="13" t="s">
        <v>79</v>
      </c>
      <c r="O286" s="13" t="s">
        <v>487</v>
      </c>
      <c r="P286" s="13" t="s">
        <v>79</v>
      </c>
      <c r="Q286" s="13" t="s">
        <v>83</v>
      </c>
      <c r="R286" s="13" t="s">
        <v>79</v>
      </c>
      <c r="S286" s="13" t="s">
        <v>79</v>
      </c>
      <c r="T286" s="13" t="s">
        <v>86</v>
      </c>
      <c r="U286" s="13" t="s">
        <v>120</v>
      </c>
      <c r="V286" s="13" t="s">
        <v>112</v>
      </c>
      <c r="W286" t="s">
        <v>485</v>
      </c>
      <c r="X286" s="12">
        <v>1.3636363636363635</v>
      </c>
      <c r="Y286" s="12">
        <v>1.4</v>
      </c>
      <c r="Z286" s="12">
        <v>1</v>
      </c>
      <c r="AA286" s="12">
        <v>1.6666666666666667</v>
      </c>
      <c r="AB286" s="12">
        <v>1.4</v>
      </c>
      <c r="AC286" s="12">
        <v>1.3333333333333333</v>
      </c>
      <c r="AD286" s="12">
        <v>1.3606060606060606</v>
      </c>
    </row>
    <row r="287" spans="1:30" x14ac:dyDescent="0.3">
      <c r="A287" s="13">
        <v>20</v>
      </c>
      <c r="B287" s="13" t="s">
        <v>70</v>
      </c>
      <c r="C287" s="13" t="s">
        <v>157</v>
      </c>
      <c r="D287" s="13" t="s">
        <v>72</v>
      </c>
      <c r="E287" s="13" t="s">
        <v>114</v>
      </c>
      <c r="F287" s="13" t="s">
        <v>100</v>
      </c>
      <c r="G287" s="13" t="s">
        <v>438</v>
      </c>
      <c r="H287" s="13" t="s">
        <v>165</v>
      </c>
      <c r="I287" s="13" t="s">
        <v>76</v>
      </c>
      <c r="J287" s="13" t="s">
        <v>101</v>
      </c>
      <c r="K287" s="13" t="s">
        <v>125</v>
      </c>
      <c r="L287" s="13" t="s">
        <v>79</v>
      </c>
      <c r="M287" s="13" t="s">
        <v>80</v>
      </c>
      <c r="N287" s="13" t="s">
        <v>79</v>
      </c>
      <c r="O287" s="13" t="s">
        <v>488</v>
      </c>
      <c r="P287" s="13" t="s">
        <v>82</v>
      </c>
      <c r="Q287" s="13" t="s">
        <v>83</v>
      </c>
      <c r="R287" s="13" t="s">
        <v>79</v>
      </c>
      <c r="S287" s="13" t="s">
        <v>82</v>
      </c>
      <c r="T287" s="13" t="s">
        <v>106</v>
      </c>
      <c r="U287" s="13" t="s">
        <v>141</v>
      </c>
      <c r="V287" s="13" t="s">
        <v>112</v>
      </c>
      <c r="W287" t="s">
        <v>485</v>
      </c>
      <c r="X287" s="12">
        <v>1.2727272727272727</v>
      </c>
      <c r="Y287" s="12">
        <v>1.2</v>
      </c>
      <c r="Z287" s="12">
        <v>1</v>
      </c>
      <c r="AA287" s="12">
        <v>1.6666666666666667</v>
      </c>
      <c r="AB287" s="12">
        <v>1.4</v>
      </c>
      <c r="AC287" s="12">
        <v>1.3333333333333333</v>
      </c>
      <c r="AD287" s="12">
        <v>1.312121212121212</v>
      </c>
    </row>
    <row r="288" spans="1:30" x14ac:dyDescent="0.3">
      <c r="A288" s="13">
        <v>22</v>
      </c>
      <c r="B288" s="13" t="s">
        <v>70</v>
      </c>
      <c r="C288" s="13" t="s">
        <v>113</v>
      </c>
      <c r="D288" s="13" t="s">
        <v>72</v>
      </c>
      <c r="E288" s="13" t="s">
        <v>73</v>
      </c>
      <c r="F288" s="13" t="s">
        <v>136</v>
      </c>
      <c r="G288" s="13" t="s">
        <v>440</v>
      </c>
      <c r="H288" s="13" t="s">
        <v>136</v>
      </c>
      <c r="I288" s="13" t="s">
        <v>76</v>
      </c>
      <c r="J288" s="13" t="s">
        <v>101</v>
      </c>
      <c r="K288" s="13" t="s">
        <v>122</v>
      </c>
      <c r="L288" s="13" t="s">
        <v>79</v>
      </c>
      <c r="M288" s="13" t="s">
        <v>80</v>
      </c>
      <c r="N288" s="13" t="s">
        <v>79</v>
      </c>
      <c r="O288" s="13" t="s">
        <v>488</v>
      </c>
      <c r="P288" s="13" t="s">
        <v>79</v>
      </c>
      <c r="Q288" s="13" t="s">
        <v>83</v>
      </c>
      <c r="R288" s="13" t="s">
        <v>79</v>
      </c>
      <c r="S288" s="13" t="s">
        <v>82</v>
      </c>
      <c r="T288" s="13" t="s">
        <v>86</v>
      </c>
      <c r="U288" s="13" t="s">
        <v>141</v>
      </c>
      <c r="V288" s="13" t="s">
        <v>112</v>
      </c>
      <c r="W288" t="s">
        <v>486</v>
      </c>
      <c r="X288" s="12">
        <v>1.7272727272727273</v>
      </c>
      <c r="Y288" s="12">
        <v>1.8</v>
      </c>
      <c r="Z288" s="12">
        <v>2</v>
      </c>
      <c r="AA288" s="12">
        <v>1.5555555555555556</v>
      </c>
      <c r="AB288" s="12">
        <v>1.4</v>
      </c>
      <c r="AC288" s="12">
        <v>1.3333333333333333</v>
      </c>
      <c r="AD288" s="12">
        <v>1.6360269360269362</v>
      </c>
    </row>
    <row r="289" spans="1:30" x14ac:dyDescent="0.3">
      <c r="A289" s="13">
        <v>20</v>
      </c>
      <c r="B289" s="13" t="s">
        <v>70</v>
      </c>
      <c r="C289" s="13" t="s">
        <v>96</v>
      </c>
      <c r="D289" s="13" t="s">
        <v>97</v>
      </c>
      <c r="E289" s="13" t="s">
        <v>73</v>
      </c>
      <c r="F289" s="13" t="s">
        <v>98</v>
      </c>
      <c r="G289" s="13" t="s">
        <v>440</v>
      </c>
      <c r="H289" s="13" t="s">
        <v>100</v>
      </c>
      <c r="I289" s="13" t="s">
        <v>76</v>
      </c>
      <c r="J289" s="13" t="s">
        <v>77</v>
      </c>
      <c r="K289" s="13" t="s">
        <v>122</v>
      </c>
      <c r="L289" s="13" t="s">
        <v>79</v>
      </c>
      <c r="M289" s="13" t="s">
        <v>80</v>
      </c>
      <c r="N289" s="13" t="s">
        <v>79</v>
      </c>
      <c r="O289" s="13" t="s">
        <v>487</v>
      </c>
      <c r="P289" s="13" t="s">
        <v>79</v>
      </c>
      <c r="Q289" s="13" t="s">
        <v>83</v>
      </c>
      <c r="R289" s="13" t="s">
        <v>79</v>
      </c>
      <c r="S289" s="13" t="s">
        <v>79</v>
      </c>
      <c r="T289" s="13" t="s">
        <v>86</v>
      </c>
      <c r="U289" s="13" t="s">
        <v>141</v>
      </c>
      <c r="V289" s="13" t="s">
        <v>112</v>
      </c>
      <c r="W289" t="s">
        <v>486</v>
      </c>
      <c r="X289" s="12">
        <v>1.3636363636363635</v>
      </c>
      <c r="Y289" s="12">
        <v>1.4</v>
      </c>
      <c r="Z289" s="12">
        <v>1.6666666666666667</v>
      </c>
      <c r="AA289" s="12">
        <v>1.5555555555555556</v>
      </c>
      <c r="AB289" s="12">
        <v>1.4</v>
      </c>
      <c r="AC289" s="12">
        <v>1.3333333333333333</v>
      </c>
      <c r="AD289" s="12">
        <v>1.4531986531986532</v>
      </c>
    </row>
    <row r="290" spans="1:30" x14ac:dyDescent="0.3">
      <c r="A290" s="13">
        <v>22</v>
      </c>
      <c r="B290" s="13" t="s">
        <v>70</v>
      </c>
      <c r="C290" s="13" t="s">
        <v>157</v>
      </c>
      <c r="D290" s="13" t="s">
        <v>72</v>
      </c>
      <c r="E290" s="13" t="s">
        <v>114</v>
      </c>
      <c r="F290" s="13" t="s">
        <v>165</v>
      </c>
      <c r="G290" s="13" t="s">
        <v>440</v>
      </c>
      <c r="H290" s="13" t="s">
        <v>165</v>
      </c>
      <c r="I290" s="13" t="s">
        <v>76</v>
      </c>
      <c r="J290" s="13" t="s">
        <v>77</v>
      </c>
      <c r="K290" s="13" t="s">
        <v>125</v>
      </c>
      <c r="L290" s="13" t="s">
        <v>79</v>
      </c>
      <c r="M290" s="13" t="s">
        <v>80</v>
      </c>
      <c r="N290" s="13" t="s">
        <v>79</v>
      </c>
      <c r="O290" s="13" t="s">
        <v>488</v>
      </c>
      <c r="P290" s="13" t="s">
        <v>79</v>
      </c>
      <c r="Q290" s="13" t="s">
        <v>83</v>
      </c>
      <c r="R290" s="13" t="s">
        <v>79</v>
      </c>
      <c r="S290" s="13" t="s">
        <v>79</v>
      </c>
      <c r="T290" s="13" t="s">
        <v>106</v>
      </c>
      <c r="U290" s="13" t="s">
        <v>141</v>
      </c>
      <c r="V290" s="13" t="s">
        <v>112</v>
      </c>
      <c r="W290" t="s">
        <v>485</v>
      </c>
      <c r="X290" s="12">
        <v>1.4545454545454546</v>
      </c>
      <c r="Y290" s="12">
        <v>1.4</v>
      </c>
      <c r="Z290" s="12">
        <v>1.3333333333333333</v>
      </c>
      <c r="AA290" s="12">
        <v>1.5555555555555556</v>
      </c>
      <c r="AB290" s="12">
        <v>1.4</v>
      </c>
      <c r="AC290" s="12">
        <v>1.3333333333333333</v>
      </c>
      <c r="AD290" s="12">
        <v>1.4127946127946129</v>
      </c>
    </row>
    <row r="291" spans="1:30" x14ac:dyDescent="0.3">
      <c r="A291" s="13">
        <v>27</v>
      </c>
      <c r="B291" s="13" t="s">
        <v>70</v>
      </c>
      <c r="C291" s="13" t="s">
        <v>153</v>
      </c>
      <c r="D291" s="13" t="s">
        <v>72</v>
      </c>
      <c r="E291" s="13" t="s">
        <v>114</v>
      </c>
      <c r="F291" s="13" t="s">
        <v>136</v>
      </c>
      <c r="G291" s="13" t="s">
        <v>99</v>
      </c>
      <c r="H291" s="13" t="s">
        <v>98</v>
      </c>
      <c r="I291" s="13" t="s">
        <v>76</v>
      </c>
      <c r="J291" s="13" t="s">
        <v>101</v>
      </c>
      <c r="K291" s="13" t="s">
        <v>125</v>
      </c>
      <c r="L291" s="13" t="s">
        <v>79</v>
      </c>
      <c r="M291" s="13" t="s">
        <v>80</v>
      </c>
      <c r="N291" s="13" t="s">
        <v>79</v>
      </c>
      <c r="O291" s="13" t="s">
        <v>489</v>
      </c>
      <c r="P291" s="13" t="s">
        <v>79</v>
      </c>
      <c r="Q291" s="13" t="s">
        <v>103</v>
      </c>
      <c r="R291" s="13" t="s">
        <v>79</v>
      </c>
      <c r="S291" s="13" t="s">
        <v>82</v>
      </c>
      <c r="T291" s="13" t="s">
        <v>106</v>
      </c>
      <c r="U291" s="13" t="s">
        <v>141</v>
      </c>
      <c r="V291" s="13" t="s">
        <v>112</v>
      </c>
      <c r="W291" t="s">
        <v>486</v>
      </c>
      <c r="X291" s="12">
        <v>1.6363636363636365</v>
      </c>
      <c r="Y291" s="12">
        <v>1.4</v>
      </c>
      <c r="Z291" s="12">
        <v>0.33333333333333331</v>
      </c>
      <c r="AA291" s="12">
        <v>1.5555555555555556</v>
      </c>
      <c r="AB291" s="12">
        <v>1.4</v>
      </c>
      <c r="AC291" s="12">
        <v>1.3333333333333333</v>
      </c>
      <c r="AD291" s="12">
        <v>1.2764309764309762</v>
      </c>
    </row>
    <row r="292" spans="1:30" x14ac:dyDescent="0.3">
      <c r="A292" s="13">
        <v>22</v>
      </c>
      <c r="B292" s="13" t="s">
        <v>128</v>
      </c>
      <c r="C292" s="13" t="s">
        <v>96</v>
      </c>
      <c r="D292" s="13" t="s">
        <v>72</v>
      </c>
      <c r="E292" s="13" t="s">
        <v>114</v>
      </c>
      <c r="F292" s="13" t="s">
        <v>136</v>
      </c>
      <c r="G292" s="13" t="s">
        <v>440</v>
      </c>
      <c r="H292" s="13" t="s">
        <v>100</v>
      </c>
      <c r="I292" s="13" t="s">
        <v>166</v>
      </c>
      <c r="J292" s="13" t="s">
        <v>77</v>
      </c>
      <c r="K292" s="13" t="s">
        <v>122</v>
      </c>
      <c r="L292" s="13" t="s">
        <v>79</v>
      </c>
      <c r="M292" s="13" t="s">
        <v>80</v>
      </c>
      <c r="N292" s="13" t="s">
        <v>79</v>
      </c>
      <c r="O292" s="13" t="s">
        <v>487</v>
      </c>
      <c r="P292" s="13" t="s">
        <v>79</v>
      </c>
      <c r="Q292" s="13" t="s">
        <v>83</v>
      </c>
      <c r="R292" s="13" t="s">
        <v>79</v>
      </c>
      <c r="S292" s="13" t="s">
        <v>79</v>
      </c>
      <c r="T292" s="13" t="s">
        <v>148</v>
      </c>
      <c r="U292" s="13" t="s">
        <v>120</v>
      </c>
      <c r="V292" s="13" t="s">
        <v>112</v>
      </c>
      <c r="W292" t="s">
        <v>486</v>
      </c>
      <c r="X292" s="12">
        <v>1.7272727272727273</v>
      </c>
      <c r="Y292" s="12">
        <v>1.6</v>
      </c>
      <c r="Z292" s="12">
        <v>1.6666666666666667</v>
      </c>
      <c r="AA292" s="12">
        <v>1.4444444444444444</v>
      </c>
      <c r="AB292" s="12">
        <v>1.4</v>
      </c>
      <c r="AC292" s="12">
        <v>1.3333333333333333</v>
      </c>
      <c r="AD292" s="12">
        <v>1.5286195286195288</v>
      </c>
    </row>
    <row r="293" spans="1:30" x14ac:dyDescent="0.3">
      <c r="A293" s="13">
        <v>23</v>
      </c>
      <c r="B293" s="13" t="s">
        <v>70</v>
      </c>
      <c r="C293" s="13" t="s">
        <v>113</v>
      </c>
      <c r="D293" s="13" t="s">
        <v>149</v>
      </c>
      <c r="E293" s="13" t="s">
        <v>73</v>
      </c>
      <c r="F293" s="13" t="s">
        <v>98</v>
      </c>
      <c r="G293" s="13" t="s">
        <v>440</v>
      </c>
      <c r="H293" s="13" t="s">
        <v>98</v>
      </c>
      <c r="I293" s="13" t="s">
        <v>439</v>
      </c>
      <c r="J293" s="13" t="s">
        <v>77</v>
      </c>
      <c r="K293" s="13" t="s">
        <v>122</v>
      </c>
      <c r="L293" s="13" t="s">
        <v>79</v>
      </c>
      <c r="M293" s="13" t="s">
        <v>80</v>
      </c>
      <c r="N293" s="13" t="s">
        <v>79</v>
      </c>
      <c r="O293" s="13" t="s">
        <v>487</v>
      </c>
      <c r="P293" s="13" t="s">
        <v>79</v>
      </c>
      <c r="Q293" s="13" t="s">
        <v>83</v>
      </c>
      <c r="R293" s="13" t="s">
        <v>79</v>
      </c>
      <c r="S293" s="13" t="s">
        <v>79</v>
      </c>
      <c r="T293" s="13" t="s">
        <v>148</v>
      </c>
      <c r="U293" s="13" t="s">
        <v>141</v>
      </c>
      <c r="V293" s="13" t="s">
        <v>127</v>
      </c>
      <c r="W293" t="s">
        <v>486</v>
      </c>
      <c r="X293" s="12">
        <v>1.7272727272727273</v>
      </c>
      <c r="Y293" s="12">
        <v>1.8</v>
      </c>
      <c r="Z293" s="12">
        <v>1.3333333333333333</v>
      </c>
      <c r="AA293" s="12">
        <v>1.4444444444444444</v>
      </c>
      <c r="AB293" s="12">
        <v>1.4</v>
      </c>
      <c r="AC293" s="12">
        <v>1.3333333333333333</v>
      </c>
      <c r="AD293" s="12">
        <v>1.5063973063973064</v>
      </c>
    </row>
    <row r="294" spans="1:30" x14ac:dyDescent="0.3">
      <c r="A294" s="13">
        <v>22</v>
      </c>
      <c r="B294" s="13" t="s">
        <v>128</v>
      </c>
      <c r="C294" s="13" t="s">
        <v>96</v>
      </c>
      <c r="D294" s="13" t="s">
        <v>72</v>
      </c>
      <c r="E294" s="13" t="s">
        <v>114</v>
      </c>
      <c r="F294" s="13" t="s">
        <v>100</v>
      </c>
      <c r="G294" s="13" t="s">
        <v>439</v>
      </c>
      <c r="H294" s="13" t="s">
        <v>100</v>
      </c>
      <c r="I294" s="13" t="s">
        <v>76</v>
      </c>
      <c r="J294" s="13" t="s">
        <v>77</v>
      </c>
      <c r="K294" s="13" t="s">
        <v>125</v>
      </c>
      <c r="L294" s="13" t="s">
        <v>79</v>
      </c>
      <c r="M294" s="13" t="s">
        <v>132</v>
      </c>
      <c r="N294" s="13" t="s">
        <v>79</v>
      </c>
      <c r="O294" s="13" t="s">
        <v>487</v>
      </c>
      <c r="P294" s="13" t="s">
        <v>79</v>
      </c>
      <c r="Q294" s="13" t="s">
        <v>118</v>
      </c>
      <c r="R294" s="13" t="s">
        <v>79</v>
      </c>
      <c r="S294" s="13" t="s">
        <v>79</v>
      </c>
      <c r="T294" s="13" t="s">
        <v>106</v>
      </c>
      <c r="U294" s="13" t="s">
        <v>87</v>
      </c>
      <c r="V294" s="13" t="s">
        <v>455</v>
      </c>
      <c r="W294" t="s">
        <v>486</v>
      </c>
      <c r="X294" s="12">
        <v>1.8181818181818181</v>
      </c>
      <c r="Y294" s="12">
        <v>1.6</v>
      </c>
      <c r="Z294" s="12">
        <v>1.3333333333333333</v>
      </c>
      <c r="AA294" s="12">
        <v>1.4444444444444444</v>
      </c>
      <c r="AB294" s="12">
        <v>1.4</v>
      </c>
      <c r="AC294" s="12">
        <v>1.3333333333333333</v>
      </c>
      <c r="AD294" s="12">
        <v>1.4882154882154881</v>
      </c>
    </row>
    <row r="295" spans="1:30" x14ac:dyDescent="0.3">
      <c r="A295" s="13">
        <v>20</v>
      </c>
      <c r="B295" s="13" t="s">
        <v>70</v>
      </c>
      <c r="C295" s="13" t="s">
        <v>96</v>
      </c>
      <c r="D295" s="13" t="s">
        <v>149</v>
      </c>
      <c r="E295" s="13" t="s">
        <v>73</v>
      </c>
      <c r="F295" s="13" t="s">
        <v>98</v>
      </c>
      <c r="G295" s="13" t="s">
        <v>440</v>
      </c>
      <c r="H295" s="13" t="s">
        <v>100</v>
      </c>
      <c r="I295" s="13" t="s">
        <v>76</v>
      </c>
      <c r="J295" s="13" t="s">
        <v>77</v>
      </c>
      <c r="K295" s="13" t="s">
        <v>122</v>
      </c>
      <c r="L295" s="13" t="s">
        <v>79</v>
      </c>
      <c r="M295" s="13" t="s">
        <v>80</v>
      </c>
      <c r="N295" s="13" t="s">
        <v>79</v>
      </c>
      <c r="O295" s="13" t="s">
        <v>488</v>
      </c>
      <c r="P295" s="13" t="s">
        <v>79</v>
      </c>
      <c r="Q295" s="13" t="s">
        <v>83</v>
      </c>
      <c r="R295" s="13" t="s">
        <v>82</v>
      </c>
      <c r="S295" s="13" t="s">
        <v>82</v>
      </c>
      <c r="T295" s="13" t="s">
        <v>148</v>
      </c>
      <c r="U295" s="13" t="s">
        <v>87</v>
      </c>
      <c r="V295" s="13" t="s">
        <v>112</v>
      </c>
      <c r="W295" t="s">
        <v>486</v>
      </c>
      <c r="X295" s="12">
        <v>1.1818181818181819</v>
      </c>
      <c r="Y295" s="12">
        <v>1.2</v>
      </c>
      <c r="Z295" s="12">
        <v>1.3333333333333333</v>
      </c>
      <c r="AA295" s="12">
        <v>1.4444444444444444</v>
      </c>
      <c r="AB295" s="12">
        <v>1.4</v>
      </c>
      <c r="AC295" s="12">
        <v>1.3333333333333333</v>
      </c>
      <c r="AD295" s="12">
        <v>1.3154882154882155</v>
      </c>
    </row>
    <row r="296" spans="1:30" x14ac:dyDescent="0.3">
      <c r="A296" s="13">
        <v>24</v>
      </c>
      <c r="B296" s="13" t="s">
        <v>70</v>
      </c>
      <c r="C296" s="13" t="s">
        <v>96</v>
      </c>
      <c r="D296" s="13" t="s">
        <v>72</v>
      </c>
      <c r="E296" s="13" t="s">
        <v>73</v>
      </c>
      <c r="F296" s="13" t="s">
        <v>74</v>
      </c>
      <c r="G296" s="13" t="s">
        <v>439</v>
      </c>
      <c r="H296" s="13" t="s">
        <v>136</v>
      </c>
      <c r="I296" s="13" t="s">
        <v>76</v>
      </c>
      <c r="J296" s="13" t="s">
        <v>101</v>
      </c>
      <c r="K296" s="13" t="s">
        <v>125</v>
      </c>
      <c r="L296" s="13" t="s">
        <v>79</v>
      </c>
      <c r="M296" s="13" t="s">
        <v>80</v>
      </c>
      <c r="N296" s="13" t="s">
        <v>79</v>
      </c>
      <c r="O296" s="13" t="s">
        <v>489</v>
      </c>
      <c r="P296" s="13" t="s">
        <v>82</v>
      </c>
      <c r="Q296" s="13" t="s">
        <v>83</v>
      </c>
      <c r="R296" s="13" t="s">
        <v>82</v>
      </c>
      <c r="S296" s="13" t="s">
        <v>82</v>
      </c>
      <c r="T296" s="13" t="s">
        <v>106</v>
      </c>
      <c r="U296" s="13" t="s">
        <v>120</v>
      </c>
      <c r="V296" s="13" t="s">
        <v>112</v>
      </c>
      <c r="W296" t="s">
        <v>486</v>
      </c>
      <c r="X296" s="12">
        <v>1.9090909090909092</v>
      </c>
      <c r="Y296" s="12">
        <v>1.6</v>
      </c>
      <c r="Z296" s="12">
        <v>0.66666666666666663</v>
      </c>
      <c r="AA296" s="12">
        <v>1.4444444444444444</v>
      </c>
      <c r="AB296" s="12">
        <v>1.4</v>
      </c>
      <c r="AC296" s="12">
        <v>1.3333333333333333</v>
      </c>
      <c r="AD296" s="12">
        <v>1.3922558922558925</v>
      </c>
    </row>
    <row r="297" spans="1:30" x14ac:dyDescent="0.3">
      <c r="A297" s="13">
        <v>24</v>
      </c>
      <c r="B297" s="13" t="s">
        <v>128</v>
      </c>
      <c r="C297" s="13" t="s">
        <v>113</v>
      </c>
      <c r="D297" s="13" t="s">
        <v>72</v>
      </c>
      <c r="E297" s="13" t="s">
        <v>108</v>
      </c>
      <c r="F297" s="13" t="s">
        <v>98</v>
      </c>
      <c r="G297" s="13" t="s">
        <v>440</v>
      </c>
      <c r="H297" s="13" t="s">
        <v>100</v>
      </c>
      <c r="I297" s="13" t="s">
        <v>76</v>
      </c>
      <c r="J297" s="13" t="s">
        <v>77</v>
      </c>
      <c r="K297" s="13" t="s">
        <v>122</v>
      </c>
      <c r="L297" s="13" t="s">
        <v>79</v>
      </c>
      <c r="M297" s="13" t="s">
        <v>80</v>
      </c>
      <c r="N297" s="13" t="s">
        <v>79</v>
      </c>
      <c r="O297" s="13" t="s">
        <v>489</v>
      </c>
      <c r="P297" s="13" t="s">
        <v>79</v>
      </c>
      <c r="Q297" s="13" t="s">
        <v>118</v>
      </c>
      <c r="R297" s="13" t="s">
        <v>79</v>
      </c>
      <c r="S297" s="13" t="s">
        <v>79</v>
      </c>
      <c r="T297" s="13" t="s">
        <v>86</v>
      </c>
      <c r="U297" s="13" t="s">
        <v>87</v>
      </c>
      <c r="V297" s="13" t="s">
        <v>127</v>
      </c>
      <c r="W297" t="s">
        <v>486</v>
      </c>
      <c r="X297" s="12">
        <v>1.5454545454545454</v>
      </c>
      <c r="Y297" s="12">
        <v>1.4</v>
      </c>
      <c r="Z297" s="12">
        <v>1</v>
      </c>
      <c r="AA297" s="12">
        <v>1.3333333333333333</v>
      </c>
      <c r="AB297" s="12">
        <v>1.4</v>
      </c>
      <c r="AC297" s="12">
        <v>1.3333333333333333</v>
      </c>
      <c r="AD297" s="12">
        <v>1.3353535353535353</v>
      </c>
    </row>
    <row r="298" spans="1:30" x14ac:dyDescent="0.3">
      <c r="A298" s="13">
        <v>22</v>
      </c>
      <c r="B298" s="13" t="s">
        <v>70</v>
      </c>
      <c r="C298" s="13" t="s">
        <v>96</v>
      </c>
      <c r="D298" s="13" t="s">
        <v>72</v>
      </c>
      <c r="E298" s="13" t="s">
        <v>114</v>
      </c>
      <c r="F298" s="13" t="s">
        <v>136</v>
      </c>
      <c r="G298" s="13" t="s">
        <v>99</v>
      </c>
      <c r="H298" s="13" t="s">
        <v>74</v>
      </c>
      <c r="I298" s="13" t="s">
        <v>439</v>
      </c>
      <c r="J298" s="13" t="s">
        <v>77</v>
      </c>
      <c r="K298" s="13" t="s">
        <v>125</v>
      </c>
      <c r="L298" s="13" t="s">
        <v>79</v>
      </c>
      <c r="M298" s="13" t="s">
        <v>102</v>
      </c>
      <c r="N298" s="13" t="s">
        <v>79</v>
      </c>
      <c r="O298" s="13" t="s">
        <v>487</v>
      </c>
      <c r="P298" s="13" t="s">
        <v>82</v>
      </c>
      <c r="Q298" s="13" t="s">
        <v>83</v>
      </c>
      <c r="R298" s="13" t="s">
        <v>79</v>
      </c>
      <c r="S298" s="13" t="s">
        <v>79</v>
      </c>
      <c r="T298" s="13" t="s">
        <v>106</v>
      </c>
      <c r="U298" s="13" t="s">
        <v>87</v>
      </c>
      <c r="V298" s="13" t="s">
        <v>112</v>
      </c>
      <c r="W298" t="s">
        <v>485</v>
      </c>
      <c r="X298" s="12">
        <v>1.3636363636363635</v>
      </c>
      <c r="Y298" s="12">
        <v>1.2</v>
      </c>
      <c r="Z298" s="12">
        <v>1</v>
      </c>
      <c r="AA298" s="12">
        <v>1.3333333333333333</v>
      </c>
      <c r="AB298" s="12">
        <v>1.4</v>
      </c>
      <c r="AC298" s="12">
        <v>1.3333333333333333</v>
      </c>
      <c r="AD298" s="12">
        <v>1.2717171717171716</v>
      </c>
    </row>
    <row r="299" spans="1:30" x14ac:dyDescent="0.3">
      <c r="A299" s="13">
        <v>20</v>
      </c>
      <c r="B299" s="13" t="s">
        <v>70</v>
      </c>
      <c r="C299" s="13" t="s">
        <v>96</v>
      </c>
      <c r="D299" s="13" t="s">
        <v>97</v>
      </c>
      <c r="E299" s="13" t="s">
        <v>73</v>
      </c>
      <c r="F299" s="13" t="s">
        <v>100</v>
      </c>
      <c r="G299" s="13" t="s">
        <v>440</v>
      </c>
      <c r="H299" s="13" t="s">
        <v>100</v>
      </c>
      <c r="I299" s="13" t="s">
        <v>76</v>
      </c>
      <c r="J299" s="13" t="s">
        <v>77</v>
      </c>
      <c r="K299" s="13" t="s">
        <v>122</v>
      </c>
      <c r="L299" s="13" t="s">
        <v>79</v>
      </c>
      <c r="M299" s="13" t="s">
        <v>102</v>
      </c>
      <c r="N299" s="13" t="s">
        <v>79</v>
      </c>
      <c r="O299" s="13" t="s">
        <v>487</v>
      </c>
      <c r="P299" s="13" t="s">
        <v>79</v>
      </c>
      <c r="Q299" s="13" t="s">
        <v>83</v>
      </c>
      <c r="R299" s="13" t="s">
        <v>82</v>
      </c>
      <c r="S299" s="13" t="s">
        <v>79</v>
      </c>
      <c r="T299" s="13" t="s">
        <v>86</v>
      </c>
      <c r="U299" s="13" t="s">
        <v>141</v>
      </c>
      <c r="V299" s="13" t="s">
        <v>112</v>
      </c>
      <c r="W299" t="s">
        <v>486</v>
      </c>
      <c r="X299" s="12">
        <v>1.3636363636363635</v>
      </c>
      <c r="Y299" s="12">
        <v>1.2</v>
      </c>
      <c r="Z299" s="12">
        <v>1.6666666666666667</v>
      </c>
      <c r="AA299" s="12">
        <v>1.2222222222222223</v>
      </c>
      <c r="AB299" s="12">
        <v>1.4</v>
      </c>
      <c r="AC299" s="12">
        <v>1.3333333333333333</v>
      </c>
      <c r="AD299" s="12">
        <v>1.3643097643097644</v>
      </c>
    </row>
    <row r="300" spans="1:30" x14ac:dyDescent="0.3">
      <c r="A300" s="13">
        <v>22</v>
      </c>
      <c r="B300" s="13" t="s">
        <v>70</v>
      </c>
      <c r="C300" s="13" t="s">
        <v>113</v>
      </c>
      <c r="D300" s="13" t="s">
        <v>72</v>
      </c>
      <c r="E300" s="13" t="s">
        <v>114</v>
      </c>
      <c r="F300" s="13" t="s">
        <v>98</v>
      </c>
      <c r="G300" s="13" t="s">
        <v>99</v>
      </c>
      <c r="H300" s="13" t="s">
        <v>98</v>
      </c>
      <c r="I300" s="13" t="s">
        <v>76</v>
      </c>
      <c r="J300" s="13" t="s">
        <v>77</v>
      </c>
      <c r="K300" s="13" t="s">
        <v>122</v>
      </c>
      <c r="L300" s="13" t="s">
        <v>82</v>
      </c>
      <c r="M300" s="13" t="s">
        <v>80</v>
      </c>
      <c r="N300" s="13" t="s">
        <v>79</v>
      </c>
      <c r="O300" s="13" t="s">
        <v>487</v>
      </c>
      <c r="P300" s="13" t="s">
        <v>82</v>
      </c>
      <c r="Q300" s="13" t="s">
        <v>103</v>
      </c>
      <c r="R300" s="13" t="s">
        <v>82</v>
      </c>
      <c r="S300" s="13" t="s">
        <v>82</v>
      </c>
      <c r="T300" s="13" t="s">
        <v>106</v>
      </c>
      <c r="U300" s="13" t="s">
        <v>87</v>
      </c>
      <c r="V300" s="13" t="s">
        <v>457</v>
      </c>
      <c r="W300" t="s">
        <v>486</v>
      </c>
      <c r="X300" s="12">
        <v>1.1818181818181819</v>
      </c>
      <c r="Y300" s="12">
        <v>1.6</v>
      </c>
      <c r="Z300" s="12">
        <v>1</v>
      </c>
      <c r="AA300" s="12">
        <v>1.2222222222222223</v>
      </c>
      <c r="AB300" s="12">
        <v>1.4</v>
      </c>
      <c r="AC300" s="12">
        <v>1.3333333333333333</v>
      </c>
      <c r="AD300" s="12">
        <v>1.2895622895622896</v>
      </c>
    </row>
    <row r="301" spans="1:30" x14ac:dyDescent="0.3">
      <c r="A301" s="13">
        <v>20</v>
      </c>
      <c r="B301" s="13" t="s">
        <v>70</v>
      </c>
      <c r="C301" s="13" t="s">
        <v>96</v>
      </c>
      <c r="D301" s="13" t="s">
        <v>97</v>
      </c>
      <c r="E301" s="13" t="s">
        <v>73</v>
      </c>
      <c r="F301" s="13" t="s">
        <v>98</v>
      </c>
      <c r="G301" s="13" t="s">
        <v>439</v>
      </c>
      <c r="H301" s="13" t="s">
        <v>100</v>
      </c>
      <c r="I301" s="13" t="s">
        <v>76</v>
      </c>
      <c r="J301" s="13" t="s">
        <v>77</v>
      </c>
      <c r="K301" s="13" t="s">
        <v>125</v>
      </c>
      <c r="L301" s="13" t="s">
        <v>79</v>
      </c>
      <c r="M301" s="13" t="s">
        <v>102</v>
      </c>
      <c r="N301" s="13" t="s">
        <v>79</v>
      </c>
      <c r="O301" s="13" t="s">
        <v>487</v>
      </c>
      <c r="P301" s="13" t="s">
        <v>79</v>
      </c>
      <c r="Q301" s="13" t="s">
        <v>83</v>
      </c>
      <c r="R301" s="13" t="s">
        <v>79</v>
      </c>
      <c r="S301" s="13" t="s">
        <v>82</v>
      </c>
      <c r="T301" s="13" t="s">
        <v>86</v>
      </c>
      <c r="U301" s="13" t="s">
        <v>141</v>
      </c>
      <c r="V301" s="13" t="s">
        <v>112</v>
      </c>
      <c r="W301" t="s">
        <v>486</v>
      </c>
      <c r="X301" s="12">
        <v>1.0909090909090908</v>
      </c>
      <c r="Y301" s="12">
        <v>1.2</v>
      </c>
      <c r="Z301" s="12">
        <v>1</v>
      </c>
      <c r="AA301" s="12">
        <v>1.2222222222222223</v>
      </c>
      <c r="AB301" s="12">
        <v>1.4</v>
      </c>
      <c r="AC301" s="12">
        <v>1.3333333333333333</v>
      </c>
      <c r="AD301" s="12">
        <v>1.2077441077441076</v>
      </c>
    </row>
    <row r="302" spans="1:30" x14ac:dyDescent="0.3">
      <c r="A302" s="13">
        <v>24</v>
      </c>
      <c r="B302" s="13" t="s">
        <v>70</v>
      </c>
      <c r="C302" s="13" t="s">
        <v>157</v>
      </c>
      <c r="D302" s="13" t="s">
        <v>149</v>
      </c>
      <c r="E302" s="13" t="s">
        <v>108</v>
      </c>
      <c r="F302" s="13" t="s">
        <v>98</v>
      </c>
      <c r="G302" s="13" t="s">
        <v>440</v>
      </c>
      <c r="H302" s="13" t="s">
        <v>136</v>
      </c>
      <c r="I302" s="13" t="s">
        <v>76</v>
      </c>
      <c r="J302" s="13" t="s">
        <v>77</v>
      </c>
      <c r="K302" s="13" t="s">
        <v>122</v>
      </c>
      <c r="L302" s="13" t="s">
        <v>79</v>
      </c>
      <c r="M302" s="13" t="s">
        <v>132</v>
      </c>
      <c r="N302" s="13" t="s">
        <v>79</v>
      </c>
      <c r="O302" s="13" t="s">
        <v>489</v>
      </c>
      <c r="P302" s="13" t="s">
        <v>79</v>
      </c>
      <c r="Q302" s="13" t="s">
        <v>83</v>
      </c>
      <c r="R302" s="13" t="s">
        <v>79</v>
      </c>
      <c r="S302" s="13" t="s">
        <v>79</v>
      </c>
      <c r="T302" s="13" t="s">
        <v>86</v>
      </c>
      <c r="U302" s="13" t="s">
        <v>87</v>
      </c>
      <c r="V302" s="13" t="s">
        <v>112</v>
      </c>
      <c r="W302" t="s">
        <v>486</v>
      </c>
      <c r="X302" s="12">
        <v>1.8181818181818181</v>
      </c>
      <c r="Y302" s="12">
        <v>1.6</v>
      </c>
      <c r="Z302" s="12">
        <v>1.3333333333333333</v>
      </c>
      <c r="AA302" s="12">
        <v>1.1111111111111112</v>
      </c>
      <c r="AB302" s="12">
        <v>1.4</v>
      </c>
      <c r="AC302" s="12">
        <v>1.3333333333333333</v>
      </c>
      <c r="AD302" s="12">
        <v>1.4326599326599327</v>
      </c>
    </row>
    <row r="303" spans="1:30" x14ac:dyDescent="0.3">
      <c r="A303" s="13">
        <v>24</v>
      </c>
      <c r="B303" s="13" t="s">
        <v>128</v>
      </c>
      <c r="C303" s="13" t="s">
        <v>113</v>
      </c>
      <c r="D303" s="13" t="s">
        <v>149</v>
      </c>
      <c r="E303" s="13" t="s">
        <v>73</v>
      </c>
      <c r="F303" s="13" t="s">
        <v>98</v>
      </c>
      <c r="G303" s="13" t="s">
        <v>439</v>
      </c>
      <c r="H303" s="13" t="s">
        <v>100</v>
      </c>
      <c r="I303" s="13" t="s">
        <v>439</v>
      </c>
      <c r="J303" s="13" t="s">
        <v>77</v>
      </c>
      <c r="K303" s="13" t="s">
        <v>122</v>
      </c>
      <c r="L303" s="13" t="s">
        <v>79</v>
      </c>
      <c r="M303" s="13" t="s">
        <v>80</v>
      </c>
      <c r="N303" s="13" t="s">
        <v>79</v>
      </c>
      <c r="O303" s="13" t="s">
        <v>487</v>
      </c>
      <c r="P303" s="13" t="s">
        <v>79</v>
      </c>
      <c r="Q303" s="13" t="s">
        <v>118</v>
      </c>
      <c r="R303" s="13" t="s">
        <v>79</v>
      </c>
      <c r="S303" s="13" t="s">
        <v>79</v>
      </c>
      <c r="T303" s="13" t="s">
        <v>86</v>
      </c>
      <c r="U303" s="13" t="s">
        <v>141</v>
      </c>
      <c r="V303" s="13" t="s">
        <v>160</v>
      </c>
      <c r="W303" t="s">
        <v>486</v>
      </c>
      <c r="X303" s="12">
        <v>1.4545454545454546</v>
      </c>
      <c r="Y303" s="12">
        <v>1.6</v>
      </c>
      <c r="Z303" s="12">
        <v>1</v>
      </c>
      <c r="AA303" s="12">
        <v>1.1111111111111112</v>
      </c>
      <c r="AB303" s="12">
        <v>1.4</v>
      </c>
      <c r="AC303" s="12">
        <v>1.3333333333333333</v>
      </c>
      <c r="AD303" s="12">
        <v>1.3164983164983164</v>
      </c>
    </row>
    <row r="304" spans="1:30" x14ac:dyDescent="0.3">
      <c r="A304" s="13">
        <v>22</v>
      </c>
      <c r="B304" s="13" t="s">
        <v>128</v>
      </c>
      <c r="C304" s="13" t="s">
        <v>113</v>
      </c>
      <c r="D304" s="13" t="s">
        <v>72</v>
      </c>
      <c r="E304" s="13" t="s">
        <v>73</v>
      </c>
      <c r="F304" s="13" t="s">
        <v>74</v>
      </c>
      <c r="G304" s="13" t="s">
        <v>99</v>
      </c>
      <c r="H304" s="13" t="s">
        <v>136</v>
      </c>
      <c r="I304" s="13" t="s">
        <v>439</v>
      </c>
      <c r="J304" s="13" t="s">
        <v>101</v>
      </c>
      <c r="K304" s="13" t="s">
        <v>78</v>
      </c>
      <c r="L304" s="13" t="s">
        <v>79</v>
      </c>
      <c r="M304" s="13" t="s">
        <v>80</v>
      </c>
      <c r="N304" s="13" t="s">
        <v>79</v>
      </c>
      <c r="O304" s="13" t="s">
        <v>487</v>
      </c>
      <c r="P304" s="13" t="s">
        <v>82</v>
      </c>
      <c r="Q304" s="13" t="s">
        <v>103</v>
      </c>
      <c r="R304" s="13" t="s">
        <v>82</v>
      </c>
      <c r="S304" s="13" t="s">
        <v>82</v>
      </c>
      <c r="T304" s="13" t="s">
        <v>86</v>
      </c>
      <c r="U304" s="13" t="s">
        <v>120</v>
      </c>
      <c r="V304" s="13" t="s">
        <v>455</v>
      </c>
      <c r="W304" t="s">
        <v>486</v>
      </c>
      <c r="X304" s="12">
        <v>1.2727272727272727</v>
      </c>
      <c r="Y304" s="12">
        <v>1.2</v>
      </c>
      <c r="Z304" s="12">
        <v>1</v>
      </c>
      <c r="AA304" s="12">
        <v>0.88888888888888884</v>
      </c>
      <c r="AB304" s="12">
        <v>1.4</v>
      </c>
      <c r="AC304" s="12">
        <v>1.3333333333333333</v>
      </c>
      <c r="AD304" s="12">
        <v>1.1824915824915825</v>
      </c>
    </row>
    <row r="305" spans="1:30" x14ac:dyDescent="0.3">
      <c r="A305" s="13">
        <v>23</v>
      </c>
      <c r="B305" s="13" t="s">
        <v>70</v>
      </c>
      <c r="C305" s="13" t="s">
        <v>113</v>
      </c>
      <c r="D305" s="13" t="s">
        <v>97</v>
      </c>
      <c r="E305" s="13" t="s">
        <v>108</v>
      </c>
      <c r="F305" s="13" t="s">
        <v>74</v>
      </c>
      <c r="G305" s="13" t="s">
        <v>439</v>
      </c>
      <c r="H305" s="13" t="s">
        <v>136</v>
      </c>
      <c r="I305" s="13" t="s">
        <v>76</v>
      </c>
      <c r="J305" s="13" t="s">
        <v>101</v>
      </c>
      <c r="K305" s="13" t="s">
        <v>78</v>
      </c>
      <c r="L305" s="13" t="s">
        <v>79</v>
      </c>
      <c r="M305" s="13" t="s">
        <v>102</v>
      </c>
      <c r="N305" s="13" t="s">
        <v>79</v>
      </c>
      <c r="O305" s="13" t="s">
        <v>488</v>
      </c>
      <c r="P305" s="13" t="s">
        <v>82</v>
      </c>
      <c r="Q305" s="13" t="s">
        <v>83</v>
      </c>
      <c r="R305" s="13" t="s">
        <v>82</v>
      </c>
      <c r="S305" s="13" t="s">
        <v>79</v>
      </c>
      <c r="T305" s="13" t="s">
        <v>106</v>
      </c>
      <c r="U305" s="13" t="s">
        <v>141</v>
      </c>
      <c r="V305" s="13" t="s">
        <v>112</v>
      </c>
      <c r="W305" t="s">
        <v>486</v>
      </c>
      <c r="X305" s="12">
        <v>0.27272727272727271</v>
      </c>
      <c r="Y305" s="12">
        <v>0</v>
      </c>
      <c r="Z305" s="12">
        <v>0</v>
      </c>
      <c r="AA305" s="12">
        <v>0.66666666666666663</v>
      </c>
      <c r="AB305" s="12">
        <v>1.4</v>
      </c>
      <c r="AC305" s="12">
        <v>1.3333333333333333</v>
      </c>
      <c r="AD305" s="12">
        <v>0.61212121212121218</v>
      </c>
    </row>
    <row r="306" spans="1:30" x14ac:dyDescent="0.3">
      <c r="A306" s="13">
        <v>20</v>
      </c>
      <c r="B306" s="13" t="s">
        <v>70</v>
      </c>
      <c r="C306" s="13" t="s">
        <v>157</v>
      </c>
      <c r="D306" s="13" t="s">
        <v>149</v>
      </c>
      <c r="E306" s="13" t="s">
        <v>108</v>
      </c>
      <c r="F306" s="13" t="s">
        <v>74</v>
      </c>
      <c r="G306" s="13" t="s">
        <v>439</v>
      </c>
      <c r="H306" s="13" t="s">
        <v>136</v>
      </c>
      <c r="I306" s="13" t="s">
        <v>76</v>
      </c>
      <c r="J306" s="13" t="s">
        <v>77</v>
      </c>
      <c r="K306" s="13" t="s">
        <v>122</v>
      </c>
      <c r="L306" s="13" t="s">
        <v>79</v>
      </c>
      <c r="M306" s="13" t="s">
        <v>80</v>
      </c>
      <c r="N306" s="13" t="s">
        <v>79</v>
      </c>
      <c r="O306" s="13" t="s">
        <v>490</v>
      </c>
      <c r="P306" s="13" t="s">
        <v>82</v>
      </c>
      <c r="Q306" s="13" t="s">
        <v>83</v>
      </c>
      <c r="R306" s="13" t="s">
        <v>79</v>
      </c>
      <c r="S306" s="13" t="s">
        <v>79</v>
      </c>
      <c r="T306" s="13" t="s">
        <v>86</v>
      </c>
      <c r="U306" s="13" t="s">
        <v>87</v>
      </c>
      <c r="V306" s="13" t="s">
        <v>112</v>
      </c>
      <c r="W306" t="s">
        <v>486</v>
      </c>
      <c r="X306" s="12">
        <v>1.9090909090909092</v>
      </c>
      <c r="Y306" s="12">
        <v>1.8</v>
      </c>
      <c r="Z306" s="12">
        <v>2</v>
      </c>
      <c r="AA306" s="12">
        <v>2</v>
      </c>
      <c r="AB306" s="12">
        <v>1.2</v>
      </c>
      <c r="AC306" s="12">
        <v>1.3333333333333333</v>
      </c>
      <c r="AD306" s="12">
        <v>1.707070707070707</v>
      </c>
    </row>
    <row r="307" spans="1:30" x14ac:dyDescent="0.3">
      <c r="A307" s="13">
        <v>24</v>
      </c>
      <c r="B307" s="13" t="s">
        <v>128</v>
      </c>
      <c r="C307" s="13" t="s">
        <v>113</v>
      </c>
      <c r="D307" s="13" t="s">
        <v>72</v>
      </c>
      <c r="E307" s="13" t="s">
        <v>73</v>
      </c>
      <c r="F307" s="13" t="s">
        <v>136</v>
      </c>
      <c r="G307" s="13" t="s">
        <v>440</v>
      </c>
      <c r="H307" s="13" t="s">
        <v>100</v>
      </c>
      <c r="I307" s="13" t="s">
        <v>76</v>
      </c>
      <c r="J307" s="13" t="s">
        <v>77</v>
      </c>
      <c r="K307" s="13" t="s">
        <v>122</v>
      </c>
      <c r="L307" s="13" t="s">
        <v>79</v>
      </c>
      <c r="M307" s="13" t="s">
        <v>80</v>
      </c>
      <c r="N307" s="13" t="s">
        <v>79</v>
      </c>
      <c r="O307" s="13" t="s">
        <v>487</v>
      </c>
      <c r="P307" s="13" t="s">
        <v>79</v>
      </c>
      <c r="Q307" s="13" t="s">
        <v>83</v>
      </c>
      <c r="R307" s="13" t="s">
        <v>79</v>
      </c>
      <c r="S307" s="13" t="s">
        <v>79</v>
      </c>
      <c r="T307" s="13" t="s">
        <v>86</v>
      </c>
      <c r="U307" s="13" t="s">
        <v>120</v>
      </c>
      <c r="V307" s="13" t="s">
        <v>127</v>
      </c>
      <c r="W307" t="s">
        <v>486</v>
      </c>
      <c r="X307" s="12">
        <v>1.6363636363636365</v>
      </c>
      <c r="Y307" s="12">
        <v>1.2</v>
      </c>
      <c r="Z307" s="12">
        <v>2</v>
      </c>
      <c r="AA307" s="12">
        <v>1.4444444444444444</v>
      </c>
      <c r="AB307" s="12">
        <v>1.2</v>
      </c>
      <c r="AC307" s="12">
        <v>1.3333333333333333</v>
      </c>
      <c r="AD307" s="12">
        <v>1.4690235690235689</v>
      </c>
    </row>
    <row r="308" spans="1:30" x14ac:dyDescent="0.3">
      <c r="A308" s="13">
        <v>21</v>
      </c>
      <c r="B308" s="13" t="s">
        <v>70</v>
      </c>
      <c r="C308" s="13" t="s">
        <v>96</v>
      </c>
      <c r="D308" s="13" t="s">
        <v>72</v>
      </c>
      <c r="E308" s="13" t="s">
        <v>73</v>
      </c>
      <c r="F308" s="13" t="s">
        <v>98</v>
      </c>
      <c r="G308" s="13" t="s">
        <v>439</v>
      </c>
      <c r="H308" s="13" t="s">
        <v>98</v>
      </c>
      <c r="I308" s="13" t="s">
        <v>76</v>
      </c>
      <c r="J308" s="13" t="s">
        <v>77</v>
      </c>
      <c r="K308" s="13" t="s">
        <v>125</v>
      </c>
      <c r="L308" s="13" t="s">
        <v>79</v>
      </c>
      <c r="M308" s="13" t="s">
        <v>80</v>
      </c>
      <c r="N308" s="13" t="s">
        <v>82</v>
      </c>
      <c r="O308" s="13" t="s">
        <v>487</v>
      </c>
      <c r="P308" s="13" t="s">
        <v>82</v>
      </c>
      <c r="Q308" s="13" t="s">
        <v>83</v>
      </c>
      <c r="R308" s="13" t="s">
        <v>79</v>
      </c>
      <c r="S308" s="13" t="s">
        <v>82</v>
      </c>
      <c r="T308" s="13" t="s">
        <v>106</v>
      </c>
      <c r="U308" s="13" t="s">
        <v>87</v>
      </c>
      <c r="V308" s="13" t="s">
        <v>112</v>
      </c>
      <c r="W308" t="s">
        <v>486</v>
      </c>
      <c r="X308" s="12">
        <v>2.1818181818181817</v>
      </c>
      <c r="Y308" s="12">
        <v>1.8</v>
      </c>
      <c r="Z308" s="12">
        <v>2.3333333333333335</v>
      </c>
      <c r="AA308" s="12">
        <v>1.2222222222222223</v>
      </c>
      <c r="AB308" s="12">
        <v>1.2</v>
      </c>
      <c r="AC308" s="12">
        <v>1.3333333333333333</v>
      </c>
      <c r="AD308" s="12">
        <v>1.6784511784511784</v>
      </c>
    </row>
    <row r="309" spans="1:30" x14ac:dyDescent="0.3">
      <c r="A309" s="13">
        <v>23</v>
      </c>
      <c r="B309" s="13" t="s">
        <v>70</v>
      </c>
      <c r="C309" s="13" t="s">
        <v>96</v>
      </c>
      <c r="D309" s="13" t="s">
        <v>72</v>
      </c>
      <c r="E309" s="13" t="s">
        <v>73</v>
      </c>
      <c r="F309" s="13" t="s">
        <v>136</v>
      </c>
      <c r="G309" s="13" t="s">
        <v>439</v>
      </c>
      <c r="H309" s="13" t="s">
        <v>136</v>
      </c>
      <c r="I309" s="13" t="s">
        <v>76</v>
      </c>
      <c r="J309" s="13" t="s">
        <v>77</v>
      </c>
      <c r="K309" s="13" t="s">
        <v>78</v>
      </c>
      <c r="L309" s="13" t="s">
        <v>79</v>
      </c>
      <c r="M309" s="13" t="s">
        <v>80</v>
      </c>
      <c r="N309" s="13" t="s">
        <v>79</v>
      </c>
      <c r="O309" s="13" t="s">
        <v>488</v>
      </c>
      <c r="P309" s="13" t="s">
        <v>82</v>
      </c>
      <c r="Q309" s="13" t="s">
        <v>83</v>
      </c>
      <c r="R309" s="13" t="s">
        <v>79</v>
      </c>
      <c r="S309" s="13" t="s">
        <v>79</v>
      </c>
      <c r="T309" s="13" t="s">
        <v>86</v>
      </c>
      <c r="U309" s="13" t="s">
        <v>87</v>
      </c>
      <c r="V309" s="13" t="s">
        <v>455</v>
      </c>
      <c r="W309" t="s">
        <v>486</v>
      </c>
      <c r="X309" s="12">
        <v>1.3636363636363635</v>
      </c>
      <c r="Y309" s="12">
        <v>1</v>
      </c>
      <c r="Z309" s="12">
        <v>1.3333333333333333</v>
      </c>
      <c r="AA309" s="12">
        <v>1.2222222222222223</v>
      </c>
      <c r="AB309" s="12">
        <v>1.2</v>
      </c>
      <c r="AC309" s="12">
        <v>1.3333333333333333</v>
      </c>
      <c r="AD309" s="12">
        <v>1.2420875420875419</v>
      </c>
    </row>
    <row r="310" spans="1:30" x14ac:dyDescent="0.3">
      <c r="A310" s="13">
        <v>22</v>
      </c>
      <c r="B310" s="13" t="s">
        <v>70</v>
      </c>
      <c r="C310" s="13" t="s">
        <v>113</v>
      </c>
      <c r="D310" s="13" t="s">
        <v>72</v>
      </c>
      <c r="E310" s="13" t="s">
        <v>114</v>
      </c>
      <c r="F310" s="13" t="s">
        <v>74</v>
      </c>
      <c r="G310" s="13" t="s">
        <v>99</v>
      </c>
      <c r="H310" s="13" t="s">
        <v>136</v>
      </c>
      <c r="I310" s="13" t="s">
        <v>76</v>
      </c>
      <c r="J310" s="13" t="s">
        <v>77</v>
      </c>
      <c r="K310" s="13" t="s">
        <v>125</v>
      </c>
      <c r="L310" s="13" t="s">
        <v>79</v>
      </c>
      <c r="M310" s="13" t="s">
        <v>80</v>
      </c>
      <c r="N310" s="13" t="s">
        <v>79</v>
      </c>
      <c r="O310" s="13" t="s">
        <v>487</v>
      </c>
      <c r="P310" s="13" t="s">
        <v>82</v>
      </c>
      <c r="Q310" s="13" t="s">
        <v>83</v>
      </c>
      <c r="R310" s="13" t="s">
        <v>82</v>
      </c>
      <c r="S310" s="13" t="s">
        <v>82</v>
      </c>
      <c r="T310" s="13" t="s">
        <v>106</v>
      </c>
      <c r="U310" s="13" t="s">
        <v>141</v>
      </c>
      <c r="V310" s="13" t="s">
        <v>112</v>
      </c>
      <c r="W310" t="s">
        <v>486</v>
      </c>
      <c r="X310" s="12">
        <v>0.90909090909090906</v>
      </c>
      <c r="Y310" s="12">
        <v>1.6</v>
      </c>
      <c r="Z310" s="12">
        <v>1</v>
      </c>
      <c r="AA310" s="12">
        <v>1.2222222222222223</v>
      </c>
      <c r="AB310" s="12">
        <v>1.2</v>
      </c>
      <c r="AC310" s="12">
        <v>1.3333333333333333</v>
      </c>
      <c r="AD310" s="12">
        <v>1.2107744107744107</v>
      </c>
    </row>
    <row r="311" spans="1:30" x14ac:dyDescent="0.3">
      <c r="A311" s="13">
        <v>24</v>
      </c>
      <c r="B311" s="13" t="s">
        <v>70</v>
      </c>
      <c r="C311" s="13" t="s">
        <v>113</v>
      </c>
      <c r="D311" s="13" t="s">
        <v>72</v>
      </c>
      <c r="E311" s="13" t="s">
        <v>108</v>
      </c>
      <c r="F311" s="13" t="s">
        <v>98</v>
      </c>
      <c r="G311" s="13" t="s">
        <v>439</v>
      </c>
      <c r="H311" s="13" t="s">
        <v>136</v>
      </c>
      <c r="I311" s="13" t="s">
        <v>76</v>
      </c>
      <c r="J311" s="13" t="s">
        <v>77</v>
      </c>
      <c r="K311" s="13" t="s">
        <v>122</v>
      </c>
      <c r="L311" s="13" t="s">
        <v>79</v>
      </c>
      <c r="M311" s="13" t="s">
        <v>132</v>
      </c>
      <c r="N311" s="13" t="s">
        <v>79</v>
      </c>
      <c r="O311" s="13" t="s">
        <v>487</v>
      </c>
      <c r="P311" s="13" t="s">
        <v>79</v>
      </c>
      <c r="Q311" s="13" t="s">
        <v>118</v>
      </c>
      <c r="R311" s="13" t="s">
        <v>79</v>
      </c>
      <c r="S311" s="13" t="s">
        <v>79</v>
      </c>
      <c r="T311" s="13" t="s">
        <v>86</v>
      </c>
      <c r="U311" s="13" t="s">
        <v>120</v>
      </c>
      <c r="V311" s="13" t="s">
        <v>112</v>
      </c>
      <c r="W311" t="s">
        <v>486</v>
      </c>
      <c r="X311" s="12">
        <v>1.5454545454545454</v>
      </c>
      <c r="Y311" s="12">
        <v>1.8</v>
      </c>
      <c r="Z311" s="12">
        <v>2</v>
      </c>
      <c r="AA311" s="12">
        <v>1.1111111111111112</v>
      </c>
      <c r="AB311" s="12">
        <v>1.2</v>
      </c>
      <c r="AC311" s="12">
        <v>1.3333333333333333</v>
      </c>
      <c r="AD311" s="12">
        <v>1.4983164983164983</v>
      </c>
    </row>
    <row r="312" spans="1:30" x14ac:dyDescent="0.3">
      <c r="A312" s="13">
        <v>22</v>
      </c>
      <c r="B312" s="13" t="s">
        <v>70</v>
      </c>
      <c r="C312" s="13" t="s">
        <v>113</v>
      </c>
      <c r="D312" s="13" t="s">
        <v>72</v>
      </c>
      <c r="E312" s="13" t="s">
        <v>108</v>
      </c>
      <c r="F312" s="13" t="s">
        <v>98</v>
      </c>
      <c r="G312" s="13" t="s">
        <v>440</v>
      </c>
      <c r="H312" s="13" t="s">
        <v>98</v>
      </c>
      <c r="I312" s="13" t="s">
        <v>76</v>
      </c>
      <c r="J312" s="13" t="s">
        <v>77</v>
      </c>
      <c r="K312" s="13" t="s">
        <v>125</v>
      </c>
      <c r="L312" s="13" t="s">
        <v>79</v>
      </c>
      <c r="M312" s="13" t="s">
        <v>80</v>
      </c>
      <c r="N312" s="13" t="s">
        <v>79</v>
      </c>
      <c r="O312" s="13" t="s">
        <v>488</v>
      </c>
      <c r="P312" s="13" t="s">
        <v>79</v>
      </c>
      <c r="Q312" s="13" t="s">
        <v>83</v>
      </c>
      <c r="R312" s="13" t="s">
        <v>79</v>
      </c>
      <c r="S312" s="13" t="s">
        <v>79</v>
      </c>
      <c r="T312" s="13" t="s">
        <v>106</v>
      </c>
      <c r="U312" s="13" t="s">
        <v>141</v>
      </c>
      <c r="V312" s="13" t="s">
        <v>112</v>
      </c>
      <c r="W312" t="s">
        <v>486</v>
      </c>
      <c r="X312" s="12">
        <v>1.4545454545454546</v>
      </c>
      <c r="Y312" s="12">
        <v>1.4</v>
      </c>
      <c r="Z312" s="12">
        <v>2</v>
      </c>
      <c r="AA312" s="12">
        <v>1.5555555555555556</v>
      </c>
      <c r="AB312" s="12">
        <v>1</v>
      </c>
      <c r="AC312" s="12">
        <v>1.3333333333333333</v>
      </c>
      <c r="AD312" s="12">
        <v>1.4572390572390572</v>
      </c>
    </row>
    <row r="313" spans="1:30" x14ac:dyDescent="0.3">
      <c r="A313" s="13">
        <v>21</v>
      </c>
      <c r="B313" s="13" t="s">
        <v>70</v>
      </c>
      <c r="C313" s="13" t="s">
        <v>157</v>
      </c>
      <c r="D313" s="13" t="s">
        <v>97</v>
      </c>
      <c r="E313" s="13" t="s">
        <v>108</v>
      </c>
      <c r="F313" s="13" t="s">
        <v>136</v>
      </c>
      <c r="G313" s="13" t="s">
        <v>440</v>
      </c>
      <c r="H313" s="13" t="s">
        <v>136</v>
      </c>
      <c r="I313" s="13" t="s">
        <v>76</v>
      </c>
      <c r="J313" s="13" t="s">
        <v>77</v>
      </c>
      <c r="K313" s="13" t="s">
        <v>122</v>
      </c>
      <c r="L313" s="13" t="s">
        <v>82</v>
      </c>
      <c r="M313" s="13" t="s">
        <v>102</v>
      </c>
      <c r="N313" s="13" t="s">
        <v>79</v>
      </c>
      <c r="O313" s="13" t="s">
        <v>490</v>
      </c>
      <c r="P313" s="13" t="s">
        <v>82</v>
      </c>
      <c r="Q313" s="13" t="s">
        <v>83</v>
      </c>
      <c r="R313" s="13" t="s">
        <v>82</v>
      </c>
      <c r="S313" s="13" t="s">
        <v>82</v>
      </c>
      <c r="T313" s="13" t="s">
        <v>106</v>
      </c>
      <c r="U313" s="13" t="s">
        <v>141</v>
      </c>
      <c r="V313" s="13" t="s">
        <v>457</v>
      </c>
      <c r="W313" t="s">
        <v>485</v>
      </c>
      <c r="X313" s="12">
        <v>1.3636363636363635</v>
      </c>
      <c r="Y313" s="12">
        <v>1.2</v>
      </c>
      <c r="Z313" s="12">
        <v>1.6666666666666667</v>
      </c>
      <c r="AA313" s="12">
        <v>1.5555555555555556</v>
      </c>
      <c r="AB313" s="12">
        <v>1</v>
      </c>
      <c r="AC313" s="12">
        <v>1.3333333333333333</v>
      </c>
      <c r="AD313" s="12">
        <v>1.3531986531986533</v>
      </c>
    </row>
    <row r="314" spans="1:30" x14ac:dyDescent="0.3">
      <c r="A314" s="13">
        <v>23</v>
      </c>
      <c r="B314" s="13" t="s">
        <v>70</v>
      </c>
      <c r="C314" s="13" t="s">
        <v>113</v>
      </c>
      <c r="D314" s="13" t="s">
        <v>72</v>
      </c>
      <c r="E314" s="13" t="s">
        <v>108</v>
      </c>
      <c r="F314" s="13" t="s">
        <v>98</v>
      </c>
      <c r="G314" s="13" t="s">
        <v>440</v>
      </c>
      <c r="H314" s="13" t="s">
        <v>98</v>
      </c>
      <c r="I314" s="13" t="s">
        <v>76</v>
      </c>
      <c r="J314" s="13" t="s">
        <v>77</v>
      </c>
      <c r="K314" s="13" t="s">
        <v>122</v>
      </c>
      <c r="L314" s="13" t="s">
        <v>79</v>
      </c>
      <c r="M314" s="13" t="s">
        <v>80</v>
      </c>
      <c r="N314" s="13" t="s">
        <v>79</v>
      </c>
      <c r="O314" s="13" t="s">
        <v>487</v>
      </c>
      <c r="P314" s="13" t="s">
        <v>82</v>
      </c>
      <c r="Q314" s="13" t="s">
        <v>83</v>
      </c>
      <c r="R314" s="13" t="s">
        <v>79</v>
      </c>
      <c r="S314" s="13" t="s">
        <v>79</v>
      </c>
      <c r="T314" s="13" t="s">
        <v>86</v>
      </c>
      <c r="U314" s="13" t="s">
        <v>141</v>
      </c>
      <c r="V314" s="13" t="s">
        <v>112</v>
      </c>
      <c r="W314" t="s">
        <v>486</v>
      </c>
      <c r="X314" s="12">
        <v>1.3636363636363635</v>
      </c>
      <c r="Y314" s="12">
        <v>1.4</v>
      </c>
      <c r="Z314" s="12">
        <v>1.6666666666666667</v>
      </c>
      <c r="AA314" s="12">
        <v>1.2222222222222223</v>
      </c>
      <c r="AB314" s="12">
        <v>1</v>
      </c>
      <c r="AC314" s="12">
        <v>1.3333333333333333</v>
      </c>
      <c r="AD314" s="12">
        <v>1.3309764309764309</v>
      </c>
    </row>
    <row r="315" spans="1:30" x14ac:dyDescent="0.3">
      <c r="A315" s="13">
        <v>22</v>
      </c>
      <c r="B315" s="13" t="s">
        <v>162</v>
      </c>
      <c r="C315" s="13" t="s">
        <v>96</v>
      </c>
      <c r="D315" s="13" t="s">
        <v>72</v>
      </c>
      <c r="E315" s="13" t="s">
        <v>73</v>
      </c>
      <c r="F315" s="13" t="s">
        <v>136</v>
      </c>
      <c r="G315" s="13" t="s">
        <v>439</v>
      </c>
      <c r="H315" s="13" t="s">
        <v>165</v>
      </c>
      <c r="I315" s="13" t="s">
        <v>76</v>
      </c>
      <c r="J315" s="13" t="s">
        <v>77</v>
      </c>
      <c r="K315" s="13" t="s">
        <v>125</v>
      </c>
      <c r="L315" s="13" t="s">
        <v>79</v>
      </c>
      <c r="M315" s="13" t="s">
        <v>80</v>
      </c>
      <c r="N315" s="13" t="s">
        <v>79</v>
      </c>
      <c r="O315" s="13" t="s">
        <v>488</v>
      </c>
      <c r="P315" s="13" t="s">
        <v>79</v>
      </c>
      <c r="Q315" s="13" t="s">
        <v>83</v>
      </c>
      <c r="R315" s="13" t="s">
        <v>82</v>
      </c>
      <c r="S315" s="13" t="s">
        <v>79</v>
      </c>
      <c r="T315" s="13" t="s">
        <v>106</v>
      </c>
      <c r="U315" s="13" t="s">
        <v>120</v>
      </c>
      <c r="V315" s="13" t="s">
        <v>112</v>
      </c>
      <c r="W315" t="s">
        <v>485</v>
      </c>
      <c r="X315" s="12">
        <v>1.3636363636363635</v>
      </c>
      <c r="Y315" s="12">
        <v>1.2</v>
      </c>
      <c r="Z315" s="12">
        <v>1.3333333333333333</v>
      </c>
      <c r="AA315" s="12">
        <v>1.2222222222222223</v>
      </c>
      <c r="AB315" s="12">
        <v>1</v>
      </c>
      <c r="AC315" s="12">
        <v>1.3333333333333333</v>
      </c>
      <c r="AD315" s="12">
        <v>1.2420875420875419</v>
      </c>
    </row>
    <row r="316" spans="1:30" x14ac:dyDescent="0.3">
      <c r="A316" s="13">
        <v>22</v>
      </c>
      <c r="B316" s="13" t="s">
        <v>70</v>
      </c>
      <c r="C316" s="13" t="s">
        <v>157</v>
      </c>
      <c r="D316" s="13" t="s">
        <v>97</v>
      </c>
      <c r="E316" s="13" t="s">
        <v>108</v>
      </c>
      <c r="F316" s="13" t="s">
        <v>74</v>
      </c>
      <c r="G316" s="13" t="s">
        <v>439</v>
      </c>
      <c r="H316" s="13" t="s">
        <v>74</v>
      </c>
      <c r="I316" s="13" t="s">
        <v>439</v>
      </c>
      <c r="J316" s="13" t="s">
        <v>77</v>
      </c>
      <c r="K316" s="13" t="s">
        <v>131</v>
      </c>
      <c r="L316" s="13" t="s">
        <v>79</v>
      </c>
      <c r="M316" s="13" t="s">
        <v>80</v>
      </c>
      <c r="N316" s="13" t="s">
        <v>79</v>
      </c>
      <c r="O316" s="13" t="s">
        <v>490</v>
      </c>
      <c r="P316" s="13" t="s">
        <v>79</v>
      </c>
      <c r="Q316" s="13" t="s">
        <v>83</v>
      </c>
      <c r="R316" s="13" t="s">
        <v>79</v>
      </c>
      <c r="S316" s="13" t="s">
        <v>82</v>
      </c>
      <c r="T316" s="13" t="s">
        <v>106</v>
      </c>
      <c r="U316" s="13" t="s">
        <v>141</v>
      </c>
      <c r="V316" s="13" t="s">
        <v>455</v>
      </c>
      <c r="W316" t="s">
        <v>486</v>
      </c>
      <c r="X316" s="12">
        <v>1</v>
      </c>
      <c r="Y316" s="12">
        <v>1</v>
      </c>
      <c r="Z316" s="12">
        <v>1</v>
      </c>
      <c r="AA316" s="12">
        <v>1</v>
      </c>
      <c r="AB316" s="12">
        <v>1</v>
      </c>
      <c r="AC316" s="12">
        <v>1.3333333333333333</v>
      </c>
      <c r="AD316" s="12">
        <v>1.0555555555555556</v>
      </c>
    </row>
    <row r="317" spans="1:30" x14ac:dyDescent="0.3">
      <c r="A317" s="13">
        <v>23</v>
      </c>
      <c r="B317" s="13" t="s">
        <v>70</v>
      </c>
      <c r="C317" s="13" t="s">
        <v>96</v>
      </c>
      <c r="D317" s="13" t="s">
        <v>97</v>
      </c>
      <c r="E317" s="13" t="s">
        <v>108</v>
      </c>
      <c r="F317" s="13" t="s">
        <v>74</v>
      </c>
      <c r="G317" s="13" t="s">
        <v>99</v>
      </c>
      <c r="H317" s="13" t="s">
        <v>74</v>
      </c>
      <c r="I317" s="13" t="s">
        <v>76</v>
      </c>
      <c r="J317" s="13" t="s">
        <v>77</v>
      </c>
      <c r="K317" s="13" t="s">
        <v>78</v>
      </c>
      <c r="L317" s="13" t="s">
        <v>79</v>
      </c>
      <c r="M317" s="13" t="s">
        <v>102</v>
      </c>
      <c r="N317" s="13" t="s">
        <v>82</v>
      </c>
      <c r="O317" s="13" t="s">
        <v>488</v>
      </c>
      <c r="P317" s="13" t="s">
        <v>79</v>
      </c>
      <c r="Q317" s="13" t="s">
        <v>83</v>
      </c>
      <c r="R317" s="13" t="s">
        <v>79</v>
      </c>
      <c r="S317" s="13" t="s">
        <v>79</v>
      </c>
      <c r="T317" s="13" t="s">
        <v>86</v>
      </c>
      <c r="U317" s="13" t="s">
        <v>141</v>
      </c>
      <c r="V317" s="13" t="s">
        <v>112</v>
      </c>
      <c r="W317" t="s">
        <v>486</v>
      </c>
      <c r="X317" s="12">
        <v>1.0909090909090908</v>
      </c>
      <c r="Y317" s="12">
        <v>0.2</v>
      </c>
      <c r="Z317" s="12">
        <v>0.66666666666666663</v>
      </c>
      <c r="AA317" s="12">
        <v>1</v>
      </c>
      <c r="AB317" s="12">
        <v>1</v>
      </c>
      <c r="AC317" s="12">
        <v>1.3333333333333333</v>
      </c>
      <c r="AD317" s="12">
        <v>0.88181818181818183</v>
      </c>
    </row>
    <row r="318" spans="1:30" x14ac:dyDescent="0.3">
      <c r="A318" s="13">
        <v>23</v>
      </c>
      <c r="B318" s="13" t="s">
        <v>128</v>
      </c>
      <c r="C318" s="13" t="s">
        <v>113</v>
      </c>
      <c r="D318" s="13" t="s">
        <v>72</v>
      </c>
      <c r="E318" s="13" t="s">
        <v>108</v>
      </c>
      <c r="F318" s="13" t="s">
        <v>98</v>
      </c>
      <c r="G318" s="13" t="s">
        <v>440</v>
      </c>
      <c r="H318" s="13" t="s">
        <v>98</v>
      </c>
      <c r="I318" s="13" t="s">
        <v>76</v>
      </c>
      <c r="J318" s="13" t="s">
        <v>77</v>
      </c>
      <c r="K318" s="13" t="s">
        <v>122</v>
      </c>
      <c r="L318" s="13" t="s">
        <v>79</v>
      </c>
      <c r="M318" s="13" t="s">
        <v>80</v>
      </c>
      <c r="N318" s="13" t="s">
        <v>79</v>
      </c>
      <c r="O318" s="13" t="s">
        <v>487</v>
      </c>
      <c r="P318" s="13" t="s">
        <v>79</v>
      </c>
      <c r="Q318" s="13" t="s">
        <v>83</v>
      </c>
      <c r="R318" s="13" t="s">
        <v>79</v>
      </c>
      <c r="S318" s="13" t="s">
        <v>79</v>
      </c>
      <c r="T318" s="13" t="s">
        <v>86</v>
      </c>
      <c r="U318" s="13" t="s">
        <v>120</v>
      </c>
      <c r="V318" s="13" t="s">
        <v>127</v>
      </c>
      <c r="W318" t="s">
        <v>486</v>
      </c>
      <c r="X318" s="12">
        <v>1.4545454545454546</v>
      </c>
      <c r="Y318" s="12">
        <v>1.4</v>
      </c>
      <c r="Z318" s="12">
        <v>2</v>
      </c>
      <c r="AA318" s="12">
        <v>1.6666666666666667</v>
      </c>
      <c r="AB318" s="12">
        <v>0.8</v>
      </c>
      <c r="AC318" s="12">
        <v>1.3333333333333333</v>
      </c>
      <c r="AD318" s="12">
        <v>1.4424242424242424</v>
      </c>
    </row>
    <row r="319" spans="1:30" x14ac:dyDescent="0.3">
      <c r="A319" s="13">
        <v>19</v>
      </c>
      <c r="B319" s="13" t="s">
        <v>70</v>
      </c>
      <c r="C319" s="13" t="s">
        <v>157</v>
      </c>
      <c r="D319" s="13" t="s">
        <v>97</v>
      </c>
      <c r="E319" s="13" t="s">
        <v>114</v>
      </c>
      <c r="F319" s="13" t="s">
        <v>136</v>
      </c>
      <c r="G319" s="13" t="s">
        <v>440</v>
      </c>
      <c r="H319" s="13" t="s">
        <v>136</v>
      </c>
      <c r="I319" s="13" t="s">
        <v>76</v>
      </c>
      <c r="J319" s="13" t="s">
        <v>77</v>
      </c>
      <c r="K319" s="13" t="s">
        <v>125</v>
      </c>
      <c r="L319" s="13" t="s">
        <v>82</v>
      </c>
      <c r="M319" s="13" t="s">
        <v>80</v>
      </c>
      <c r="N319" s="13" t="s">
        <v>79</v>
      </c>
      <c r="O319" s="13" t="s">
        <v>490</v>
      </c>
      <c r="P319" s="13" t="s">
        <v>79</v>
      </c>
      <c r="Q319" s="13" t="s">
        <v>103</v>
      </c>
      <c r="R319" s="13" t="s">
        <v>79</v>
      </c>
      <c r="S319" s="13" t="s">
        <v>82</v>
      </c>
      <c r="T319" s="13" t="s">
        <v>86</v>
      </c>
      <c r="U319" s="13" t="s">
        <v>141</v>
      </c>
      <c r="V319" s="13" t="s">
        <v>112</v>
      </c>
      <c r="W319" t="s">
        <v>486</v>
      </c>
      <c r="X319" s="12">
        <v>1.9090909090909092</v>
      </c>
      <c r="Y319" s="12">
        <v>1.4</v>
      </c>
      <c r="Z319" s="12">
        <v>2.3333333333333335</v>
      </c>
      <c r="AA319" s="12">
        <v>1.5555555555555556</v>
      </c>
      <c r="AB319" s="12">
        <v>0.8</v>
      </c>
      <c r="AC319" s="12">
        <v>1.3333333333333333</v>
      </c>
      <c r="AD319" s="12">
        <v>1.5552188552188551</v>
      </c>
    </row>
    <row r="320" spans="1:30" x14ac:dyDescent="0.3">
      <c r="A320" s="13">
        <v>20</v>
      </c>
      <c r="B320" s="13" t="s">
        <v>70</v>
      </c>
      <c r="C320" s="13" t="s">
        <v>157</v>
      </c>
      <c r="D320" s="13" t="s">
        <v>72</v>
      </c>
      <c r="E320" s="13" t="s">
        <v>108</v>
      </c>
      <c r="F320" s="13" t="s">
        <v>74</v>
      </c>
      <c r="G320" s="13" t="s">
        <v>440</v>
      </c>
      <c r="H320" s="13" t="s">
        <v>74</v>
      </c>
      <c r="I320" s="13" t="s">
        <v>439</v>
      </c>
      <c r="J320" s="13" t="s">
        <v>77</v>
      </c>
      <c r="K320" s="13" t="s">
        <v>131</v>
      </c>
      <c r="L320" s="13" t="s">
        <v>79</v>
      </c>
      <c r="M320" s="13" t="s">
        <v>80</v>
      </c>
      <c r="N320" s="13" t="s">
        <v>79</v>
      </c>
      <c r="O320" s="13" t="s">
        <v>488</v>
      </c>
      <c r="P320" s="13" t="s">
        <v>82</v>
      </c>
      <c r="Q320" s="13" t="s">
        <v>118</v>
      </c>
      <c r="R320" s="13" t="s">
        <v>82</v>
      </c>
      <c r="S320" s="13" t="s">
        <v>79</v>
      </c>
      <c r="T320" s="13" t="s">
        <v>106</v>
      </c>
      <c r="U320" s="13" t="s">
        <v>87</v>
      </c>
      <c r="V320" s="13" t="s">
        <v>112</v>
      </c>
      <c r="W320" t="s">
        <v>485</v>
      </c>
      <c r="X320" s="12">
        <v>1.3636363636363635</v>
      </c>
      <c r="Y320" s="12">
        <v>1</v>
      </c>
      <c r="Z320" s="12">
        <v>1.6666666666666667</v>
      </c>
      <c r="AA320" s="12">
        <v>1.5555555555555556</v>
      </c>
      <c r="AB320" s="12">
        <v>0.8</v>
      </c>
      <c r="AC320" s="12">
        <v>1.3333333333333333</v>
      </c>
      <c r="AD320" s="12">
        <v>1.2865319865319864</v>
      </c>
    </row>
    <row r="321" spans="1:30" x14ac:dyDescent="0.3">
      <c r="A321" s="13">
        <v>21</v>
      </c>
      <c r="B321" s="13" t="s">
        <v>70</v>
      </c>
      <c r="C321" s="13" t="s">
        <v>96</v>
      </c>
      <c r="D321" s="13" t="s">
        <v>149</v>
      </c>
      <c r="E321" s="13" t="s">
        <v>114</v>
      </c>
      <c r="F321" s="13" t="s">
        <v>74</v>
      </c>
      <c r="G321" s="13" t="s">
        <v>440</v>
      </c>
      <c r="H321" s="13" t="s">
        <v>74</v>
      </c>
      <c r="I321" s="13" t="s">
        <v>76</v>
      </c>
      <c r="J321" s="13" t="s">
        <v>77</v>
      </c>
      <c r="K321" s="13" t="s">
        <v>122</v>
      </c>
      <c r="L321" s="13" t="s">
        <v>79</v>
      </c>
      <c r="M321" s="13" t="s">
        <v>80</v>
      </c>
      <c r="N321" s="13" t="s">
        <v>79</v>
      </c>
      <c r="O321" s="13" t="s">
        <v>490</v>
      </c>
      <c r="P321" s="13" t="s">
        <v>79</v>
      </c>
      <c r="Q321" s="13" t="s">
        <v>83</v>
      </c>
      <c r="R321" s="13" t="s">
        <v>79</v>
      </c>
      <c r="S321" s="13" t="s">
        <v>79</v>
      </c>
      <c r="T321" s="13" t="s">
        <v>86</v>
      </c>
      <c r="U321" s="13" t="s">
        <v>120</v>
      </c>
      <c r="V321" s="13" t="s">
        <v>112</v>
      </c>
      <c r="W321" t="s">
        <v>486</v>
      </c>
      <c r="X321" s="12">
        <v>0.81818181818181823</v>
      </c>
      <c r="Y321" s="12">
        <v>0.8</v>
      </c>
      <c r="Z321" s="12">
        <v>0.66666666666666663</v>
      </c>
      <c r="AA321" s="12">
        <v>1.1111111111111112</v>
      </c>
      <c r="AB321" s="12">
        <v>0.8</v>
      </c>
      <c r="AC321" s="12">
        <v>1.3333333333333333</v>
      </c>
      <c r="AD321" s="12">
        <v>0.92154882154882145</v>
      </c>
    </row>
    <row r="322" spans="1:30" x14ac:dyDescent="0.3">
      <c r="A322" s="13">
        <v>23</v>
      </c>
      <c r="B322" s="13" t="s">
        <v>70</v>
      </c>
      <c r="C322" s="13" t="s">
        <v>157</v>
      </c>
      <c r="D322" s="13" t="s">
        <v>72</v>
      </c>
      <c r="E322" s="13" t="s">
        <v>114</v>
      </c>
      <c r="F322" s="13" t="s">
        <v>100</v>
      </c>
      <c r="G322" s="13" t="s">
        <v>440</v>
      </c>
      <c r="H322" s="13" t="s">
        <v>100</v>
      </c>
      <c r="I322" s="13" t="s">
        <v>76</v>
      </c>
      <c r="J322" s="13" t="s">
        <v>77</v>
      </c>
      <c r="K322" s="13" t="s">
        <v>125</v>
      </c>
      <c r="L322" s="13" t="s">
        <v>79</v>
      </c>
      <c r="M322" s="13" t="s">
        <v>80</v>
      </c>
      <c r="N322" s="13" t="s">
        <v>82</v>
      </c>
      <c r="O322" s="13" t="s">
        <v>487</v>
      </c>
      <c r="P322" s="13" t="s">
        <v>82</v>
      </c>
      <c r="Q322" s="13" t="s">
        <v>103</v>
      </c>
      <c r="R322" s="13" t="s">
        <v>82</v>
      </c>
      <c r="S322" s="13" t="s">
        <v>82</v>
      </c>
      <c r="T322" s="13" t="s">
        <v>106</v>
      </c>
      <c r="U322" s="13" t="s">
        <v>87</v>
      </c>
      <c r="V322" s="13" t="s">
        <v>455</v>
      </c>
      <c r="W322" t="s">
        <v>485</v>
      </c>
      <c r="X322" s="12">
        <v>1.1818181818181819</v>
      </c>
      <c r="Y322" s="12">
        <v>1</v>
      </c>
      <c r="Z322" s="12">
        <v>1</v>
      </c>
      <c r="AA322" s="12">
        <v>1</v>
      </c>
      <c r="AB322" s="12">
        <v>0.8</v>
      </c>
      <c r="AC322" s="12">
        <v>1.3333333333333333</v>
      </c>
      <c r="AD322" s="12">
        <v>1.0525252525252524</v>
      </c>
    </row>
    <row r="323" spans="1:30" x14ac:dyDescent="0.3">
      <c r="A323" s="13">
        <v>22</v>
      </c>
      <c r="B323" s="13" t="s">
        <v>70</v>
      </c>
      <c r="C323" s="13" t="s">
        <v>96</v>
      </c>
      <c r="D323" s="13" t="s">
        <v>72</v>
      </c>
      <c r="E323" s="13" t="s">
        <v>114</v>
      </c>
      <c r="F323" s="13" t="s">
        <v>74</v>
      </c>
      <c r="G323" s="13" t="s">
        <v>439</v>
      </c>
      <c r="H323" s="13" t="s">
        <v>98</v>
      </c>
      <c r="I323" s="13" t="s">
        <v>76</v>
      </c>
      <c r="J323" s="13" t="s">
        <v>77</v>
      </c>
      <c r="K323" s="13" t="s">
        <v>122</v>
      </c>
      <c r="L323" s="13" t="s">
        <v>82</v>
      </c>
      <c r="M323" s="13" t="s">
        <v>132</v>
      </c>
      <c r="N323" s="13" t="s">
        <v>79</v>
      </c>
      <c r="O323" s="13" t="s">
        <v>487</v>
      </c>
      <c r="P323" s="13" t="s">
        <v>79</v>
      </c>
      <c r="Q323" s="13" t="s">
        <v>83</v>
      </c>
      <c r="R323" s="13" t="s">
        <v>79</v>
      </c>
      <c r="S323" s="13" t="s">
        <v>82</v>
      </c>
      <c r="T323" s="13" t="s">
        <v>106</v>
      </c>
      <c r="U323" s="13" t="s">
        <v>87</v>
      </c>
      <c r="V323" s="13" t="s">
        <v>237</v>
      </c>
      <c r="W323" t="s">
        <v>486</v>
      </c>
      <c r="X323" s="12">
        <v>2.5454545454545454</v>
      </c>
      <c r="Y323" s="12">
        <v>2.4</v>
      </c>
      <c r="Z323" s="12">
        <v>2</v>
      </c>
      <c r="AA323" s="12">
        <v>1.4444444444444444</v>
      </c>
      <c r="AB323" s="12">
        <v>3</v>
      </c>
      <c r="AC323" s="12">
        <v>1</v>
      </c>
      <c r="AD323" s="12">
        <v>2.0649831649831651</v>
      </c>
    </row>
    <row r="324" spans="1:30" x14ac:dyDescent="0.3">
      <c r="A324" s="13">
        <v>20</v>
      </c>
      <c r="B324" s="13" t="s">
        <v>70</v>
      </c>
      <c r="C324" s="13" t="s">
        <v>157</v>
      </c>
      <c r="D324" s="13" t="s">
        <v>97</v>
      </c>
      <c r="E324" s="13" t="s">
        <v>108</v>
      </c>
      <c r="F324" s="13" t="s">
        <v>74</v>
      </c>
      <c r="G324" s="13" t="s">
        <v>439</v>
      </c>
      <c r="H324" s="13" t="s">
        <v>74</v>
      </c>
      <c r="I324" s="13" t="s">
        <v>76</v>
      </c>
      <c r="J324" s="13" t="s">
        <v>77</v>
      </c>
      <c r="K324" s="13" t="s">
        <v>131</v>
      </c>
      <c r="L324" s="13" t="s">
        <v>79</v>
      </c>
      <c r="M324" s="13" t="s">
        <v>80</v>
      </c>
      <c r="N324" s="13" t="s">
        <v>79</v>
      </c>
      <c r="O324" s="13" t="s">
        <v>490</v>
      </c>
      <c r="P324" s="13" t="s">
        <v>79</v>
      </c>
      <c r="Q324" s="13" t="s">
        <v>83</v>
      </c>
      <c r="R324" s="13" t="s">
        <v>82</v>
      </c>
      <c r="S324" s="13" t="s">
        <v>82</v>
      </c>
      <c r="T324" s="13" t="s">
        <v>106</v>
      </c>
      <c r="U324" s="13" t="s">
        <v>87</v>
      </c>
      <c r="V324" s="13" t="s">
        <v>112</v>
      </c>
      <c r="W324" t="s">
        <v>485</v>
      </c>
      <c r="X324" s="12">
        <v>3</v>
      </c>
      <c r="Y324" s="12">
        <v>1.8</v>
      </c>
      <c r="Z324" s="12">
        <v>1</v>
      </c>
      <c r="AA324" s="12">
        <v>1.3333333333333333</v>
      </c>
      <c r="AB324" s="12">
        <v>3</v>
      </c>
      <c r="AC324" s="12">
        <v>1</v>
      </c>
      <c r="AD324" s="12">
        <v>1.8555555555555554</v>
      </c>
    </row>
    <row r="325" spans="1:30" x14ac:dyDescent="0.3">
      <c r="A325" s="13">
        <v>21</v>
      </c>
      <c r="B325" s="13" t="s">
        <v>128</v>
      </c>
      <c r="C325" s="13" t="s">
        <v>96</v>
      </c>
      <c r="D325" s="13" t="s">
        <v>72</v>
      </c>
      <c r="E325" s="13" t="s">
        <v>108</v>
      </c>
      <c r="F325" s="13" t="s">
        <v>74</v>
      </c>
      <c r="G325" s="13" t="s">
        <v>99</v>
      </c>
      <c r="H325" s="13" t="s">
        <v>74</v>
      </c>
      <c r="I325" s="13" t="s">
        <v>439</v>
      </c>
      <c r="J325" s="13" t="s">
        <v>77</v>
      </c>
      <c r="K325" s="13" t="s">
        <v>122</v>
      </c>
      <c r="L325" s="13" t="s">
        <v>82</v>
      </c>
      <c r="M325" s="13" t="s">
        <v>80</v>
      </c>
      <c r="N325" s="13" t="s">
        <v>79</v>
      </c>
      <c r="O325" s="13" t="s">
        <v>489</v>
      </c>
      <c r="P325" s="13" t="s">
        <v>82</v>
      </c>
      <c r="Q325" s="13" t="s">
        <v>103</v>
      </c>
      <c r="R325" s="13" t="s">
        <v>79</v>
      </c>
      <c r="S325" s="13" t="s">
        <v>82</v>
      </c>
      <c r="T325" s="13" t="s">
        <v>106</v>
      </c>
      <c r="U325" s="13" t="s">
        <v>141</v>
      </c>
      <c r="V325" s="13" t="s">
        <v>112</v>
      </c>
      <c r="W325" t="s">
        <v>486</v>
      </c>
      <c r="X325" s="12">
        <v>1.9090909090909092</v>
      </c>
      <c r="Y325" s="12">
        <v>2</v>
      </c>
      <c r="Z325" s="12">
        <v>1.6666666666666667</v>
      </c>
      <c r="AA325" s="12">
        <v>1.1111111111111112</v>
      </c>
      <c r="AB325" s="12">
        <v>3</v>
      </c>
      <c r="AC325" s="12">
        <v>1</v>
      </c>
      <c r="AD325" s="12">
        <v>1.7811447811447811</v>
      </c>
    </row>
    <row r="326" spans="1:30" x14ac:dyDescent="0.3">
      <c r="A326" s="13">
        <v>22</v>
      </c>
      <c r="B326" s="13" t="s">
        <v>70</v>
      </c>
      <c r="C326" s="13" t="s">
        <v>157</v>
      </c>
      <c r="D326" s="13" t="s">
        <v>97</v>
      </c>
      <c r="E326" s="13" t="s">
        <v>108</v>
      </c>
      <c r="F326" s="13" t="s">
        <v>74</v>
      </c>
      <c r="G326" s="13" t="s">
        <v>438</v>
      </c>
      <c r="H326" s="13" t="s">
        <v>74</v>
      </c>
      <c r="I326" s="13" t="s">
        <v>99</v>
      </c>
      <c r="J326" s="13" t="s">
        <v>77</v>
      </c>
      <c r="K326" s="13" t="s">
        <v>125</v>
      </c>
      <c r="L326" s="13" t="s">
        <v>79</v>
      </c>
      <c r="M326" s="13" t="s">
        <v>80</v>
      </c>
      <c r="N326" s="13" t="s">
        <v>79</v>
      </c>
      <c r="O326" s="13" t="s">
        <v>487</v>
      </c>
      <c r="P326" s="13" t="s">
        <v>82</v>
      </c>
      <c r="Q326" s="13" t="s">
        <v>83</v>
      </c>
      <c r="R326" s="13" t="s">
        <v>79</v>
      </c>
      <c r="S326" s="13" t="s">
        <v>82</v>
      </c>
      <c r="T326" s="13" t="s">
        <v>86</v>
      </c>
      <c r="U326" s="13" t="s">
        <v>141</v>
      </c>
      <c r="V326" s="13" t="s">
        <v>112</v>
      </c>
      <c r="W326" t="s">
        <v>486</v>
      </c>
      <c r="X326" s="12">
        <v>2.5454545454545454</v>
      </c>
      <c r="Y326" s="12">
        <v>1.4</v>
      </c>
      <c r="Z326" s="12">
        <v>1.6666666666666667</v>
      </c>
      <c r="AA326" s="12">
        <v>1.1111111111111112</v>
      </c>
      <c r="AB326" s="12">
        <v>3</v>
      </c>
      <c r="AC326" s="12">
        <v>1</v>
      </c>
      <c r="AD326" s="12">
        <v>1.7872053872053872</v>
      </c>
    </row>
    <row r="327" spans="1:30" x14ac:dyDescent="0.3">
      <c r="A327" s="13">
        <v>22</v>
      </c>
      <c r="B327" s="13" t="s">
        <v>70</v>
      </c>
      <c r="C327" s="13" t="s">
        <v>113</v>
      </c>
      <c r="D327" s="13" t="s">
        <v>97</v>
      </c>
      <c r="E327" s="13" t="s">
        <v>114</v>
      </c>
      <c r="F327" s="13" t="s">
        <v>74</v>
      </c>
      <c r="G327" s="13" t="s">
        <v>99</v>
      </c>
      <c r="H327" s="13" t="s">
        <v>136</v>
      </c>
      <c r="I327" s="13" t="s">
        <v>76</v>
      </c>
      <c r="J327" s="13" t="s">
        <v>77</v>
      </c>
      <c r="K327" s="13" t="s">
        <v>122</v>
      </c>
      <c r="L327" s="13" t="s">
        <v>79</v>
      </c>
      <c r="M327" s="13" t="s">
        <v>80</v>
      </c>
      <c r="N327" s="13" t="s">
        <v>79</v>
      </c>
      <c r="O327" s="13" t="s">
        <v>490</v>
      </c>
      <c r="P327" s="13" t="s">
        <v>82</v>
      </c>
      <c r="Q327" s="13" t="s">
        <v>83</v>
      </c>
      <c r="R327" s="13" t="s">
        <v>82</v>
      </c>
      <c r="S327" s="13" t="s">
        <v>82</v>
      </c>
      <c r="T327" s="13" t="s">
        <v>106</v>
      </c>
      <c r="U327" s="13" t="s">
        <v>87</v>
      </c>
      <c r="V327" s="13" t="s">
        <v>112</v>
      </c>
      <c r="W327" t="s">
        <v>486</v>
      </c>
      <c r="X327" s="12">
        <v>2.6363636363636362</v>
      </c>
      <c r="Y327" s="12">
        <v>0.8</v>
      </c>
      <c r="Z327" s="12">
        <v>0.66666666666666663</v>
      </c>
      <c r="AA327" s="12">
        <v>1</v>
      </c>
      <c r="AB327" s="12">
        <v>3</v>
      </c>
      <c r="AC327" s="12">
        <v>1</v>
      </c>
      <c r="AD327" s="12">
        <v>1.5171717171717172</v>
      </c>
    </row>
    <row r="328" spans="1:30" x14ac:dyDescent="0.3">
      <c r="A328" s="13">
        <v>27</v>
      </c>
      <c r="B328" s="13" t="s">
        <v>70</v>
      </c>
      <c r="C328" s="13" t="s">
        <v>153</v>
      </c>
      <c r="D328" s="13" t="s">
        <v>97</v>
      </c>
      <c r="E328" s="13" t="s">
        <v>73</v>
      </c>
      <c r="F328" s="13" t="s">
        <v>98</v>
      </c>
      <c r="G328" s="13" t="s">
        <v>440</v>
      </c>
      <c r="H328" s="13" t="s">
        <v>136</v>
      </c>
      <c r="I328" s="13" t="s">
        <v>76</v>
      </c>
      <c r="J328" s="13" t="s">
        <v>77</v>
      </c>
      <c r="K328" s="13" t="s">
        <v>125</v>
      </c>
      <c r="L328" s="13" t="s">
        <v>82</v>
      </c>
      <c r="M328" s="13" t="s">
        <v>80</v>
      </c>
      <c r="N328" s="13" t="s">
        <v>79</v>
      </c>
      <c r="O328" s="13" t="s">
        <v>488</v>
      </c>
      <c r="P328" s="13" t="s">
        <v>79</v>
      </c>
      <c r="Q328" s="13" t="s">
        <v>83</v>
      </c>
      <c r="R328" s="13" t="s">
        <v>79</v>
      </c>
      <c r="S328" s="13" t="s">
        <v>79</v>
      </c>
      <c r="T328" s="13" t="s">
        <v>86</v>
      </c>
      <c r="U328" s="13" t="s">
        <v>141</v>
      </c>
      <c r="V328" s="13" t="s">
        <v>127</v>
      </c>
      <c r="W328" t="s">
        <v>485</v>
      </c>
      <c r="X328" s="12">
        <v>2.0909090909090908</v>
      </c>
      <c r="Y328" s="12">
        <v>0.6</v>
      </c>
      <c r="Z328" s="12">
        <v>1.6666666666666667</v>
      </c>
      <c r="AA328" s="12">
        <v>0.88888888888888884</v>
      </c>
      <c r="AB328" s="12">
        <v>3</v>
      </c>
      <c r="AC328" s="12">
        <v>1</v>
      </c>
      <c r="AD328" s="12">
        <v>1.541077441077441</v>
      </c>
    </row>
    <row r="329" spans="1:30" x14ac:dyDescent="0.3">
      <c r="A329" s="13">
        <v>22</v>
      </c>
      <c r="B329" s="13" t="s">
        <v>70</v>
      </c>
      <c r="C329" s="13" t="s">
        <v>96</v>
      </c>
      <c r="D329" s="13" t="s">
        <v>72</v>
      </c>
      <c r="E329" s="13" t="s">
        <v>108</v>
      </c>
      <c r="F329" s="13" t="s">
        <v>136</v>
      </c>
      <c r="G329" s="13" t="s">
        <v>440</v>
      </c>
      <c r="H329" s="13" t="s">
        <v>98</v>
      </c>
      <c r="I329" s="13" t="s">
        <v>76</v>
      </c>
      <c r="J329" s="13" t="s">
        <v>101</v>
      </c>
      <c r="K329" s="13" t="s">
        <v>78</v>
      </c>
      <c r="L329" s="13" t="s">
        <v>79</v>
      </c>
      <c r="M329" s="13" t="s">
        <v>102</v>
      </c>
      <c r="N329" s="13" t="s">
        <v>79</v>
      </c>
      <c r="O329" s="13" t="s">
        <v>489</v>
      </c>
      <c r="P329" s="13" t="s">
        <v>82</v>
      </c>
      <c r="Q329" s="13" t="s">
        <v>83</v>
      </c>
      <c r="R329" s="13" t="s">
        <v>82</v>
      </c>
      <c r="S329" s="13" t="s">
        <v>82</v>
      </c>
      <c r="T329" s="13" t="s">
        <v>106</v>
      </c>
      <c r="U329" s="13" t="s">
        <v>141</v>
      </c>
      <c r="V329" s="13" t="s">
        <v>112</v>
      </c>
      <c r="W329" t="s">
        <v>485</v>
      </c>
      <c r="X329" s="12">
        <v>2.4545454545454546</v>
      </c>
      <c r="Y329" s="12">
        <v>2.8</v>
      </c>
      <c r="Z329" s="12">
        <v>2.3333333333333335</v>
      </c>
      <c r="AA329" s="12">
        <v>0.77777777777777779</v>
      </c>
      <c r="AB329" s="12">
        <v>3</v>
      </c>
      <c r="AC329" s="12">
        <v>1</v>
      </c>
      <c r="AD329" s="12">
        <v>2.0609427609427611</v>
      </c>
    </row>
    <row r="330" spans="1:30" x14ac:dyDescent="0.3">
      <c r="A330" s="13">
        <v>20</v>
      </c>
      <c r="B330" s="13" t="s">
        <v>70</v>
      </c>
      <c r="C330" s="13" t="s">
        <v>157</v>
      </c>
      <c r="D330" s="13" t="s">
        <v>72</v>
      </c>
      <c r="E330" s="13" t="s">
        <v>114</v>
      </c>
      <c r="F330" s="13" t="s">
        <v>136</v>
      </c>
      <c r="G330" s="13" t="s">
        <v>439</v>
      </c>
      <c r="H330" s="13" t="s">
        <v>98</v>
      </c>
      <c r="I330" s="13" t="s">
        <v>76</v>
      </c>
      <c r="J330" s="13" t="s">
        <v>77</v>
      </c>
      <c r="K330" s="13" t="s">
        <v>125</v>
      </c>
      <c r="L330" s="13" t="s">
        <v>82</v>
      </c>
      <c r="M330" s="13" t="s">
        <v>80</v>
      </c>
      <c r="N330" s="13" t="s">
        <v>79</v>
      </c>
      <c r="O330" s="13" t="s">
        <v>489</v>
      </c>
      <c r="P330" s="13" t="s">
        <v>82</v>
      </c>
      <c r="Q330" s="13" t="s">
        <v>83</v>
      </c>
      <c r="R330" s="13" t="s">
        <v>79</v>
      </c>
      <c r="S330" s="13" t="s">
        <v>82</v>
      </c>
      <c r="T330" s="13" t="s">
        <v>86</v>
      </c>
      <c r="U330" s="13" t="s">
        <v>141</v>
      </c>
      <c r="V330" s="13" t="s">
        <v>112</v>
      </c>
      <c r="W330" t="s">
        <v>486</v>
      </c>
      <c r="X330" s="12">
        <v>1.9090909090909092</v>
      </c>
      <c r="Y330" s="12">
        <v>2.6</v>
      </c>
      <c r="Z330" s="12">
        <v>2</v>
      </c>
      <c r="AA330" s="12">
        <v>0.77777777777777779</v>
      </c>
      <c r="AB330" s="12">
        <v>3</v>
      </c>
      <c r="AC330" s="12">
        <v>1</v>
      </c>
      <c r="AD330" s="12">
        <v>1.881144781144781</v>
      </c>
    </row>
    <row r="331" spans="1:30" x14ac:dyDescent="0.3">
      <c r="A331" s="13">
        <v>23</v>
      </c>
      <c r="B331" s="13" t="s">
        <v>70</v>
      </c>
      <c r="C331" s="13" t="s">
        <v>71</v>
      </c>
      <c r="D331" s="13" t="s">
        <v>72</v>
      </c>
      <c r="E331" s="13" t="s">
        <v>114</v>
      </c>
      <c r="F331" s="13" t="s">
        <v>136</v>
      </c>
      <c r="G331" s="13" t="s">
        <v>440</v>
      </c>
      <c r="H331" s="13" t="s">
        <v>136</v>
      </c>
      <c r="I331" s="13" t="s">
        <v>76</v>
      </c>
      <c r="J331" s="13" t="s">
        <v>101</v>
      </c>
      <c r="K331" s="13" t="s">
        <v>125</v>
      </c>
      <c r="L331" s="13" t="s">
        <v>82</v>
      </c>
      <c r="M331" s="13" t="s">
        <v>80</v>
      </c>
      <c r="N331" s="13" t="s">
        <v>79</v>
      </c>
      <c r="O331" s="13" t="s">
        <v>489</v>
      </c>
      <c r="P331" s="13" t="s">
        <v>82</v>
      </c>
      <c r="Q331" s="13" t="s">
        <v>83</v>
      </c>
      <c r="R331" s="13" t="s">
        <v>79</v>
      </c>
      <c r="S331" s="13" t="s">
        <v>79</v>
      </c>
      <c r="T331" s="13" t="s">
        <v>86</v>
      </c>
      <c r="U331" s="13" t="s">
        <v>141</v>
      </c>
      <c r="V331" s="13" t="s">
        <v>455</v>
      </c>
      <c r="W331" t="s">
        <v>486</v>
      </c>
      <c r="X331" s="12">
        <v>2.8181818181818183</v>
      </c>
      <c r="Y331" s="12">
        <v>2.6</v>
      </c>
      <c r="Z331" s="12">
        <v>1.3333333333333333</v>
      </c>
      <c r="AA331" s="12">
        <v>0.77777777777777779</v>
      </c>
      <c r="AB331" s="12">
        <v>3</v>
      </c>
      <c r="AC331" s="12">
        <v>1</v>
      </c>
      <c r="AD331" s="12">
        <v>1.9215488215488215</v>
      </c>
    </row>
    <row r="332" spans="1:30" x14ac:dyDescent="0.3">
      <c r="A332" s="13">
        <v>22</v>
      </c>
      <c r="B332" s="13" t="s">
        <v>70</v>
      </c>
      <c r="C332" s="13" t="s">
        <v>157</v>
      </c>
      <c r="D332" s="13" t="s">
        <v>97</v>
      </c>
      <c r="E332" s="13" t="s">
        <v>114</v>
      </c>
      <c r="F332" s="13" t="s">
        <v>136</v>
      </c>
      <c r="G332" s="13" t="s">
        <v>440</v>
      </c>
      <c r="H332" s="13" t="s">
        <v>100</v>
      </c>
      <c r="I332" s="13" t="s">
        <v>76</v>
      </c>
      <c r="J332" s="13" t="s">
        <v>101</v>
      </c>
      <c r="K332" s="13" t="s">
        <v>125</v>
      </c>
      <c r="L332" s="13" t="s">
        <v>79</v>
      </c>
      <c r="M332" s="13" t="s">
        <v>80</v>
      </c>
      <c r="N332" s="13" t="s">
        <v>79</v>
      </c>
      <c r="O332" s="13" t="s">
        <v>489</v>
      </c>
      <c r="P332" s="13" t="s">
        <v>82</v>
      </c>
      <c r="Q332" s="13" t="s">
        <v>83</v>
      </c>
      <c r="R332" s="13" t="s">
        <v>79</v>
      </c>
      <c r="S332" s="13" t="s">
        <v>82</v>
      </c>
      <c r="T332" s="13" t="s">
        <v>106</v>
      </c>
      <c r="U332" s="13" t="s">
        <v>87</v>
      </c>
      <c r="V332" s="13" t="s">
        <v>112</v>
      </c>
      <c r="W332" t="s">
        <v>486</v>
      </c>
      <c r="X332" s="12">
        <v>2.3636363636363638</v>
      </c>
      <c r="Y332" s="12">
        <v>2.2000000000000002</v>
      </c>
      <c r="Z332" s="12">
        <v>1</v>
      </c>
      <c r="AA332" s="12">
        <v>0.77777777777777779</v>
      </c>
      <c r="AB332" s="12">
        <v>3</v>
      </c>
      <c r="AC332" s="12">
        <v>1</v>
      </c>
      <c r="AD332" s="12">
        <v>1.7235690235690235</v>
      </c>
    </row>
    <row r="333" spans="1:30" x14ac:dyDescent="0.3">
      <c r="A333" s="13">
        <v>20</v>
      </c>
      <c r="B333" s="13" t="s">
        <v>70</v>
      </c>
      <c r="C333" s="13" t="s">
        <v>157</v>
      </c>
      <c r="D333" s="13" t="s">
        <v>149</v>
      </c>
      <c r="E333" s="13" t="s">
        <v>114</v>
      </c>
      <c r="F333" s="13" t="s">
        <v>74</v>
      </c>
      <c r="G333" s="13" t="s">
        <v>99</v>
      </c>
      <c r="H333" s="13" t="s">
        <v>136</v>
      </c>
      <c r="I333" s="13" t="s">
        <v>76</v>
      </c>
      <c r="J333" s="13" t="s">
        <v>77</v>
      </c>
      <c r="K333" s="13" t="s">
        <v>122</v>
      </c>
      <c r="L333" s="13" t="s">
        <v>82</v>
      </c>
      <c r="M333" s="13" t="s">
        <v>132</v>
      </c>
      <c r="N333" s="13" t="s">
        <v>79</v>
      </c>
      <c r="O333" s="13" t="s">
        <v>489</v>
      </c>
      <c r="P333" s="13" t="s">
        <v>82</v>
      </c>
      <c r="Q333" s="13" t="s">
        <v>83</v>
      </c>
      <c r="R333" s="13" t="s">
        <v>79</v>
      </c>
      <c r="S333" s="13" t="s">
        <v>82</v>
      </c>
      <c r="T333" s="13" t="s">
        <v>106</v>
      </c>
      <c r="U333" s="13" t="s">
        <v>141</v>
      </c>
      <c r="V333" s="13" t="s">
        <v>112</v>
      </c>
      <c r="W333" t="s">
        <v>486</v>
      </c>
      <c r="X333" s="12">
        <v>2.5454545454545454</v>
      </c>
      <c r="Y333" s="12">
        <v>1</v>
      </c>
      <c r="Z333" s="12">
        <v>2.3333333333333335</v>
      </c>
      <c r="AA333" s="12">
        <v>0.55555555555555558</v>
      </c>
      <c r="AB333" s="12">
        <v>3</v>
      </c>
      <c r="AC333" s="12">
        <v>1</v>
      </c>
      <c r="AD333" s="12">
        <v>1.739057239057239</v>
      </c>
    </row>
    <row r="334" spans="1:30" x14ac:dyDescent="0.3">
      <c r="A334" s="13">
        <v>21</v>
      </c>
      <c r="B334" s="13" t="s">
        <v>70</v>
      </c>
      <c r="C334" s="13" t="s">
        <v>157</v>
      </c>
      <c r="D334" s="13" t="s">
        <v>72</v>
      </c>
      <c r="E334" s="13" t="s">
        <v>73</v>
      </c>
      <c r="F334" s="13" t="s">
        <v>74</v>
      </c>
      <c r="G334" s="13" t="s">
        <v>439</v>
      </c>
      <c r="H334" s="13" t="s">
        <v>74</v>
      </c>
      <c r="I334" s="13" t="s">
        <v>439</v>
      </c>
      <c r="J334" s="13" t="s">
        <v>77</v>
      </c>
      <c r="K334" s="13" t="s">
        <v>131</v>
      </c>
      <c r="L334" s="13" t="s">
        <v>79</v>
      </c>
      <c r="M334" s="13" t="s">
        <v>132</v>
      </c>
      <c r="N334" s="13" t="s">
        <v>79</v>
      </c>
      <c r="O334" s="13" t="s">
        <v>489</v>
      </c>
      <c r="P334" s="13" t="s">
        <v>79</v>
      </c>
      <c r="Q334" s="13" t="s">
        <v>83</v>
      </c>
      <c r="R334" s="13" t="s">
        <v>79</v>
      </c>
      <c r="S334" s="13" t="s">
        <v>82</v>
      </c>
      <c r="T334" s="13" t="s">
        <v>106</v>
      </c>
      <c r="U334" s="13" t="s">
        <v>120</v>
      </c>
      <c r="V334" s="13" t="s">
        <v>112</v>
      </c>
      <c r="W334" t="s">
        <v>485</v>
      </c>
      <c r="X334" s="12">
        <v>2.8181818181818183</v>
      </c>
      <c r="Y334" s="12">
        <v>2.6</v>
      </c>
      <c r="Z334" s="12">
        <v>0.66666666666666663</v>
      </c>
      <c r="AA334" s="12">
        <v>0.55555555555555558</v>
      </c>
      <c r="AB334" s="12">
        <v>3</v>
      </c>
      <c r="AC334" s="12">
        <v>1</v>
      </c>
      <c r="AD334" s="12">
        <v>1.7734006734006733</v>
      </c>
    </row>
    <row r="335" spans="1:30" x14ac:dyDescent="0.3">
      <c r="A335" s="13">
        <v>23</v>
      </c>
      <c r="B335" s="13" t="s">
        <v>70</v>
      </c>
      <c r="C335" s="13" t="s">
        <v>71</v>
      </c>
      <c r="D335" s="13" t="s">
        <v>97</v>
      </c>
      <c r="E335" s="13" t="s">
        <v>73</v>
      </c>
      <c r="F335" s="13" t="s">
        <v>74</v>
      </c>
      <c r="G335" s="13" t="s">
        <v>439</v>
      </c>
      <c r="H335" s="13" t="s">
        <v>100</v>
      </c>
      <c r="I335" s="13" t="s">
        <v>76</v>
      </c>
      <c r="J335" s="13" t="s">
        <v>77</v>
      </c>
      <c r="K335" s="13" t="s">
        <v>125</v>
      </c>
      <c r="L335" s="13" t="s">
        <v>79</v>
      </c>
      <c r="M335" s="13" t="s">
        <v>80</v>
      </c>
      <c r="N335" s="13" t="s">
        <v>79</v>
      </c>
      <c r="O335" s="13" t="s">
        <v>488</v>
      </c>
      <c r="P335" s="13" t="s">
        <v>79</v>
      </c>
      <c r="Q335" s="13" t="s">
        <v>103</v>
      </c>
      <c r="R335" s="13" t="s">
        <v>79</v>
      </c>
      <c r="S335" s="13" t="s">
        <v>79</v>
      </c>
      <c r="T335" s="13" t="s">
        <v>106</v>
      </c>
      <c r="U335" s="13" t="s">
        <v>87</v>
      </c>
      <c r="V335" s="13" t="s">
        <v>112</v>
      </c>
      <c r="W335" t="s">
        <v>486</v>
      </c>
      <c r="X335" s="12">
        <v>2.7272727272727271</v>
      </c>
      <c r="Y335" s="12">
        <v>2</v>
      </c>
      <c r="Z335" s="12">
        <v>0.66666666666666663</v>
      </c>
      <c r="AA335" s="12">
        <v>0.33333333333333331</v>
      </c>
      <c r="AB335" s="12">
        <v>3</v>
      </c>
      <c r="AC335" s="12">
        <v>1</v>
      </c>
      <c r="AD335" s="12">
        <v>1.6212121212121211</v>
      </c>
    </row>
    <row r="336" spans="1:30" x14ac:dyDescent="0.3">
      <c r="A336" s="13">
        <v>21</v>
      </c>
      <c r="B336" s="13" t="s">
        <v>70</v>
      </c>
      <c r="C336" s="13" t="s">
        <v>96</v>
      </c>
      <c r="D336" s="13" t="s">
        <v>72</v>
      </c>
      <c r="E336" s="13" t="s">
        <v>114</v>
      </c>
      <c r="F336" s="13" t="s">
        <v>136</v>
      </c>
      <c r="G336" s="13" t="s">
        <v>439</v>
      </c>
      <c r="H336" s="13" t="s">
        <v>98</v>
      </c>
      <c r="I336" s="13" t="s">
        <v>76</v>
      </c>
      <c r="J336" s="13" t="s">
        <v>77</v>
      </c>
      <c r="K336" s="13" t="s">
        <v>125</v>
      </c>
      <c r="L336" s="13" t="s">
        <v>82</v>
      </c>
      <c r="M336" s="13" t="s">
        <v>80</v>
      </c>
      <c r="N336" s="13" t="s">
        <v>79</v>
      </c>
      <c r="O336" s="13" t="s">
        <v>489</v>
      </c>
      <c r="P336" s="13" t="s">
        <v>79</v>
      </c>
      <c r="Q336" s="13" t="s">
        <v>83</v>
      </c>
      <c r="R336" s="13" t="s">
        <v>82</v>
      </c>
      <c r="S336" s="13" t="s">
        <v>82</v>
      </c>
      <c r="T336" s="13" t="s">
        <v>106</v>
      </c>
      <c r="U336" s="13" t="s">
        <v>141</v>
      </c>
      <c r="V336" s="13" t="s">
        <v>112</v>
      </c>
      <c r="W336" t="s">
        <v>486</v>
      </c>
      <c r="X336" s="12">
        <v>2</v>
      </c>
      <c r="Y336" s="12">
        <v>1.2</v>
      </c>
      <c r="Z336" s="12">
        <v>1</v>
      </c>
      <c r="AA336" s="12">
        <v>1</v>
      </c>
      <c r="AB336" s="12">
        <v>2.8</v>
      </c>
      <c r="AC336" s="12">
        <v>1</v>
      </c>
      <c r="AD336" s="12">
        <v>1.5</v>
      </c>
    </row>
    <row r="337" spans="1:30" x14ac:dyDescent="0.3">
      <c r="A337" s="13">
        <v>24</v>
      </c>
      <c r="B337" s="13" t="s">
        <v>70</v>
      </c>
      <c r="C337" s="13" t="s">
        <v>71</v>
      </c>
      <c r="D337" s="13" t="s">
        <v>149</v>
      </c>
      <c r="E337" s="13" t="s">
        <v>114</v>
      </c>
      <c r="F337" s="13" t="s">
        <v>136</v>
      </c>
      <c r="G337" s="13" t="s">
        <v>440</v>
      </c>
      <c r="H337" s="13" t="s">
        <v>98</v>
      </c>
      <c r="I337" s="13" t="s">
        <v>76</v>
      </c>
      <c r="J337" s="13" t="s">
        <v>77</v>
      </c>
      <c r="K337" s="13" t="s">
        <v>125</v>
      </c>
      <c r="L337" s="13" t="s">
        <v>82</v>
      </c>
      <c r="M337" s="13" t="s">
        <v>80</v>
      </c>
      <c r="N337" s="13" t="s">
        <v>79</v>
      </c>
      <c r="O337" s="13" t="s">
        <v>488</v>
      </c>
      <c r="P337" s="13" t="s">
        <v>79</v>
      </c>
      <c r="Q337" s="13" t="s">
        <v>103</v>
      </c>
      <c r="R337" s="13" t="s">
        <v>79</v>
      </c>
      <c r="S337" s="13" t="s">
        <v>82</v>
      </c>
      <c r="T337" s="13" t="s">
        <v>86</v>
      </c>
      <c r="U337" s="13" t="s">
        <v>120</v>
      </c>
      <c r="V337" s="13" t="s">
        <v>112</v>
      </c>
      <c r="W337" t="s">
        <v>486</v>
      </c>
      <c r="X337" s="12">
        <v>2.2727272727272729</v>
      </c>
      <c r="Y337" s="12">
        <v>1</v>
      </c>
      <c r="Z337" s="12">
        <v>1.3333333333333333</v>
      </c>
      <c r="AA337" s="12">
        <v>1</v>
      </c>
      <c r="AB337" s="12">
        <v>2.6</v>
      </c>
      <c r="AC337" s="12">
        <v>1</v>
      </c>
      <c r="AD337" s="12">
        <v>1.5343434343434346</v>
      </c>
    </row>
    <row r="338" spans="1:30" x14ac:dyDescent="0.3">
      <c r="A338" s="13">
        <v>22</v>
      </c>
      <c r="B338" s="13" t="s">
        <v>70</v>
      </c>
      <c r="C338" s="13" t="s">
        <v>113</v>
      </c>
      <c r="D338" s="13" t="s">
        <v>72</v>
      </c>
      <c r="E338" s="13" t="s">
        <v>114</v>
      </c>
      <c r="F338" s="13" t="s">
        <v>100</v>
      </c>
      <c r="G338" s="13" t="s">
        <v>440</v>
      </c>
      <c r="H338" s="13" t="s">
        <v>100</v>
      </c>
      <c r="I338" s="13" t="s">
        <v>76</v>
      </c>
      <c r="J338" s="13" t="s">
        <v>77</v>
      </c>
      <c r="K338" s="13" t="s">
        <v>125</v>
      </c>
      <c r="L338" s="13" t="s">
        <v>79</v>
      </c>
      <c r="M338" s="13" t="s">
        <v>80</v>
      </c>
      <c r="N338" s="13" t="s">
        <v>79</v>
      </c>
      <c r="O338" s="13" t="s">
        <v>489</v>
      </c>
      <c r="P338" s="13" t="s">
        <v>79</v>
      </c>
      <c r="Q338" s="13" t="s">
        <v>83</v>
      </c>
      <c r="R338" s="13" t="s">
        <v>82</v>
      </c>
      <c r="S338" s="13" t="s">
        <v>82</v>
      </c>
      <c r="T338" s="13" t="s">
        <v>86</v>
      </c>
      <c r="U338" s="13" t="s">
        <v>141</v>
      </c>
      <c r="V338" s="13" t="s">
        <v>112</v>
      </c>
      <c r="W338" t="s">
        <v>486</v>
      </c>
      <c r="X338" s="12">
        <v>2.5454545454545454</v>
      </c>
      <c r="Y338" s="12">
        <v>0.4</v>
      </c>
      <c r="Z338" s="12">
        <v>1.3333333333333333</v>
      </c>
      <c r="AA338" s="12">
        <v>0.44444444444444442</v>
      </c>
      <c r="AB338" s="12">
        <v>2.6</v>
      </c>
      <c r="AC338" s="12">
        <v>1</v>
      </c>
      <c r="AD338" s="12">
        <v>1.3872053872053873</v>
      </c>
    </row>
    <row r="339" spans="1:30" x14ac:dyDescent="0.3">
      <c r="A339" s="13">
        <v>21</v>
      </c>
      <c r="B339" s="13" t="s">
        <v>70</v>
      </c>
      <c r="C339" s="13" t="s">
        <v>96</v>
      </c>
      <c r="D339" s="13" t="s">
        <v>72</v>
      </c>
      <c r="E339" s="13" t="s">
        <v>114</v>
      </c>
      <c r="F339" s="13" t="s">
        <v>100</v>
      </c>
      <c r="G339" s="13" t="s">
        <v>439</v>
      </c>
      <c r="H339" s="13" t="s">
        <v>98</v>
      </c>
      <c r="I339" s="13" t="s">
        <v>76</v>
      </c>
      <c r="J339" s="13" t="s">
        <v>77</v>
      </c>
      <c r="K339" s="13" t="s">
        <v>125</v>
      </c>
      <c r="L339" s="13" t="s">
        <v>82</v>
      </c>
      <c r="M339" s="13" t="s">
        <v>80</v>
      </c>
      <c r="N339" s="13" t="s">
        <v>79</v>
      </c>
      <c r="O339" s="13" t="s">
        <v>487</v>
      </c>
      <c r="P339" s="13" t="s">
        <v>79</v>
      </c>
      <c r="Q339" s="13" t="s">
        <v>83</v>
      </c>
      <c r="R339" s="13" t="s">
        <v>79</v>
      </c>
      <c r="S339" s="13" t="s">
        <v>82</v>
      </c>
      <c r="T339" s="13" t="s">
        <v>148</v>
      </c>
      <c r="U339" s="13" t="s">
        <v>87</v>
      </c>
      <c r="V339" s="13" t="s">
        <v>112</v>
      </c>
      <c r="W339" t="s">
        <v>486</v>
      </c>
      <c r="X339" s="12">
        <v>2.4545454545454546</v>
      </c>
      <c r="Y339" s="12">
        <v>1.8</v>
      </c>
      <c r="Z339" s="12">
        <v>1.3333333333333333</v>
      </c>
      <c r="AA339" s="12">
        <v>0.33333333333333331</v>
      </c>
      <c r="AB339" s="12">
        <v>2.6</v>
      </c>
      <c r="AC339" s="12">
        <v>1</v>
      </c>
      <c r="AD339" s="12">
        <v>1.586868686868687</v>
      </c>
    </row>
    <row r="340" spans="1:30" x14ac:dyDescent="0.3">
      <c r="A340" s="13">
        <v>19</v>
      </c>
      <c r="B340" s="13" t="s">
        <v>70</v>
      </c>
      <c r="C340" s="13" t="s">
        <v>157</v>
      </c>
      <c r="D340" s="13" t="s">
        <v>72</v>
      </c>
      <c r="E340" s="13" t="s">
        <v>73</v>
      </c>
      <c r="F340" s="13" t="s">
        <v>74</v>
      </c>
      <c r="G340" s="13" t="s">
        <v>440</v>
      </c>
      <c r="H340" s="13" t="s">
        <v>136</v>
      </c>
      <c r="I340" s="13" t="s">
        <v>439</v>
      </c>
      <c r="J340" s="13" t="s">
        <v>77</v>
      </c>
      <c r="K340" s="13" t="s">
        <v>122</v>
      </c>
      <c r="L340" s="13" t="s">
        <v>79</v>
      </c>
      <c r="M340" s="13" t="s">
        <v>80</v>
      </c>
      <c r="N340" s="13" t="s">
        <v>79</v>
      </c>
      <c r="O340" s="13" t="s">
        <v>489</v>
      </c>
      <c r="P340" s="13" t="s">
        <v>82</v>
      </c>
      <c r="Q340" s="13" t="s">
        <v>83</v>
      </c>
      <c r="R340" s="13" t="s">
        <v>79</v>
      </c>
      <c r="S340" s="13" t="s">
        <v>82</v>
      </c>
      <c r="T340" s="13" t="s">
        <v>86</v>
      </c>
      <c r="U340" s="13" t="s">
        <v>141</v>
      </c>
      <c r="V340" s="13" t="s">
        <v>112</v>
      </c>
      <c r="W340" t="s">
        <v>486</v>
      </c>
      <c r="X340" s="12">
        <v>2.6363636363636362</v>
      </c>
      <c r="Y340" s="12">
        <v>2.2000000000000002</v>
      </c>
      <c r="Z340" s="12">
        <v>0.66666666666666663</v>
      </c>
      <c r="AA340" s="12">
        <v>0.33333333333333331</v>
      </c>
      <c r="AB340" s="12">
        <v>2.6</v>
      </c>
      <c r="AC340" s="12">
        <v>1</v>
      </c>
      <c r="AD340" s="12">
        <v>1.5727272727272725</v>
      </c>
    </row>
    <row r="341" spans="1:30" x14ac:dyDescent="0.3">
      <c r="A341" s="13">
        <v>22</v>
      </c>
      <c r="B341" s="13" t="s">
        <v>70</v>
      </c>
      <c r="C341" s="13" t="s">
        <v>157</v>
      </c>
      <c r="D341" s="13" t="s">
        <v>72</v>
      </c>
      <c r="E341" s="13" t="s">
        <v>108</v>
      </c>
      <c r="F341" s="13" t="s">
        <v>74</v>
      </c>
      <c r="G341" s="13" t="s">
        <v>440</v>
      </c>
      <c r="H341" s="13" t="s">
        <v>74</v>
      </c>
      <c r="I341" s="13" t="s">
        <v>76</v>
      </c>
      <c r="J341" s="13" t="s">
        <v>101</v>
      </c>
      <c r="K341" s="13" t="s">
        <v>131</v>
      </c>
      <c r="L341" s="13" t="s">
        <v>79</v>
      </c>
      <c r="M341" s="13" t="s">
        <v>80</v>
      </c>
      <c r="N341" s="13" t="s">
        <v>79</v>
      </c>
      <c r="O341" s="13" t="s">
        <v>487</v>
      </c>
      <c r="P341" s="13" t="s">
        <v>82</v>
      </c>
      <c r="Q341" s="13" t="s">
        <v>83</v>
      </c>
      <c r="R341" s="13" t="s">
        <v>82</v>
      </c>
      <c r="S341" s="13" t="s">
        <v>82</v>
      </c>
      <c r="T341" s="13" t="s">
        <v>106</v>
      </c>
      <c r="U341" s="13" t="s">
        <v>87</v>
      </c>
      <c r="V341" s="13" t="s">
        <v>112</v>
      </c>
      <c r="W341" t="s">
        <v>486</v>
      </c>
      <c r="X341" s="12">
        <v>3</v>
      </c>
      <c r="Y341" s="12">
        <v>3</v>
      </c>
      <c r="Z341" s="12">
        <v>3</v>
      </c>
      <c r="AA341" s="12">
        <v>1.3333333333333333</v>
      </c>
      <c r="AB341" s="12">
        <v>2.4</v>
      </c>
      <c r="AC341" s="12">
        <v>1</v>
      </c>
      <c r="AD341" s="12">
        <v>2.2888888888888892</v>
      </c>
    </row>
    <row r="342" spans="1:30" x14ac:dyDescent="0.3">
      <c r="A342" s="13">
        <v>23</v>
      </c>
      <c r="B342" s="13" t="s">
        <v>70</v>
      </c>
      <c r="C342" s="13" t="s">
        <v>71</v>
      </c>
      <c r="D342" s="13" t="s">
        <v>72</v>
      </c>
      <c r="E342" s="13" t="s">
        <v>73</v>
      </c>
      <c r="F342" s="13" t="s">
        <v>136</v>
      </c>
      <c r="G342" s="13" t="s">
        <v>439</v>
      </c>
      <c r="H342" s="13" t="s">
        <v>136</v>
      </c>
      <c r="I342" s="13" t="s">
        <v>76</v>
      </c>
      <c r="J342" s="13" t="s">
        <v>77</v>
      </c>
      <c r="K342" s="13" t="s">
        <v>125</v>
      </c>
      <c r="L342" s="13" t="s">
        <v>82</v>
      </c>
      <c r="M342" s="13" t="s">
        <v>80</v>
      </c>
      <c r="N342" s="13" t="s">
        <v>79</v>
      </c>
      <c r="O342" s="13" t="s">
        <v>489</v>
      </c>
      <c r="P342" s="13" t="s">
        <v>82</v>
      </c>
      <c r="Q342" s="13" t="s">
        <v>103</v>
      </c>
      <c r="R342" s="13" t="s">
        <v>79</v>
      </c>
      <c r="S342" s="13" t="s">
        <v>82</v>
      </c>
      <c r="T342" s="13" t="s">
        <v>106</v>
      </c>
      <c r="U342" s="13" t="s">
        <v>141</v>
      </c>
      <c r="V342" s="13" t="s">
        <v>112</v>
      </c>
      <c r="W342" t="s">
        <v>486</v>
      </c>
      <c r="X342" s="12">
        <v>2.4545454545454546</v>
      </c>
      <c r="Y342" s="12">
        <v>1.8</v>
      </c>
      <c r="Z342" s="12">
        <v>2.3333333333333335</v>
      </c>
      <c r="AA342" s="12">
        <v>0.55555555555555558</v>
      </c>
      <c r="AB342" s="12">
        <v>2.4</v>
      </c>
      <c r="AC342" s="12">
        <v>1</v>
      </c>
      <c r="AD342" s="12">
        <v>1.7572390572390573</v>
      </c>
    </row>
    <row r="343" spans="1:30" x14ac:dyDescent="0.3">
      <c r="A343" s="13">
        <v>23</v>
      </c>
      <c r="B343" s="13" t="s">
        <v>70</v>
      </c>
      <c r="C343" s="13" t="s">
        <v>113</v>
      </c>
      <c r="D343" s="13" t="s">
        <v>149</v>
      </c>
      <c r="E343" s="13" t="s">
        <v>73</v>
      </c>
      <c r="F343" s="13" t="s">
        <v>74</v>
      </c>
      <c r="G343" s="13" t="s">
        <v>440</v>
      </c>
      <c r="H343" s="13" t="s">
        <v>74</v>
      </c>
      <c r="I343" s="13" t="s">
        <v>439</v>
      </c>
      <c r="J343" s="13" t="s">
        <v>77</v>
      </c>
      <c r="K343" s="13" t="s">
        <v>122</v>
      </c>
      <c r="L343" s="13" t="s">
        <v>82</v>
      </c>
      <c r="M343" s="13" t="s">
        <v>132</v>
      </c>
      <c r="N343" s="13" t="s">
        <v>82</v>
      </c>
      <c r="O343" s="13" t="s">
        <v>488</v>
      </c>
      <c r="P343" s="13" t="s">
        <v>82</v>
      </c>
      <c r="Q343" s="13" t="s">
        <v>83</v>
      </c>
      <c r="R343" s="13" t="s">
        <v>82</v>
      </c>
      <c r="S343" s="13" t="s">
        <v>82</v>
      </c>
      <c r="T343" s="13" t="s">
        <v>106</v>
      </c>
      <c r="U343" s="13" t="s">
        <v>87</v>
      </c>
      <c r="V343" s="13" t="s">
        <v>455</v>
      </c>
      <c r="W343" t="s">
        <v>486</v>
      </c>
      <c r="X343" s="12">
        <v>1.7272727272727273</v>
      </c>
      <c r="Y343" s="12">
        <v>0.6</v>
      </c>
      <c r="Z343" s="12">
        <v>0.66666666666666663</v>
      </c>
      <c r="AA343" s="12">
        <v>0.55555555555555558</v>
      </c>
      <c r="AB343" s="12">
        <v>2.4</v>
      </c>
      <c r="AC343" s="12">
        <v>1</v>
      </c>
      <c r="AD343" s="12">
        <v>1.1582491582491583</v>
      </c>
    </row>
    <row r="344" spans="1:30" x14ac:dyDescent="0.3">
      <c r="A344" s="13">
        <v>24</v>
      </c>
      <c r="B344" s="13" t="s">
        <v>70</v>
      </c>
      <c r="C344" s="13" t="s">
        <v>71</v>
      </c>
      <c r="D344" s="13" t="s">
        <v>72</v>
      </c>
      <c r="E344" s="13" t="s">
        <v>114</v>
      </c>
      <c r="F344" s="13" t="s">
        <v>136</v>
      </c>
      <c r="G344" s="13" t="s">
        <v>438</v>
      </c>
      <c r="H344" s="13" t="s">
        <v>136</v>
      </c>
      <c r="I344" s="13" t="s">
        <v>76</v>
      </c>
      <c r="J344" s="13" t="s">
        <v>77</v>
      </c>
      <c r="K344" s="13" t="s">
        <v>122</v>
      </c>
      <c r="L344" s="13" t="s">
        <v>79</v>
      </c>
      <c r="M344" s="13" t="s">
        <v>80</v>
      </c>
      <c r="N344" s="13" t="s">
        <v>82</v>
      </c>
      <c r="O344" s="13" t="s">
        <v>489</v>
      </c>
      <c r="P344" s="13" t="s">
        <v>82</v>
      </c>
      <c r="Q344" s="13" t="s">
        <v>83</v>
      </c>
      <c r="R344" s="13" t="s">
        <v>82</v>
      </c>
      <c r="S344" s="13" t="s">
        <v>82</v>
      </c>
      <c r="T344" s="13" t="s">
        <v>106</v>
      </c>
      <c r="U344" s="13" t="s">
        <v>87</v>
      </c>
      <c r="V344" s="13" t="s">
        <v>455</v>
      </c>
      <c r="W344" t="s">
        <v>486</v>
      </c>
      <c r="X344" s="12">
        <v>2.0909090909090908</v>
      </c>
      <c r="Y344" s="12">
        <v>1.2</v>
      </c>
      <c r="Z344" s="12">
        <v>1</v>
      </c>
      <c r="AA344" s="12">
        <v>1.2222222222222223</v>
      </c>
      <c r="AB344" s="12">
        <v>2.2000000000000002</v>
      </c>
      <c r="AC344" s="12">
        <v>1</v>
      </c>
      <c r="AD344" s="12">
        <v>1.4521885521885523</v>
      </c>
    </row>
    <row r="345" spans="1:30" x14ac:dyDescent="0.3">
      <c r="A345" s="13">
        <v>24</v>
      </c>
      <c r="B345" s="13" t="s">
        <v>70</v>
      </c>
      <c r="C345" s="13" t="s">
        <v>113</v>
      </c>
      <c r="D345" s="13" t="s">
        <v>97</v>
      </c>
      <c r="E345" s="13" t="s">
        <v>108</v>
      </c>
      <c r="F345" s="13" t="s">
        <v>100</v>
      </c>
      <c r="G345" s="13" t="s">
        <v>440</v>
      </c>
      <c r="H345" s="13" t="s">
        <v>98</v>
      </c>
      <c r="I345" s="13" t="s">
        <v>76</v>
      </c>
      <c r="J345" s="13" t="s">
        <v>77</v>
      </c>
      <c r="K345" s="13" t="s">
        <v>125</v>
      </c>
      <c r="L345" s="13" t="s">
        <v>79</v>
      </c>
      <c r="M345" s="13" t="s">
        <v>80</v>
      </c>
      <c r="N345" s="13" t="s">
        <v>79</v>
      </c>
      <c r="O345" s="13" t="s">
        <v>488</v>
      </c>
      <c r="P345" s="13" t="s">
        <v>82</v>
      </c>
      <c r="Q345" s="13" t="s">
        <v>83</v>
      </c>
      <c r="R345" s="13" t="s">
        <v>82</v>
      </c>
      <c r="S345" s="13" t="s">
        <v>82</v>
      </c>
      <c r="T345" s="13" t="s">
        <v>106</v>
      </c>
      <c r="U345" s="13" t="s">
        <v>87</v>
      </c>
      <c r="V345" s="13" t="s">
        <v>112</v>
      </c>
      <c r="W345" t="s">
        <v>486</v>
      </c>
      <c r="X345" s="12">
        <v>2.2727272727272729</v>
      </c>
      <c r="Y345" s="12">
        <v>0.8</v>
      </c>
      <c r="Z345" s="12">
        <v>1</v>
      </c>
      <c r="AA345" s="12">
        <v>1.1111111111111112</v>
      </c>
      <c r="AB345" s="12">
        <v>2.2000000000000002</v>
      </c>
      <c r="AC345" s="12">
        <v>1</v>
      </c>
      <c r="AD345" s="12">
        <v>1.3973063973063973</v>
      </c>
    </row>
    <row r="346" spans="1:30" x14ac:dyDescent="0.3">
      <c r="A346" s="13">
        <v>21</v>
      </c>
      <c r="B346" s="13" t="s">
        <v>70</v>
      </c>
      <c r="C346" s="13" t="s">
        <v>157</v>
      </c>
      <c r="D346" s="13" t="s">
        <v>72</v>
      </c>
      <c r="E346" s="13" t="s">
        <v>114</v>
      </c>
      <c r="F346" s="13" t="s">
        <v>100</v>
      </c>
      <c r="G346" s="13" t="s">
        <v>438</v>
      </c>
      <c r="H346" s="13" t="s">
        <v>100</v>
      </c>
      <c r="I346" s="13" t="s">
        <v>76</v>
      </c>
      <c r="J346" s="13" t="s">
        <v>77</v>
      </c>
      <c r="K346" s="13" t="s">
        <v>125</v>
      </c>
      <c r="L346" s="13" t="s">
        <v>79</v>
      </c>
      <c r="M346" s="13" t="s">
        <v>80</v>
      </c>
      <c r="N346" s="13" t="s">
        <v>79</v>
      </c>
      <c r="O346" s="13" t="s">
        <v>489</v>
      </c>
      <c r="P346" s="13" t="s">
        <v>82</v>
      </c>
      <c r="Q346" s="13" t="s">
        <v>83</v>
      </c>
      <c r="R346" s="13" t="s">
        <v>79</v>
      </c>
      <c r="S346" s="13" t="s">
        <v>82</v>
      </c>
      <c r="T346" s="13" t="s">
        <v>106</v>
      </c>
      <c r="U346" s="13" t="s">
        <v>87</v>
      </c>
      <c r="V346" s="13" t="s">
        <v>112</v>
      </c>
      <c r="W346" t="s">
        <v>485</v>
      </c>
      <c r="X346" s="12">
        <v>1.1818181818181819</v>
      </c>
      <c r="Y346" s="12">
        <v>1</v>
      </c>
      <c r="Z346" s="12">
        <v>1</v>
      </c>
      <c r="AA346" s="12">
        <v>1</v>
      </c>
      <c r="AB346" s="12">
        <v>2.2000000000000002</v>
      </c>
      <c r="AC346" s="12">
        <v>1</v>
      </c>
      <c r="AD346" s="12">
        <v>1.2303030303030302</v>
      </c>
    </row>
    <row r="347" spans="1:30" x14ac:dyDescent="0.3">
      <c r="A347" s="13">
        <v>22</v>
      </c>
      <c r="B347" s="13" t="s">
        <v>70</v>
      </c>
      <c r="C347" s="13" t="s">
        <v>113</v>
      </c>
      <c r="D347" s="13" t="s">
        <v>72</v>
      </c>
      <c r="E347" s="13" t="s">
        <v>114</v>
      </c>
      <c r="F347" s="13" t="s">
        <v>136</v>
      </c>
      <c r="G347" s="13" t="s">
        <v>439</v>
      </c>
      <c r="H347" s="13" t="s">
        <v>98</v>
      </c>
      <c r="I347" s="13" t="s">
        <v>76</v>
      </c>
      <c r="J347" s="13" t="s">
        <v>77</v>
      </c>
      <c r="K347" s="13" t="s">
        <v>125</v>
      </c>
      <c r="L347" s="13" t="s">
        <v>82</v>
      </c>
      <c r="M347" s="13" t="s">
        <v>102</v>
      </c>
      <c r="N347" s="13" t="s">
        <v>79</v>
      </c>
      <c r="O347" s="13" t="s">
        <v>489</v>
      </c>
      <c r="P347" s="13" t="s">
        <v>82</v>
      </c>
      <c r="Q347" s="13" t="s">
        <v>83</v>
      </c>
      <c r="R347" s="13" t="s">
        <v>79</v>
      </c>
      <c r="S347" s="13" t="s">
        <v>82</v>
      </c>
      <c r="T347" s="13" t="s">
        <v>86</v>
      </c>
      <c r="U347" s="13" t="s">
        <v>87</v>
      </c>
      <c r="V347" s="13" t="s">
        <v>112</v>
      </c>
      <c r="W347" t="s">
        <v>486</v>
      </c>
      <c r="X347" s="12">
        <v>2.0909090909090908</v>
      </c>
      <c r="Y347" s="12">
        <v>1</v>
      </c>
      <c r="Z347" s="12">
        <v>0.66666666666666663</v>
      </c>
      <c r="AA347" s="12">
        <v>0.22222222222222221</v>
      </c>
      <c r="AB347" s="12">
        <v>2.2000000000000002</v>
      </c>
      <c r="AC347" s="12">
        <v>1</v>
      </c>
      <c r="AD347" s="12">
        <v>1.1966329966329967</v>
      </c>
    </row>
    <row r="348" spans="1:30" x14ac:dyDescent="0.3">
      <c r="A348" s="13">
        <v>21</v>
      </c>
      <c r="B348" s="13" t="s">
        <v>70</v>
      </c>
      <c r="C348" s="13" t="s">
        <v>113</v>
      </c>
      <c r="D348" s="13" t="s">
        <v>72</v>
      </c>
      <c r="E348" s="13" t="s">
        <v>108</v>
      </c>
      <c r="F348" s="13" t="s">
        <v>74</v>
      </c>
      <c r="G348" s="13" t="s">
        <v>440</v>
      </c>
      <c r="H348" s="13" t="s">
        <v>98</v>
      </c>
      <c r="I348" s="13" t="s">
        <v>76</v>
      </c>
      <c r="J348" s="13" t="s">
        <v>101</v>
      </c>
      <c r="K348" s="13" t="s">
        <v>125</v>
      </c>
      <c r="L348" s="13" t="s">
        <v>82</v>
      </c>
      <c r="M348" s="13" t="s">
        <v>132</v>
      </c>
      <c r="N348" s="13" t="s">
        <v>79</v>
      </c>
      <c r="O348" s="13" t="s">
        <v>487</v>
      </c>
      <c r="P348" s="13" t="s">
        <v>79</v>
      </c>
      <c r="Q348" s="13" t="s">
        <v>83</v>
      </c>
      <c r="R348" s="13" t="s">
        <v>82</v>
      </c>
      <c r="S348" s="13" t="s">
        <v>82</v>
      </c>
      <c r="T348" s="13" t="s">
        <v>106</v>
      </c>
      <c r="U348" s="13" t="s">
        <v>120</v>
      </c>
      <c r="V348" s="13" t="s">
        <v>455</v>
      </c>
      <c r="W348" t="s">
        <v>486</v>
      </c>
      <c r="X348" s="12">
        <v>0.54545454545454541</v>
      </c>
      <c r="Y348" s="12">
        <v>0</v>
      </c>
      <c r="Z348" s="12">
        <v>2</v>
      </c>
      <c r="AA348" s="12">
        <v>1.4444444444444444</v>
      </c>
      <c r="AB348" s="12">
        <v>2</v>
      </c>
      <c r="AC348" s="12">
        <v>1</v>
      </c>
      <c r="AD348" s="12">
        <v>1.164983164983165</v>
      </c>
    </row>
    <row r="349" spans="1:30" x14ac:dyDescent="0.3">
      <c r="A349" s="13">
        <v>21</v>
      </c>
      <c r="B349" s="13" t="s">
        <v>70</v>
      </c>
      <c r="C349" s="13" t="s">
        <v>96</v>
      </c>
      <c r="D349" s="13" t="s">
        <v>72</v>
      </c>
      <c r="E349" s="13" t="s">
        <v>108</v>
      </c>
      <c r="F349" s="13" t="s">
        <v>74</v>
      </c>
      <c r="G349" s="13" t="s">
        <v>439</v>
      </c>
      <c r="H349" s="13" t="s">
        <v>74</v>
      </c>
      <c r="I349" s="13" t="s">
        <v>439</v>
      </c>
      <c r="J349" s="13" t="s">
        <v>77</v>
      </c>
      <c r="K349" s="13" t="s">
        <v>78</v>
      </c>
      <c r="L349" s="13" t="s">
        <v>79</v>
      </c>
      <c r="M349" s="13" t="s">
        <v>80</v>
      </c>
      <c r="N349" s="13" t="s">
        <v>79</v>
      </c>
      <c r="O349" s="13" t="s">
        <v>489</v>
      </c>
      <c r="P349" s="13" t="s">
        <v>79</v>
      </c>
      <c r="Q349" s="13" t="s">
        <v>83</v>
      </c>
      <c r="R349" s="13" t="s">
        <v>82</v>
      </c>
      <c r="S349" s="13" t="s">
        <v>82</v>
      </c>
      <c r="T349" s="13" t="s">
        <v>86</v>
      </c>
      <c r="U349" s="13" t="s">
        <v>120</v>
      </c>
      <c r="V349" s="13" t="s">
        <v>112</v>
      </c>
      <c r="W349" t="s">
        <v>486</v>
      </c>
      <c r="X349" s="12">
        <v>1.9090909090909092</v>
      </c>
      <c r="Y349" s="12">
        <v>1.6</v>
      </c>
      <c r="Z349" s="12">
        <v>1.6666666666666667</v>
      </c>
      <c r="AA349" s="12">
        <v>1.2222222222222223</v>
      </c>
      <c r="AB349" s="12">
        <v>2</v>
      </c>
      <c r="AC349" s="12">
        <v>1</v>
      </c>
      <c r="AD349" s="12">
        <v>1.5663299663299661</v>
      </c>
    </row>
    <row r="350" spans="1:30" x14ac:dyDescent="0.3">
      <c r="A350" s="13">
        <v>23</v>
      </c>
      <c r="B350" s="13" t="s">
        <v>70</v>
      </c>
      <c r="C350" s="13" t="s">
        <v>113</v>
      </c>
      <c r="D350" s="13" t="s">
        <v>72</v>
      </c>
      <c r="E350" s="13" t="s">
        <v>73</v>
      </c>
      <c r="F350" s="13" t="s">
        <v>136</v>
      </c>
      <c r="G350" s="13" t="s">
        <v>440</v>
      </c>
      <c r="H350" s="13" t="s">
        <v>136</v>
      </c>
      <c r="I350" s="13" t="s">
        <v>76</v>
      </c>
      <c r="J350" s="13" t="s">
        <v>77</v>
      </c>
      <c r="K350" s="13" t="s">
        <v>131</v>
      </c>
      <c r="L350" s="13" t="s">
        <v>82</v>
      </c>
      <c r="M350" s="13" t="s">
        <v>80</v>
      </c>
      <c r="N350" s="13" t="s">
        <v>79</v>
      </c>
      <c r="O350" s="13" t="s">
        <v>489</v>
      </c>
      <c r="P350" s="13" t="s">
        <v>82</v>
      </c>
      <c r="Q350" s="13" t="s">
        <v>83</v>
      </c>
      <c r="R350" s="13" t="s">
        <v>82</v>
      </c>
      <c r="S350" s="13" t="s">
        <v>82</v>
      </c>
      <c r="T350" s="13" t="s">
        <v>106</v>
      </c>
      <c r="U350" s="13" t="s">
        <v>120</v>
      </c>
      <c r="V350" s="13" t="s">
        <v>457</v>
      </c>
      <c r="W350" t="s">
        <v>486</v>
      </c>
      <c r="X350" s="12">
        <v>1.9090909090909092</v>
      </c>
      <c r="Y350" s="12">
        <v>1.6</v>
      </c>
      <c r="Z350" s="12">
        <v>1</v>
      </c>
      <c r="AA350" s="12">
        <v>0.77777777777777779</v>
      </c>
      <c r="AB350" s="12">
        <v>2</v>
      </c>
      <c r="AC350" s="12">
        <v>1</v>
      </c>
      <c r="AD350" s="12">
        <v>1.381144781144781</v>
      </c>
    </row>
    <row r="351" spans="1:30" x14ac:dyDescent="0.3">
      <c r="A351" s="13">
        <v>22</v>
      </c>
      <c r="B351" s="13" t="s">
        <v>70</v>
      </c>
      <c r="C351" s="13" t="s">
        <v>71</v>
      </c>
      <c r="D351" s="13" t="s">
        <v>72</v>
      </c>
      <c r="E351" s="13" t="s">
        <v>108</v>
      </c>
      <c r="F351" s="13" t="s">
        <v>74</v>
      </c>
      <c r="G351" s="13" t="s">
        <v>439</v>
      </c>
      <c r="H351" s="13" t="s">
        <v>74</v>
      </c>
      <c r="I351" s="13" t="s">
        <v>439</v>
      </c>
      <c r="J351" s="13" t="s">
        <v>77</v>
      </c>
      <c r="K351" s="13" t="s">
        <v>122</v>
      </c>
      <c r="L351" s="13" t="s">
        <v>79</v>
      </c>
      <c r="M351" s="13" t="s">
        <v>80</v>
      </c>
      <c r="N351" s="13" t="s">
        <v>79</v>
      </c>
      <c r="O351" s="13" t="s">
        <v>489</v>
      </c>
      <c r="P351" s="13" t="s">
        <v>82</v>
      </c>
      <c r="Q351" s="13" t="s">
        <v>83</v>
      </c>
      <c r="R351" s="13" t="s">
        <v>82</v>
      </c>
      <c r="S351" s="13" t="s">
        <v>82</v>
      </c>
      <c r="T351" s="13" t="s">
        <v>106</v>
      </c>
      <c r="U351" s="13" t="s">
        <v>87</v>
      </c>
      <c r="V351" s="13" t="s">
        <v>456</v>
      </c>
      <c r="W351" t="s">
        <v>486</v>
      </c>
      <c r="X351" s="12">
        <v>2.1818181818181817</v>
      </c>
      <c r="Y351" s="12">
        <v>2</v>
      </c>
      <c r="Z351" s="12">
        <v>1</v>
      </c>
      <c r="AA351" s="12">
        <v>0.22222222222222221</v>
      </c>
      <c r="AB351" s="12">
        <v>2</v>
      </c>
      <c r="AC351" s="12">
        <v>1</v>
      </c>
      <c r="AD351" s="12">
        <v>1.4006734006734007</v>
      </c>
    </row>
    <row r="352" spans="1:30" x14ac:dyDescent="0.3">
      <c r="A352" s="13">
        <v>23</v>
      </c>
      <c r="B352" s="13" t="s">
        <v>70</v>
      </c>
      <c r="C352" s="13" t="s">
        <v>96</v>
      </c>
      <c r="D352" s="13" t="s">
        <v>72</v>
      </c>
      <c r="E352" s="13" t="s">
        <v>73</v>
      </c>
      <c r="F352" s="13" t="s">
        <v>98</v>
      </c>
      <c r="G352" s="13" t="s">
        <v>440</v>
      </c>
      <c r="H352" s="13" t="s">
        <v>98</v>
      </c>
      <c r="I352" s="13" t="s">
        <v>76</v>
      </c>
      <c r="J352" s="13" t="s">
        <v>77</v>
      </c>
      <c r="K352" s="13" t="s">
        <v>122</v>
      </c>
      <c r="L352" s="13" t="s">
        <v>79</v>
      </c>
      <c r="M352" s="13" t="s">
        <v>80</v>
      </c>
      <c r="N352" s="13" t="s">
        <v>79</v>
      </c>
      <c r="O352" s="13" t="s">
        <v>487</v>
      </c>
      <c r="P352" s="13" t="s">
        <v>79</v>
      </c>
      <c r="Q352" s="13" t="s">
        <v>83</v>
      </c>
      <c r="R352" s="13" t="s">
        <v>79</v>
      </c>
      <c r="S352" s="13" t="s">
        <v>79</v>
      </c>
      <c r="T352" s="13" t="s">
        <v>86</v>
      </c>
      <c r="U352" s="13" t="s">
        <v>87</v>
      </c>
      <c r="V352" s="13" t="s">
        <v>127</v>
      </c>
      <c r="W352" t="s">
        <v>486</v>
      </c>
      <c r="X352" s="12">
        <v>1.9090909090909092</v>
      </c>
      <c r="Y352" s="12">
        <v>1</v>
      </c>
      <c r="Z352" s="12">
        <v>1.6666666666666667</v>
      </c>
      <c r="AA352" s="12">
        <v>1.4444444444444444</v>
      </c>
      <c r="AB352" s="12">
        <v>1.8</v>
      </c>
      <c r="AC352" s="12">
        <v>1</v>
      </c>
      <c r="AD352" s="12">
        <v>1.4700336700336702</v>
      </c>
    </row>
    <row r="353" spans="1:30" x14ac:dyDescent="0.3">
      <c r="A353" s="13">
        <v>22</v>
      </c>
      <c r="B353" s="13" t="s">
        <v>128</v>
      </c>
      <c r="C353" s="13" t="s">
        <v>113</v>
      </c>
      <c r="D353" s="13" t="s">
        <v>72</v>
      </c>
      <c r="E353" s="13" t="s">
        <v>73</v>
      </c>
      <c r="F353" s="13" t="s">
        <v>98</v>
      </c>
      <c r="G353" s="13" t="s">
        <v>440</v>
      </c>
      <c r="H353" s="13" t="s">
        <v>100</v>
      </c>
      <c r="I353" s="13" t="s">
        <v>76</v>
      </c>
      <c r="J353" s="13" t="s">
        <v>101</v>
      </c>
      <c r="K353" s="13" t="s">
        <v>125</v>
      </c>
      <c r="L353" s="13" t="s">
        <v>79</v>
      </c>
      <c r="M353" s="13" t="s">
        <v>80</v>
      </c>
      <c r="N353" s="13" t="s">
        <v>79</v>
      </c>
      <c r="O353" s="13" t="s">
        <v>488</v>
      </c>
      <c r="P353" s="13" t="s">
        <v>82</v>
      </c>
      <c r="Q353" s="13" t="s">
        <v>103</v>
      </c>
      <c r="R353" s="13" t="s">
        <v>82</v>
      </c>
      <c r="S353" s="13" t="s">
        <v>82</v>
      </c>
      <c r="T353" s="13" t="s">
        <v>148</v>
      </c>
      <c r="U353" s="13" t="s">
        <v>87</v>
      </c>
      <c r="V353" s="13" t="s">
        <v>457</v>
      </c>
      <c r="W353" t="s">
        <v>486</v>
      </c>
      <c r="X353" s="12">
        <v>2.1818181818181817</v>
      </c>
      <c r="Y353" s="12">
        <v>2</v>
      </c>
      <c r="Z353" s="12">
        <v>1</v>
      </c>
      <c r="AA353" s="12">
        <v>1.2222222222222223</v>
      </c>
      <c r="AB353" s="12">
        <v>1.8</v>
      </c>
      <c r="AC353" s="12">
        <v>1</v>
      </c>
      <c r="AD353" s="12">
        <v>1.534006734006734</v>
      </c>
    </row>
    <row r="354" spans="1:30" x14ac:dyDescent="0.3">
      <c r="A354" s="13">
        <v>24</v>
      </c>
      <c r="B354" s="13" t="s">
        <v>128</v>
      </c>
      <c r="C354" s="13" t="s">
        <v>113</v>
      </c>
      <c r="D354" s="13" t="s">
        <v>149</v>
      </c>
      <c r="E354" s="13" t="s">
        <v>73</v>
      </c>
      <c r="F354" s="13" t="s">
        <v>98</v>
      </c>
      <c r="G354" s="13" t="s">
        <v>439</v>
      </c>
      <c r="H354" s="13" t="s">
        <v>98</v>
      </c>
      <c r="I354" s="13" t="s">
        <v>166</v>
      </c>
      <c r="J354" s="13" t="s">
        <v>77</v>
      </c>
      <c r="K354" s="13" t="s">
        <v>122</v>
      </c>
      <c r="L354" s="13" t="s">
        <v>79</v>
      </c>
      <c r="M354" s="13" t="s">
        <v>80</v>
      </c>
      <c r="N354" s="13" t="s">
        <v>79</v>
      </c>
      <c r="O354" s="13" t="s">
        <v>487</v>
      </c>
      <c r="P354" s="13" t="s">
        <v>79</v>
      </c>
      <c r="Q354" s="13" t="s">
        <v>118</v>
      </c>
      <c r="R354" s="13" t="s">
        <v>79</v>
      </c>
      <c r="S354" s="13" t="s">
        <v>79</v>
      </c>
      <c r="T354" s="13" t="s">
        <v>86</v>
      </c>
      <c r="U354" s="13" t="s">
        <v>141</v>
      </c>
      <c r="V354" s="13" t="s">
        <v>127</v>
      </c>
      <c r="W354" t="s">
        <v>486</v>
      </c>
      <c r="X354" s="12">
        <v>1.5454545454545454</v>
      </c>
      <c r="Y354" s="12">
        <v>1.4</v>
      </c>
      <c r="Z354" s="12">
        <v>2</v>
      </c>
      <c r="AA354" s="12">
        <v>1.1111111111111112</v>
      </c>
      <c r="AB354" s="12">
        <v>1.8</v>
      </c>
      <c r="AC354" s="12">
        <v>1</v>
      </c>
      <c r="AD354" s="12">
        <v>1.4760942760942761</v>
      </c>
    </row>
    <row r="355" spans="1:30" x14ac:dyDescent="0.3">
      <c r="A355" s="13">
        <v>23</v>
      </c>
      <c r="B355" s="13" t="s">
        <v>70</v>
      </c>
      <c r="C355" s="13" t="s">
        <v>96</v>
      </c>
      <c r="D355" s="13" t="s">
        <v>149</v>
      </c>
      <c r="E355" s="13" t="s">
        <v>73</v>
      </c>
      <c r="F355" s="13" t="s">
        <v>98</v>
      </c>
      <c r="G355" s="13" t="s">
        <v>440</v>
      </c>
      <c r="H355" s="13" t="s">
        <v>136</v>
      </c>
      <c r="I355" s="13" t="s">
        <v>76</v>
      </c>
      <c r="J355" s="13" t="s">
        <v>77</v>
      </c>
      <c r="K355" s="13" t="s">
        <v>122</v>
      </c>
      <c r="L355" s="13" t="s">
        <v>82</v>
      </c>
      <c r="M355" s="13" t="s">
        <v>80</v>
      </c>
      <c r="N355" s="13" t="s">
        <v>79</v>
      </c>
      <c r="O355" s="13" t="s">
        <v>490</v>
      </c>
      <c r="P355" s="13" t="s">
        <v>82</v>
      </c>
      <c r="Q355" s="13" t="s">
        <v>83</v>
      </c>
      <c r="R355" s="13" t="s">
        <v>82</v>
      </c>
      <c r="S355" s="13" t="s">
        <v>82</v>
      </c>
      <c r="T355" s="13" t="s">
        <v>106</v>
      </c>
      <c r="U355" s="13" t="s">
        <v>141</v>
      </c>
      <c r="V355" s="13" t="s">
        <v>457</v>
      </c>
      <c r="W355" t="s">
        <v>486</v>
      </c>
      <c r="X355" s="12">
        <v>1.1818181818181819</v>
      </c>
      <c r="Y355" s="12">
        <v>1.2</v>
      </c>
      <c r="Z355" s="12">
        <v>1</v>
      </c>
      <c r="AA355" s="12">
        <v>1.5555555555555556</v>
      </c>
      <c r="AB355" s="12">
        <v>1.6</v>
      </c>
      <c r="AC355" s="12">
        <v>1</v>
      </c>
      <c r="AD355" s="12">
        <v>1.2562289562289564</v>
      </c>
    </row>
    <row r="356" spans="1:30" x14ac:dyDescent="0.3">
      <c r="A356" s="13">
        <v>23</v>
      </c>
      <c r="B356" s="13" t="s">
        <v>70</v>
      </c>
      <c r="C356" s="13" t="s">
        <v>113</v>
      </c>
      <c r="D356" s="13" t="s">
        <v>149</v>
      </c>
      <c r="E356" s="13" t="s">
        <v>114</v>
      </c>
      <c r="F356" s="13" t="s">
        <v>136</v>
      </c>
      <c r="G356" s="13" t="s">
        <v>440</v>
      </c>
      <c r="H356" s="13" t="s">
        <v>98</v>
      </c>
      <c r="I356" s="13" t="s">
        <v>76</v>
      </c>
      <c r="J356" s="13" t="s">
        <v>77</v>
      </c>
      <c r="K356" s="13" t="s">
        <v>122</v>
      </c>
      <c r="L356" s="13" t="s">
        <v>79</v>
      </c>
      <c r="M356" s="13" t="s">
        <v>80</v>
      </c>
      <c r="N356" s="13" t="s">
        <v>79</v>
      </c>
      <c r="O356" s="13" t="s">
        <v>490</v>
      </c>
      <c r="P356" s="13" t="s">
        <v>79</v>
      </c>
      <c r="Q356" s="13" t="s">
        <v>83</v>
      </c>
      <c r="R356" s="13" t="s">
        <v>79</v>
      </c>
      <c r="S356" s="13" t="s">
        <v>79</v>
      </c>
      <c r="T356" s="13" t="s">
        <v>148</v>
      </c>
      <c r="U356" s="13" t="s">
        <v>120</v>
      </c>
      <c r="V356" s="13" t="s">
        <v>112</v>
      </c>
      <c r="W356" t="s">
        <v>486</v>
      </c>
      <c r="X356" s="12">
        <v>1.3636363636363635</v>
      </c>
      <c r="Y356" s="12">
        <v>1.6</v>
      </c>
      <c r="Z356" s="12">
        <v>1.3333333333333333</v>
      </c>
      <c r="AA356" s="12">
        <v>1.4444444444444444</v>
      </c>
      <c r="AB356" s="12">
        <v>1.6</v>
      </c>
      <c r="AC356" s="12">
        <v>1</v>
      </c>
      <c r="AD356" s="12">
        <v>1.3902356902356903</v>
      </c>
    </row>
    <row r="357" spans="1:30" x14ac:dyDescent="0.3">
      <c r="A357" s="13">
        <v>22</v>
      </c>
      <c r="B357" s="13" t="s">
        <v>70</v>
      </c>
      <c r="C357" s="13" t="s">
        <v>113</v>
      </c>
      <c r="D357" s="13" t="s">
        <v>72</v>
      </c>
      <c r="E357" s="13" t="s">
        <v>73</v>
      </c>
      <c r="F357" s="13" t="s">
        <v>98</v>
      </c>
      <c r="G357" s="13" t="s">
        <v>440</v>
      </c>
      <c r="H357" s="13" t="s">
        <v>98</v>
      </c>
      <c r="I357" s="13" t="s">
        <v>76</v>
      </c>
      <c r="J357" s="13" t="s">
        <v>77</v>
      </c>
      <c r="K357" s="13" t="s">
        <v>122</v>
      </c>
      <c r="L357" s="13" t="s">
        <v>79</v>
      </c>
      <c r="M357" s="13" t="s">
        <v>80</v>
      </c>
      <c r="N357" s="13" t="s">
        <v>79</v>
      </c>
      <c r="O357" s="13" t="s">
        <v>487</v>
      </c>
      <c r="P357" s="13" t="s">
        <v>79</v>
      </c>
      <c r="Q357" s="13" t="s">
        <v>83</v>
      </c>
      <c r="R357" s="13" t="s">
        <v>79</v>
      </c>
      <c r="S357" s="13" t="s">
        <v>79</v>
      </c>
      <c r="T357" s="13" t="s">
        <v>148</v>
      </c>
      <c r="U357" s="13" t="s">
        <v>141</v>
      </c>
      <c r="V357" s="13" t="s">
        <v>160</v>
      </c>
      <c r="W357" t="s">
        <v>486</v>
      </c>
      <c r="X357" s="12">
        <v>1.5454545454545454</v>
      </c>
      <c r="Y357" s="12">
        <v>1.4</v>
      </c>
      <c r="Z357" s="12">
        <v>1.3333333333333333</v>
      </c>
      <c r="AA357" s="12">
        <v>1.4444444444444444</v>
      </c>
      <c r="AB357" s="12">
        <v>1.6</v>
      </c>
      <c r="AC357" s="12">
        <v>1</v>
      </c>
      <c r="AD357" s="12">
        <v>1.3872053872053873</v>
      </c>
    </row>
    <row r="358" spans="1:30" x14ac:dyDescent="0.3">
      <c r="A358" s="13">
        <v>23</v>
      </c>
      <c r="B358" s="13" t="s">
        <v>70</v>
      </c>
      <c r="C358" s="13" t="s">
        <v>113</v>
      </c>
      <c r="D358" s="13" t="s">
        <v>97</v>
      </c>
      <c r="E358" s="13" t="s">
        <v>73</v>
      </c>
      <c r="F358" s="13" t="s">
        <v>98</v>
      </c>
      <c r="G358" s="13" t="s">
        <v>166</v>
      </c>
      <c r="H358" s="13" t="s">
        <v>98</v>
      </c>
      <c r="I358" s="13" t="s">
        <v>439</v>
      </c>
      <c r="J358" s="13" t="s">
        <v>77</v>
      </c>
      <c r="K358" s="13" t="s">
        <v>122</v>
      </c>
      <c r="L358" s="13" t="s">
        <v>79</v>
      </c>
      <c r="M358" s="13" t="s">
        <v>80</v>
      </c>
      <c r="N358" s="13" t="s">
        <v>79</v>
      </c>
      <c r="O358" s="13" t="s">
        <v>488</v>
      </c>
      <c r="P358" s="13" t="s">
        <v>79</v>
      </c>
      <c r="Q358" s="13" t="s">
        <v>83</v>
      </c>
      <c r="R358" s="13" t="s">
        <v>79</v>
      </c>
      <c r="S358" s="13" t="s">
        <v>79</v>
      </c>
      <c r="T358" s="13" t="s">
        <v>86</v>
      </c>
      <c r="U358" s="13" t="s">
        <v>87</v>
      </c>
      <c r="V358" s="13" t="s">
        <v>112</v>
      </c>
      <c r="W358" t="s">
        <v>485</v>
      </c>
      <c r="X358" s="12">
        <v>1.3636363636363635</v>
      </c>
      <c r="Y358" s="12">
        <v>1.4</v>
      </c>
      <c r="Z358" s="12">
        <v>2.3333333333333335</v>
      </c>
      <c r="AA358" s="12">
        <v>1.3333333333333333</v>
      </c>
      <c r="AB358" s="12">
        <v>1.6</v>
      </c>
      <c r="AC358" s="12">
        <v>1</v>
      </c>
      <c r="AD358" s="12">
        <v>1.5050505050505052</v>
      </c>
    </row>
    <row r="359" spans="1:30" x14ac:dyDescent="0.3">
      <c r="A359" s="13">
        <v>22</v>
      </c>
      <c r="B359" s="13" t="s">
        <v>70</v>
      </c>
      <c r="C359" s="13" t="s">
        <v>96</v>
      </c>
      <c r="D359" s="13" t="s">
        <v>97</v>
      </c>
      <c r="E359" s="13" t="s">
        <v>108</v>
      </c>
      <c r="F359" s="13" t="s">
        <v>74</v>
      </c>
      <c r="G359" s="13" t="s">
        <v>439</v>
      </c>
      <c r="H359" s="13" t="s">
        <v>74</v>
      </c>
      <c r="I359" s="13" t="s">
        <v>439</v>
      </c>
      <c r="J359" s="13" t="s">
        <v>77</v>
      </c>
      <c r="K359" s="13" t="s">
        <v>78</v>
      </c>
      <c r="L359" s="13" t="s">
        <v>79</v>
      </c>
      <c r="M359" s="13" t="s">
        <v>80</v>
      </c>
      <c r="N359" s="13" t="s">
        <v>82</v>
      </c>
      <c r="O359" s="13" t="s">
        <v>490</v>
      </c>
      <c r="P359" s="13" t="s">
        <v>79</v>
      </c>
      <c r="Q359" s="13" t="s">
        <v>83</v>
      </c>
      <c r="R359" s="13" t="s">
        <v>79</v>
      </c>
      <c r="S359" s="13" t="s">
        <v>79</v>
      </c>
      <c r="T359" s="13" t="s">
        <v>106</v>
      </c>
      <c r="U359" s="13" t="s">
        <v>141</v>
      </c>
      <c r="V359" s="13" t="s">
        <v>112</v>
      </c>
      <c r="W359" t="s">
        <v>486</v>
      </c>
      <c r="X359" s="12">
        <v>1.3636363636363635</v>
      </c>
      <c r="Y359" s="12">
        <v>1</v>
      </c>
      <c r="Z359" s="12">
        <v>1</v>
      </c>
      <c r="AA359" s="12">
        <v>1.3333333333333333</v>
      </c>
      <c r="AB359" s="12">
        <v>1.6</v>
      </c>
      <c r="AC359" s="12">
        <v>1</v>
      </c>
      <c r="AD359" s="12">
        <v>1.2161616161616162</v>
      </c>
    </row>
    <row r="360" spans="1:30" x14ac:dyDescent="0.3">
      <c r="A360" s="13">
        <v>27</v>
      </c>
      <c r="B360" s="13" t="s">
        <v>70</v>
      </c>
      <c r="C360" s="13" t="s">
        <v>153</v>
      </c>
      <c r="D360" s="13" t="s">
        <v>97</v>
      </c>
      <c r="E360" s="13" t="s">
        <v>108</v>
      </c>
      <c r="F360" s="13" t="s">
        <v>136</v>
      </c>
      <c r="G360" s="13" t="s">
        <v>440</v>
      </c>
      <c r="H360" s="13" t="s">
        <v>98</v>
      </c>
      <c r="I360" s="13" t="s">
        <v>76</v>
      </c>
      <c r="J360" s="13" t="s">
        <v>101</v>
      </c>
      <c r="K360" s="13" t="s">
        <v>131</v>
      </c>
      <c r="L360" s="13" t="s">
        <v>79</v>
      </c>
      <c r="M360" s="13" t="s">
        <v>132</v>
      </c>
      <c r="N360" s="13" t="s">
        <v>79</v>
      </c>
      <c r="O360" s="13" t="s">
        <v>489</v>
      </c>
      <c r="P360" s="13" t="s">
        <v>79</v>
      </c>
      <c r="Q360" s="13" t="s">
        <v>83</v>
      </c>
      <c r="R360" s="13" t="s">
        <v>79</v>
      </c>
      <c r="S360" s="13" t="s">
        <v>82</v>
      </c>
      <c r="T360" s="13" t="s">
        <v>106</v>
      </c>
      <c r="U360" s="13" t="s">
        <v>87</v>
      </c>
      <c r="V360" s="13" t="s">
        <v>112</v>
      </c>
      <c r="W360" t="s">
        <v>486</v>
      </c>
      <c r="X360" s="12">
        <v>1.2727272727272727</v>
      </c>
      <c r="Y360" s="12">
        <v>0.8</v>
      </c>
      <c r="Z360" s="12">
        <v>0.66666666666666663</v>
      </c>
      <c r="AA360" s="12">
        <v>1.2222222222222223</v>
      </c>
      <c r="AB360" s="12">
        <v>1.6</v>
      </c>
      <c r="AC360" s="12">
        <v>1</v>
      </c>
      <c r="AD360" s="12">
        <v>1.0936026936026935</v>
      </c>
    </row>
    <row r="361" spans="1:30" x14ac:dyDescent="0.3">
      <c r="A361" s="13">
        <v>23</v>
      </c>
      <c r="B361" s="13" t="s">
        <v>70</v>
      </c>
      <c r="C361" s="13" t="s">
        <v>113</v>
      </c>
      <c r="D361" s="13" t="s">
        <v>72</v>
      </c>
      <c r="E361" s="13" t="s">
        <v>108</v>
      </c>
      <c r="F361" s="13" t="s">
        <v>98</v>
      </c>
      <c r="G361" s="13" t="s">
        <v>440</v>
      </c>
      <c r="H361" s="13" t="s">
        <v>100</v>
      </c>
      <c r="I361" s="13" t="s">
        <v>76</v>
      </c>
      <c r="J361" s="13" t="s">
        <v>77</v>
      </c>
      <c r="K361" s="13" t="s">
        <v>122</v>
      </c>
      <c r="L361" s="13" t="s">
        <v>79</v>
      </c>
      <c r="M361" s="13" t="s">
        <v>80</v>
      </c>
      <c r="N361" s="13" t="s">
        <v>79</v>
      </c>
      <c r="O361" s="13" t="s">
        <v>487</v>
      </c>
      <c r="P361" s="13" t="s">
        <v>79</v>
      </c>
      <c r="Q361" s="13" t="s">
        <v>83</v>
      </c>
      <c r="R361" s="13" t="s">
        <v>79</v>
      </c>
      <c r="S361" s="13" t="s">
        <v>79</v>
      </c>
      <c r="T361" s="13" t="s">
        <v>86</v>
      </c>
      <c r="U361" s="13" t="s">
        <v>141</v>
      </c>
      <c r="V361" s="13" t="s">
        <v>127</v>
      </c>
      <c r="W361" t="s">
        <v>485</v>
      </c>
      <c r="X361" s="12">
        <v>1</v>
      </c>
      <c r="Y361" s="12">
        <v>1.4</v>
      </c>
      <c r="Z361" s="12">
        <v>1.3333333333333333</v>
      </c>
      <c r="AA361" s="12">
        <v>1</v>
      </c>
      <c r="AB361" s="12">
        <v>1.6</v>
      </c>
      <c r="AC361" s="12">
        <v>1</v>
      </c>
      <c r="AD361" s="12">
        <v>1.2222222222222223</v>
      </c>
    </row>
    <row r="362" spans="1:30" x14ac:dyDescent="0.3">
      <c r="A362" s="13">
        <v>21</v>
      </c>
      <c r="B362" s="13" t="s">
        <v>70</v>
      </c>
      <c r="C362" s="13" t="s">
        <v>96</v>
      </c>
      <c r="D362" s="13" t="s">
        <v>72</v>
      </c>
      <c r="E362" s="13" t="s">
        <v>114</v>
      </c>
      <c r="F362" s="13" t="s">
        <v>136</v>
      </c>
      <c r="G362" s="13" t="s">
        <v>439</v>
      </c>
      <c r="H362" s="13" t="s">
        <v>98</v>
      </c>
      <c r="I362" s="13" t="s">
        <v>76</v>
      </c>
      <c r="J362" s="13" t="s">
        <v>77</v>
      </c>
      <c r="K362" s="13" t="s">
        <v>125</v>
      </c>
      <c r="L362" s="13" t="s">
        <v>79</v>
      </c>
      <c r="M362" s="13" t="s">
        <v>80</v>
      </c>
      <c r="N362" s="13" t="s">
        <v>79</v>
      </c>
      <c r="O362" s="13" t="s">
        <v>489</v>
      </c>
      <c r="P362" s="13" t="s">
        <v>79</v>
      </c>
      <c r="Q362" s="13" t="s">
        <v>83</v>
      </c>
      <c r="R362" s="13" t="s">
        <v>79</v>
      </c>
      <c r="S362" s="13" t="s">
        <v>82</v>
      </c>
      <c r="T362" s="13" t="s">
        <v>106</v>
      </c>
      <c r="U362" s="13" t="s">
        <v>141</v>
      </c>
      <c r="V362" s="13" t="s">
        <v>112</v>
      </c>
      <c r="W362" t="s">
        <v>485</v>
      </c>
      <c r="X362" s="12">
        <v>1.8181818181818181</v>
      </c>
      <c r="Y362" s="12">
        <v>2</v>
      </c>
      <c r="Z362" s="12">
        <v>1</v>
      </c>
      <c r="AA362" s="12">
        <v>0.66666666666666663</v>
      </c>
      <c r="AB362" s="12">
        <v>1.6</v>
      </c>
      <c r="AC362" s="12">
        <v>1</v>
      </c>
      <c r="AD362" s="12">
        <v>1.3474747474747477</v>
      </c>
    </row>
    <row r="363" spans="1:30" x14ac:dyDescent="0.3">
      <c r="A363" s="13">
        <v>24</v>
      </c>
      <c r="B363" s="13" t="s">
        <v>70</v>
      </c>
      <c r="C363" s="13" t="s">
        <v>113</v>
      </c>
      <c r="D363" s="13" t="s">
        <v>97</v>
      </c>
      <c r="E363" s="13" t="s">
        <v>108</v>
      </c>
      <c r="F363" s="13" t="s">
        <v>100</v>
      </c>
      <c r="G363" s="13" t="s">
        <v>166</v>
      </c>
      <c r="H363" s="13" t="s">
        <v>100</v>
      </c>
      <c r="I363" s="13" t="s">
        <v>76</v>
      </c>
      <c r="J363" s="13" t="s">
        <v>77</v>
      </c>
      <c r="K363" s="13" t="s">
        <v>125</v>
      </c>
      <c r="L363" s="13" t="s">
        <v>82</v>
      </c>
      <c r="M363" s="13" t="s">
        <v>132</v>
      </c>
      <c r="N363" s="13" t="s">
        <v>79</v>
      </c>
      <c r="O363" s="13" t="s">
        <v>488</v>
      </c>
      <c r="P363" s="13" t="s">
        <v>82</v>
      </c>
      <c r="Q363" s="13" t="s">
        <v>103</v>
      </c>
      <c r="R363" s="13" t="s">
        <v>79</v>
      </c>
      <c r="S363" s="13" t="s">
        <v>82</v>
      </c>
      <c r="T363" s="13" t="s">
        <v>106</v>
      </c>
      <c r="U363" s="13" t="s">
        <v>87</v>
      </c>
      <c r="V363" s="13" t="s">
        <v>127</v>
      </c>
      <c r="W363" t="s">
        <v>486</v>
      </c>
      <c r="X363" s="12">
        <v>1.5454545454545454</v>
      </c>
      <c r="Y363" s="12">
        <v>0.2</v>
      </c>
      <c r="Z363" s="12">
        <v>1.6666666666666667</v>
      </c>
      <c r="AA363" s="12">
        <v>2.2222222222222223</v>
      </c>
      <c r="AB363" s="12">
        <v>1.4</v>
      </c>
      <c r="AC363" s="12">
        <v>1</v>
      </c>
      <c r="AD363" s="12">
        <v>1.3390572390572391</v>
      </c>
    </row>
    <row r="364" spans="1:30" x14ac:dyDescent="0.3">
      <c r="A364" s="13">
        <v>23</v>
      </c>
      <c r="B364" s="13" t="s">
        <v>128</v>
      </c>
      <c r="C364" s="13" t="s">
        <v>113</v>
      </c>
      <c r="D364" s="13" t="s">
        <v>72</v>
      </c>
      <c r="E364" s="13" t="s">
        <v>108</v>
      </c>
      <c r="F364" s="13" t="s">
        <v>98</v>
      </c>
      <c r="G364" s="13" t="s">
        <v>440</v>
      </c>
      <c r="H364" s="13" t="s">
        <v>100</v>
      </c>
      <c r="I364" s="13" t="s">
        <v>76</v>
      </c>
      <c r="J364" s="13" t="s">
        <v>77</v>
      </c>
      <c r="K364" s="13" t="s">
        <v>122</v>
      </c>
      <c r="L364" s="13" t="s">
        <v>79</v>
      </c>
      <c r="M364" s="13" t="s">
        <v>80</v>
      </c>
      <c r="N364" s="13" t="s">
        <v>79</v>
      </c>
      <c r="O364" s="13" t="s">
        <v>489</v>
      </c>
      <c r="P364" s="13" t="s">
        <v>79</v>
      </c>
      <c r="Q364" s="13" t="s">
        <v>83</v>
      </c>
      <c r="R364" s="13" t="s">
        <v>79</v>
      </c>
      <c r="S364" s="13" t="s">
        <v>79</v>
      </c>
      <c r="T364" s="13" t="s">
        <v>86</v>
      </c>
      <c r="U364" s="13" t="s">
        <v>87</v>
      </c>
      <c r="V364" s="13" t="s">
        <v>112</v>
      </c>
      <c r="W364" t="s">
        <v>486</v>
      </c>
      <c r="X364" s="12">
        <v>1.7272727272727273</v>
      </c>
      <c r="Y364" s="12">
        <v>1.8</v>
      </c>
      <c r="Z364" s="12">
        <v>1.6666666666666667</v>
      </c>
      <c r="AA364" s="12">
        <v>1.8888888888888888</v>
      </c>
      <c r="AB364" s="12">
        <v>1.4</v>
      </c>
      <c r="AC364" s="12">
        <v>1</v>
      </c>
      <c r="AD364" s="12">
        <v>1.5804713804713806</v>
      </c>
    </row>
    <row r="365" spans="1:30" x14ac:dyDescent="0.3">
      <c r="A365" s="13">
        <v>23</v>
      </c>
      <c r="B365" s="13" t="s">
        <v>70</v>
      </c>
      <c r="C365" s="13" t="s">
        <v>113</v>
      </c>
      <c r="D365" s="13" t="s">
        <v>72</v>
      </c>
      <c r="E365" s="13" t="s">
        <v>108</v>
      </c>
      <c r="F365" s="13" t="s">
        <v>100</v>
      </c>
      <c r="G365" s="13" t="s">
        <v>440</v>
      </c>
      <c r="H365" s="13" t="s">
        <v>100</v>
      </c>
      <c r="I365" s="13" t="s">
        <v>439</v>
      </c>
      <c r="J365" s="13" t="s">
        <v>77</v>
      </c>
      <c r="K365" s="13" t="s">
        <v>122</v>
      </c>
      <c r="L365" s="13" t="s">
        <v>79</v>
      </c>
      <c r="M365" s="13" t="s">
        <v>80</v>
      </c>
      <c r="N365" s="13" t="s">
        <v>79</v>
      </c>
      <c r="O365" s="13" t="s">
        <v>487</v>
      </c>
      <c r="P365" s="13" t="s">
        <v>79</v>
      </c>
      <c r="Q365" s="13" t="s">
        <v>83</v>
      </c>
      <c r="R365" s="13" t="s">
        <v>79</v>
      </c>
      <c r="S365" s="13" t="s">
        <v>79</v>
      </c>
      <c r="T365" s="13" t="s">
        <v>86</v>
      </c>
      <c r="U365" s="13" t="s">
        <v>87</v>
      </c>
      <c r="V365" s="13" t="s">
        <v>127</v>
      </c>
      <c r="W365" t="s">
        <v>486</v>
      </c>
      <c r="X365" s="12">
        <v>2.3636363636363638</v>
      </c>
      <c r="Y365" s="12">
        <v>2.4</v>
      </c>
      <c r="Z365" s="12">
        <v>3</v>
      </c>
      <c r="AA365" s="12">
        <v>1.6666666666666667</v>
      </c>
      <c r="AB365" s="12">
        <v>1.4</v>
      </c>
      <c r="AC365" s="12">
        <v>1</v>
      </c>
      <c r="AD365" s="12">
        <v>1.9717171717171718</v>
      </c>
    </row>
    <row r="366" spans="1:30" x14ac:dyDescent="0.3">
      <c r="A366" s="13">
        <v>23</v>
      </c>
      <c r="B366" s="13" t="s">
        <v>70</v>
      </c>
      <c r="C366" s="13" t="s">
        <v>96</v>
      </c>
      <c r="D366" s="13" t="s">
        <v>72</v>
      </c>
      <c r="E366" s="13" t="s">
        <v>108</v>
      </c>
      <c r="F366" s="13" t="s">
        <v>98</v>
      </c>
      <c r="G366" s="13" t="s">
        <v>440</v>
      </c>
      <c r="H366" s="13" t="s">
        <v>136</v>
      </c>
      <c r="I366" s="13" t="s">
        <v>76</v>
      </c>
      <c r="J366" s="13" t="s">
        <v>77</v>
      </c>
      <c r="K366" s="13" t="s">
        <v>122</v>
      </c>
      <c r="L366" s="13" t="s">
        <v>79</v>
      </c>
      <c r="M366" s="13" t="s">
        <v>80</v>
      </c>
      <c r="N366" s="13" t="s">
        <v>79</v>
      </c>
      <c r="O366" s="13" t="s">
        <v>487</v>
      </c>
      <c r="P366" s="13" t="s">
        <v>79</v>
      </c>
      <c r="Q366" s="13" t="s">
        <v>83</v>
      </c>
      <c r="R366" s="13" t="s">
        <v>79</v>
      </c>
      <c r="S366" s="13" t="s">
        <v>79</v>
      </c>
      <c r="T366" s="13" t="s">
        <v>86</v>
      </c>
      <c r="U366" s="13" t="s">
        <v>87</v>
      </c>
      <c r="V366" s="13" t="s">
        <v>112</v>
      </c>
      <c r="W366" t="s">
        <v>486</v>
      </c>
      <c r="X366" s="12">
        <v>1.4545454545454546</v>
      </c>
      <c r="Y366" s="12">
        <v>1.4</v>
      </c>
      <c r="Z366" s="12">
        <v>1.3333333333333333</v>
      </c>
      <c r="AA366" s="12">
        <v>1.6666666666666667</v>
      </c>
      <c r="AB366" s="12">
        <v>1.4</v>
      </c>
      <c r="AC366" s="12">
        <v>1</v>
      </c>
      <c r="AD366" s="12">
        <v>1.3757575757575757</v>
      </c>
    </row>
    <row r="367" spans="1:30" x14ac:dyDescent="0.3">
      <c r="A367" s="13">
        <v>21</v>
      </c>
      <c r="B367" s="13" t="s">
        <v>70</v>
      </c>
      <c r="C367" s="13" t="s">
        <v>96</v>
      </c>
      <c r="D367" s="13" t="s">
        <v>149</v>
      </c>
      <c r="E367" s="13" t="s">
        <v>114</v>
      </c>
      <c r="F367" s="13" t="s">
        <v>74</v>
      </c>
      <c r="G367" s="13" t="s">
        <v>440</v>
      </c>
      <c r="H367" s="13" t="s">
        <v>74</v>
      </c>
      <c r="I367" s="13" t="s">
        <v>439</v>
      </c>
      <c r="J367" s="13" t="s">
        <v>77</v>
      </c>
      <c r="K367" s="13" t="s">
        <v>122</v>
      </c>
      <c r="L367" s="13" t="s">
        <v>79</v>
      </c>
      <c r="M367" s="13" t="s">
        <v>80</v>
      </c>
      <c r="N367" s="13" t="s">
        <v>79</v>
      </c>
      <c r="O367" s="13" t="s">
        <v>487</v>
      </c>
      <c r="P367" s="13" t="s">
        <v>79</v>
      </c>
      <c r="Q367" s="13" t="s">
        <v>83</v>
      </c>
      <c r="R367" s="13" t="s">
        <v>79</v>
      </c>
      <c r="S367" s="13" t="s">
        <v>79</v>
      </c>
      <c r="T367" s="13" t="s">
        <v>86</v>
      </c>
      <c r="U367" s="13" t="s">
        <v>141</v>
      </c>
      <c r="V367" s="13" t="s">
        <v>112</v>
      </c>
      <c r="W367" t="s">
        <v>485</v>
      </c>
      <c r="X367" s="12">
        <v>2.0909090909090908</v>
      </c>
      <c r="Y367" s="12">
        <v>1.4</v>
      </c>
      <c r="Z367" s="12">
        <v>1</v>
      </c>
      <c r="AA367" s="12">
        <v>1.6666666666666667</v>
      </c>
      <c r="AB367" s="12">
        <v>1.4</v>
      </c>
      <c r="AC367" s="12">
        <v>1</v>
      </c>
      <c r="AD367" s="12">
        <v>1.4262626262626261</v>
      </c>
    </row>
    <row r="368" spans="1:30" x14ac:dyDescent="0.3">
      <c r="A368" s="13">
        <v>22</v>
      </c>
      <c r="B368" s="13" t="s">
        <v>70</v>
      </c>
      <c r="C368" s="13" t="s">
        <v>96</v>
      </c>
      <c r="D368" s="13" t="s">
        <v>72</v>
      </c>
      <c r="E368" s="13" t="s">
        <v>73</v>
      </c>
      <c r="F368" s="13" t="s">
        <v>74</v>
      </c>
      <c r="G368" s="13" t="s">
        <v>440</v>
      </c>
      <c r="H368" s="13" t="s">
        <v>136</v>
      </c>
      <c r="I368" s="13" t="s">
        <v>76</v>
      </c>
      <c r="J368" s="13" t="s">
        <v>77</v>
      </c>
      <c r="K368" s="13" t="s">
        <v>122</v>
      </c>
      <c r="L368" s="13" t="s">
        <v>79</v>
      </c>
      <c r="M368" s="13" t="s">
        <v>80</v>
      </c>
      <c r="N368" s="13" t="s">
        <v>79</v>
      </c>
      <c r="O368" s="13" t="s">
        <v>490</v>
      </c>
      <c r="P368" s="13" t="s">
        <v>82</v>
      </c>
      <c r="Q368" s="13" t="s">
        <v>83</v>
      </c>
      <c r="R368" s="13" t="s">
        <v>79</v>
      </c>
      <c r="S368" s="13" t="s">
        <v>82</v>
      </c>
      <c r="T368" s="13" t="s">
        <v>86</v>
      </c>
      <c r="U368" s="13" t="s">
        <v>87</v>
      </c>
      <c r="V368" s="13" t="s">
        <v>112</v>
      </c>
      <c r="W368" t="s">
        <v>485</v>
      </c>
      <c r="X368" s="12">
        <v>1.2727272727272727</v>
      </c>
      <c r="Y368" s="12">
        <v>1</v>
      </c>
      <c r="Z368" s="12">
        <v>1.3333333333333333</v>
      </c>
      <c r="AA368" s="12">
        <v>1.5555555555555556</v>
      </c>
      <c r="AB368" s="12">
        <v>1.4</v>
      </c>
      <c r="AC368" s="12">
        <v>1</v>
      </c>
      <c r="AD368" s="12">
        <v>1.2602693602693602</v>
      </c>
    </row>
    <row r="369" spans="1:30" x14ac:dyDescent="0.3">
      <c r="A369" s="13">
        <v>22</v>
      </c>
      <c r="B369" s="13" t="s">
        <v>70</v>
      </c>
      <c r="C369" s="13" t="s">
        <v>96</v>
      </c>
      <c r="D369" s="13" t="s">
        <v>72</v>
      </c>
      <c r="E369" s="13" t="s">
        <v>73</v>
      </c>
      <c r="F369" s="13" t="s">
        <v>74</v>
      </c>
      <c r="G369" s="13" t="s">
        <v>440</v>
      </c>
      <c r="H369" s="13" t="s">
        <v>74</v>
      </c>
      <c r="I369" s="13" t="s">
        <v>76</v>
      </c>
      <c r="J369" s="13" t="s">
        <v>77</v>
      </c>
      <c r="K369" s="13" t="s">
        <v>78</v>
      </c>
      <c r="L369" s="13" t="s">
        <v>79</v>
      </c>
      <c r="M369" s="13" t="s">
        <v>80</v>
      </c>
      <c r="N369" s="13" t="s">
        <v>79</v>
      </c>
      <c r="O369" s="13" t="s">
        <v>489</v>
      </c>
      <c r="P369" s="13" t="s">
        <v>82</v>
      </c>
      <c r="Q369" s="13" t="s">
        <v>83</v>
      </c>
      <c r="R369" s="13" t="s">
        <v>79</v>
      </c>
      <c r="S369" s="13" t="s">
        <v>82</v>
      </c>
      <c r="T369" s="13" t="s">
        <v>86</v>
      </c>
      <c r="U369" s="13" t="s">
        <v>87</v>
      </c>
      <c r="V369" s="13" t="s">
        <v>112</v>
      </c>
      <c r="W369" t="s">
        <v>486</v>
      </c>
      <c r="X369" s="12">
        <v>1.1818181818181819</v>
      </c>
      <c r="Y369" s="12">
        <v>1.4</v>
      </c>
      <c r="Z369" s="12">
        <v>1.3333333333333333</v>
      </c>
      <c r="AA369" s="12">
        <v>1.4444444444444444</v>
      </c>
      <c r="AB369" s="12">
        <v>1.4</v>
      </c>
      <c r="AC369" s="12">
        <v>1</v>
      </c>
      <c r="AD369" s="12">
        <v>1.2932659932659931</v>
      </c>
    </row>
    <row r="370" spans="1:30" x14ac:dyDescent="0.3">
      <c r="A370" s="13">
        <v>22</v>
      </c>
      <c r="B370" s="13" t="s">
        <v>70</v>
      </c>
      <c r="C370" s="13" t="s">
        <v>96</v>
      </c>
      <c r="D370" s="13" t="s">
        <v>72</v>
      </c>
      <c r="E370" s="13" t="s">
        <v>108</v>
      </c>
      <c r="F370" s="13" t="s">
        <v>136</v>
      </c>
      <c r="G370" s="13" t="s">
        <v>440</v>
      </c>
      <c r="H370" s="13" t="s">
        <v>98</v>
      </c>
      <c r="I370" s="13" t="s">
        <v>76</v>
      </c>
      <c r="J370" s="13" t="s">
        <v>77</v>
      </c>
      <c r="K370" s="13" t="s">
        <v>122</v>
      </c>
      <c r="L370" s="13" t="s">
        <v>79</v>
      </c>
      <c r="M370" s="13" t="s">
        <v>80</v>
      </c>
      <c r="N370" s="13" t="s">
        <v>79</v>
      </c>
      <c r="O370" s="13" t="s">
        <v>487</v>
      </c>
      <c r="P370" s="13" t="s">
        <v>79</v>
      </c>
      <c r="Q370" s="13" t="s">
        <v>83</v>
      </c>
      <c r="R370" s="13" t="s">
        <v>79</v>
      </c>
      <c r="S370" s="13" t="s">
        <v>79</v>
      </c>
      <c r="T370" s="13" t="s">
        <v>86</v>
      </c>
      <c r="U370" s="13" t="s">
        <v>120</v>
      </c>
      <c r="V370" s="13" t="s">
        <v>127</v>
      </c>
      <c r="W370" t="s">
        <v>486</v>
      </c>
      <c r="X370" s="12">
        <v>1.6363636363636365</v>
      </c>
      <c r="Y370" s="12">
        <v>2.2000000000000002</v>
      </c>
      <c r="Z370" s="12">
        <v>1</v>
      </c>
      <c r="AA370" s="12">
        <v>1.4444444444444444</v>
      </c>
      <c r="AB370" s="12">
        <v>1.4</v>
      </c>
      <c r="AC370" s="12">
        <v>1</v>
      </c>
      <c r="AD370" s="12">
        <v>1.4468013468013468</v>
      </c>
    </row>
    <row r="371" spans="1:30" x14ac:dyDescent="0.3">
      <c r="A371" s="13">
        <v>23</v>
      </c>
      <c r="B371" s="13" t="s">
        <v>70</v>
      </c>
      <c r="C371" s="13" t="s">
        <v>113</v>
      </c>
      <c r="D371" s="13" t="s">
        <v>149</v>
      </c>
      <c r="E371" s="13" t="s">
        <v>108</v>
      </c>
      <c r="F371" s="13" t="s">
        <v>100</v>
      </c>
      <c r="G371" s="13" t="s">
        <v>440</v>
      </c>
      <c r="H371" s="13" t="s">
        <v>98</v>
      </c>
      <c r="I371" s="13" t="s">
        <v>76</v>
      </c>
      <c r="J371" s="13" t="s">
        <v>77</v>
      </c>
      <c r="K371" s="13" t="s">
        <v>122</v>
      </c>
      <c r="L371" s="13" t="s">
        <v>79</v>
      </c>
      <c r="M371" s="13" t="s">
        <v>132</v>
      </c>
      <c r="N371" s="13" t="s">
        <v>79</v>
      </c>
      <c r="O371" s="13" t="s">
        <v>490</v>
      </c>
      <c r="P371" s="13" t="s">
        <v>79</v>
      </c>
      <c r="Q371" s="13" t="s">
        <v>83</v>
      </c>
      <c r="R371" s="13" t="s">
        <v>79</v>
      </c>
      <c r="S371" s="13" t="s">
        <v>79</v>
      </c>
      <c r="T371" s="13" t="s">
        <v>86</v>
      </c>
      <c r="U371" s="13" t="s">
        <v>141</v>
      </c>
      <c r="V371" s="13" t="s">
        <v>112</v>
      </c>
      <c r="W371" t="s">
        <v>486</v>
      </c>
      <c r="X371" s="12">
        <v>1.8181818181818181</v>
      </c>
      <c r="Y371" s="12">
        <v>2</v>
      </c>
      <c r="Z371" s="12">
        <v>1</v>
      </c>
      <c r="AA371" s="12">
        <v>1.4444444444444444</v>
      </c>
      <c r="AB371" s="12">
        <v>1.4</v>
      </c>
      <c r="AC371" s="12">
        <v>1</v>
      </c>
      <c r="AD371" s="12">
        <v>1.4437710437710438</v>
      </c>
    </row>
    <row r="372" spans="1:30" x14ac:dyDescent="0.3">
      <c r="A372" s="13">
        <v>23</v>
      </c>
      <c r="B372" s="13" t="s">
        <v>70</v>
      </c>
      <c r="C372" s="13" t="s">
        <v>96</v>
      </c>
      <c r="D372" s="13" t="s">
        <v>72</v>
      </c>
      <c r="E372" s="13" t="s">
        <v>108</v>
      </c>
      <c r="F372" s="13" t="s">
        <v>98</v>
      </c>
      <c r="G372" s="13" t="s">
        <v>439</v>
      </c>
      <c r="H372" s="13" t="s">
        <v>136</v>
      </c>
      <c r="I372" s="13" t="s">
        <v>76</v>
      </c>
      <c r="J372" s="13" t="s">
        <v>77</v>
      </c>
      <c r="K372" s="13" t="s">
        <v>122</v>
      </c>
      <c r="L372" s="13" t="s">
        <v>79</v>
      </c>
      <c r="M372" s="13" t="s">
        <v>132</v>
      </c>
      <c r="N372" s="13" t="s">
        <v>79</v>
      </c>
      <c r="O372" s="13" t="s">
        <v>489</v>
      </c>
      <c r="P372" s="13" t="s">
        <v>79</v>
      </c>
      <c r="Q372" s="13" t="s">
        <v>83</v>
      </c>
      <c r="R372" s="13" t="s">
        <v>79</v>
      </c>
      <c r="S372" s="13" t="s">
        <v>79</v>
      </c>
      <c r="T372" s="13" t="s">
        <v>148</v>
      </c>
      <c r="U372" s="13" t="s">
        <v>141</v>
      </c>
      <c r="V372" s="13" t="s">
        <v>127</v>
      </c>
      <c r="W372" t="s">
        <v>486</v>
      </c>
      <c r="X372" s="12">
        <v>1.6363636363636365</v>
      </c>
      <c r="Y372" s="12">
        <v>2</v>
      </c>
      <c r="Z372" s="12">
        <v>2</v>
      </c>
      <c r="AA372" s="12">
        <v>1.3333333333333333</v>
      </c>
      <c r="AB372" s="12">
        <v>1.4</v>
      </c>
      <c r="AC372" s="12">
        <v>1</v>
      </c>
      <c r="AD372" s="12">
        <v>1.5616161616161615</v>
      </c>
    </row>
    <row r="373" spans="1:30" x14ac:dyDescent="0.3">
      <c r="A373" s="13">
        <v>25</v>
      </c>
      <c r="B373" s="13" t="s">
        <v>70</v>
      </c>
      <c r="C373" s="13" t="s">
        <v>113</v>
      </c>
      <c r="D373" s="13" t="s">
        <v>72</v>
      </c>
      <c r="E373" s="13" t="s">
        <v>114</v>
      </c>
      <c r="F373" s="13" t="s">
        <v>74</v>
      </c>
      <c r="G373" s="13" t="s">
        <v>439</v>
      </c>
      <c r="H373" s="13" t="s">
        <v>74</v>
      </c>
      <c r="I373" s="13" t="s">
        <v>76</v>
      </c>
      <c r="J373" s="13" t="s">
        <v>101</v>
      </c>
      <c r="K373" s="13" t="s">
        <v>125</v>
      </c>
      <c r="L373" s="13" t="s">
        <v>79</v>
      </c>
      <c r="M373" s="13" t="s">
        <v>80</v>
      </c>
      <c r="N373" s="13" t="s">
        <v>79</v>
      </c>
      <c r="O373" s="13" t="s">
        <v>487</v>
      </c>
      <c r="P373" s="13" t="s">
        <v>79</v>
      </c>
      <c r="Q373" s="13" t="s">
        <v>83</v>
      </c>
      <c r="R373" s="13" t="s">
        <v>79</v>
      </c>
      <c r="S373" s="13" t="s">
        <v>82</v>
      </c>
      <c r="T373" s="13" t="s">
        <v>86</v>
      </c>
      <c r="U373" s="13" t="s">
        <v>141</v>
      </c>
      <c r="V373" s="13" t="s">
        <v>112</v>
      </c>
      <c r="W373" t="s">
        <v>486</v>
      </c>
      <c r="X373" s="12">
        <v>1</v>
      </c>
      <c r="Y373" s="12">
        <v>1.4</v>
      </c>
      <c r="Z373" s="12">
        <v>1</v>
      </c>
      <c r="AA373" s="12">
        <v>1.3333333333333333</v>
      </c>
      <c r="AB373" s="12">
        <v>1.4</v>
      </c>
      <c r="AC373" s="12">
        <v>1</v>
      </c>
      <c r="AD373" s="12">
        <v>1.1888888888888889</v>
      </c>
    </row>
    <row r="374" spans="1:30" x14ac:dyDescent="0.3">
      <c r="A374" s="13">
        <v>21</v>
      </c>
      <c r="B374" s="13" t="s">
        <v>70</v>
      </c>
      <c r="C374" s="13" t="s">
        <v>96</v>
      </c>
      <c r="D374" s="13" t="s">
        <v>149</v>
      </c>
      <c r="E374" s="13" t="s">
        <v>73</v>
      </c>
      <c r="F374" s="13" t="s">
        <v>100</v>
      </c>
      <c r="G374" s="13" t="s">
        <v>440</v>
      </c>
      <c r="H374" s="13" t="s">
        <v>98</v>
      </c>
      <c r="I374" s="13" t="s">
        <v>439</v>
      </c>
      <c r="J374" s="13" t="s">
        <v>77</v>
      </c>
      <c r="K374" s="13" t="s">
        <v>125</v>
      </c>
      <c r="L374" s="13" t="s">
        <v>79</v>
      </c>
      <c r="M374" s="13" t="s">
        <v>80</v>
      </c>
      <c r="N374" s="13" t="s">
        <v>79</v>
      </c>
      <c r="O374" s="13" t="s">
        <v>490</v>
      </c>
      <c r="P374" s="13" t="s">
        <v>82</v>
      </c>
      <c r="Q374" s="13" t="s">
        <v>83</v>
      </c>
      <c r="R374" s="13" t="s">
        <v>82</v>
      </c>
      <c r="S374" s="13" t="s">
        <v>82</v>
      </c>
      <c r="T374" s="13" t="s">
        <v>86</v>
      </c>
      <c r="U374" s="13" t="s">
        <v>141</v>
      </c>
      <c r="V374" s="13" t="s">
        <v>112</v>
      </c>
      <c r="W374" t="s">
        <v>486</v>
      </c>
      <c r="X374" s="12">
        <v>1</v>
      </c>
      <c r="Y374" s="12">
        <v>1.2</v>
      </c>
      <c r="Z374" s="12">
        <v>1</v>
      </c>
      <c r="AA374" s="12">
        <v>1</v>
      </c>
      <c r="AB374" s="12">
        <v>1.4</v>
      </c>
      <c r="AC374" s="12">
        <v>1</v>
      </c>
      <c r="AD374" s="12">
        <v>1.0999999999999999</v>
      </c>
    </row>
    <row r="375" spans="1:30" x14ac:dyDescent="0.3">
      <c r="A375" s="13">
        <v>21</v>
      </c>
      <c r="B375" s="13" t="s">
        <v>70</v>
      </c>
      <c r="C375" s="13" t="s">
        <v>96</v>
      </c>
      <c r="D375" s="13" t="s">
        <v>149</v>
      </c>
      <c r="E375" s="13" t="s">
        <v>108</v>
      </c>
      <c r="F375" s="13" t="s">
        <v>74</v>
      </c>
      <c r="G375" s="13" t="s">
        <v>166</v>
      </c>
      <c r="H375" s="13" t="s">
        <v>74</v>
      </c>
      <c r="I375" s="13" t="s">
        <v>439</v>
      </c>
      <c r="J375" s="13" t="s">
        <v>77</v>
      </c>
      <c r="K375" s="13" t="s">
        <v>131</v>
      </c>
      <c r="L375" s="13" t="s">
        <v>79</v>
      </c>
      <c r="M375" s="13" t="s">
        <v>102</v>
      </c>
      <c r="N375" s="13" t="s">
        <v>79</v>
      </c>
      <c r="O375" s="13" t="s">
        <v>487</v>
      </c>
      <c r="P375" s="13" t="s">
        <v>82</v>
      </c>
      <c r="Q375" s="13" t="s">
        <v>103</v>
      </c>
      <c r="R375" s="13" t="s">
        <v>79</v>
      </c>
      <c r="S375" s="13" t="s">
        <v>79</v>
      </c>
      <c r="T375" s="13" t="s">
        <v>86</v>
      </c>
      <c r="U375" s="13" t="s">
        <v>87</v>
      </c>
      <c r="V375" s="13" t="s">
        <v>112</v>
      </c>
      <c r="W375" t="s">
        <v>486</v>
      </c>
      <c r="X375" s="12">
        <v>3</v>
      </c>
      <c r="Y375" s="12">
        <v>3</v>
      </c>
      <c r="Z375" s="12">
        <v>0</v>
      </c>
      <c r="AA375" s="12">
        <v>1</v>
      </c>
      <c r="AB375" s="12">
        <v>1.4</v>
      </c>
      <c r="AC375" s="12">
        <v>1</v>
      </c>
      <c r="AD375" s="12">
        <v>1.5666666666666667</v>
      </c>
    </row>
    <row r="376" spans="1:30" x14ac:dyDescent="0.3">
      <c r="A376" s="13">
        <v>24</v>
      </c>
      <c r="B376" s="13" t="s">
        <v>70</v>
      </c>
      <c r="C376" s="13" t="s">
        <v>113</v>
      </c>
      <c r="D376" s="13" t="s">
        <v>72</v>
      </c>
      <c r="E376" s="13" t="s">
        <v>73</v>
      </c>
      <c r="F376" s="13" t="s">
        <v>98</v>
      </c>
      <c r="G376" s="13" t="s">
        <v>440</v>
      </c>
      <c r="H376" s="13" t="s">
        <v>100</v>
      </c>
      <c r="I376" s="13" t="s">
        <v>76</v>
      </c>
      <c r="J376" s="13" t="s">
        <v>77</v>
      </c>
      <c r="K376" s="13" t="s">
        <v>122</v>
      </c>
      <c r="L376" s="13" t="s">
        <v>79</v>
      </c>
      <c r="M376" s="13" t="s">
        <v>80</v>
      </c>
      <c r="N376" s="13" t="s">
        <v>79</v>
      </c>
      <c r="O376" s="13" t="s">
        <v>487</v>
      </c>
      <c r="P376" s="13" t="s">
        <v>79</v>
      </c>
      <c r="Q376" s="13" t="s">
        <v>118</v>
      </c>
      <c r="R376" s="13" t="s">
        <v>79</v>
      </c>
      <c r="S376" s="13" t="s">
        <v>79</v>
      </c>
      <c r="T376" s="13" t="s">
        <v>86</v>
      </c>
      <c r="U376" s="13" t="s">
        <v>87</v>
      </c>
      <c r="V376" s="13" t="s">
        <v>112</v>
      </c>
      <c r="W376" t="s">
        <v>486</v>
      </c>
      <c r="X376" s="12">
        <v>1.7272727272727273</v>
      </c>
      <c r="Y376" s="12">
        <v>0.8</v>
      </c>
      <c r="Z376" s="12">
        <v>1</v>
      </c>
      <c r="AA376" s="12">
        <v>1.3333333333333333</v>
      </c>
      <c r="AB376" s="12">
        <v>1.2</v>
      </c>
      <c r="AC376" s="12">
        <v>1</v>
      </c>
      <c r="AD376" s="12">
        <v>1.1767676767676767</v>
      </c>
    </row>
    <row r="377" spans="1:30" x14ac:dyDescent="0.3">
      <c r="A377" s="13">
        <v>22</v>
      </c>
      <c r="B377" s="13" t="s">
        <v>70</v>
      </c>
      <c r="C377" s="13" t="s">
        <v>157</v>
      </c>
      <c r="D377" s="13" t="s">
        <v>72</v>
      </c>
      <c r="E377" s="13" t="s">
        <v>114</v>
      </c>
      <c r="F377" s="13" t="s">
        <v>136</v>
      </c>
      <c r="G377" s="13" t="s">
        <v>440</v>
      </c>
      <c r="H377" s="13" t="s">
        <v>100</v>
      </c>
      <c r="I377" s="13" t="s">
        <v>76</v>
      </c>
      <c r="J377" s="13" t="s">
        <v>101</v>
      </c>
      <c r="K377" s="13" t="s">
        <v>125</v>
      </c>
      <c r="L377" s="13" t="s">
        <v>79</v>
      </c>
      <c r="M377" s="13" t="s">
        <v>80</v>
      </c>
      <c r="N377" s="13" t="s">
        <v>79</v>
      </c>
      <c r="O377" s="13" t="s">
        <v>487</v>
      </c>
      <c r="P377" s="13" t="s">
        <v>79</v>
      </c>
      <c r="Q377" s="13" t="s">
        <v>83</v>
      </c>
      <c r="R377" s="13" t="s">
        <v>79</v>
      </c>
      <c r="S377" s="13" t="s">
        <v>79</v>
      </c>
      <c r="T377" s="13" t="s">
        <v>86</v>
      </c>
      <c r="U377" s="13" t="s">
        <v>141</v>
      </c>
      <c r="V377" s="13" t="s">
        <v>160</v>
      </c>
      <c r="W377" t="s">
        <v>485</v>
      </c>
      <c r="X377" s="12">
        <v>1</v>
      </c>
      <c r="Y377" s="12">
        <v>1.4</v>
      </c>
      <c r="Z377" s="12">
        <v>1.3333333333333333</v>
      </c>
      <c r="AA377" s="12">
        <v>1.2222222222222223</v>
      </c>
      <c r="AB377" s="12">
        <v>1.2</v>
      </c>
      <c r="AC377" s="12">
        <v>1</v>
      </c>
      <c r="AD377" s="12">
        <v>1.1925925925925926</v>
      </c>
    </row>
    <row r="378" spans="1:30" x14ac:dyDescent="0.3">
      <c r="A378" s="13">
        <v>24</v>
      </c>
      <c r="B378" s="13" t="s">
        <v>70</v>
      </c>
      <c r="C378" s="13" t="s">
        <v>113</v>
      </c>
      <c r="D378" s="13" t="s">
        <v>97</v>
      </c>
      <c r="E378" s="13" t="s">
        <v>108</v>
      </c>
      <c r="F378" s="13" t="s">
        <v>98</v>
      </c>
      <c r="G378" s="13" t="s">
        <v>439</v>
      </c>
      <c r="H378" s="13" t="s">
        <v>98</v>
      </c>
      <c r="I378" s="13" t="s">
        <v>76</v>
      </c>
      <c r="J378" s="13" t="s">
        <v>77</v>
      </c>
      <c r="K378" s="13" t="s">
        <v>125</v>
      </c>
      <c r="L378" s="13" t="s">
        <v>82</v>
      </c>
      <c r="M378" s="13" t="s">
        <v>80</v>
      </c>
      <c r="N378" s="13" t="s">
        <v>79</v>
      </c>
      <c r="O378" s="13" t="s">
        <v>490</v>
      </c>
      <c r="P378" s="13" t="s">
        <v>82</v>
      </c>
      <c r="Q378" s="13" t="s">
        <v>83</v>
      </c>
      <c r="R378" s="13" t="s">
        <v>82</v>
      </c>
      <c r="S378" s="13" t="s">
        <v>82</v>
      </c>
      <c r="T378" s="13" t="s">
        <v>106</v>
      </c>
      <c r="U378" s="13" t="s">
        <v>141</v>
      </c>
      <c r="V378" s="13" t="s">
        <v>457</v>
      </c>
      <c r="W378" t="s">
        <v>486</v>
      </c>
      <c r="X378" s="12">
        <v>1.4545454545454546</v>
      </c>
      <c r="Y378" s="12">
        <v>1.6</v>
      </c>
      <c r="Z378" s="12">
        <v>1.6666666666666667</v>
      </c>
      <c r="AA378" s="12">
        <v>1.1111111111111112</v>
      </c>
      <c r="AB378" s="12">
        <v>1.2</v>
      </c>
      <c r="AC378" s="12">
        <v>1</v>
      </c>
      <c r="AD378" s="12">
        <v>1.3387205387205388</v>
      </c>
    </row>
    <row r="379" spans="1:30" x14ac:dyDescent="0.3">
      <c r="A379" s="13">
        <v>20</v>
      </c>
      <c r="B379" s="13" t="s">
        <v>70</v>
      </c>
      <c r="C379" s="13" t="s">
        <v>157</v>
      </c>
      <c r="D379" s="13" t="s">
        <v>72</v>
      </c>
      <c r="E379" s="13" t="s">
        <v>114</v>
      </c>
      <c r="F379" s="13" t="s">
        <v>165</v>
      </c>
      <c r="G379" s="13" t="s">
        <v>438</v>
      </c>
      <c r="H379" s="13" t="s">
        <v>165</v>
      </c>
      <c r="I379" s="13" t="s">
        <v>76</v>
      </c>
      <c r="J379" s="13" t="s">
        <v>101</v>
      </c>
      <c r="K379" s="13" t="s">
        <v>125</v>
      </c>
      <c r="L379" s="13" t="s">
        <v>79</v>
      </c>
      <c r="M379" s="13" t="s">
        <v>80</v>
      </c>
      <c r="N379" s="13" t="s">
        <v>79</v>
      </c>
      <c r="O379" s="13" t="s">
        <v>488</v>
      </c>
      <c r="P379" s="13" t="s">
        <v>79</v>
      </c>
      <c r="Q379" s="13" t="s">
        <v>83</v>
      </c>
      <c r="R379" s="13" t="s">
        <v>79</v>
      </c>
      <c r="S379" s="13" t="s">
        <v>82</v>
      </c>
      <c r="T379" s="13" t="s">
        <v>106</v>
      </c>
      <c r="U379" s="13" t="s">
        <v>141</v>
      </c>
      <c r="V379" s="13" t="s">
        <v>112</v>
      </c>
      <c r="W379" t="s">
        <v>486</v>
      </c>
      <c r="X379" s="12">
        <v>0.81818181818181823</v>
      </c>
      <c r="Y379" s="12">
        <v>1.2</v>
      </c>
      <c r="Z379" s="12">
        <v>1</v>
      </c>
      <c r="AA379" s="12">
        <v>1.1111111111111112</v>
      </c>
      <c r="AB379" s="12">
        <v>1.2</v>
      </c>
      <c r="AC379" s="12">
        <v>1</v>
      </c>
      <c r="AD379" s="12">
        <v>1.054882154882155</v>
      </c>
    </row>
    <row r="380" spans="1:30" x14ac:dyDescent="0.3">
      <c r="A380" s="13">
        <v>22</v>
      </c>
      <c r="B380" s="13" t="s">
        <v>70</v>
      </c>
      <c r="C380" s="13" t="s">
        <v>96</v>
      </c>
      <c r="D380" s="13" t="s">
        <v>149</v>
      </c>
      <c r="E380" s="13" t="s">
        <v>108</v>
      </c>
      <c r="F380" s="13" t="s">
        <v>136</v>
      </c>
      <c r="G380" s="13" t="s">
        <v>439</v>
      </c>
      <c r="H380" s="13" t="s">
        <v>98</v>
      </c>
      <c r="I380" s="13" t="s">
        <v>439</v>
      </c>
      <c r="J380" s="13" t="s">
        <v>77</v>
      </c>
      <c r="K380" s="13" t="s">
        <v>122</v>
      </c>
      <c r="L380" s="13" t="s">
        <v>79</v>
      </c>
      <c r="M380" s="13" t="s">
        <v>80</v>
      </c>
      <c r="N380" s="13" t="s">
        <v>79</v>
      </c>
      <c r="O380" s="13" t="s">
        <v>487</v>
      </c>
      <c r="P380" s="13" t="s">
        <v>82</v>
      </c>
      <c r="Q380" s="13" t="s">
        <v>83</v>
      </c>
      <c r="R380" s="13" t="s">
        <v>79</v>
      </c>
      <c r="S380" s="13" t="s">
        <v>79</v>
      </c>
      <c r="T380" s="13" t="s">
        <v>86</v>
      </c>
      <c r="U380" s="13" t="s">
        <v>120</v>
      </c>
      <c r="V380" s="13" t="s">
        <v>112</v>
      </c>
      <c r="W380" t="s">
        <v>486</v>
      </c>
      <c r="X380" s="12">
        <v>1.3636363636363635</v>
      </c>
      <c r="Y380" s="12">
        <v>1.6</v>
      </c>
      <c r="Z380" s="12">
        <v>1</v>
      </c>
      <c r="AA380" s="12">
        <v>1</v>
      </c>
      <c r="AB380" s="12">
        <v>1.2</v>
      </c>
      <c r="AC380" s="12">
        <v>1</v>
      </c>
      <c r="AD380" s="12">
        <v>1.1939393939393941</v>
      </c>
    </row>
    <row r="381" spans="1:30" x14ac:dyDescent="0.3">
      <c r="A381" s="13">
        <v>23</v>
      </c>
      <c r="B381" s="13" t="s">
        <v>70</v>
      </c>
      <c r="C381" s="13" t="s">
        <v>113</v>
      </c>
      <c r="D381" s="13" t="s">
        <v>72</v>
      </c>
      <c r="E381" s="13" t="s">
        <v>114</v>
      </c>
      <c r="F381" s="13" t="s">
        <v>136</v>
      </c>
      <c r="G381" s="13" t="s">
        <v>440</v>
      </c>
      <c r="H381" s="13" t="s">
        <v>136</v>
      </c>
      <c r="I381" s="13" t="s">
        <v>76</v>
      </c>
      <c r="J381" s="13" t="s">
        <v>101</v>
      </c>
      <c r="K381" s="13" t="s">
        <v>131</v>
      </c>
      <c r="L381" s="13" t="s">
        <v>82</v>
      </c>
      <c r="M381" s="13" t="s">
        <v>80</v>
      </c>
      <c r="N381" s="13" t="s">
        <v>82</v>
      </c>
      <c r="O381" s="13" t="s">
        <v>487</v>
      </c>
      <c r="P381" s="13" t="s">
        <v>79</v>
      </c>
      <c r="Q381" s="13" t="s">
        <v>103</v>
      </c>
      <c r="R381" s="13" t="s">
        <v>79</v>
      </c>
      <c r="S381" s="13" t="s">
        <v>79</v>
      </c>
      <c r="T381" s="13" t="s">
        <v>86</v>
      </c>
      <c r="U381" s="13" t="s">
        <v>141</v>
      </c>
      <c r="V381" s="13" t="s">
        <v>457</v>
      </c>
      <c r="W381" t="s">
        <v>486</v>
      </c>
      <c r="X381" s="12">
        <v>1.7272727272727273</v>
      </c>
      <c r="Y381" s="12">
        <v>1.6</v>
      </c>
      <c r="Z381" s="12">
        <v>1</v>
      </c>
      <c r="AA381" s="12">
        <v>0.66666666666666663</v>
      </c>
      <c r="AB381" s="12">
        <v>1.2</v>
      </c>
      <c r="AC381" s="12">
        <v>1</v>
      </c>
      <c r="AD381" s="12">
        <v>1.1989898989898991</v>
      </c>
    </row>
    <row r="382" spans="1:30" x14ac:dyDescent="0.3">
      <c r="A382" s="13">
        <v>24</v>
      </c>
      <c r="B382" s="13" t="s">
        <v>70</v>
      </c>
      <c r="C382" s="13" t="s">
        <v>113</v>
      </c>
      <c r="D382" s="13" t="s">
        <v>72</v>
      </c>
      <c r="E382" s="13" t="s">
        <v>114</v>
      </c>
      <c r="F382" s="13" t="s">
        <v>98</v>
      </c>
      <c r="G382" s="13" t="s">
        <v>439</v>
      </c>
      <c r="H382" s="13" t="s">
        <v>100</v>
      </c>
      <c r="I382" s="13" t="s">
        <v>166</v>
      </c>
      <c r="J382" s="13" t="s">
        <v>77</v>
      </c>
      <c r="K382" s="13" t="s">
        <v>125</v>
      </c>
      <c r="L382" s="13" t="s">
        <v>79</v>
      </c>
      <c r="M382" s="13" t="s">
        <v>132</v>
      </c>
      <c r="N382" s="13" t="s">
        <v>79</v>
      </c>
      <c r="O382" s="13" t="s">
        <v>488</v>
      </c>
      <c r="P382" s="13" t="s">
        <v>79</v>
      </c>
      <c r="Q382" s="13" t="s">
        <v>118</v>
      </c>
      <c r="R382" s="13" t="s">
        <v>79</v>
      </c>
      <c r="S382" s="13" t="s">
        <v>79</v>
      </c>
      <c r="T382" s="13" t="s">
        <v>106</v>
      </c>
      <c r="U382" s="13" t="s">
        <v>141</v>
      </c>
      <c r="V382" s="13" t="s">
        <v>127</v>
      </c>
      <c r="W382" t="s">
        <v>486</v>
      </c>
      <c r="X382" s="12">
        <v>1.2727272727272727</v>
      </c>
      <c r="Y382" s="12">
        <v>1.8</v>
      </c>
      <c r="Z382" s="12">
        <v>1</v>
      </c>
      <c r="AA382" s="12">
        <v>1.7777777777777777</v>
      </c>
      <c r="AB382" s="12">
        <v>1</v>
      </c>
      <c r="AC382" s="12">
        <v>1</v>
      </c>
      <c r="AD382" s="12">
        <v>1.3084175084175083</v>
      </c>
    </row>
    <row r="383" spans="1:30" x14ac:dyDescent="0.3">
      <c r="A383" s="13">
        <v>21</v>
      </c>
      <c r="B383" s="13" t="s">
        <v>70</v>
      </c>
      <c r="C383" s="13" t="s">
        <v>96</v>
      </c>
      <c r="D383" s="13" t="s">
        <v>97</v>
      </c>
      <c r="E383" s="13" t="s">
        <v>108</v>
      </c>
      <c r="F383" s="13" t="s">
        <v>74</v>
      </c>
      <c r="G383" s="13" t="s">
        <v>439</v>
      </c>
      <c r="H383" s="13" t="s">
        <v>74</v>
      </c>
      <c r="I383" s="13" t="s">
        <v>439</v>
      </c>
      <c r="J383" s="13" t="s">
        <v>77</v>
      </c>
      <c r="K383" s="13" t="s">
        <v>78</v>
      </c>
      <c r="L383" s="13" t="s">
        <v>79</v>
      </c>
      <c r="M383" s="13" t="s">
        <v>102</v>
      </c>
      <c r="N383" s="13" t="s">
        <v>79</v>
      </c>
      <c r="O383" s="13" t="s">
        <v>488</v>
      </c>
      <c r="P383" s="13" t="s">
        <v>79</v>
      </c>
      <c r="Q383" s="13" t="s">
        <v>103</v>
      </c>
      <c r="R383" s="13" t="s">
        <v>79</v>
      </c>
      <c r="S383" s="13" t="s">
        <v>79</v>
      </c>
      <c r="T383" s="13" t="s">
        <v>86</v>
      </c>
      <c r="U383" s="13" t="s">
        <v>87</v>
      </c>
      <c r="V383" s="13" t="s">
        <v>112</v>
      </c>
      <c r="W383" t="s">
        <v>486</v>
      </c>
      <c r="X383" s="12">
        <v>2.4545454545454546</v>
      </c>
      <c r="Y383" s="12">
        <v>1.8</v>
      </c>
      <c r="Z383" s="12">
        <v>3</v>
      </c>
      <c r="AA383" s="12">
        <v>1.6666666666666667</v>
      </c>
      <c r="AB383" s="12">
        <v>1</v>
      </c>
      <c r="AC383" s="12">
        <v>1</v>
      </c>
      <c r="AD383" s="12">
        <v>1.8202020202020204</v>
      </c>
    </row>
    <row r="384" spans="1:30" x14ac:dyDescent="0.3">
      <c r="A384" s="13">
        <v>22</v>
      </c>
      <c r="B384" s="13" t="s">
        <v>70</v>
      </c>
      <c r="C384" s="13" t="s">
        <v>96</v>
      </c>
      <c r="D384" s="13" t="s">
        <v>72</v>
      </c>
      <c r="E384" s="13" t="s">
        <v>114</v>
      </c>
      <c r="F384" s="13" t="s">
        <v>136</v>
      </c>
      <c r="G384" s="13" t="s">
        <v>440</v>
      </c>
      <c r="H384" s="13" t="s">
        <v>136</v>
      </c>
      <c r="I384" s="13" t="s">
        <v>76</v>
      </c>
      <c r="J384" s="13" t="s">
        <v>101</v>
      </c>
      <c r="K384" s="13" t="s">
        <v>125</v>
      </c>
      <c r="L384" s="13" t="s">
        <v>82</v>
      </c>
      <c r="M384" s="13" t="s">
        <v>102</v>
      </c>
      <c r="N384" s="13" t="s">
        <v>79</v>
      </c>
      <c r="O384" s="13" t="s">
        <v>490</v>
      </c>
      <c r="P384" s="13" t="s">
        <v>82</v>
      </c>
      <c r="Q384" s="13" t="s">
        <v>83</v>
      </c>
      <c r="R384" s="13" t="s">
        <v>82</v>
      </c>
      <c r="S384" s="13" t="s">
        <v>79</v>
      </c>
      <c r="T384" s="13" t="s">
        <v>106</v>
      </c>
      <c r="U384" s="13" t="s">
        <v>87</v>
      </c>
      <c r="V384" s="13" t="s">
        <v>457</v>
      </c>
      <c r="W384" t="s">
        <v>486</v>
      </c>
      <c r="X384" s="12">
        <v>1.7272727272727273</v>
      </c>
      <c r="Y384" s="12">
        <v>1.6</v>
      </c>
      <c r="Z384" s="12">
        <v>2</v>
      </c>
      <c r="AA384" s="12">
        <v>1.6666666666666667</v>
      </c>
      <c r="AB384" s="12">
        <v>1</v>
      </c>
      <c r="AC384" s="12">
        <v>1</v>
      </c>
      <c r="AD384" s="12">
        <v>1.4989898989898991</v>
      </c>
    </row>
    <row r="385" spans="1:30" x14ac:dyDescent="0.3">
      <c r="A385" s="13">
        <v>23</v>
      </c>
      <c r="B385" s="13" t="s">
        <v>70</v>
      </c>
      <c r="C385" s="13" t="s">
        <v>113</v>
      </c>
      <c r="D385" s="13" t="s">
        <v>72</v>
      </c>
      <c r="E385" s="13" t="s">
        <v>108</v>
      </c>
      <c r="F385" s="13" t="s">
        <v>98</v>
      </c>
      <c r="G385" s="13" t="s">
        <v>439</v>
      </c>
      <c r="H385" s="13" t="s">
        <v>100</v>
      </c>
      <c r="I385" s="13" t="s">
        <v>76</v>
      </c>
      <c r="J385" s="13" t="s">
        <v>77</v>
      </c>
      <c r="K385" s="13" t="s">
        <v>122</v>
      </c>
      <c r="L385" s="13" t="s">
        <v>79</v>
      </c>
      <c r="M385" s="13" t="s">
        <v>80</v>
      </c>
      <c r="N385" s="13" t="s">
        <v>79</v>
      </c>
      <c r="O385" s="13" t="s">
        <v>489</v>
      </c>
      <c r="P385" s="13" t="s">
        <v>79</v>
      </c>
      <c r="Q385" s="13" t="s">
        <v>83</v>
      </c>
      <c r="R385" s="13" t="s">
        <v>79</v>
      </c>
      <c r="S385" s="13" t="s">
        <v>79</v>
      </c>
      <c r="T385" s="13" t="s">
        <v>86</v>
      </c>
      <c r="U385" s="13" t="s">
        <v>141</v>
      </c>
      <c r="V385" s="13" t="s">
        <v>127</v>
      </c>
      <c r="W385" t="s">
        <v>485</v>
      </c>
      <c r="X385" s="12">
        <v>1.5454545454545454</v>
      </c>
      <c r="Y385" s="12">
        <v>1.8</v>
      </c>
      <c r="Z385" s="12">
        <v>1.3333333333333333</v>
      </c>
      <c r="AA385" s="12">
        <v>1.6666666666666667</v>
      </c>
      <c r="AB385" s="12">
        <v>1</v>
      </c>
      <c r="AC385" s="12">
        <v>1</v>
      </c>
      <c r="AD385" s="12">
        <v>1.3909090909090909</v>
      </c>
    </row>
    <row r="386" spans="1:30" x14ac:dyDescent="0.3">
      <c r="A386" s="13">
        <v>22</v>
      </c>
      <c r="B386" s="13" t="s">
        <v>128</v>
      </c>
      <c r="C386" s="13" t="s">
        <v>96</v>
      </c>
      <c r="D386" s="13" t="s">
        <v>72</v>
      </c>
      <c r="E386" s="13" t="s">
        <v>108</v>
      </c>
      <c r="F386" s="13" t="s">
        <v>74</v>
      </c>
      <c r="G386" s="13" t="s">
        <v>440</v>
      </c>
      <c r="H386" s="13" t="s">
        <v>136</v>
      </c>
      <c r="I386" s="13" t="s">
        <v>76</v>
      </c>
      <c r="J386" s="13" t="s">
        <v>77</v>
      </c>
      <c r="K386" s="13" t="s">
        <v>122</v>
      </c>
      <c r="L386" s="13" t="s">
        <v>79</v>
      </c>
      <c r="M386" s="13" t="s">
        <v>102</v>
      </c>
      <c r="N386" s="13" t="s">
        <v>79</v>
      </c>
      <c r="O386" s="13" t="s">
        <v>490</v>
      </c>
      <c r="P386" s="13" t="s">
        <v>82</v>
      </c>
      <c r="Q386" s="13" t="s">
        <v>83</v>
      </c>
      <c r="R386" s="13" t="s">
        <v>82</v>
      </c>
      <c r="S386" s="13" t="s">
        <v>82</v>
      </c>
      <c r="T386" s="13" t="s">
        <v>106</v>
      </c>
      <c r="U386" s="13" t="s">
        <v>141</v>
      </c>
      <c r="V386" s="13" t="s">
        <v>160</v>
      </c>
      <c r="W386" t="s">
        <v>486</v>
      </c>
      <c r="X386" s="12">
        <v>1.9090909090909092</v>
      </c>
      <c r="Y386" s="12">
        <v>1.2</v>
      </c>
      <c r="Z386" s="12">
        <v>2.3333333333333335</v>
      </c>
      <c r="AA386" s="12">
        <v>1.5555555555555556</v>
      </c>
      <c r="AB386" s="12">
        <v>1</v>
      </c>
      <c r="AC386" s="12">
        <v>1</v>
      </c>
      <c r="AD386" s="12">
        <v>1.4996632996632997</v>
      </c>
    </row>
    <row r="387" spans="1:30" x14ac:dyDescent="0.3">
      <c r="A387" s="13">
        <v>22</v>
      </c>
      <c r="B387" s="13" t="s">
        <v>70</v>
      </c>
      <c r="C387" s="13" t="s">
        <v>96</v>
      </c>
      <c r="D387" s="13" t="s">
        <v>72</v>
      </c>
      <c r="E387" s="13" t="s">
        <v>114</v>
      </c>
      <c r="F387" s="13" t="s">
        <v>100</v>
      </c>
      <c r="G387" s="13" t="s">
        <v>440</v>
      </c>
      <c r="H387" s="13" t="s">
        <v>165</v>
      </c>
      <c r="I387" s="13" t="s">
        <v>76</v>
      </c>
      <c r="J387" s="13" t="s">
        <v>77</v>
      </c>
      <c r="K387" s="13" t="s">
        <v>125</v>
      </c>
      <c r="L387" s="13" t="s">
        <v>79</v>
      </c>
      <c r="M387" s="13" t="s">
        <v>132</v>
      </c>
      <c r="N387" s="13" t="s">
        <v>79</v>
      </c>
      <c r="O387" s="13" t="s">
        <v>488</v>
      </c>
      <c r="P387" s="13" t="s">
        <v>79</v>
      </c>
      <c r="Q387" s="13" t="s">
        <v>118</v>
      </c>
      <c r="R387" s="13" t="s">
        <v>79</v>
      </c>
      <c r="S387" s="13" t="s">
        <v>79</v>
      </c>
      <c r="T387" s="13" t="s">
        <v>106</v>
      </c>
      <c r="U387" s="13" t="s">
        <v>141</v>
      </c>
      <c r="V387" s="13" t="s">
        <v>112</v>
      </c>
      <c r="W387" t="s">
        <v>486</v>
      </c>
      <c r="X387" s="12">
        <v>1</v>
      </c>
      <c r="Y387" s="12">
        <v>1.4</v>
      </c>
      <c r="Z387" s="12">
        <v>1.6666666666666667</v>
      </c>
      <c r="AA387" s="12">
        <v>1.5555555555555556</v>
      </c>
      <c r="AB387" s="12">
        <v>1</v>
      </c>
      <c r="AC387" s="12">
        <v>1</v>
      </c>
      <c r="AD387" s="12">
        <v>1.2703703703703704</v>
      </c>
    </row>
    <row r="388" spans="1:30" x14ac:dyDescent="0.3">
      <c r="A388" s="13">
        <v>22</v>
      </c>
      <c r="B388" s="13" t="s">
        <v>70</v>
      </c>
      <c r="C388" s="13" t="s">
        <v>113</v>
      </c>
      <c r="D388" s="13" t="s">
        <v>72</v>
      </c>
      <c r="E388" s="13" t="s">
        <v>114</v>
      </c>
      <c r="F388" s="13" t="s">
        <v>74</v>
      </c>
      <c r="G388" s="13" t="s">
        <v>438</v>
      </c>
      <c r="H388" s="13" t="s">
        <v>100</v>
      </c>
      <c r="I388" s="13" t="s">
        <v>76</v>
      </c>
      <c r="J388" s="13" t="s">
        <v>77</v>
      </c>
      <c r="K388" s="13" t="s">
        <v>125</v>
      </c>
      <c r="L388" s="13" t="s">
        <v>79</v>
      </c>
      <c r="M388" s="13" t="s">
        <v>80</v>
      </c>
      <c r="N388" s="13" t="s">
        <v>79</v>
      </c>
      <c r="O388" s="13" t="s">
        <v>487</v>
      </c>
      <c r="P388" s="13" t="s">
        <v>79</v>
      </c>
      <c r="Q388" s="13" t="s">
        <v>103</v>
      </c>
      <c r="R388" s="13" t="s">
        <v>79</v>
      </c>
      <c r="S388" s="13" t="s">
        <v>79</v>
      </c>
      <c r="T388" s="13" t="s">
        <v>106</v>
      </c>
      <c r="U388" s="13" t="s">
        <v>120</v>
      </c>
      <c r="V388" s="13" t="s">
        <v>112</v>
      </c>
      <c r="W388" t="s">
        <v>485</v>
      </c>
      <c r="X388" s="12">
        <v>1.0909090909090908</v>
      </c>
      <c r="Y388" s="12">
        <v>1</v>
      </c>
      <c r="Z388" s="12">
        <v>1</v>
      </c>
      <c r="AA388" s="12">
        <v>1.4444444444444444</v>
      </c>
      <c r="AB388" s="12">
        <v>1</v>
      </c>
      <c r="AC388" s="12">
        <v>1</v>
      </c>
      <c r="AD388" s="12">
        <v>1.0892255892255893</v>
      </c>
    </row>
    <row r="389" spans="1:30" x14ac:dyDescent="0.3">
      <c r="A389" s="13">
        <v>21</v>
      </c>
      <c r="B389" s="13" t="s">
        <v>70</v>
      </c>
      <c r="C389" s="13" t="s">
        <v>157</v>
      </c>
      <c r="D389" s="13" t="s">
        <v>97</v>
      </c>
      <c r="E389" s="13" t="s">
        <v>108</v>
      </c>
      <c r="F389" s="13" t="s">
        <v>74</v>
      </c>
      <c r="G389" s="13" t="s">
        <v>439</v>
      </c>
      <c r="H389" s="13" t="s">
        <v>74</v>
      </c>
      <c r="I389" s="13" t="s">
        <v>439</v>
      </c>
      <c r="J389" s="13" t="s">
        <v>77</v>
      </c>
      <c r="K389" s="13" t="s">
        <v>131</v>
      </c>
      <c r="L389" s="13" t="s">
        <v>79</v>
      </c>
      <c r="M389" s="13" t="s">
        <v>80</v>
      </c>
      <c r="N389" s="13" t="s">
        <v>79</v>
      </c>
      <c r="O389" s="13" t="s">
        <v>487</v>
      </c>
      <c r="P389" s="13" t="s">
        <v>79</v>
      </c>
      <c r="Q389" s="13" t="s">
        <v>83</v>
      </c>
      <c r="R389" s="13" t="s">
        <v>79</v>
      </c>
      <c r="S389" s="13" t="s">
        <v>82</v>
      </c>
      <c r="T389" s="13" t="s">
        <v>106</v>
      </c>
      <c r="U389" s="13" t="s">
        <v>141</v>
      </c>
      <c r="V389" s="13" t="s">
        <v>112</v>
      </c>
      <c r="W389" t="s">
        <v>486</v>
      </c>
      <c r="X389" s="12">
        <v>1.0909090909090908</v>
      </c>
      <c r="Y389" s="12">
        <v>1</v>
      </c>
      <c r="Z389" s="12">
        <v>1</v>
      </c>
      <c r="AA389" s="12">
        <v>1.2222222222222223</v>
      </c>
      <c r="AB389" s="12">
        <v>1</v>
      </c>
      <c r="AC389" s="12">
        <v>1</v>
      </c>
      <c r="AD389" s="12">
        <v>1.0521885521885521</v>
      </c>
    </row>
    <row r="390" spans="1:30" x14ac:dyDescent="0.3">
      <c r="A390" s="13">
        <v>22</v>
      </c>
      <c r="B390" s="13" t="s">
        <v>70</v>
      </c>
      <c r="C390" s="13" t="s">
        <v>113</v>
      </c>
      <c r="D390" s="13" t="s">
        <v>72</v>
      </c>
      <c r="E390" s="13" t="s">
        <v>114</v>
      </c>
      <c r="F390" s="13" t="s">
        <v>100</v>
      </c>
      <c r="G390" s="13" t="s">
        <v>438</v>
      </c>
      <c r="H390" s="13" t="s">
        <v>100</v>
      </c>
      <c r="I390" s="13" t="s">
        <v>76</v>
      </c>
      <c r="J390" s="13" t="s">
        <v>101</v>
      </c>
      <c r="K390" s="13" t="s">
        <v>125</v>
      </c>
      <c r="L390" s="13" t="s">
        <v>82</v>
      </c>
      <c r="M390" s="13" t="s">
        <v>80</v>
      </c>
      <c r="N390" s="13" t="s">
        <v>82</v>
      </c>
      <c r="O390" s="13" t="s">
        <v>487</v>
      </c>
      <c r="P390" s="13" t="s">
        <v>79</v>
      </c>
      <c r="Q390" s="13" t="s">
        <v>103</v>
      </c>
      <c r="R390" s="13" t="s">
        <v>79</v>
      </c>
      <c r="S390" s="13" t="s">
        <v>82</v>
      </c>
      <c r="T390" s="13" t="s">
        <v>106</v>
      </c>
      <c r="U390" s="13" t="s">
        <v>87</v>
      </c>
      <c r="V390" s="13" t="s">
        <v>127</v>
      </c>
      <c r="W390" t="s">
        <v>486</v>
      </c>
      <c r="X390" s="12">
        <v>1.3636363636363635</v>
      </c>
      <c r="Y390" s="12">
        <v>1</v>
      </c>
      <c r="Z390" s="12">
        <v>2</v>
      </c>
      <c r="AA390" s="12">
        <v>1.1111111111111112</v>
      </c>
      <c r="AB390" s="12">
        <v>1</v>
      </c>
      <c r="AC390" s="12">
        <v>1</v>
      </c>
      <c r="AD390" s="12">
        <v>1.2457912457912457</v>
      </c>
    </row>
    <row r="391" spans="1:30" x14ac:dyDescent="0.3">
      <c r="A391" s="13">
        <v>20</v>
      </c>
      <c r="B391" s="13" t="s">
        <v>70</v>
      </c>
      <c r="C391" s="13" t="s">
        <v>157</v>
      </c>
      <c r="D391" s="13" t="s">
        <v>72</v>
      </c>
      <c r="E391" s="13" t="s">
        <v>114</v>
      </c>
      <c r="F391" s="13" t="s">
        <v>165</v>
      </c>
      <c r="G391" s="13" t="s">
        <v>438</v>
      </c>
      <c r="H391" s="13" t="s">
        <v>165</v>
      </c>
      <c r="I391" s="13" t="s">
        <v>76</v>
      </c>
      <c r="J391" s="13" t="s">
        <v>77</v>
      </c>
      <c r="K391" s="13" t="s">
        <v>125</v>
      </c>
      <c r="L391" s="13" t="s">
        <v>79</v>
      </c>
      <c r="M391" s="13" t="s">
        <v>102</v>
      </c>
      <c r="N391" s="13" t="s">
        <v>79</v>
      </c>
      <c r="O391" s="13" t="s">
        <v>488</v>
      </c>
      <c r="P391" s="13" t="s">
        <v>79</v>
      </c>
      <c r="Q391" s="13" t="s">
        <v>83</v>
      </c>
      <c r="R391" s="13" t="s">
        <v>79</v>
      </c>
      <c r="S391" s="13" t="s">
        <v>79</v>
      </c>
      <c r="T391" s="13" t="s">
        <v>106</v>
      </c>
      <c r="U391" s="13" t="s">
        <v>141</v>
      </c>
      <c r="V391" s="13" t="s">
        <v>112</v>
      </c>
      <c r="W391" t="s">
        <v>485</v>
      </c>
      <c r="X391" s="12">
        <v>0.90909090909090906</v>
      </c>
      <c r="Y391" s="12">
        <v>1</v>
      </c>
      <c r="Z391" s="12">
        <v>0.66666666666666663</v>
      </c>
      <c r="AA391" s="12">
        <v>1.1111111111111112</v>
      </c>
      <c r="AB391" s="12">
        <v>1</v>
      </c>
      <c r="AC391" s="12">
        <v>1</v>
      </c>
      <c r="AD391" s="12">
        <v>0.94781144781144777</v>
      </c>
    </row>
    <row r="392" spans="1:30" x14ac:dyDescent="0.3">
      <c r="A392" s="13">
        <v>23</v>
      </c>
      <c r="B392" s="13" t="s">
        <v>70</v>
      </c>
      <c r="C392" s="13" t="s">
        <v>96</v>
      </c>
      <c r="D392" s="13" t="s">
        <v>72</v>
      </c>
      <c r="E392" s="13" t="s">
        <v>73</v>
      </c>
      <c r="F392" s="13" t="s">
        <v>136</v>
      </c>
      <c r="G392" s="13" t="s">
        <v>440</v>
      </c>
      <c r="H392" s="13" t="s">
        <v>136</v>
      </c>
      <c r="I392" s="13" t="s">
        <v>76</v>
      </c>
      <c r="J392" s="13" t="s">
        <v>77</v>
      </c>
      <c r="K392" s="13" t="s">
        <v>125</v>
      </c>
      <c r="L392" s="13" t="s">
        <v>82</v>
      </c>
      <c r="M392" s="13" t="s">
        <v>80</v>
      </c>
      <c r="N392" s="13" t="s">
        <v>82</v>
      </c>
      <c r="O392" s="13" t="s">
        <v>490</v>
      </c>
      <c r="P392" s="13" t="s">
        <v>82</v>
      </c>
      <c r="Q392" s="13" t="s">
        <v>118</v>
      </c>
      <c r="R392" s="13" t="s">
        <v>82</v>
      </c>
      <c r="S392" s="13" t="s">
        <v>82</v>
      </c>
      <c r="T392" s="13" t="s">
        <v>106</v>
      </c>
      <c r="U392" s="13" t="s">
        <v>141</v>
      </c>
      <c r="V392" s="13" t="s">
        <v>457</v>
      </c>
      <c r="W392" t="s">
        <v>486</v>
      </c>
      <c r="X392" s="12">
        <v>1</v>
      </c>
      <c r="Y392" s="12">
        <v>1.2</v>
      </c>
      <c r="Z392" s="12">
        <v>1</v>
      </c>
      <c r="AA392" s="12">
        <v>1</v>
      </c>
      <c r="AB392" s="12">
        <v>1</v>
      </c>
      <c r="AC392" s="12">
        <v>1</v>
      </c>
      <c r="AD392" s="12">
        <v>1.0333333333333334</v>
      </c>
    </row>
    <row r="393" spans="1:30" x14ac:dyDescent="0.3">
      <c r="A393" s="13">
        <v>22</v>
      </c>
      <c r="B393" s="13" t="s">
        <v>70</v>
      </c>
      <c r="C393" s="13" t="s">
        <v>157</v>
      </c>
      <c r="D393" s="13" t="s">
        <v>72</v>
      </c>
      <c r="E393" s="13" t="s">
        <v>73</v>
      </c>
      <c r="F393" s="13" t="s">
        <v>98</v>
      </c>
      <c r="G393" s="13" t="s">
        <v>439</v>
      </c>
      <c r="H393" s="13" t="s">
        <v>98</v>
      </c>
      <c r="I393" s="13" t="s">
        <v>76</v>
      </c>
      <c r="J393" s="13" t="s">
        <v>77</v>
      </c>
      <c r="K393" s="13" t="s">
        <v>125</v>
      </c>
      <c r="L393" s="13" t="s">
        <v>82</v>
      </c>
      <c r="M393" s="13" t="s">
        <v>80</v>
      </c>
      <c r="N393" s="13" t="s">
        <v>82</v>
      </c>
      <c r="O393" s="13" t="s">
        <v>490</v>
      </c>
      <c r="P393" s="13" t="s">
        <v>82</v>
      </c>
      <c r="Q393" s="13" t="s">
        <v>83</v>
      </c>
      <c r="R393" s="13" t="s">
        <v>79</v>
      </c>
      <c r="S393" s="13" t="s">
        <v>82</v>
      </c>
      <c r="T393" s="13" t="s">
        <v>86</v>
      </c>
      <c r="U393" s="13" t="s">
        <v>141</v>
      </c>
      <c r="V393" s="13" t="s">
        <v>457</v>
      </c>
      <c r="W393" t="s">
        <v>486</v>
      </c>
      <c r="X393" s="12">
        <v>1.2727272727272727</v>
      </c>
      <c r="Y393" s="12">
        <v>1</v>
      </c>
      <c r="Z393" s="12">
        <v>1</v>
      </c>
      <c r="AA393" s="12">
        <v>1</v>
      </c>
      <c r="AB393" s="12">
        <v>1</v>
      </c>
      <c r="AC393" s="12">
        <v>1</v>
      </c>
      <c r="AD393" s="12">
        <v>1.0454545454545454</v>
      </c>
    </row>
    <row r="394" spans="1:30" x14ac:dyDescent="0.3">
      <c r="A394" s="13">
        <v>25</v>
      </c>
      <c r="B394" s="13" t="s">
        <v>70</v>
      </c>
      <c r="C394" s="13" t="s">
        <v>71</v>
      </c>
      <c r="D394" s="13" t="s">
        <v>72</v>
      </c>
      <c r="E394" s="13" t="s">
        <v>73</v>
      </c>
      <c r="F394" s="13" t="s">
        <v>74</v>
      </c>
      <c r="G394" s="13" t="s">
        <v>439</v>
      </c>
      <c r="H394" s="13" t="s">
        <v>74</v>
      </c>
      <c r="I394" s="13" t="s">
        <v>439</v>
      </c>
      <c r="J394" s="13" t="s">
        <v>77</v>
      </c>
      <c r="K394" s="13" t="s">
        <v>78</v>
      </c>
      <c r="L394" s="13" t="s">
        <v>79</v>
      </c>
      <c r="M394" s="13" t="s">
        <v>102</v>
      </c>
      <c r="N394" s="13" t="s">
        <v>79</v>
      </c>
      <c r="O394" s="13" t="s">
        <v>490</v>
      </c>
      <c r="P394" s="13" t="s">
        <v>82</v>
      </c>
      <c r="Q394" s="13" t="s">
        <v>103</v>
      </c>
      <c r="R394" s="13" t="s">
        <v>82</v>
      </c>
      <c r="S394" s="13" t="s">
        <v>82</v>
      </c>
      <c r="T394" s="13" t="s">
        <v>106</v>
      </c>
      <c r="U394" s="13" t="s">
        <v>141</v>
      </c>
      <c r="V394" s="13" t="s">
        <v>112</v>
      </c>
      <c r="W394" t="s">
        <v>486</v>
      </c>
      <c r="X394" s="12">
        <v>1.1818181818181819</v>
      </c>
      <c r="Y394" s="12">
        <v>1</v>
      </c>
      <c r="Z394" s="12">
        <v>1</v>
      </c>
      <c r="AA394" s="12">
        <v>1</v>
      </c>
      <c r="AB394" s="12">
        <v>1</v>
      </c>
      <c r="AC394" s="12">
        <v>1</v>
      </c>
      <c r="AD394" s="12">
        <v>1.0303030303030303</v>
      </c>
    </row>
    <row r="395" spans="1:30" x14ac:dyDescent="0.3">
      <c r="A395" s="13">
        <v>22</v>
      </c>
      <c r="B395" s="13" t="s">
        <v>70</v>
      </c>
      <c r="C395" s="13" t="s">
        <v>157</v>
      </c>
      <c r="D395" s="13" t="s">
        <v>97</v>
      </c>
      <c r="E395" s="13" t="s">
        <v>108</v>
      </c>
      <c r="F395" s="13" t="s">
        <v>74</v>
      </c>
      <c r="G395" s="13" t="s">
        <v>439</v>
      </c>
      <c r="H395" s="13" t="s">
        <v>74</v>
      </c>
      <c r="I395" s="13" t="s">
        <v>439</v>
      </c>
      <c r="J395" s="13" t="s">
        <v>77</v>
      </c>
      <c r="K395" s="13" t="s">
        <v>131</v>
      </c>
      <c r="L395" s="13" t="s">
        <v>79</v>
      </c>
      <c r="M395" s="13" t="s">
        <v>80</v>
      </c>
      <c r="N395" s="13" t="s">
        <v>79</v>
      </c>
      <c r="O395" s="13" t="s">
        <v>488</v>
      </c>
      <c r="P395" s="13" t="s">
        <v>79</v>
      </c>
      <c r="Q395" s="13" t="s">
        <v>83</v>
      </c>
      <c r="R395" s="13" t="s">
        <v>79</v>
      </c>
      <c r="S395" s="13" t="s">
        <v>79</v>
      </c>
      <c r="T395" s="13" t="s">
        <v>106</v>
      </c>
      <c r="U395" s="13" t="s">
        <v>141</v>
      </c>
      <c r="V395" s="13" t="s">
        <v>112</v>
      </c>
      <c r="W395" t="s">
        <v>485</v>
      </c>
      <c r="X395" s="12">
        <v>1.0909090909090908</v>
      </c>
      <c r="Y395" s="12">
        <v>1</v>
      </c>
      <c r="Z395" s="12">
        <v>1</v>
      </c>
      <c r="AA395" s="12">
        <v>1</v>
      </c>
      <c r="AB395" s="12">
        <v>1</v>
      </c>
      <c r="AC395" s="12">
        <v>1</v>
      </c>
      <c r="AD395" s="12">
        <v>1.0151515151515151</v>
      </c>
    </row>
    <row r="396" spans="1:30" x14ac:dyDescent="0.3">
      <c r="A396" s="13">
        <v>21</v>
      </c>
      <c r="B396" s="13" t="s">
        <v>70</v>
      </c>
      <c r="C396" s="13" t="s">
        <v>157</v>
      </c>
      <c r="D396" s="13" t="s">
        <v>72</v>
      </c>
      <c r="E396" s="13" t="s">
        <v>108</v>
      </c>
      <c r="F396" s="13" t="s">
        <v>136</v>
      </c>
      <c r="G396" s="13" t="s">
        <v>99</v>
      </c>
      <c r="H396" s="13" t="s">
        <v>136</v>
      </c>
      <c r="I396" s="13" t="s">
        <v>439</v>
      </c>
      <c r="J396" s="13" t="s">
        <v>77</v>
      </c>
      <c r="K396" s="13" t="s">
        <v>125</v>
      </c>
      <c r="L396" s="13" t="s">
        <v>79</v>
      </c>
      <c r="M396" s="13" t="s">
        <v>80</v>
      </c>
      <c r="N396" s="13" t="s">
        <v>79</v>
      </c>
      <c r="O396" s="13" t="s">
        <v>487</v>
      </c>
      <c r="P396" s="13" t="s">
        <v>82</v>
      </c>
      <c r="Q396" s="13" t="s">
        <v>103</v>
      </c>
      <c r="R396" s="13" t="s">
        <v>82</v>
      </c>
      <c r="S396" s="13" t="s">
        <v>82</v>
      </c>
      <c r="T396" s="13" t="s">
        <v>106</v>
      </c>
      <c r="U396" s="13" t="s">
        <v>87</v>
      </c>
      <c r="V396" s="13" t="s">
        <v>112</v>
      </c>
      <c r="W396" t="s">
        <v>486</v>
      </c>
      <c r="X396" s="12">
        <v>1</v>
      </c>
      <c r="Y396" s="12">
        <v>1</v>
      </c>
      <c r="Z396" s="12">
        <v>1</v>
      </c>
      <c r="AA396" s="12">
        <v>1</v>
      </c>
      <c r="AB396" s="12">
        <v>1</v>
      </c>
      <c r="AC396" s="12">
        <v>1</v>
      </c>
      <c r="AD396" s="12">
        <v>1</v>
      </c>
    </row>
    <row r="397" spans="1:30" x14ac:dyDescent="0.3">
      <c r="A397" s="13">
        <v>23</v>
      </c>
      <c r="B397" s="13" t="s">
        <v>70</v>
      </c>
      <c r="C397" s="13" t="s">
        <v>113</v>
      </c>
      <c r="D397" s="13" t="s">
        <v>72</v>
      </c>
      <c r="E397" s="13" t="s">
        <v>114</v>
      </c>
      <c r="F397" s="13" t="s">
        <v>74</v>
      </c>
      <c r="G397" s="13" t="s">
        <v>440</v>
      </c>
      <c r="H397" s="13" t="s">
        <v>136</v>
      </c>
      <c r="I397" s="13" t="s">
        <v>76</v>
      </c>
      <c r="J397" s="13" t="s">
        <v>77</v>
      </c>
      <c r="K397" s="13" t="s">
        <v>122</v>
      </c>
      <c r="L397" s="13" t="s">
        <v>79</v>
      </c>
      <c r="M397" s="13" t="s">
        <v>80</v>
      </c>
      <c r="N397" s="13" t="s">
        <v>79</v>
      </c>
      <c r="O397" s="13" t="s">
        <v>487</v>
      </c>
      <c r="P397" s="13" t="s">
        <v>79</v>
      </c>
      <c r="Q397" s="13" t="s">
        <v>103</v>
      </c>
      <c r="R397" s="13" t="s">
        <v>79</v>
      </c>
      <c r="S397" s="13" t="s">
        <v>79</v>
      </c>
      <c r="T397" s="13" t="s">
        <v>106</v>
      </c>
      <c r="U397" s="13" t="s">
        <v>87</v>
      </c>
      <c r="V397" s="13" t="s">
        <v>112</v>
      </c>
      <c r="W397" t="s">
        <v>486</v>
      </c>
      <c r="X397" s="12">
        <v>1</v>
      </c>
      <c r="Y397" s="12">
        <v>1</v>
      </c>
      <c r="Z397" s="12">
        <v>1</v>
      </c>
      <c r="AA397" s="12">
        <v>1</v>
      </c>
      <c r="AB397" s="12">
        <v>1</v>
      </c>
      <c r="AC397" s="12">
        <v>1</v>
      </c>
      <c r="AD397" s="12">
        <v>1</v>
      </c>
    </row>
    <row r="398" spans="1:30" x14ac:dyDescent="0.3">
      <c r="A398" s="13">
        <v>22</v>
      </c>
      <c r="B398" s="13" t="s">
        <v>70</v>
      </c>
      <c r="C398" s="13" t="s">
        <v>96</v>
      </c>
      <c r="D398" s="13" t="s">
        <v>97</v>
      </c>
      <c r="E398" s="13" t="s">
        <v>108</v>
      </c>
      <c r="F398" s="13" t="s">
        <v>74</v>
      </c>
      <c r="G398" s="13" t="s">
        <v>439</v>
      </c>
      <c r="H398" s="13" t="s">
        <v>74</v>
      </c>
      <c r="I398" s="13" t="s">
        <v>76</v>
      </c>
      <c r="J398" s="13" t="s">
        <v>77</v>
      </c>
      <c r="K398" s="13" t="s">
        <v>125</v>
      </c>
      <c r="L398" s="13" t="s">
        <v>79</v>
      </c>
      <c r="M398" s="13" t="s">
        <v>80</v>
      </c>
      <c r="N398" s="13" t="s">
        <v>79</v>
      </c>
      <c r="O398" s="13" t="s">
        <v>490</v>
      </c>
      <c r="P398" s="13" t="s">
        <v>82</v>
      </c>
      <c r="Q398" s="13" t="s">
        <v>103</v>
      </c>
      <c r="R398" s="13" t="s">
        <v>79</v>
      </c>
      <c r="S398" s="13" t="s">
        <v>79</v>
      </c>
      <c r="T398" s="13" t="s">
        <v>86</v>
      </c>
      <c r="U398" s="13" t="s">
        <v>87</v>
      </c>
      <c r="V398" s="13" t="s">
        <v>112</v>
      </c>
      <c r="W398" t="s">
        <v>485</v>
      </c>
      <c r="X398" s="12">
        <v>1</v>
      </c>
      <c r="Y398" s="12">
        <v>1</v>
      </c>
      <c r="Z398" s="12">
        <v>1</v>
      </c>
      <c r="AA398" s="12">
        <v>1</v>
      </c>
      <c r="AB398" s="12">
        <v>1</v>
      </c>
      <c r="AC398" s="12">
        <v>1</v>
      </c>
      <c r="AD398" s="12">
        <v>1</v>
      </c>
    </row>
    <row r="399" spans="1:30" x14ac:dyDescent="0.3">
      <c r="A399" s="13">
        <v>21</v>
      </c>
      <c r="B399" s="13" t="s">
        <v>70</v>
      </c>
      <c r="C399" s="13" t="s">
        <v>96</v>
      </c>
      <c r="D399" s="13" t="s">
        <v>72</v>
      </c>
      <c r="E399" s="13" t="s">
        <v>108</v>
      </c>
      <c r="F399" s="13" t="s">
        <v>98</v>
      </c>
      <c r="G399" s="13" t="s">
        <v>440</v>
      </c>
      <c r="H399" s="13" t="s">
        <v>98</v>
      </c>
      <c r="I399" s="13" t="s">
        <v>76</v>
      </c>
      <c r="J399" s="13" t="s">
        <v>77</v>
      </c>
      <c r="K399" s="13" t="s">
        <v>122</v>
      </c>
      <c r="L399" s="13" t="s">
        <v>79</v>
      </c>
      <c r="M399" s="13" t="s">
        <v>80</v>
      </c>
      <c r="N399" s="13" t="s">
        <v>82</v>
      </c>
      <c r="O399" s="13" t="s">
        <v>487</v>
      </c>
      <c r="P399" s="13" t="s">
        <v>82</v>
      </c>
      <c r="Q399" s="13" t="s">
        <v>83</v>
      </c>
      <c r="R399" s="13" t="s">
        <v>79</v>
      </c>
      <c r="S399" s="13" t="s">
        <v>79</v>
      </c>
      <c r="T399" s="13" t="s">
        <v>86</v>
      </c>
      <c r="U399" s="13" t="s">
        <v>87</v>
      </c>
      <c r="V399" s="13" t="s">
        <v>127</v>
      </c>
      <c r="W399" t="s">
        <v>485</v>
      </c>
      <c r="X399" s="12">
        <v>1</v>
      </c>
      <c r="Y399" s="12">
        <v>1</v>
      </c>
      <c r="Z399" s="12">
        <v>1</v>
      </c>
      <c r="AA399" s="12">
        <v>1</v>
      </c>
      <c r="AB399" s="12">
        <v>1</v>
      </c>
      <c r="AC399" s="12">
        <v>1</v>
      </c>
      <c r="AD399" s="12">
        <v>1</v>
      </c>
    </row>
    <row r="400" spans="1:30" x14ac:dyDescent="0.3">
      <c r="A400" s="13">
        <v>24</v>
      </c>
      <c r="B400" s="13" t="s">
        <v>70</v>
      </c>
      <c r="C400" s="13" t="s">
        <v>157</v>
      </c>
      <c r="D400" s="13" t="s">
        <v>97</v>
      </c>
      <c r="E400" s="13" t="s">
        <v>108</v>
      </c>
      <c r="F400" s="13" t="s">
        <v>74</v>
      </c>
      <c r="G400" s="13" t="s">
        <v>440</v>
      </c>
      <c r="H400" s="13" t="s">
        <v>74</v>
      </c>
      <c r="I400" s="13" t="s">
        <v>76</v>
      </c>
      <c r="J400" s="13" t="s">
        <v>77</v>
      </c>
      <c r="K400" s="13" t="s">
        <v>125</v>
      </c>
      <c r="L400" s="13" t="s">
        <v>79</v>
      </c>
      <c r="M400" s="13" t="s">
        <v>201</v>
      </c>
      <c r="N400" s="13" t="s">
        <v>79</v>
      </c>
      <c r="O400" s="13" t="s">
        <v>490</v>
      </c>
      <c r="P400" s="13" t="s">
        <v>82</v>
      </c>
      <c r="Q400" s="13" t="s">
        <v>103</v>
      </c>
      <c r="R400" s="13" t="s">
        <v>79</v>
      </c>
      <c r="S400" s="13" t="s">
        <v>79</v>
      </c>
      <c r="T400" s="13" t="s">
        <v>86</v>
      </c>
      <c r="U400" s="13" t="s">
        <v>141</v>
      </c>
      <c r="V400" s="13" t="s">
        <v>127</v>
      </c>
      <c r="W400" t="s">
        <v>486</v>
      </c>
      <c r="X400" s="12">
        <v>1</v>
      </c>
      <c r="Y400" s="12">
        <v>1</v>
      </c>
      <c r="Z400" s="12">
        <v>1</v>
      </c>
      <c r="AA400" s="12">
        <v>1</v>
      </c>
      <c r="AB400" s="12">
        <v>1</v>
      </c>
      <c r="AC400" s="12">
        <v>1</v>
      </c>
      <c r="AD400" s="12">
        <v>1</v>
      </c>
    </row>
    <row r="401" spans="1:30" x14ac:dyDescent="0.3">
      <c r="A401" s="13">
        <v>21</v>
      </c>
      <c r="B401" s="13" t="s">
        <v>70</v>
      </c>
      <c r="C401" s="13" t="s">
        <v>157</v>
      </c>
      <c r="D401" s="13" t="s">
        <v>97</v>
      </c>
      <c r="E401" s="13" t="s">
        <v>108</v>
      </c>
      <c r="F401" s="13" t="s">
        <v>74</v>
      </c>
      <c r="G401" s="13" t="s">
        <v>440</v>
      </c>
      <c r="H401" s="13" t="s">
        <v>98</v>
      </c>
      <c r="I401" s="13" t="s">
        <v>76</v>
      </c>
      <c r="J401" s="13" t="s">
        <v>77</v>
      </c>
      <c r="K401" s="13" t="s">
        <v>131</v>
      </c>
      <c r="L401" s="13" t="s">
        <v>79</v>
      </c>
      <c r="M401" s="13" t="s">
        <v>80</v>
      </c>
      <c r="N401" s="13" t="s">
        <v>79</v>
      </c>
      <c r="O401" s="13" t="s">
        <v>488</v>
      </c>
      <c r="P401" s="13" t="s">
        <v>79</v>
      </c>
      <c r="Q401" s="13" t="s">
        <v>83</v>
      </c>
      <c r="R401" s="13" t="s">
        <v>79</v>
      </c>
      <c r="S401" s="13" t="s">
        <v>79</v>
      </c>
      <c r="T401" s="13" t="s">
        <v>86</v>
      </c>
      <c r="U401" s="13" t="s">
        <v>87</v>
      </c>
      <c r="V401" s="13" t="s">
        <v>455</v>
      </c>
      <c r="W401" t="s">
        <v>486</v>
      </c>
      <c r="X401" s="12">
        <v>1</v>
      </c>
      <c r="Y401" s="12">
        <v>1</v>
      </c>
      <c r="Z401" s="12">
        <v>1</v>
      </c>
      <c r="AA401" s="12">
        <v>1</v>
      </c>
      <c r="AB401" s="12">
        <v>1</v>
      </c>
      <c r="AC401" s="12">
        <v>1</v>
      </c>
      <c r="AD401" s="12">
        <v>1</v>
      </c>
    </row>
    <row r="402" spans="1:30" x14ac:dyDescent="0.3">
      <c r="A402" s="13">
        <v>22</v>
      </c>
      <c r="B402" s="13" t="s">
        <v>70</v>
      </c>
      <c r="C402" s="13" t="s">
        <v>96</v>
      </c>
      <c r="D402" s="13" t="s">
        <v>72</v>
      </c>
      <c r="E402" s="13" t="s">
        <v>114</v>
      </c>
      <c r="F402" s="13" t="s">
        <v>136</v>
      </c>
      <c r="G402" s="13" t="s">
        <v>439</v>
      </c>
      <c r="H402" s="13" t="s">
        <v>98</v>
      </c>
      <c r="I402" s="13" t="s">
        <v>76</v>
      </c>
      <c r="J402" s="13" t="s">
        <v>101</v>
      </c>
      <c r="K402" s="13" t="s">
        <v>122</v>
      </c>
      <c r="L402" s="13" t="s">
        <v>79</v>
      </c>
      <c r="M402" s="13" t="s">
        <v>102</v>
      </c>
      <c r="N402" s="13" t="s">
        <v>79</v>
      </c>
      <c r="O402" s="13" t="s">
        <v>490</v>
      </c>
      <c r="P402" s="13" t="s">
        <v>79</v>
      </c>
      <c r="Q402" s="13" t="s">
        <v>83</v>
      </c>
      <c r="R402" s="13" t="s">
        <v>79</v>
      </c>
      <c r="S402" s="13" t="s">
        <v>79</v>
      </c>
      <c r="T402" s="13" t="s">
        <v>86</v>
      </c>
      <c r="U402" s="13" t="s">
        <v>141</v>
      </c>
      <c r="V402" s="13" t="s">
        <v>112</v>
      </c>
      <c r="W402" t="s">
        <v>485</v>
      </c>
      <c r="X402" s="12">
        <v>1</v>
      </c>
      <c r="Y402" s="12">
        <v>1</v>
      </c>
      <c r="Z402" s="12">
        <v>1</v>
      </c>
      <c r="AA402" s="12">
        <v>1</v>
      </c>
      <c r="AB402" s="12">
        <v>1</v>
      </c>
      <c r="AC402" s="12">
        <v>1</v>
      </c>
      <c r="AD402" s="12">
        <v>1</v>
      </c>
    </row>
    <row r="403" spans="1:30" x14ac:dyDescent="0.3">
      <c r="A403" s="13">
        <v>23</v>
      </c>
      <c r="B403" s="13" t="s">
        <v>70</v>
      </c>
      <c r="C403" s="13" t="s">
        <v>96</v>
      </c>
      <c r="D403" s="13" t="s">
        <v>72</v>
      </c>
      <c r="E403" s="13" t="s">
        <v>73</v>
      </c>
      <c r="F403" s="13" t="s">
        <v>98</v>
      </c>
      <c r="G403" s="13" t="s">
        <v>439</v>
      </c>
      <c r="H403" s="13" t="s">
        <v>98</v>
      </c>
      <c r="I403" s="13" t="s">
        <v>76</v>
      </c>
      <c r="J403" s="13" t="s">
        <v>77</v>
      </c>
      <c r="K403" s="13" t="s">
        <v>122</v>
      </c>
      <c r="L403" s="13" t="s">
        <v>82</v>
      </c>
      <c r="M403" s="13" t="s">
        <v>102</v>
      </c>
      <c r="N403" s="13" t="s">
        <v>79</v>
      </c>
      <c r="O403" s="13" t="s">
        <v>490</v>
      </c>
      <c r="P403" s="13" t="s">
        <v>82</v>
      </c>
      <c r="Q403" s="13" t="s">
        <v>83</v>
      </c>
      <c r="R403" s="13" t="s">
        <v>82</v>
      </c>
      <c r="S403" s="13" t="s">
        <v>82</v>
      </c>
      <c r="T403" s="13" t="s">
        <v>106</v>
      </c>
      <c r="U403" s="13" t="s">
        <v>87</v>
      </c>
      <c r="V403" s="13" t="s">
        <v>457</v>
      </c>
      <c r="W403" t="s">
        <v>485</v>
      </c>
      <c r="X403" s="12">
        <v>1</v>
      </c>
      <c r="Y403" s="12">
        <v>1</v>
      </c>
      <c r="Z403" s="12">
        <v>1</v>
      </c>
      <c r="AA403" s="12">
        <v>1</v>
      </c>
      <c r="AB403" s="12">
        <v>1</v>
      </c>
      <c r="AC403" s="12">
        <v>1</v>
      </c>
      <c r="AD403" s="12">
        <v>1</v>
      </c>
    </row>
    <row r="404" spans="1:30" x14ac:dyDescent="0.3">
      <c r="A404" s="13">
        <v>22</v>
      </c>
      <c r="B404" s="13" t="s">
        <v>70</v>
      </c>
      <c r="C404" s="13" t="s">
        <v>157</v>
      </c>
      <c r="D404" s="13" t="s">
        <v>72</v>
      </c>
      <c r="E404" s="13" t="s">
        <v>108</v>
      </c>
      <c r="F404" s="13" t="s">
        <v>136</v>
      </c>
      <c r="G404" s="13" t="s">
        <v>439</v>
      </c>
      <c r="H404" s="13" t="s">
        <v>98</v>
      </c>
      <c r="I404" s="13" t="s">
        <v>76</v>
      </c>
      <c r="J404" s="13" t="s">
        <v>101</v>
      </c>
      <c r="K404" s="13" t="s">
        <v>78</v>
      </c>
      <c r="L404" s="13" t="s">
        <v>79</v>
      </c>
      <c r="M404" s="13" t="s">
        <v>80</v>
      </c>
      <c r="N404" s="13" t="s">
        <v>79</v>
      </c>
      <c r="O404" s="13" t="s">
        <v>489</v>
      </c>
      <c r="P404" s="13" t="s">
        <v>79</v>
      </c>
      <c r="Q404" s="13" t="s">
        <v>103</v>
      </c>
      <c r="R404" s="13" t="s">
        <v>79</v>
      </c>
      <c r="S404" s="13" t="s">
        <v>82</v>
      </c>
      <c r="T404" s="13" t="s">
        <v>86</v>
      </c>
      <c r="U404" s="13" t="s">
        <v>141</v>
      </c>
      <c r="V404" s="13" t="s">
        <v>112</v>
      </c>
      <c r="W404" t="s">
        <v>486</v>
      </c>
      <c r="X404" s="12">
        <v>1</v>
      </c>
      <c r="Y404" s="12">
        <v>1</v>
      </c>
      <c r="Z404" s="12">
        <v>1</v>
      </c>
      <c r="AA404" s="12">
        <v>1</v>
      </c>
      <c r="AB404" s="12">
        <v>1</v>
      </c>
      <c r="AC404" s="12">
        <v>1</v>
      </c>
      <c r="AD404" s="12">
        <v>1</v>
      </c>
    </row>
    <row r="405" spans="1:30" x14ac:dyDescent="0.3">
      <c r="A405" s="13">
        <v>24</v>
      </c>
      <c r="B405" s="13" t="s">
        <v>70</v>
      </c>
      <c r="C405" s="13" t="s">
        <v>113</v>
      </c>
      <c r="D405" s="13" t="s">
        <v>149</v>
      </c>
      <c r="E405" s="13" t="s">
        <v>73</v>
      </c>
      <c r="F405" s="13" t="s">
        <v>74</v>
      </c>
      <c r="G405" s="13" t="s">
        <v>439</v>
      </c>
      <c r="H405" s="13" t="s">
        <v>136</v>
      </c>
      <c r="I405" s="13" t="s">
        <v>76</v>
      </c>
      <c r="J405" s="13" t="s">
        <v>77</v>
      </c>
      <c r="K405" s="13" t="s">
        <v>122</v>
      </c>
      <c r="L405" s="13" t="s">
        <v>79</v>
      </c>
      <c r="M405" s="13" t="s">
        <v>102</v>
      </c>
      <c r="N405" s="13" t="s">
        <v>79</v>
      </c>
      <c r="O405" s="13" t="s">
        <v>489</v>
      </c>
      <c r="P405" s="13" t="s">
        <v>82</v>
      </c>
      <c r="Q405" s="13" t="s">
        <v>83</v>
      </c>
      <c r="R405" s="13" t="s">
        <v>82</v>
      </c>
      <c r="S405" s="13" t="s">
        <v>82</v>
      </c>
      <c r="T405" s="13" t="s">
        <v>106</v>
      </c>
      <c r="U405" s="13" t="s">
        <v>141</v>
      </c>
      <c r="V405" s="13" t="s">
        <v>112</v>
      </c>
      <c r="W405" t="s">
        <v>485</v>
      </c>
      <c r="X405" s="12">
        <v>1</v>
      </c>
      <c r="Y405" s="12">
        <v>1</v>
      </c>
      <c r="Z405" s="12">
        <v>1</v>
      </c>
      <c r="AA405" s="12">
        <v>1</v>
      </c>
      <c r="AB405" s="12">
        <v>1</v>
      </c>
      <c r="AC405" s="12">
        <v>1</v>
      </c>
      <c r="AD405" s="12">
        <v>1</v>
      </c>
    </row>
    <row r="406" spans="1:30" x14ac:dyDescent="0.3">
      <c r="A406" s="13">
        <v>24</v>
      </c>
      <c r="B406" s="13" t="s">
        <v>70</v>
      </c>
      <c r="C406" s="13" t="s">
        <v>113</v>
      </c>
      <c r="D406" s="13" t="s">
        <v>149</v>
      </c>
      <c r="E406" s="13" t="s">
        <v>73</v>
      </c>
      <c r="F406" s="13" t="s">
        <v>136</v>
      </c>
      <c r="G406" s="13" t="s">
        <v>440</v>
      </c>
      <c r="H406" s="13" t="s">
        <v>136</v>
      </c>
      <c r="I406" s="13" t="s">
        <v>76</v>
      </c>
      <c r="J406" s="13" t="s">
        <v>101</v>
      </c>
      <c r="K406" s="13" t="s">
        <v>122</v>
      </c>
      <c r="L406" s="13" t="s">
        <v>82</v>
      </c>
      <c r="M406" s="13" t="s">
        <v>80</v>
      </c>
      <c r="N406" s="13" t="s">
        <v>82</v>
      </c>
      <c r="O406" s="13" t="s">
        <v>490</v>
      </c>
      <c r="P406" s="13" t="s">
        <v>82</v>
      </c>
      <c r="Q406" s="13" t="s">
        <v>103</v>
      </c>
      <c r="R406" s="13" t="s">
        <v>82</v>
      </c>
      <c r="S406" s="13" t="s">
        <v>82</v>
      </c>
      <c r="T406" s="13" t="s">
        <v>106</v>
      </c>
      <c r="U406" s="13" t="s">
        <v>141</v>
      </c>
      <c r="V406" s="13" t="s">
        <v>457</v>
      </c>
      <c r="W406" t="s">
        <v>485</v>
      </c>
      <c r="X406" s="12">
        <v>1</v>
      </c>
      <c r="Y406" s="12">
        <v>1</v>
      </c>
      <c r="Z406" s="12">
        <v>1</v>
      </c>
      <c r="AA406" s="12">
        <v>1</v>
      </c>
      <c r="AB406" s="12">
        <v>1</v>
      </c>
      <c r="AC406" s="12">
        <v>1</v>
      </c>
      <c r="AD406" s="12">
        <v>1</v>
      </c>
    </row>
    <row r="407" spans="1:30" x14ac:dyDescent="0.3">
      <c r="A407" s="13">
        <v>22</v>
      </c>
      <c r="B407" s="13" t="s">
        <v>70</v>
      </c>
      <c r="C407" s="13" t="s">
        <v>157</v>
      </c>
      <c r="D407" s="13" t="s">
        <v>72</v>
      </c>
      <c r="E407" s="13" t="s">
        <v>108</v>
      </c>
      <c r="F407" s="13" t="s">
        <v>136</v>
      </c>
      <c r="G407" s="13" t="s">
        <v>440</v>
      </c>
      <c r="H407" s="13" t="s">
        <v>100</v>
      </c>
      <c r="I407" s="13" t="s">
        <v>76</v>
      </c>
      <c r="J407" s="13" t="s">
        <v>77</v>
      </c>
      <c r="K407" s="13" t="s">
        <v>125</v>
      </c>
      <c r="L407" s="13" t="s">
        <v>79</v>
      </c>
      <c r="M407" s="13" t="s">
        <v>102</v>
      </c>
      <c r="N407" s="13" t="s">
        <v>79</v>
      </c>
      <c r="O407" s="13" t="s">
        <v>489</v>
      </c>
      <c r="P407" s="13" t="s">
        <v>82</v>
      </c>
      <c r="Q407" s="13" t="s">
        <v>83</v>
      </c>
      <c r="R407" s="13" t="s">
        <v>82</v>
      </c>
      <c r="S407" s="13" t="s">
        <v>82</v>
      </c>
      <c r="T407" s="13" t="s">
        <v>106</v>
      </c>
      <c r="U407" s="13" t="s">
        <v>141</v>
      </c>
      <c r="V407" s="13" t="s">
        <v>112</v>
      </c>
      <c r="W407" t="s">
        <v>485</v>
      </c>
      <c r="X407" s="12">
        <v>1</v>
      </c>
      <c r="Y407" s="12">
        <v>1</v>
      </c>
      <c r="Z407" s="12">
        <v>1</v>
      </c>
      <c r="AA407" s="12">
        <v>1</v>
      </c>
      <c r="AB407" s="12">
        <v>1</v>
      </c>
      <c r="AC407" s="12">
        <v>1</v>
      </c>
      <c r="AD407" s="12">
        <v>1</v>
      </c>
    </row>
    <row r="408" spans="1:30" x14ac:dyDescent="0.3">
      <c r="A408" s="13">
        <v>23</v>
      </c>
      <c r="B408" s="13" t="s">
        <v>70</v>
      </c>
      <c r="C408" s="13" t="s">
        <v>96</v>
      </c>
      <c r="D408" s="13" t="s">
        <v>149</v>
      </c>
      <c r="E408" s="13" t="s">
        <v>73</v>
      </c>
      <c r="F408" s="13" t="s">
        <v>136</v>
      </c>
      <c r="G408" s="13" t="s">
        <v>440</v>
      </c>
      <c r="H408" s="13" t="s">
        <v>98</v>
      </c>
      <c r="I408" s="13" t="s">
        <v>76</v>
      </c>
      <c r="J408" s="13" t="s">
        <v>77</v>
      </c>
      <c r="K408" s="13" t="s">
        <v>122</v>
      </c>
      <c r="L408" s="13" t="s">
        <v>82</v>
      </c>
      <c r="M408" s="13" t="s">
        <v>80</v>
      </c>
      <c r="N408" s="13" t="s">
        <v>79</v>
      </c>
      <c r="O408" s="13" t="s">
        <v>489</v>
      </c>
      <c r="P408" s="13" t="s">
        <v>82</v>
      </c>
      <c r="Q408" s="13" t="s">
        <v>83</v>
      </c>
      <c r="R408" s="13" t="s">
        <v>82</v>
      </c>
      <c r="S408" s="13" t="s">
        <v>82</v>
      </c>
      <c r="T408" s="13" t="s">
        <v>106</v>
      </c>
      <c r="U408" s="13" t="s">
        <v>141</v>
      </c>
      <c r="V408" s="13" t="s">
        <v>457</v>
      </c>
      <c r="W408" t="s">
        <v>485</v>
      </c>
      <c r="X408" s="12">
        <v>1</v>
      </c>
      <c r="Y408" s="12">
        <v>1</v>
      </c>
      <c r="Z408" s="12">
        <v>1</v>
      </c>
      <c r="AA408" s="12">
        <v>1</v>
      </c>
      <c r="AB408" s="12">
        <v>1</v>
      </c>
      <c r="AC408" s="12">
        <v>1</v>
      </c>
      <c r="AD408" s="12">
        <v>1</v>
      </c>
    </row>
    <row r="409" spans="1:30" x14ac:dyDescent="0.3">
      <c r="A409" s="13">
        <v>22</v>
      </c>
      <c r="B409" s="13" t="s">
        <v>70</v>
      </c>
      <c r="C409" s="13" t="s">
        <v>96</v>
      </c>
      <c r="D409" s="13" t="s">
        <v>72</v>
      </c>
      <c r="E409" s="13" t="s">
        <v>73</v>
      </c>
      <c r="F409" s="13" t="s">
        <v>136</v>
      </c>
      <c r="G409" s="13" t="s">
        <v>439</v>
      </c>
      <c r="H409" s="13" t="s">
        <v>98</v>
      </c>
      <c r="I409" s="13" t="s">
        <v>439</v>
      </c>
      <c r="J409" s="13" t="s">
        <v>77</v>
      </c>
      <c r="K409" s="13" t="s">
        <v>122</v>
      </c>
      <c r="L409" s="13" t="s">
        <v>82</v>
      </c>
      <c r="M409" s="13" t="s">
        <v>80</v>
      </c>
      <c r="N409" s="13" t="s">
        <v>79</v>
      </c>
      <c r="O409" s="13" t="s">
        <v>490</v>
      </c>
      <c r="P409" s="13" t="s">
        <v>82</v>
      </c>
      <c r="Q409" s="13" t="s">
        <v>83</v>
      </c>
      <c r="R409" s="13" t="s">
        <v>82</v>
      </c>
      <c r="S409" s="13" t="s">
        <v>82</v>
      </c>
      <c r="T409" s="13" t="s">
        <v>106</v>
      </c>
      <c r="U409" s="13" t="s">
        <v>141</v>
      </c>
      <c r="V409" s="13" t="s">
        <v>457</v>
      </c>
      <c r="W409" t="s">
        <v>485</v>
      </c>
      <c r="X409" s="12">
        <v>1</v>
      </c>
      <c r="Y409" s="12">
        <v>1</v>
      </c>
      <c r="Z409" s="12">
        <v>1</v>
      </c>
      <c r="AA409" s="12">
        <v>1</v>
      </c>
      <c r="AB409" s="12">
        <v>1</v>
      </c>
      <c r="AC409" s="12">
        <v>1</v>
      </c>
      <c r="AD409" s="12">
        <v>1</v>
      </c>
    </row>
    <row r="410" spans="1:30" x14ac:dyDescent="0.3">
      <c r="A410" s="13">
        <v>25</v>
      </c>
      <c r="B410" s="13" t="s">
        <v>70</v>
      </c>
      <c r="C410" s="13" t="s">
        <v>113</v>
      </c>
      <c r="D410" s="13" t="s">
        <v>72</v>
      </c>
      <c r="E410" s="13" t="s">
        <v>108</v>
      </c>
      <c r="F410" s="13" t="s">
        <v>74</v>
      </c>
      <c r="G410" s="13" t="s">
        <v>439</v>
      </c>
      <c r="H410" s="13" t="s">
        <v>74</v>
      </c>
      <c r="I410" s="13" t="s">
        <v>439</v>
      </c>
      <c r="J410" s="13" t="s">
        <v>101</v>
      </c>
      <c r="K410" s="13" t="s">
        <v>122</v>
      </c>
      <c r="L410" s="13" t="s">
        <v>79</v>
      </c>
      <c r="M410" s="13" t="s">
        <v>102</v>
      </c>
      <c r="N410" s="13" t="s">
        <v>79</v>
      </c>
      <c r="O410" s="13" t="s">
        <v>489</v>
      </c>
      <c r="P410" s="13" t="s">
        <v>82</v>
      </c>
      <c r="Q410" s="13" t="s">
        <v>83</v>
      </c>
      <c r="R410" s="13" t="s">
        <v>82</v>
      </c>
      <c r="S410" s="13" t="s">
        <v>82</v>
      </c>
      <c r="T410" s="13" t="s">
        <v>106</v>
      </c>
      <c r="U410" s="13" t="s">
        <v>141</v>
      </c>
      <c r="V410" s="13" t="s">
        <v>112</v>
      </c>
      <c r="W410" t="s">
        <v>485</v>
      </c>
      <c r="X410" s="12">
        <v>1</v>
      </c>
      <c r="Y410" s="12">
        <v>1</v>
      </c>
      <c r="Z410" s="12">
        <v>1</v>
      </c>
      <c r="AA410" s="12">
        <v>1</v>
      </c>
      <c r="AB410" s="12">
        <v>1</v>
      </c>
      <c r="AC410" s="12">
        <v>1</v>
      </c>
      <c r="AD410" s="12">
        <v>1</v>
      </c>
    </row>
    <row r="411" spans="1:30" x14ac:dyDescent="0.3">
      <c r="A411" s="13">
        <v>23</v>
      </c>
      <c r="B411" s="13" t="s">
        <v>70</v>
      </c>
      <c r="C411" s="13" t="s">
        <v>157</v>
      </c>
      <c r="D411" s="13" t="s">
        <v>72</v>
      </c>
      <c r="E411" s="13" t="s">
        <v>108</v>
      </c>
      <c r="F411" s="13" t="s">
        <v>136</v>
      </c>
      <c r="G411" s="13" t="s">
        <v>440</v>
      </c>
      <c r="H411" s="13" t="s">
        <v>98</v>
      </c>
      <c r="I411" s="13" t="s">
        <v>76</v>
      </c>
      <c r="J411" s="13" t="s">
        <v>77</v>
      </c>
      <c r="K411" s="13" t="s">
        <v>122</v>
      </c>
      <c r="L411" s="13" t="s">
        <v>79</v>
      </c>
      <c r="M411" s="13" t="s">
        <v>102</v>
      </c>
      <c r="N411" s="13" t="s">
        <v>82</v>
      </c>
      <c r="O411" s="13" t="s">
        <v>490</v>
      </c>
      <c r="P411" s="13" t="s">
        <v>82</v>
      </c>
      <c r="Q411" s="13" t="s">
        <v>83</v>
      </c>
      <c r="R411" s="13" t="s">
        <v>82</v>
      </c>
      <c r="S411" s="13" t="s">
        <v>82</v>
      </c>
      <c r="T411" s="13" t="s">
        <v>106</v>
      </c>
      <c r="U411" s="13" t="s">
        <v>141</v>
      </c>
      <c r="V411" s="13" t="s">
        <v>112</v>
      </c>
      <c r="W411" t="s">
        <v>485</v>
      </c>
      <c r="X411" s="12">
        <v>1</v>
      </c>
      <c r="Y411" s="12">
        <v>1</v>
      </c>
      <c r="Z411" s="12">
        <v>1</v>
      </c>
      <c r="AA411" s="12">
        <v>1</v>
      </c>
      <c r="AB411" s="12">
        <v>1</v>
      </c>
      <c r="AC411" s="12">
        <v>1</v>
      </c>
      <c r="AD411" s="12">
        <v>1</v>
      </c>
    </row>
    <row r="412" spans="1:30" x14ac:dyDescent="0.3">
      <c r="A412" s="13">
        <v>23</v>
      </c>
      <c r="B412" s="13" t="s">
        <v>70</v>
      </c>
      <c r="C412" s="13" t="s">
        <v>71</v>
      </c>
      <c r="D412" s="13" t="s">
        <v>72</v>
      </c>
      <c r="E412" s="13" t="s">
        <v>73</v>
      </c>
      <c r="F412" s="13" t="s">
        <v>136</v>
      </c>
      <c r="G412" s="13" t="s">
        <v>439</v>
      </c>
      <c r="H412" s="13" t="s">
        <v>98</v>
      </c>
      <c r="I412" s="13" t="s">
        <v>76</v>
      </c>
      <c r="J412" s="13" t="s">
        <v>101</v>
      </c>
      <c r="K412" s="13" t="s">
        <v>122</v>
      </c>
      <c r="L412" s="13" t="s">
        <v>79</v>
      </c>
      <c r="M412" s="13" t="s">
        <v>80</v>
      </c>
      <c r="N412" s="13" t="s">
        <v>79</v>
      </c>
      <c r="O412" s="13" t="s">
        <v>488</v>
      </c>
      <c r="P412" s="13" t="s">
        <v>79</v>
      </c>
      <c r="Q412" s="13" t="s">
        <v>83</v>
      </c>
      <c r="R412" s="13" t="s">
        <v>79</v>
      </c>
      <c r="S412" s="13" t="s">
        <v>82</v>
      </c>
      <c r="T412" s="13" t="s">
        <v>148</v>
      </c>
      <c r="U412" s="13" t="s">
        <v>120</v>
      </c>
      <c r="V412" s="13" t="s">
        <v>112</v>
      </c>
      <c r="W412" t="s">
        <v>485</v>
      </c>
      <c r="X412" s="12">
        <v>1</v>
      </c>
      <c r="Y412" s="12">
        <v>1</v>
      </c>
      <c r="Z412" s="12">
        <v>1</v>
      </c>
      <c r="AA412" s="12">
        <v>1</v>
      </c>
      <c r="AB412" s="12">
        <v>1</v>
      </c>
      <c r="AC412" s="12">
        <v>1</v>
      </c>
      <c r="AD412" s="12">
        <v>1</v>
      </c>
    </row>
    <row r="413" spans="1:30" x14ac:dyDescent="0.3">
      <c r="A413" s="13">
        <v>21</v>
      </c>
      <c r="B413" s="13" t="s">
        <v>70</v>
      </c>
      <c r="C413" s="13" t="s">
        <v>157</v>
      </c>
      <c r="D413" s="13" t="s">
        <v>72</v>
      </c>
      <c r="E413" s="13" t="s">
        <v>114</v>
      </c>
      <c r="F413" s="13" t="s">
        <v>136</v>
      </c>
      <c r="G413" s="13" t="s">
        <v>440</v>
      </c>
      <c r="H413" s="13" t="s">
        <v>136</v>
      </c>
      <c r="I413" s="13" t="s">
        <v>76</v>
      </c>
      <c r="J413" s="13" t="s">
        <v>77</v>
      </c>
      <c r="K413" s="13" t="s">
        <v>125</v>
      </c>
      <c r="L413" s="13" t="s">
        <v>82</v>
      </c>
      <c r="M413" s="13" t="s">
        <v>80</v>
      </c>
      <c r="N413" s="13" t="s">
        <v>79</v>
      </c>
      <c r="O413" s="13" t="s">
        <v>490</v>
      </c>
      <c r="P413" s="13" t="s">
        <v>82</v>
      </c>
      <c r="Q413" s="13" t="s">
        <v>118</v>
      </c>
      <c r="R413" s="13" t="s">
        <v>79</v>
      </c>
      <c r="S413" s="13" t="s">
        <v>79</v>
      </c>
      <c r="T413" s="13" t="s">
        <v>86</v>
      </c>
      <c r="U413" s="13" t="s">
        <v>141</v>
      </c>
      <c r="V413" s="13" t="s">
        <v>112</v>
      </c>
      <c r="W413" t="s">
        <v>485</v>
      </c>
      <c r="X413" s="12">
        <v>1</v>
      </c>
      <c r="Y413" s="12">
        <v>1</v>
      </c>
      <c r="Z413" s="12">
        <v>1</v>
      </c>
      <c r="AA413" s="12">
        <v>1</v>
      </c>
      <c r="AB413" s="12">
        <v>1</v>
      </c>
      <c r="AC413" s="12">
        <v>1</v>
      </c>
      <c r="AD413" s="12">
        <v>1</v>
      </c>
    </row>
    <row r="414" spans="1:30" x14ac:dyDescent="0.3">
      <c r="A414" s="13">
        <v>20</v>
      </c>
      <c r="B414" s="13" t="s">
        <v>70</v>
      </c>
      <c r="C414" s="13" t="s">
        <v>96</v>
      </c>
      <c r="D414" s="13" t="s">
        <v>72</v>
      </c>
      <c r="E414" s="13" t="s">
        <v>108</v>
      </c>
      <c r="F414" s="13" t="s">
        <v>74</v>
      </c>
      <c r="G414" s="13" t="s">
        <v>440</v>
      </c>
      <c r="H414" s="13" t="s">
        <v>136</v>
      </c>
      <c r="I414" s="13" t="s">
        <v>76</v>
      </c>
      <c r="J414" s="13" t="s">
        <v>77</v>
      </c>
      <c r="K414" s="13" t="s">
        <v>122</v>
      </c>
      <c r="L414" s="13" t="s">
        <v>82</v>
      </c>
      <c r="M414" s="13" t="s">
        <v>80</v>
      </c>
      <c r="N414" s="13" t="s">
        <v>79</v>
      </c>
      <c r="O414" s="13" t="s">
        <v>488</v>
      </c>
      <c r="P414" s="13" t="s">
        <v>79</v>
      </c>
      <c r="Q414" s="13" t="s">
        <v>83</v>
      </c>
      <c r="R414" s="13" t="s">
        <v>79</v>
      </c>
      <c r="S414" s="13" t="s">
        <v>79</v>
      </c>
      <c r="T414" s="13" t="s">
        <v>148</v>
      </c>
      <c r="U414" s="13" t="s">
        <v>120</v>
      </c>
      <c r="V414" s="13" t="s">
        <v>457</v>
      </c>
      <c r="W414" t="s">
        <v>485</v>
      </c>
      <c r="X414" s="12">
        <v>1</v>
      </c>
      <c r="Y414" s="12">
        <v>1</v>
      </c>
      <c r="Z414" s="12">
        <v>1</v>
      </c>
      <c r="AA414" s="12">
        <v>1</v>
      </c>
      <c r="AB414" s="12">
        <v>1</v>
      </c>
      <c r="AC414" s="12">
        <v>1</v>
      </c>
      <c r="AD414" s="12">
        <v>1</v>
      </c>
    </row>
    <row r="415" spans="1:30" x14ac:dyDescent="0.3">
      <c r="A415" s="13">
        <v>23</v>
      </c>
      <c r="B415" s="13" t="s">
        <v>70</v>
      </c>
      <c r="C415" s="13" t="s">
        <v>96</v>
      </c>
      <c r="D415" s="13" t="s">
        <v>97</v>
      </c>
      <c r="E415" s="13" t="s">
        <v>108</v>
      </c>
      <c r="F415" s="13" t="s">
        <v>98</v>
      </c>
      <c r="G415" s="13" t="s">
        <v>439</v>
      </c>
      <c r="H415" s="13" t="s">
        <v>98</v>
      </c>
      <c r="I415" s="13" t="s">
        <v>76</v>
      </c>
      <c r="J415" s="13" t="s">
        <v>77</v>
      </c>
      <c r="K415" s="13" t="s">
        <v>125</v>
      </c>
      <c r="L415" s="13" t="s">
        <v>82</v>
      </c>
      <c r="M415" s="13" t="s">
        <v>102</v>
      </c>
      <c r="N415" s="13" t="s">
        <v>79</v>
      </c>
      <c r="O415" s="13" t="s">
        <v>490</v>
      </c>
      <c r="P415" s="13" t="s">
        <v>82</v>
      </c>
      <c r="Q415" s="13" t="s">
        <v>83</v>
      </c>
      <c r="R415" s="13" t="s">
        <v>82</v>
      </c>
      <c r="S415" s="13" t="s">
        <v>82</v>
      </c>
      <c r="T415" s="13" t="s">
        <v>106</v>
      </c>
      <c r="U415" s="13" t="s">
        <v>141</v>
      </c>
      <c r="V415" s="13" t="s">
        <v>457</v>
      </c>
      <c r="W415" t="s">
        <v>485</v>
      </c>
      <c r="X415" s="12">
        <v>1</v>
      </c>
      <c r="Y415" s="12">
        <v>1</v>
      </c>
      <c r="Z415" s="12">
        <v>1</v>
      </c>
      <c r="AA415" s="12">
        <v>1</v>
      </c>
      <c r="AB415" s="12">
        <v>1</v>
      </c>
      <c r="AC415" s="12">
        <v>1</v>
      </c>
      <c r="AD415" s="12">
        <v>1</v>
      </c>
    </row>
    <row r="416" spans="1:30" x14ac:dyDescent="0.3">
      <c r="A416" s="13">
        <v>22</v>
      </c>
      <c r="B416" s="13" t="s">
        <v>70</v>
      </c>
      <c r="C416" s="13" t="s">
        <v>96</v>
      </c>
      <c r="D416" s="13" t="s">
        <v>97</v>
      </c>
      <c r="E416" s="13" t="s">
        <v>73</v>
      </c>
      <c r="F416" s="13" t="s">
        <v>74</v>
      </c>
      <c r="G416" s="13" t="s">
        <v>440</v>
      </c>
      <c r="H416" s="13" t="s">
        <v>100</v>
      </c>
      <c r="I416" s="13" t="s">
        <v>76</v>
      </c>
      <c r="J416" s="13" t="s">
        <v>77</v>
      </c>
      <c r="K416" s="13" t="s">
        <v>125</v>
      </c>
      <c r="L416" s="13" t="s">
        <v>82</v>
      </c>
      <c r="M416" s="13" t="s">
        <v>80</v>
      </c>
      <c r="N416" s="13" t="s">
        <v>79</v>
      </c>
      <c r="O416" s="13" t="s">
        <v>487</v>
      </c>
      <c r="P416" s="13" t="s">
        <v>82</v>
      </c>
      <c r="Q416" s="13" t="s">
        <v>83</v>
      </c>
      <c r="R416" s="13" t="s">
        <v>79</v>
      </c>
      <c r="S416" s="13" t="s">
        <v>79</v>
      </c>
      <c r="T416" s="13" t="s">
        <v>106</v>
      </c>
      <c r="U416" s="13" t="s">
        <v>141</v>
      </c>
      <c r="V416" s="13" t="s">
        <v>112</v>
      </c>
      <c r="W416" t="s">
        <v>485</v>
      </c>
      <c r="X416" s="12">
        <v>1</v>
      </c>
      <c r="Y416" s="12">
        <v>1</v>
      </c>
      <c r="Z416" s="12">
        <v>1</v>
      </c>
      <c r="AA416" s="12">
        <v>1</v>
      </c>
      <c r="AB416" s="12">
        <v>1</v>
      </c>
      <c r="AC416" s="12">
        <v>1</v>
      </c>
      <c r="AD416" s="12">
        <v>1</v>
      </c>
    </row>
    <row r="417" spans="1:30" x14ac:dyDescent="0.3">
      <c r="A417" s="13">
        <v>22</v>
      </c>
      <c r="B417" s="13" t="s">
        <v>70</v>
      </c>
      <c r="C417" s="13" t="s">
        <v>157</v>
      </c>
      <c r="D417" s="13" t="s">
        <v>97</v>
      </c>
      <c r="E417" s="13" t="s">
        <v>108</v>
      </c>
      <c r="F417" s="13" t="s">
        <v>74</v>
      </c>
      <c r="G417" s="13" t="s">
        <v>439</v>
      </c>
      <c r="H417" s="13" t="s">
        <v>74</v>
      </c>
      <c r="I417" s="13" t="s">
        <v>439</v>
      </c>
      <c r="J417" s="13" t="s">
        <v>77</v>
      </c>
      <c r="K417" s="13" t="s">
        <v>131</v>
      </c>
      <c r="L417" s="13" t="s">
        <v>79</v>
      </c>
      <c r="M417" s="13" t="s">
        <v>80</v>
      </c>
      <c r="N417" s="13" t="s">
        <v>79</v>
      </c>
      <c r="O417" s="13" t="s">
        <v>488</v>
      </c>
      <c r="P417" s="13" t="s">
        <v>79</v>
      </c>
      <c r="Q417" s="13" t="s">
        <v>83</v>
      </c>
      <c r="R417" s="13" t="s">
        <v>79</v>
      </c>
      <c r="S417" s="13" t="s">
        <v>82</v>
      </c>
      <c r="T417" s="13" t="s">
        <v>106</v>
      </c>
      <c r="U417" s="13" t="s">
        <v>141</v>
      </c>
      <c r="V417" s="13" t="s">
        <v>112</v>
      </c>
      <c r="W417" t="s">
        <v>485</v>
      </c>
      <c r="X417" s="12">
        <v>0.90909090909090906</v>
      </c>
      <c r="Y417" s="12">
        <v>1</v>
      </c>
      <c r="Z417" s="12">
        <v>1</v>
      </c>
      <c r="AA417" s="12">
        <v>1</v>
      </c>
      <c r="AB417" s="12">
        <v>1</v>
      </c>
      <c r="AC417" s="12">
        <v>1</v>
      </c>
      <c r="AD417" s="12">
        <v>0.98484848484848486</v>
      </c>
    </row>
    <row r="418" spans="1:30" x14ac:dyDescent="0.3">
      <c r="A418" s="13">
        <v>22</v>
      </c>
      <c r="B418" s="13" t="s">
        <v>70</v>
      </c>
      <c r="C418" s="13" t="s">
        <v>157</v>
      </c>
      <c r="D418" s="13" t="s">
        <v>97</v>
      </c>
      <c r="E418" s="13" t="s">
        <v>108</v>
      </c>
      <c r="F418" s="13" t="s">
        <v>74</v>
      </c>
      <c r="G418" s="13" t="s">
        <v>439</v>
      </c>
      <c r="H418" s="13" t="s">
        <v>74</v>
      </c>
      <c r="I418" s="13" t="s">
        <v>439</v>
      </c>
      <c r="J418" s="13" t="s">
        <v>77</v>
      </c>
      <c r="K418" s="13" t="s">
        <v>131</v>
      </c>
      <c r="L418" s="13" t="s">
        <v>79</v>
      </c>
      <c r="M418" s="13" t="s">
        <v>80</v>
      </c>
      <c r="N418" s="13" t="s">
        <v>79</v>
      </c>
      <c r="O418" s="13" t="s">
        <v>488</v>
      </c>
      <c r="P418" s="13" t="s">
        <v>79</v>
      </c>
      <c r="Q418" s="13" t="s">
        <v>83</v>
      </c>
      <c r="R418" s="13" t="s">
        <v>79</v>
      </c>
      <c r="S418" s="13" t="s">
        <v>82</v>
      </c>
      <c r="T418" s="13" t="s">
        <v>106</v>
      </c>
      <c r="U418" s="13" t="s">
        <v>141</v>
      </c>
      <c r="V418" s="13" t="s">
        <v>112</v>
      </c>
      <c r="W418" t="s">
        <v>485</v>
      </c>
      <c r="X418" s="12">
        <v>0.90909090909090906</v>
      </c>
      <c r="Y418" s="12">
        <v>1</v>
      </c>
      <c r="Z418" s="12">
        <v>1</v>
      </c>
      <c r="AA418" s="12">
        <v>1</v>
      </c>
      <c r="AB418" s="12">
        <v>1</v>
      </c>
      <c r="AC418" s="12">
        <v>1</v>
      </c>
      <c r="AD418" s="12">
        <v>0.98484848484848486</v>
      </c>
    </row>
    <row r="419" spans="1:30" x14ac:dyDescent="0.3">
      <c r="A419" s="13">
        <v>21</v>
      </c>
      <c r="B419" s="13" t="s">
        <v>70</v>
      </c>
      <c r="C419" s="13" t="s">
        <v>113</v>
      </c>
      <c r="D419" s="13" t="s">
        <v>97</v>
      </c>
      <c r="E419" s="13" t="s">
        <v>114</v>
      </c>
      <c r="F419" s="13" t="s">
        <v>136</v>
      </c>
      <c r="G419" s="13" t="s">
        <v>440</v>
      </c>
      <c r="H419" s="13" t="s">
        <v>98</v>
      </c>
      <c r="I419" s="13" t="s">
        <v>76</v>
      </c>
      <c r="J419" s="13" t="s">
        <v>77</v>
      </c>
      <c r="K419" s="13" t="s">
        <v>122</v>
      </c>
      <c r="L419" s="13" t="s">
        <v>79</v>
      </c>
      <c r="M419" s="13" t="s">
        <v>80</v>
      </c>
      <c r="N419" s="13" t="s">
        <v>79</v>
      </c>
      <c r="O419" s="13" t="s">
        <v>487</v>
      </c>
      <c r="P419" s="13" t="s">
        <v>79</v>
      </c>
      <c r="Q419" s="13" t="s">
        <v>118</v>
      </c>
      <c r="R419" s="13" t="s">
        <v>79</v>
      </c>
      <c r="S419" s="13" t="s">
        <v>79</v>
      </c>
      <c r="T419" s="13" t="s">
        <v>86</v>
      </c>
      <c r="U419" s="13" t="s">
        <v>120</v>
      </c>
      <c r="V419" s="13" t="s">
        <v>112</v>
      </c>
      <c r="W419" t="s">
        <v>485</v>
      </c>
      <c r="X419" s="12">
        <v>0.72727272727272729</v>
      </c>
      <c r="Y419" s="12">
        <v>1</v>
      </c>
      <c r="Z419" s="12">
        <v>1</v>
      </c>
      <c r="AA419" s="12">
        <v>1</v>
      </c>
      <c r="AB419" s="12">
        <v>1</v>
      </c>
      <c r="AC419" s="12">
        <v>1</v>
      </c>
      <c r="AD419" s="12">
        <v>0.95454545454545459</v>
      </c>
    </row>
    <row r="420" spans="1:30" x14ac:dyDescent="0.3">
      <c r="A420" s="13">
        <v>20</v>
      </c>
      <c r="B420" s="13" t="s">
        <v>70</v>
      </c>
      <c r="C420" s="13" t="s">
        <v>157</v>
      </c>
      <c r="D420" s="13" t="s">
        <v>149</v>
      </c>
      <c r="E420" s="13" t="s">
        <v>114</v>
      </c>
      <c r="F420" s="13" t="s">
        <v>74</v>
      </c>
      <c r="G420" s="13" t="s">
        <v>439</v>
      </c>
      <c r="H420" s="13" t="s">
        <v>74</v>
      </c>
      <c r="I420" s="13" t="s">
        <v>76</v>
      </c>
      <c r="J420" s="13" t="s">
        <v>77</v>
      </c>
      <c r="K420" s="13" t="s">
        <v>125</v>
      </c>
      <c r="L420" s="13" t="s">
        <v>79</v>
      </c>
      <c r="M420" s="13" t="s">
        <v>80</v>
      </c>
      <c r="N420" s="13" t="s">
        <v>82</v>
      </c>
      <c r="O420" s="13" t="s">
        <v>489</v>
      </c>
      <c r="P420" s="13" t="s">
        <v>82</v>
      </c>
      <c r="Q420" s="13" t="s">
        <v>103</v>
      </c>
      <c r="R420" s="13" t="s">
        <v>82</v>
      </c>
      <c r="S420" s="13" t="s">
        <v>82</v>
      </c>
      <c r="T420" s="13" t="s">
        <v>106</v>
      </c>
      <c r="U420" s="13" t="s">
        <v>141</v>
      </c>
      <c r="V420" s="13" t="s">
        <v>237</v>
      </c>
      <c r="W420" t="s">
        <v>485</v>
      </c>
      <c r="X420" s="12">
        <v>1.4545454545454546</v>
      </c>
      <c r="Y420" s="12">
        <v>0.8</v>
      </c>
      <c r="Z420" s="12">
        <v>1</v>
      </c>
      <c r="AA420" s="12">
        <v>1</v>
      </c>
      <c r="AB420" s="12">
        <v>1</v>
      </c>
      <c r="AC420" s="12">
        <v>1</v>
      </c>
      <c r="AD420" s="12">
        <v>1.0424242424242425</v>
      </c>
    </row>
    <row r="421" spans="1:30" x14ac:dyDescent="0.3">
      <c r="A421" s="13">
        <v>20</v>
      </c>
      <c r="B421" s="13" t="s">
        <v>70</v>
      </c>
      <c r="C421" s="13" t="s">
        <v>157</v>
      </c>
      <c r="D421" s="13" t="s">
        <v>149</v>
      </c>
      <c r="E421" s="13" t="s">
        <v>114</v>
      </c>
      <c r="F421" s="13" t="s">
        <v>74</v>
      </c>
      <c r="G421" s="13" t="s">
        <v>440</v>
      </c>
      <c r="H421" s="13" t="s">
        <v>74</v>
      </c>
      <c r="I421" s="13" t="s">
        <v>439</v>
      </c>
      <c r="J421" s="13" t="s">
        <v>77</v>
      </c>
      <c r="K421" s="13" t="s">
        <v>125</v>
      </c>
      <c r="L421" s="13" t="s">
        <v>79</v>
      </c>
      <c r="M421" s="13" t="s">
        <v>80</v>
      </c>
      <c r="N421" s="13" t="s">
        <v>82</v>
      </c>
      <c r="O421" s="13" t="s">
        <v>489</v>
      </c>
      <c r="P421" s="13" t="s">
        <v>82</v>
      </c>
      <c r="Q421" s="13" t="s">
        <v>103</v>
      </c>
      <c r="R421" s="13" t="s">
        <v>82</v>
      </c>
      <c r="S421" s="13" t="s">
        <v>82</v>
      </c>
      <c r="T421" s="13" t="s">
        <v>106</v>
      </c>
      <c r="U421" s="13" t="s">
        <v>141</v>
      </c>
      <c r="V421" s="13" t="s">
        <v>237</v>
      </c>
      <c r="W421" t="s">
        <v>485</v>
      </c>
      <c r="X421" s="12">
        <v>1.4545454545454546</v>
      </c>
      <c r="Y421" s="12">
        <v>0.8</v>
      </c>
      <c r="Z421" s="12">
        <v>1</v>
      </c>
      <c r="AA421" s="12">
        <v>1</v>
      </c>
      <c r="AB421" s="12">
        <v>1</v>
      </c>
      <c r="AC421" s="12">
        <v>1</v>
      </c>
      <c r="AD421" s="12">
        <v>1.0424242424242425</v>
      </c>
    </row>
    <row r="422" spans="1:30" x14ac:dyDescent="0.3">
      <c r="A422" s="13">
        <v>23</v>
      </c>
      <c r="B422" s="13" t="s">
        <v>70</v>
      </c>
      <c r="C422" s="13" t="s">
        <v>113</v>
      </c>
      <c r="D422" s="13" t="s">
        <v>97</v>
      </c>
      <c r="E422" s="13" t="s">
        <v>114</v>
      </c>
      <c r="F422" s="13" t="s">
        <v>100</v>
      </c>
      <c r="G422" s="13" t="s">
        <v>438</v>
      </c>
      <c r="H422" s="13" t="s">
        <v>100</v>
      </c>
      <c r="I422" s="13" t="s">
        <v>76</v>
      </c>
      <c r="J422" s="13" t="s">
        <v>101</v>
      </c>
      <c r="K422" s="13" t="s">
        <v>125</v>
      </c>
      <c r="L422" s="13" t="s">
        <v>79</v>
      </c>
      <c r="M422" s="13" t="s">
        <v>80</v>
      </c>
      <c r="N422" s="13" t="s">
        <v>79</v>
      </c>
      <c r="O422" s="13" t="s">
        <v>490</v>
      </c>
      <c r="P422" s="13" t="s">
        <v>79</v>
      </c>
      <c r="Q422" s="13" t="s">
        <v>83</v>
      </c>
      <c r="R422" s="13" t="s">
        <v>79</v>
      </c>
      <c r="S422" s="13" t="s">
        <v>79</v>
      </c>
      <c r="T422" s="13" t="s">
        <v>86</v>
      </c>
      <c r="U422" s="13" t="s">
        <v>120</v>
      </c>
      <c r="V422" s="13" t="s">
        <v>237</v>
      </c>
      <c r="W422" t="s">
        <v>485</v>
      </c>
      <c r="X422" s="12">
        <v>1.1818181818181819</v>
      </c>
      <c r="Y422" s="12">
        <v>1</v>
      </c>
      <c r="Z422" s="12">
        <v>0.66666666666666663</v>
      </c>
      <c r="AA422" s="12">
        <v>1</v>
      </c>
      <c r="AB422" s="12">
        <v>1</v>
      </c>
      <c r="AC422" s="12">
        <v>1</v>
      </c>
      <c r="AD422" s="12">
        <v>0.97474747474747458</v>
      </c>
    </row>
    <row r="423" spans="1:30" x14ac:dyDescent="0.3">
      <c r="A423" s="13">
        <v>20</v>
      </c>
      <c r="B423" s="13" t="s">
        <v>70</v>
      </c>
      <c r="C423" s="13" t="s">
        <v>157</v>
      </c>
      <c r="D423" s="13" t="s">
        <v>72</v>
      </c>
      <c r="E423" s="13" t="s">
        <v>114</v>
      </c>
      <c r="F423" s="13" t="s">
        <v>98</v>
      </c>
      <c r="G423" s="13" t="s">
        <v>440</v>
      </c>
      <c r="H423" s="13" t="s">
        <v>98</v>
      </c>
      <c r="I423" s="13" t="s">
        <v>76</v>
      </c>
      <c r="J423" s="13" t="s">
        <v>101</v>
      </c>
      <c r="K423" s="13" t="s">
        <v>125</v>
      </c>
      <c r="L423" s="13" t="s">
        <v>79</v>
      </c>
      <c r="M423" s="13" t="s">
        <v>80</v>
      </c>
      <c r="N423" s="13" t="s">
        <v>79</v>
      </c>
      <c r="O423" s="13" t="s">
        <v>487</v>
      </c>
      <c r="P423" s="13" t="s">
        <v>79</v>
      </c>
      <c r="Q423" s="13" t="s">
        <v>118</v>
      </c>
      <c r="R423" s="13" t="s">
        <v>79</v>
      </c>
      <c r="S423" s="13" t="s">
        <v>82</v>
      </c>
      <c r="T423" s="13" t="s">
        <v>106</v>
      </c>
      <c r="U423" s="13" t="s">
        <v>141</v>
      </c>
      <c r="V423" s="13" t="s">
        <v>112</v>
      </c>
      <c r="W423" t="s">
        <v>485</v>
      </c>
      <c r="X423" s="12">
        <v>1</v>
      </c>
      <c r="Y423" s="12">
        <v>1</v>
      </c>
      <c r="Z423" s="12">
        <v>1</v>
      </c>
      <c r="AA423" s="12">
        <v>0.88888888888888884</v>
      </c>
      <c r="AB423" s="12">
        <v>1</v>
      </c>
      <c r="AC423" s="12">
        <v>1</v>
      </c>
      <c r="AD423" s="12">
        <v>0.98148148148148151</v>
      </c>
    </row>
    <row r="424" spans="1:30" x14ac:dyDescent="0.3">
      <c r="A424" s="13">
        <v>20</v>
      </c>
      <c r="B424" s="13" t="s">
        <v>70</v>
      </c>
      <c r="C424" s="13" t="s">
        <v>96</v>
      </c>
      <c r="D424" s="13" t="s">
        <v>97</v>
      </c>
      <c r="E424" s="13" t="s">
        <v>73</v>
      </c>
      <c r="F424" s="13" t="s">
        <v>98</v>
      </c>
      <c r="G424" s="13" t="s">
        <v>440</v>
      </c>
      <c r="H424" s="13" t="s">
        <v>165</v>
      </c>
      <c r="I424" s="13" t="s">
        <v>76</v>
      </c>
      <c r="J424" s="13" t="s">
        <v>101</v>
      </c>
      <c r="K424" s="13" t="s">
        <v>122</v>
      </c>
      <c r="L424" s="13" t="s">
        <v>79</v>
      </c>
      <c r="M424" s="13" t="s">
        <v>132</v>
      </c>
      <c r="N424" s="13" t="s">
        <v>79</v>
      </c>
      <c r="O424" s="13" t="s">
        <v>490</v>
      </c>
      <c r="P424" s="13" t="s">
        <v>79</v>
      </c>
      <c r="Q424" s="13" t="s">
        <v>83</v>
      </c>
      <c r="R424" s="13" t="s">
        <v>79</v>
      </c>
      <c r="S424" s="13" t="s">
        <v>79</v>
      </c>
      <c r="T424" s="13" t="s">
        <v>106</v>
      </c>
      <c r="U424" s="13" t="s">
        <v>120</v>
      </c>
      <c r="V424" s="13" t="s">
        <v>112</v>
      </c>
      <c r="W424" t="s">
        <v>485</v>
      </c>
      <c r="X424" s="12">
        <v>0.90909090909090906</v>
      </c>
      <c r="Y424" s="12">
        <v>1</v>
      </c>
      <c r="Z424" s="12">
        <v>1</v>
      </c>
      <c r="AA424" s="12">
        <v>0.88888888888888884</v>
      </c>
      <c r="AB424" s="12">
        <v>1</v>
      </c>
      <c r="AC424" s="12">
        <v>1</v>
      </c>
      <c r="AD424" s="12">
        <v>0.96632996632996626</v>
      </c>
    </row>
    <row r="425" spans="1:30" x14ac:dyDescent="0.3">
      <c r="A425" s="13">
        <v>22</v>
      </c>
      <c r="B425" s="13" t="s">
        <v>128</v>
      </c>
      <c r="C425" s="13" t="s">
        <v>96</v>
      </c>
      <c r="D425" s="13" t="s">
        <v>72</v>
      </c>
      <c r="E425" s="13" t="s">
        <v>108</v>
      </c>
      <c r="F425" s="13" t="s">
        <v>98</v>
      </c>
      <c r="G425" s="13" t="s">
        <v>440</v>
      </c>
      <c r="H425" s="13" t="s">
        <v>100</v>
      </c>
      <c r="I425" s="13" t="s">
        <v>76</v>
      </c>
      <c r="J425" s="13" t="s">
        <v>77</v>
      </c>
      <c r="K425" s="13" t="s">
        <v>125</v>
      </c>
      <c r="L425" s="13" t="s">
        <v>79</v>
      </c>
      <c r="M425" s="13" t="s">
        <v>80</v>
      </c>
      <c r="N425" s="13" t="s">
        <v>79</v>
      </c>
      <c r="O425" s="13" t="s">
        <v>489</v>
      </c>
      <c r="P425" s="13" t="s">
        <v>79</v>
      </c>
      <c r="Q425" s="13" t="s">
        <v>83</v>
      </c>
      <c r="R425" s="13" t="s">
        <v>82</v>
      </c>
      <c r="S425" s="13" t="s">
        <v>82</v>
      </c>
      <c r="T425" s="13" t="s">
        <v>106</v>
      </c>
      <c r="U425" s="13" t="s">
        <v>141</v>
      </c>
      <c r="V425" s="13" t="s">
        <v>260</v>
      </c>
      <c r="W425" t="s">
        <v>485</v>
      </c>
      <c r="X425" s="12">
        <v>1.9090909090909092</v>
      </c>
      <c r="Y425" s="12">
        <v>2.4</v>
      </c>
      <c r="Z425" s="12">
        <v>2.3333333333333335</v>
      </c>
      <c r="AA425" s="12">
        <v>0.77777777777777779</v>
      </c>
      <c r="AB425" s="12">
        <v>1</v>
      </c>
      <c r="AC425" s="12">
        <v>1</v>
      </c>
      <c r="AD425" s="12">
        <v>1.5700336700336699</v>
      </c>
    </row>
    <row r="426" spans="1:30" x14ac:dyDescent="0.3">
      <c r="A426" s="13">
        <v>27</v>
      </c>
      <c r="B426" s="13" t="s">
        <v>171</v>
      </c>
      <c r="C426" s="13" t="s">
        <v>153</v>
      </c>
      <c r="D426" s="13" t="s">
        <v>72</v>
      </c>
      <c r="E426" s="13" t="s">
        <v>108</v>
      </c>
      <c r="F426" s="13" t="s">
        <v>74</v>
      </c>
      <c r="G426" s="13" t="s">
        <v>166</v>
      </c>
      <c r="H426" s="13" t="s">
        <v>74</v>
      </c>
      <c r="I426" s="13" t="s">
        <v>166</v>
      </c>
      <c r="J426" s="13" t="s">
        <v>101</v>
      </c>
      <c r="K426" s="13" t="s">
        <v>125</v>
      </c>
      <c r="L426" s="13" t="s">
        <v>79</v>
      </c>
      <c r="M426" s="13" t="s">
        <v>102</v>
      </c>
      <c r="N426" s="13" t="s">
        <v>82</v>
      </c>
      <c r="O426" s="13" t="s">
        <v>487</v>
      </c>
      <c r="P426" s="13" t="s">
        <v>79</v>
      </c>
      <c r="Q426" s="13" t="s">
        <v>83</v>
      </c>
      <c r="R426" s="13" t="s">
        <v>82</v>
      </c>
      <c r="S426" s="13" t="s">
        <v>82</v>
      </c>
      <c r="T426" s="13" t="s">
        <v>106</v>
      </c>
      <c r="U426" s="13" t="s">
        <v>120</v>
      </c>
      <c r="V426" s="13" t="s">
        <v>112</v>
      </c>
      <c r="W426" t="s">
        <v>485</v>
      </c>
      <c r="X426" s="12">
        <v>1.2727272727272727</v>
      </c>
      <c r="Y426" s="12">
        <v>0.8</v>
      </c>
      <c r="Z426" s="12">
        <v>1</v>
      </c>
      <c r="AA426" s="12">
        <v>0.66666666666666663</v>
      </c>
      <c r="AB426" s="12">
        <v>1</v>
      </c>
      <c r="AC426" s="12">
        <v>1</v>
      </c>
      <c r="AD426" s="12">
        <v>0.95656565656565651</v>
      </c>
    </row>
    <row r="427" spans="1:30" x14ac:dyDescent="0.3">
      <c r="A427" s="13">
        <v>20</v>
      </c>
      <c r="B427" s="13" t="s">
        <v>70</v>
      </c>
      <c r="C427" s="13" t="s">
        <v>96</v>
      </c>
      <c r="D427" s="13" t="s">
        <v>72</v>
      </c>
      <c r="E427" s="13" t="s">
        <v>108</v>
      </c>
      <c r="F427" s="13" t="s">
        <v>100</v>
      </c>
      <c r="G427" s="13" t="s">
        <v>440</v>
      </c>
      <c r="H427" s="13" t="s">
        <v>98</v>
      </c>
      <c r="I427" s="13" t="s">
        <v>76</v>
      </c>
      <c r="J427" s="13" t="s">
        <v>77</v>
      </c>
      <c r="K427" s="13" t="s">
        <v>122</v>
      </c>
      <c r="L427" s="13" t="s">
        <v>82</v>
      </c>
      <c r="M427" s="13" t="s">
        <v>80</v>
      </c>
      <c r="N427" s="13" t="s">
        <v>79</v>
      </c>
      <c r="O427" s="13" t="s">
        <v>488</v>
      </c>
      <c r="P427" s="13" t="s">
        <v>79</v>
      </c>
      <c r="Q427" s="13" t="s">
        <v>83</v>
      </c>
      <c r="R427" s="13" t="s">
        <v>82</v>
      </c>
      <c r="S427" s="13" t="s">
        <v>79</v>
      </c>
      <c r="T427" s="13" t="s">
        <v>106</v>
      </c>
      <c r="U427" s="13" t="s">
        <v>120</v>
      </c>
      <c r="V427" s="13" t="s">
        <v>457</v>
      </c>
      <c r="W427" t="s">
        <v>485</v>
      </c>
      <c r="X427" s="12">
        <v>2.0909090909090908</v>
      </c>
      <c r="Y427" s="12">
        <v>0.8</v>
      </c>
      <c r="Z427" s="12">
        <v>0</v>
      </c>
      <c r="AA427" s="12">
        <v>1.1111111111111112</v>
      </c>
      <c r="AB427" s="12">
        <v>0.8</v>
      </c>
      <c r="AC427" s="12">
        <v>1</v>
      </c>
      <c r="AD427" s="12">
        <v>0.96700336700336686</v>
      </c>
    </row>
    <row r="428" spans="1:30" x14ac:dyDescent="0.3">
      <c r="A428" s="13">
        <v>23</v>
      </c>
      <c r="B428" s="13" t="s">
        <v>70</v>
      </c>
      <c r="C428" s="13" t="s">
        <v>113</v>
      </c>
      <c r="D428" s="13" t="s">
        <v>97</v>
      </c>
      <c r="E428" s="13" t="s">
        <v>73</v>
      </c>
      <c r="F428" s="13" t="s">
        <v>136</v>
      </c>
      <c r="G428" s="13" t="s">
        <v>438</v>
      </c>
      <c r="H428" s="13" t="s">
        <v>100</v>
      </c>
      <c r="I428" s="13" t="s">
        <v>76</v>
      </c>
      <c r="J428" s="13" t="s">
        <v>101</v>
      </c>
      <c r="K428" s="13" t="s">
        <v>122</v>
      </c>
      <c r="L428" s="13" t="s">
        <v>82</v>
      </c>
      <c r="M428" s="13" t="s">
        <v>80</v>
      </c>
      <c r="N428" s="13" t="s">
        <v>82</v>
      </c>
      <c r="O428" s="13" t="s">
        <v>488</v>
      </c>
      <c r="P428" s="13" t="s">
        <v>82</v>
      </c>
      <c r="Q428" s="13" t="s">
        <v>118</v>
      </c>
      <c r="R428" s="13" t="s">
        <v>82</v>
      </c>
      <c r="S428" s="13" t="s">
        <v>82</v>
      </c>
      <c r="T428" s="13" t="s">
        <v>86</v>
      </c>
      <c r="U428" s="13" t="s">
        <v>141</v>
      </c>
      <c r="V428" s="13" t="s">
        <v>112</v>
      </c>
      <c r="W428" t="s">
        <v>485</v>
      </c>
      <c r="X428" s="12">
        <v>0.63636363636363635</v>
      </c>
      <c r="Y428" s="12">
        <v>0.6</v>
      </c>
      <c r="Z428" s="12">
        <v>0.33333333333333331</v>
      </c>
      <c r="AA428" s="12">
        <v>1</v>
      </c>
      <c r="AB428" s="12">
        <v>0.8</v>
      </c>
      <c r="AC428" s="12">
        <v>1</v>
      </c>
      <c r="AD428" s="12">
        <v>0.7282828282828282</v>
      </c>
    </row>
    <row r="429" spans="1:30" x14ac:dyDescent="0.3">
      <c r="A429" s="13">
        <v>24</v>
      </c>
      <c r="B429" s="13" t="s">
        <v>70</v>
      </c>
      <c r="C429" s="13" t="s">
        <v>113</v>
      </c>
      <c r="D429" s="13" t="s">
        <v>97</v>
      </c>
      <c r="E429" s="13" t="s">
        <v>114</v>
      </c>
      <c r="F429" s="13" t="s">
        <v>98</v>
      </c>
      <c r="G429" s="13" t="s">
        <v>99</v>
      </c>
      <c r="H429" s="13" t="s">
        <v>136</v>
      </c>
      <c r="I429" s="13" t="s">
        <v>76</v>
      </c>
      <c r="J429" s="13" t="s">
        <v>77</v>
      </c>
      <c r="K429" s="13" t="s">
        <v>125</v>
      </c>
      <c r="L429" s="13" t="s">
        <v>79</v>
      </c>
      <c r="M429" s="13" t="s">
        <v>80</v>
      </c>
      <c r="N429" s="13" t="s">
        <v>79</v>
      </c>
      <c r="O429" s="13" t="s">
        <v>490</v>
      </c>
      <c r="P429" s="13" t="s">
        <v>82</v>
      </c>
      <c r="Q429" s="13" t="s">
        <v>83</v>
      </c>
      <c r="R429" s="13" t="s">
        <v>82</v>
      </c>
      <c r="S429" s="13" t="s">
        <v>82</v>
      </c>
      <c r="T429" s="13" t="s">
        <v>106</v>
      </c>
      <c r="U429" s="13" t="s">
        <v>87</v>
      </c>
      <c r="V429" s="13" t="s">
        <v>112</v>
      </c>
      <c r="W429" t="s">
        <v>485</v>
      </c>
      <c r="X429" s="12">
        <v>1.5454545454545454</v>
      </c>
      <c r="Y429" s="12">
        <v>1.2</v>
      </c>
      <c r="Z429" s="12">
        <v>1.6666666666666667</v>
      </c>
      <c r="AA429" s="12">
        <v>0.88888888888888884</v>
      </c>
      <c r="AB429" s="12">
        <v>0.8</v>
      </c>
      <c r="AC429" s="12">
        <v>1</v>
      </c>
      <c r="AD429" s="12">
        <v>1.1835016835016836</v>
      </c>
    </row>
    <row r="430" spans="1:30" x14ac:dyDescent="0.3">
      <c r="A430" s="13">
        <v>22</v>
      </c>
      <c r="B430" s="13" t="s">
        <v>70</v>
      </c>
      <c r="C430" s="13" t="s">
        <v>113</v>
      </c>
      <c r="D430" s="13" t="s">
        <v>97</v>
      </c>
      <c r="E430" s="13" t="s">
        <v>108</v>
      </c>
      <c r="F430" s="13" t="s">
        <v>74</v>
      </c>
      <c r="G430" s="13" t="s">
        <v>439</v>
      </c>
      <c r="H430" s="13" t="s">
        <v>100</v>
      </c>
      <c r="I430" s="13" t="s">
        <v>76</v>
      </c>
      <c r="J430" s="13" t="s">
        <v>77</v>
      </c>
      <c r="K430" s="13" t="s">
        <v>78</v>
      </c>
      <c r="L430" s="13" t="s">
        <v>79</v>
      </c>
      <c r="M430" s="13" t="s">
        <v>80</v>
      </c>
      <c r="N430" s="13" t="s">
        <v>79</v>
      </c>
      <c r="O430" s="13" t="s">
        <v>490</v>
      </c>
      <c r="P430" s="13" t="s">
        <v>79</v>
      </c>
      <c r="Q430" s="13" t="s">
        <v>118</v>
      </c>
      <c r="R430" s="13" t="s">
        <v>82</v>
      </c>
      <c r="S430" s="13" t="s">
        <v>79</v>
      </c>
      <c r="T430" s="13" t="s">
        <v>106</v>
      </c>
      <c r="U430" s="13" t="s">
        <v>120</v>
      </c>
      <c r="V430" s="13" t="s">
        <v>455</v>
      </c>
      <c r="W430" t="s">
        <v>485</v>
      </c>
      <c r="X430" s="12">
        <v>1.0909090909090908</v>
      </c>
      <c r="Y430" s="12">
        <v>1</v>
      </c>
      <c r="Z430" s="12">
        <v>1.6666666666666667</v>
      </c>
      <c r="AA430" s="12">
        <v>0.88888888888888884</v>
      </c>
      <c r="AB430" s="12">
        <v>0.8</v>
      </c>
      <c r="AC430" s="12">
        <v>1</v>
      </c>
      <c r="AD430" s="12">
        <v>1.0744107744107745</v>
      </c>
    </row>
    <row r="431" spans="1:30" x14ac:dyDescent="0.3">
      <c r="A431" s="13">
        <v>23</v>
      </c>
      <c r="B431" s="13" t="s">
        <v>128</v>
      </c>
      <c r="C431" s="13" t="s">
        <v>113</v>
      </c>
      <c r="D431" s="13" t="s">
        <v>97</v>
      </c>
      <c r="E431" s="13" t="s">
        <v>114</v>
      </c>
      <c r="F431" s="13" t="s">
        <v>165</v>
      </c>
      <c r="G431" s="13" t="s">
        <v>440</v>
      </c>
      <c r="H431" s="13" t="s">
        <v>136</v>
      </c>
      <c r="I431" s="13" t="s">
        <v>76</v>
      </c>
      <c r="J431" s="13" t="s">
        <v>77</v>
      </c>
      <c r="K431" s="13" t="s">
        <v>125</v>
      </c>
      <c r="L431" s="13" t="s">
        <v>79</v>
      </c>
      <c r="M431" s="13" t="s">
        <v>80</v>
      </c>
      <c r="N431" s="13" t="s">
        <v>82</v>
      </c>
      <c r="O431" s="13" t="s">
        <v>489</v>
      </c>
      <c r="P431" s="13" t="s">
        <v>82</v>
      </c>
      <c r="Q431" s="13" t="s">
        <v>83</v>
      </c>
      <c r="R431" s="13" t="s">
        <v>79</v>
      </c>
      <c r="S431" s="13" t="s">
        <v>82</v>
      </c>
      <c r="T431" s="13" t="s">
        <v>86</v>
      </c>
      <c r="U431" s="13" t="s">
        <v>141</v>
      </c>
      <c r="V431" s="13" t="s">
        <v>457</v>
      </c>
      <c r="W431" t="s">
        <v>485</v>
      </c>
      <c r="X431" s="12">
        <v>0.72727272727272729</v>
      </c>
      <c r="Y431" s="12">
        <v>0.6</v>
      </c>
      <c r="Z431" s="12">
        <v>0.66666666666666663</v>
      </c>
      <c r="AA431" s="12">
        <v>0.66666666666666663</v>
      </c>
      <c r="AB431" s="12">
        <v>0.8</v>
      </c>
      <c r="AC431" s="12">
        <v>1</v>
      </c>
      <c r="AD431" s="12">
        <v>0.74343434343434334</v>
      </c>
    </row>
    <row r="432" spans="1:30" x14ac:dyDescent="0.3">
      <c r="A432" s="13">
        <v>23</v>
      </c>
      <c r="B432" s="13" t="s">
        <v>70</v>
      </c>
      <c r="C432" s="13" t="s">
        <v>113</v>
      </c>
      <c r="D432" s="13" t="s">
        <v>72</v>
      </c>
      <c r="E432" s="13" t="s">
        <v>108</v>
      </c>
      <c r="F432" s="13" t="s">
        <v>136</v>
      </c>
      <c r="G432" s="13" t="s">
        <v>439</v>
      </c>
      <c r="H432" s="13" t="s">
        <v>136</v>
      </c>
      <c r="I432" s="13" t="s">
        <v>76</v>
      </c>
      <c r="J432" s="13" t="s">
        <v>77</v>
      </c>
      <c r="K432" s="13" t="s">
        <v>125</v>
      </c>
      <c r="L432" s="13" t="s">
        <v>79</v>
      </c>
      <c r="M432" s="13" t="s">
        <v>132</v>
      </c>
      <c r="N432" s="13" t="s">
        <v>82</v>
      </c>
      <c r="O432" s="13" t="s">
        <v>490</v>
      </c>
      <c r="P432" s="13" t="s">
        <v>82</v>
      </c>
      <c r="Q432" s="13" t="s">
        <v>118</v>
      </c>
      <c r="R432" s="13" t="s">
        <v>82</v>
      </c>
      <c r="S432" s="13" t="s">
        <v>82</v>
      </c>
      <c r="T432" s="13" t="s">
        <v>106</v>
      </c>
      <c r="U432" s="13" t="s">
        <v>141</v>
      </c>
      <c r="V432" s="13" t="s">
        <v>455</v>
      </c>
      <c r="W432" t="s">
        <v>486</v>
      </c>
      <c r="X432" s="12">
        <v>0.81818181818181823</v>
      </c>
      <c r="Y432" s="12">
        <v>0.2</v>
      </c>
      <c r="Z432" s="12">
        <v>0.66666666666666663</v>
      </c>
      <c r="AA432" s="12">
        <v>0.55555555555555558</v>
      </c>
      <c r="AB432" s="12">
        <v>0.8</v>
      </c>
      <c r="AC432" s="12">
        <v>1</v>
      </c>
      <c r="AD432" s="12">
        <v>0.67340067340067344</v>
      </c>
    </row>
    <row r="433" spans="1:30" x14ac:dyDescent="0.3">
      <c r="A433" s="13">
        <v>21</v>
      </c>
      <c r="B433" s="13" t="s">
        <v>70</v>
      </c>
      <c r="C433" s="13" t="s">
        <v>96</v>
      </c>
      <c r="D433" s="13" t="s">
        <v>72</v>
      </c>
      <c r="E433" s="13" t="s">
        <v>73</v>
      </c>
      <c r="F433" s="13" t="s">
        <v>74</v>
      </c>
      <c r="G433" s="13" t="s">
        <v>439</v>
      </c>
      <c r="H433" s="13" t="s">
        <v>74</v>
      </c>
      <c r="I433" s="13" t="s">
        <v>439</v>
      </c>
      <c r="J433" s="13" t="s">
        <v>77</v>
      </c>
      <c r="K433" s="13" t="s">
        <v>78</v>
      </c>
      <c r="L433" s="13" t="s">
        <v>79</v>
      </c>
      <c r="M433" s="13" t="s">
        <v>80</v>
      </c>
      <c r="N433" s="13" t="s">
        <v>79</v>
      </c>
      <c r="O433" s="13" t="s">
        <v>490</v>
      </c>
      <c r="P433" s="13" t="s">
        <v>79</v>
      </c>
      <c r="Q433" s="13" t="s">
        <v>83</v>
      </c>
      <c r="R433" s="13" t="s">
        <v>79</v>
      </c>
      <c r="S433" s="13" t="s">
        <v>79</v>
      </c>
      <c r="T433" s="13" t="s">
        <v>106</v>
      </c>
      <c r="U433" s="13" t="s">
        <v>120</v>
      </c>
      <c r="V433" s="13" t="s">
        <v>112</v>
      </c>
      <c r="W433" t="s">
        <v>486</v>
      </c>
      <c r="X433" s="12">
        <v>2.2727272727272729</v>
      </c>
      <c r="Y433" s="12">
        <v>1.4</v>
      </c>
      <c r="Z433" s="12">
        <v>2.6666666666666665</v>
      </c>
      <c r="AA433" s="12">
        <v>1.7777777777777777</v>
      </c>
      <c r="AB433" s="12">
        <v>0.6</v>
      </c>
      <c r="AC433" s="12">
        <v>1</v>
      </c>
      <c r="AD433" s="12">
        <v>1.6195286195286196</v>
      </c>
    </row>
    <row r="434" spans="1:30" x14ac:dyDescent="0.3">
      <c r="A434" s="13">
        <v>24</v>
      </c>
      <c r="B434" s="13" t="s">
        <v>70</v>
      </c>
      <c r="C434" s="13" t="s">
        <v>113</v>
      </c>
      <c r="D434" s="13" t="s">
        <v>72</v>
      </c>
      <c r="E434" s="13" t="s">
        <v>114</v>
      </c>
      <c r="F434" s="13" t="s">
        <v>100</v>
      </c>
      <c r="G434" s="13" t="s">
        <v>166</v>
      </c>
      <c r="H434" s="13" t="s">
        <v>100</v>
      </c>
      <c r="I434" s="13" t="s">
        <v>76</v>
      </c>
      <c r="J434" s="13" t="s">
        <v>77</v>
      </c>
      <c r="K434" s="13" t="s">
        <v>125</v>
      </c>
      <c r="L434" s="13" t="s">
        <v>79</v>
      </c>
      <c r="M434" s="13" t="s">
        <v>102</v>
      </c>
      <c r="N434" s="13" t="s">
        <v>82</v>
      </c>
      <c r="O434" s="13" t="s">
        <v>488</v>
      </c>
      <c r="P434" s="13" t="s">
        <v>79</v>
      </c>
      <c r="Q434" s="13" t="s">
        <v>83</v>
      </c>
      <c r="R434" s="13" t="s">
        <v>82</v>
      </c>
      <c r="S434" s="13" t="s">
        <v>82</v>
      </c>
      <c r="T434" s="13" t="s">
        <v>106</v>
      </c>
      <c r="U434" s="13" t="s">
        <v>87</v>
      </c>
      <c r="V434" s="13" t="s">
        <v>112</v>
      </c>
      <c r="W434" t="s">
        <v>486</v>
      </c>
      <c r="X434" s="12">
        <v>1.1818181818181819</v>
      </c>
      <c r="Y434" s="12">
        <v>1</v>
      </c>
      <c r="Z434" s="12">
        <v>1</v>
      </c>
      <c r="AA434" s="12">
        <v>1.1111111111111112</v>
      </c>
      <c r="AB434" s="12">
        <v>0.6</v>
      </c>
      <c r="AC434" s="12">
        <v>1</v>
      </c>
      <c r="AD434" s="12">
        <v>0.982154882154882</v>
      </c>
    </row>
    <row r="435" spans="1:30" x14ac:dyDescent="0.3">
      <c r="A435" s="13">
        <v>20</v>
      </c>
      <c r="B435" s="13" t="s">
        <v>70</v>
      </c>
      <c r="C435" s="13" t="s">
        <v>157</v>
      </c>
      <c r="D435" s="13" t="s">
        <v>149</v>
      </c>
      <c r="E435" s="13" t="s">
        <v>73</v>
      </c>
      <c r="F435" s="13" t="s">
        <v>74</v>
      </c>
      <c r="G435" s="13" t="s">
        <v>438</v>
      </c>
      <c r="H435" s="13" t="s">
        <v>74</v>
      </c>
      <c r="I435" s="13" t="s">
        <v>439</v>
      </c>
      <c r="J435" s="13" t="s">
        <v>77</v>
      </c>
      <c r="K435" s="13" t="s">
        <v>122</v>
      </c>
      <c r="L435" s="13" t="s">
        <v>79</v>
      </c>
      <c r="M435" s="13" t="s">
        <v>80</v>
      </c>
      <c r="N435" s="13" t="s">
        <v>79</v>
      </c>
      <c r="O435" s="13" t="s">
        <v>487</v>
      </c>
      <c r="P435" s="13" t="s">
        <v>79</v>
      </c>
      <c r="Q435" s="13" t="s">
        <v>103</v>
      </c>
      <c r="R435" s="13" t="s">
        <v>82</v>
      </c>
      <c r="S435" s="13" t="s">
        <v>79</v>
      </c>
      <c r="T435" s="13" t="s">
        <v>86</v>
      </c>
      <c r="U435" s="13" t="s">
        <v>141</v>
      </c>
      <c r="V435" s="13" t="s">
        <v>112</v>
      </c>
      <c r="W435" t="s">
        <v>486</v>
      </c>
      <c r="X435" s="12">
        <v>2.3636363636363638</v>
      </c>
      <c r="Y435" s="12">
        <v>1.6</v>
      </c>
      <c r="Z435" s="12">
        <v>2</v>
      </c>
      <c r="AA435" s="12">
        <v>0.77777777777777779</v>
      </c>
      <c r="AB435" s="12">
        <v>0.6</v>
      </c>
      <c r="AC435" s="12">
        <v>1</v>
      </c>
      <c r="AD435" s="12">
        <v>1.3902356902356903</v>
      </c>
    </row>
    <row r="436" spans="1:30" x14ac:dyDescent="0.3">
      <c r="A436" s="13">
        <v>22</v>
      </c>
      <c r="B436" s="13" t="s">
        <v>70</v>
      </c>
      <c r="C436" s="13" t="s">
        <v>96</v>
      </c>
      <c r="D436" s="13" t="s">
        <v>72</v>
      </c>
      <c r="E436" s="13" t="s">
        <v>108</v>
      </c>
      <c r="F436" s="13" t="s">
        <v>74</v>
      </c>
      <c r="G436" s="13" t="s">
        <v>439</v>
      </c>
      <c r="H436" s="13" t="s">
        <v>74</v>
      </c>
      <c r="I436" s="13" t="s">
        <v>76</v>
      </c>
      <c r="J436" s="13" t="s">
        <v>101</v>
      </c>
      <c r="K436" s="13" t="s">
        <v>78</v>
      </c>
      <c r="L436" s="13" t="s">
        <v>79</v>
      </c>
      <c r="M436" s="13" t="s">
        <v>80</v>
      </c>
      <c r="N436" s="13" t="s">
        <v>79</v>
      </c>
      <c r="O436" s="13" t="s">
        <v>488</v>
      </c>
      <c r="P436" s="13" t="s">
        <v>79</v>
      </c>
      <c r="Q436" s="13" t="s">
        <v>83</v>
      </c>
      <c r="R436" s="13" t="s">
        <v>82</v>
      </c>
      <c r="S436" s="13" t="s">
        <v>82</v>
      </c>
      <c r="T436" s="13" t="s">
        <v>148</v>
      </c>
      <c r="U436" s="13" t="s">
        <v>120</v>
      </c>
      <c r="V436" s="13" t="s">
        <v>112</v>
      </c>
      <c r="W436" t="s">
        <v>486</v>
      </c>
      <c r="X436" s="12">
        <v>0.63636363636363635</v>
      </c>
      <c r="Y436" s="12">
        <v>0.6</v>
      </c>
      <c r="Z436" s="12">
        <v>0.33333333333333331</v>
      </c>
      <c r="AA436" s="12">
        <v>1.1111111111111112</v>
      </c>
      <c r="AB436" s="12">
        <v>0.4</v>
      </c>
      <c r="AC436" s="12">
        <v>1</v>
      </c>
      <c r="AD436" s="12">
        <v>0.68013468013468026</v>
      </c>
    </row>
    <row r="437" spans="1:30" x14ac:dyDescent="0.3">
      <c r="A437" s="13">
        <v>23</v>
      </c>
      <c r="B437" s="13" t="s">
        <v>70</v>
      </c>
      <c r="C437" s="13" t="s">
        <v>71</v>
      </c>
      <c r="D437" s="13" t="s">
        <v>72</v>
      </c>
      <c r="E437" s="13" t="s">
        <v>114</v>
      </c>
      <c r="F437" s="13" t="s">
        <v>136</v>
      </c>
      <c r="G437" s="13" t="s">
        <v>439</v>
      </c>
      <c r="H437" s="13" t="s">
        <v>136</v>
      </c>
      <c r="I437" s="13" t="s">
        <v>76</v>
      </c>
      <c r="J437" s="13" t="s">
        <v>77</v>
      </c>
      <c r="K437" s="13" t="s">
        <v>125</v>
      </c>
      <c r="L437" s="13" t="s">
        <v>79</v>
      </c>
      <c r="M437" s="13" t="s">
        <v>80</v>
      </c>
      <c r="N437" s="13" t="s">
        <v>79</v>
      </c>
      <c r="O437" s="13" t="s">
        <v>488</v>
      </c>
      <c r="P437" s="13" t="s">
        <v>82</v>
      </c>
      <c r="Q437" s="13" t="s">
        <v>83</v>
      </c>
      <c r="R437" s="13" t="s">
        <v>79</v>
      </c>
      <c r="S437" s="13" t="s">
        <v>79</v>
      </c>
      <c r="T437" s="13" t="s">
        <v>86</v>
      </c>
      <c r="U437" s="13" t="s">
        <v>141</v>
      </c>
      <c r="V437" s="13" t="s">
        <v>112</v>
      </c>
      <c r="W437" t="s">
        <v>486</v>
      </c>
      <c r="X437" s="12">
        <v>1</v>
      </c>
      <c r="Y437" s="12">
        <v>1</v>
      </c>
      <c r="Z437" s="12">
        <v>1</v>
      </c>
      <c r="AA437" s="12">
        <v>1</v>
      </c>
      <c r="AB437" s="12">
        <v>0.4</v>
      </c>
      <c r="AC437" s="12">
        <v>1</v>
      </c>
      <c r="AD437" s="12">
        <v>0.9</v>
      </c>
    </row>
    <row r="438" spans="1:30" x14ac:dyDescent="0.3">
      <c r="A438" s="13">
        <v>21</v>
      </c>
      <c r="B438" s="13" t="s">
        <v>70</v>
      </c>
      <c r="C438" s="13" t="s">
        <v>96</v>
      </c>
      <c r="D438" s="13" t="s">
        <v>72</v>
      </c>
      <c r="E438" s="13" t="s">
        <v>114</v>
      </c>
      <c r="F438" s="13" t="s">
        <v>136</v>
      </c>
      <c r="G438" s="13" t="s">
        <v>440</v>
      </c>
      <c r="H438" s="13" t="s">
        <v>136</v>
      </c>
      <c r="I438" s="13" t="s">
        <v>76</v>
      </c>
      <c r="J438" s="13" t="s">
        <v>77</v>
      </c>
      <c r="K438" s="13" t="s">
        <v>125</v>
      </c>
      <c r="L438" s="13" t="s">
        <v>79</v>
      </c>
      <c r="M438" s="13" t="s">
        <v>80</v>
      </c>
      <c r="N438" s="13" t="s">
        <v>79</v>
      </c>
      <c r="O438" s="13" t="s">
        <v>488</v>
      </c>
      <c r="P438" s="13" t="s">
        <v>79</v>
      </c>
      <c r="Q438" s="13" t="s">
        <v>83</v>
      </c>
      <c r="R438" s="13" t="s">
        <v>82</v>
      </c>
      <c r="S438" s="13" t="s">
        <v>79</v>
      </c>
      <c r="T438" s="13" t="s">
        <v>106</v>
      </c>
      <c r="U438" s="13" t="s">
        <v>120</v>
      </c>
      <c r="V438" s="13" t="s">
        <v>112</v>
      </c>
      <c r="W438" t="s">
        <v>486</v>
      </c>
      <c r="X438" s="12">
        <v>1.6363636363636365</v>
      </c>
      <c r="Y438" s="12">
        <v>1.2</v>
      </c>
      <c r="Z438" s="12">
        <v>2.3333333333333335</v>
      </c>
      <c r="AA438" s="12">
        <v>0.88888888888888884</v>
      </c>
      <c r="AB438" s="12">
        <v>0</v>
      </c>
      <c r="AC438" s="12">
        <v>1</v>
      </c>
      <c r="AD438" s="12">
        <v>1.1764309764309766</v>
      </c>
    </row>
    <row r="439" spans="1:30" x14ac:dyDescent="0.3">
      <c r="A439" s="13">
        <v>21</v>
      </c>
      <c r="B439" s="13" t="s">
        <v>70</v>
      </c>
      <c r="C439" s="13" t="s">
        <v>113</v>
      </c>
      <c r="D439" s="13" t="s">
        <v>72</v>
      </c>
      <c r="E439" s="13" t="s">
        <v>114</v>
      </c>
      <c r="F439" s="13" t="s">
        <v>100</v>
      </c>
      <c r="G439" s="13" t="s">
        <v>440</v>
      </c>
      <c r="H439" s="13" t="s">
        <v>98</v>
      </c>
      <c r="I439" s="13" t="s">
        <v>76</v>
      </c>
      <c r="J439" s="13" t="s">
        <v>77</v>
      </c>
      <c r="K439" s="13" t="s">
        <v>122</v>
      </c>
      <c r="L439" s="13" t="s">
        <v>79</v>
      </c>
      <c r="M439" s="13" t="s">
        <v>80</v>
      </c>
      <c r="N439" s="13" t="s">
        <v>79</v>
      </c>
      <c r="O439" s="13" t="s">
        <v>489</v>
      </c>
      <c r="P439" s="13" t="s">
        <v>82</v>
      </c>
      <c r="Q439" s="13" t="s">
        <v>83</v>
      </c>
      <c r="R439" s="13" t="s">
        <v>79</v>
      </c>
      <c r="S439" s="13" t="s">
        <v>79</v>
      </c>
      <c r="T439" s="13" t="s">
        <v>106</v>
      </c>
      <c r="U439" s="13" t="s">
        <v>87</v>
      </c>
      <c r="V439" s="13" t="s">
        <v>112</v>
      </c>
      <c r="W439" t="s">
        <v>486</v>
      </c>
      <c r="X439" s="12">
        <v>2.9090909090909092</v>
      </c>
      <c r="Y439" s="12">
        <v>3</v>
      </c>
      <c r="Z439" s="12">
        <v>1</v>
      </c>
      <c r="AA439" s="12">
        <v>1.8888888888888888</v>
      </c>
      <c r="AB439" s="12">
        <v>3</v>
      </c>
      <c r="AC439" s="12">
        <v>0.66666666666666663</v>
      </c>
      <c r="AD439" s="12">
        <v>2.0774410774410774</v>
      </c>
    </row>
    <row r="440" spans="1:30" x14ac:dyDescent="0.3">
      <c r="A440" s="13">
        <v>21</v>
      </c>
      <c r="B440" s="13" t="s">
        <v>128</v>
      </c>
      <c r="C440" s="13" t="s">
        <v>96</v>
      </c>
      <c r="D440" s="13" t="s">
        <v>72</v>
      </c>
      <c r="E440" s="13" t="s">
        <v>108</v>
      </c>
      <c r="F440" s="13" t="s">
        <v>74</v>
      </c>
      <c r="G440" s="13" t="s">
        <v>439</v>
      </c>
      <c r="H440" s="13" t="s">
        <v>74</v>
      </c>
      <c r="I440" s="13" t="s">
        <v>439</v>
      </c>
      <c r="J440" s="13" t="s">
        <v>77</v>
      </c>
      <c r="K440" s="13" t="s">
        <v>131</v>
      </c>
      <c r="L440" s="13" t="s">
        <v>79</v>
      </c>
      <c r="M440" s="13" t="s">
        <v>80</v>
      </c>
      <c r="N440" s="13" t="s">
        <v>79</v>
      </c>
      <c r="O440" s="13" t="s">
        <v>489</v>
      </c>
      <c r="P440" s="13" t="s">
        <v>82</v>
      </c>
      <c r="Q440" s="13" t="s">
        <v>103</v>
      </c>
      <c r="R440" s="13" t="s">
        <v>82</v>
      </c>
      <c r="S440" s="13" t="s">
        <v>82</v>
      </c>
      <c r="T440" s="13" t="s">
        <v>106</v>
      </c>
      <c r="U440" s="13" t="s">
        <v>141</v>
      </c>
      <c r="V440" s="13" t="s">
        <v>112</v>
      </c>
      <c r="W440" t="s">
        <v>486</v>
      </c>
      <c r="X440" s="12">
        <v>1.3636363636363635</v>
      </c>
      <c r="Y440" s="12">
        <v>1.2</v>
      </c>
      <c r="Z440" s="12">
        <v>1.6666666666666667</v>
      </c>
      <c r="AA440" s="12">
        <v>1.1111111111111112</v>
      </c>
      <c r="AB440" s="12">
        <v>3</v>
      </c>
      <c r="AC440" s="12">
        <v>0.66666666666666663</v>
      </c>
      <c r="AD440" s="12">
        <v>1.5013468013468012</v>
      </c>
    </row>
    <row r="441" spans="1:30" x14ac:dyDescent="0.3">
      <c r="A441" s="13">
        <v>22</v>
      </c>
      <c r="B441" s="13" t="s">
        <v>70</v>
      </c>
      <c r="C441" s="13" t="s">
        <v>113</v>
      </c>
      <c r="D441" s="13" t="s">
        <v>72</v>
      </c>
      <c r="E441" s="13" t="s">
        <v>114</v>
      </c>
      <c r="F441" s="13" t="s">
        <v>74</v>
      </c>
      <c r="G441" s="13" t="s">
        <v>439</v>
      </c>
      <c r="H441" s="13" t="s">
        <v>74</v>
      </c>
      <c r="I441" s="13" t="s">
        <v>76</v>
      </c>
      <c r="J441" s="13" t="s">
        <v>77</v>
      </c>
      <c r="K441" s="13" t="s">
        <v>122</v>
      </c>
      <c r="L441" s="13" t="s">
        <v>79</v>
      </c>
      <c r="M441" s="13" t="s">
        <v>80</v>
      </c>
      <c r="N441" s="13" t="s">
        <v>79</v>
      </c>
      <c r="O441" s="13" t="s">
        <v>487</v>
      </c>
      <c r="P441" s="13" t="s">
        <v>82</v>
      </c>
      <c r="Q441" s="13" t="s">
        <v>103</v>
      </c>
      <c r="R441" s="13" t="s">
        <v>79</v>
      </c>
      <c r="S441" s="13" t="s">
        <v>79</v>
      </c>
      <c r="T441" s="13" t="s">
        <v>86</v>
      </c>
      <c r="U441" s="13" t="s">
        <v>141</v>
      </c>
      <c r="V441" s="13" t="s">
        <v>112</v>
      </c>
      <c r="W441" t="s">
        <v>486</v>
      </c>
      <c r="X441" s="12">
        <v>2.4545454545454546</v>
      </c>
      <c r="Y441" s="12">
        <v>1.8</v>
      </c>
      <c r="Z441" s="12">
        <v>1.3333333333333333</v>
      </c>
      <c r="AA441" s="12">
        <v>1</v>
      </c>
      <c r="AB441" s="12">
        <v>3</v>
      </c>
      <c r="AC441" s="12">
        <v>0.66666666666666663</v>
      </c>
      <c r="AD441" s="12">
        <v>1.709090909090909</v>
      </c>
    </row>
    <row r="442" spans="1:30" x14ac:dyDescent="0.3">
      <c r="A442" s="13">
        <v>19</v>
      </c>
      <c r="B442" s="13" t="s">
        <v>70</v>
      </c>
      <c r="C442" s="13" t="s">
        <v>157</v>
      </c>
      <c r="D442" s="13" t="s">
        <v>97</v>
      </c>
      <c r="E442" s="13" t="s">
        <v>73</v>
      </c>
      <c r="F442" s="13" t="s">
        <v>74</v>
      </c>
      <c r="G442" s="13" t="s">
        <v>440</v>
      </c>
      <c r="H442" s="13" t="s">
        <v>74</v>
      </c>
      <c r="I442" s="13" t="s">
        <v>439</v>
      </c>
      <c r="J442" s="13" t="s">
        <v>101</v>
      </c>
      <c r="K442" s="13" t="s">
        <v>122</v>
      </c>
      <c r="L442" s="13" t="s">
        <v>79</v>
      </c>
      <c r="M442" s="13" t="s">
        <v>102</v>
      </c>
      <c r="N442" s="13" t="s">
        <v>79</v>
      </c>
      <c r="O442" s="13" t="s">
        <v>487</v>
      </c>
      <c r="P442" s="13" t="s">
        <v>79</v>
      </c>
      <c r="Q442" s="13" t="s">
        <v>83</v>
      </c>
      <c r="R442" s="13" t="s">
        <v>79</v>
      </c>
      <c r="S442" s="13" t="s">
        <v>82</v>
      </c>
      <c r="T442" s="13" t="s">
        <v>86</v>
      </c>
      <c r="U442" s="13" t="s">
        <v>87</v>
      </c>
      <c r="V442" s="13" t="s">
        <v>112</v>
      </c>
      <c r="W442" t="s">
        <v>486</v>
      </c>
      <c r="X442" s="12">
        <v>2.9090909090909092</v>
      </c>
      <c r="Y442" s="12">
        <v>2.2000000000000002</v>
      </c>
      <c r="Z442" s="12">
        <v>1.3333333333333333</v>
      </c>
      <c r="AA442" s="12">
        <v>0.88888888888888884</v>
      </c>
      <c r="AB442" s="12">
        <v>3</v>
      </c>
      <c r="AC442" s="12">
        <v>0.66666666666666663</v>
      </c>
      <c r="AD442" s="12">
        <v>1.8329966329966327</v>
      </c>
    </row>
    <row r="443" spans="1:30" x14ac:dyDescent="0.3">
      <c r="A443" s="13">
        <v>23</v>
      </c>
      <c r="B443" s="13" t="s">
        <v>128</v>
      </c>
      <c r="C443" s="13" t="s">
        <v>113</v>
      </c>
      <c r="D443" s="13" t="s">
        <v>149</v>
      </c>
      <c r="E443" s="13" t="s">
        <v>108</v>
      </c>
      <c r="F443" s="13" t="s">
        <v>136</v>
      </c>
      <c r="G443" s="13" t="s">
        <v>439</v>
      </c>
      <c r="H443" s="13" t="s">
        <v>136</v>
      </c>
      <c r="I443" s="13" t="s">
        <v>76</v>
      </c>
      <c r="J443" s="13" t="s">
        <v>77</v>
      </c>
      <c r="K443" s="13" t="s">
        <v>122</v>
      </c>
      <c r="L443" s="13" t="s">
        <v>79</v>
      </c>
      <c r="M443" s="13" t="s">
        <v>80</v>
      </c>
      <c r="N443" s="13" t="s">
        <v>79</v>
      </c>
      <c r="O443" s="13" t="s">
        <v>488</v>
      </c>
      <c r="P443" s="13" t="s">
        <v>82</v>
      </c>
      <c r="Q443" s="13" t="s">
        <v>103</v>
      </c>
      <c r="R443" s="13" t="s">
        <v>82</v>
      </c>
      <c r="S443" s="13" t="s">
        <v>82</v>
      </c>
      <c r="T443" s="13" t="s">
        <v>86</v>
      </c>
      <c r="U443" s="13" t="s">
        <v>87</v>
      </c>
      <c r="V443" s="13" t="s">
        <v>112</v>
      </c>
      <c r="W443" t="s">
        <v>486</v>
      </c>
      <c r="X443" s="12">
        <v>2.2727272727272729</v>
      </c>
      <c r="Y443" s="12">
        <v>2.4</v>
      </c>
      <c r="Z443" s="12">
        <v>1</v>
      </c>
      <c r="AA443" s="12">
        <v>0.88888888888888884</v>
      </c>
      <c r="AB443" s="12">
        <v>3</v>
      </c>
      <c r="AC443" s="12">
        <v>0.66666666666666663</v>
      </c>
      <c r="AD443" s="12">
        <v>1.7047138047138046</v>
      </c>
    </row>
    <row r="444" spans="1:30" x14ac:dyDescent="0.3">
      <c r="A444" s="13">
        <v>24</v>
      </c>
      <c r="B444" s="13" t="s">
        <v>70</v>
      </c>
      <c r="C444" s="13" t="s">
        <v>113</v>
      </c>
      <c r="D444" s="13" t="s">
        <v>97</v>
      </c>
      <c r="E444" s="13" t="s">
        <v>108</v>
      </c>
      <c r="F444" s="13" t="s">
        <v>74</v>
      </c>
      <c r="G444" s="13" t="s">
        <v>439</v>
      </c>
      <c r="H444" s="13" t="s">
        <v>98</v>
      </c>
      <c r="I444" s="13" t="s">
        <v>76</v>
      </c>
      <c r="J444" s="13" t="s">
        <v>77</v>
      </c>
      <c r="K444" s="13" t="s">
        <v>125</v>
      </c>
      <c r="L444" s="13" t="s">
        <v>79</v>
      </c>
      <c r="M444" s="13" t="s">
        <v>80</v>
      </c>
      <c r="N444" s="13" t="s">
        <v>79</v>
      </c>
      <c r="O444" s="13" t="s">
        <v>488</v>
      </c>
      <c r="P444" s="13" t="s">
        <v>82</v>
      </c>
      <c r="Q444" s="13" t="s">
        <v>103</v>
      </c>
      <c r="R444" s="13" t="s">
        <v>82</v>
      </c>
      <c r="S444" s="13" t="s">
        <v>82</v>
      </c>
      <c r="T444" s="13" t="s">
        <v>106</v>
      </c>
      <c r="U444" s="13" t="s">
        <v>87</v>
      </c>
      <c r="V444" s="13" t="s">
        <v>112</v>
      </c>
      <c r="W444" t="s">
        <v>486</v>
      </c>
      <c r="X444" s="12">
        <v>1.3636363636363635</v>
      </c>
      <c r="Y444" s="12">
        <v>0.8</v>
      </c>
      <c r="Z444" s="12">
        <v>2</v>
      </c>
      <c r="AA444" s="12">
        <v>0.77777777777777779</v>
      </c>
      <c r="AB444" s="12">
        <v>3</v>
      </c>
      <c r="AC444" s="12">
        <v>0.66666666666666663</v>
      </c>
      <c r="AD444" s="12">
        <v>1.4346801346801348</v>
      </c>
    </row>
    <row r="445" spans="1:30" x14ac:dyDescent="0.3">
      <c r="A445" s="13">
        <v>23</v>
      </c>
      <c r="B445" s="13" t="s">
        <v>70</v>
      </c>
      <c r="C445" s="13" t="s">
        <v>113</v>
      </c>
      <c r="D445" s="13" t="s">
        <v>72</v>
      </c>
      <c r="E445" s="13" t="s">
        <v>114</v>
      </c>
      <c r="F445" s="13" t="s">
        <v>136</v>
      </c>
      <c r="G445" s="13" t="s">
        <v>440</v>
      </c>
      <c r="H445" s="13" t="s">
        <v>98</v>
      </c>
      <c r="I445" s="13" t="s">
        <v>76</v>
      </c>
      <c r="J445" s="13" t="s">
        <v>101</v>
      </c>
      <c r="K445" s="13" t="s">
        <v>122</v>
      </c>
      <c r="L445" s="13" t="s">
        <v>82</v>
      </c>
      <c r="M445" s="13" t="s">
        <v>80</v>
      </c>
      <c r="N445" s="13" t="s">
        <v>79</v>
      </c>
      <c r="O445" s="13" t="s">
        <v>490</v>
      </c>
      <c r="P445" s="13" t="s">
        <v>79</v>
      </c>
      <c r="Q445" s="13" t="s">
        <v>83</v>
      </c>
      <c r="R445" s="13" t="s">
        <v>79</v>
      </c>
      <c r="S445" s="13" t="s">
        <v>82</v>
      </c>
      <c r="T445" s="13" t="s">
        <v>106</v>
      </c>
      <c r="U445" s="13" t="s">
        <v>87</v>
      </c>
      <c r="V445" s="13" t="s">
        <v>112</v>
      </c>
      <c r="W445" t="s">
        <v>486</v>
      </c>
      <c r="X445" s="12">
        <v>2.6363636363636362</v>
      </c>
      <c r="Y445" s="12">
        <v>3</v>
      </c>
      <c r="Z445" s="12">
        <v>0</v>
      </c>
      <c r="AA445" s="12">
        <v>0.66666666666666663</v>
      </c>
      <c r="AB445" s="12">
        <v>3</v>
      </c>
      <c r="AC445" s="12">
        <v>0.66666666666666663</v>
      </c>
      <c r="AD445" s="12">
        <v>1.6616161616161618</v>
      </c>
    </row>
    <row r="446" spans="1:30" x14ac:dyDescent="0.3">
      <c r="A446" s="13">
        <v>22</v>
      </c>
      <c r="B446" s="13" t="s">
        <v>70</v>
      </c>
      <c r="C446" s="13" t="s">
        <v>113</v>
      </c>
      <c r="D446" s="13" t="s">
        <v>72</v>
      </c>
      <c r="E446" s="13" t="s">
        <v>108</v>
      </c>
      <c r="F446" s="13" t="s">
        <v>74</v>
      </c>
      <c r="G446" s="13" t="s">
        <v>99</v>
      </c>
      <c r="H446" s="13" t="s">
        <v>136</v>
      </c>
      <c r="I446" s="13" t="s">
        <v>76</v>
      </c>
      <c r="J446" s="13" t="s">
        <v>101</v>
      </c>
      <c r="K446" s="13" t="s">
        <v>122</v>
      </c>
      <c r="L446" s="13" t="s">
        <v>79</v>
      </c>
      <c r="M446" s="13" t="s">
        <v>80</v>
      </c>
      <c r="N446" s="13" t="s">
        <v>79</v>
      </c>
      <c r="O446" s="13" t="s">
        <v>488</v>
      </c>
      <c r="P446" s="13" t="s">
        <v>82</v>
      </c>
      <c r="Q446" s="13" t="s">
        <v>103</v>
      </c>
      <c r="R446" s="13" t="s">
        <v>79</v>
      </c>
      <c r="S446" s="13" t="s">
        <v>82</v>
      </c>
      <c r="T446" s="13" t="s">
        <v>86</v>
      </c>
      <c r="U446" s="13" t="s">
        <v>141</v>
      </c>
      <c r="V446" s="13" t="s">
        <v>112</v>
      </c>
      <c r="W446" t="s">
        <v>486</v>
      </c>
      <c r="X446" s="12">
        <v>2.4545454545454546</v>
      </c>
      <c r="Y446" s="12">
        <v>0.8</v>
      </c>
      <c r="Z446" s="12">
        <v>0</v>
      </c>
      <c r="AA446" s="12">
        <v>0.66666666666666663</v>
      </c>
      <c r="AB446" s="12">
        <v>3</v>
      </c>
      <c r="AC446" s="12">
        <v>0.66666666666666663</v>
      </c>
      <c r="AD446" s="12">
        <v>1.2646464646464648</v>
      </c>
    </row>
    <row r="447" spans="1:30" x14ac:dyDescent="0.3">
      <c r="A447" s="13">
        <v>22</v>
      </c>
      <c r="B447" s="13" t="s">
        <v>70</v>
      </c>
      <c r="C447" s="13" t="s">
        <v>113</v>
      </c>
      <c r="D447" s="13" t="s">
        <v>72</v>
      </c>
      <c r="E447" s="13" t="s">
        <v>108</v>
      </c>
      <c r="F447" s="13" t="s">
        <v>74</v>
      </c>
      <c r="G447" s="13" t="s">
        <v>99</v>
      </c>
      <c r="H447" s="13" t="s">
        <v>74</v>
      </c>
      <c r="I447" s="13" t="s">
        <v>76</v>
      </c>
      <c r="J447" s="13" t="s">
        <v>77</v>
      </c>
      <c r="K447" s="13" t="s">
        <v>122</v>
      </c>
      <c r="L447" s="13" t="s">
        <v>79</v>
      </c>
      <c r="M447" s="13" t="s">
        <v>80</v>
      </c>
      <c r="N447" s="13" t="s">
        <v>82</v>
      </c>
      <c r="O447" s="13" t="s">
        <v>489</v>
      </c>
      <c r="P447" s="13" t="s">
        <v>82</v>
      </c>
      <c r="Q447" s="13" t="s">
        <v>83</v>
      </c>
      <c r="R447" s="13" t="s">
        <v>82</v>
      </c>
      <c r="S447" s="13" t="s">
        <v>82</v>
      </c>
      <c r="T447" s="13" t="s">
        <v>106</v>
      </c>
      <c r="U447" s="13" t="s">
        <v>87</v>
      </c>
      <c r="V447" s="13" t="s">
        <v>112</v>
      </c>
      <c r="W447" t="s">
        <v>486</v>
      </c>
      <c r="X447" s="12">
        <v>2.3636363636363638</v>
      </c>
      <c r="Y447" s="12">
        <v>2.4</v>
      </c>
      <c r="Z447" s="12">
        <v>1.6666666666666667</v>
      </c>
      <c r="AA447" s="12">
        <v>0.55555555555555558</v>
      </c>
      <c r="AB447" s="12">
        <v>3</v>
      </c>
      <c r="AC447" s="12">
        <v>0.66666666666666663</v>
      </c>
      <c r="AD447" s="12">
        <v>1.7754208754208756</v>
      </c>
    </row>
    <row r="448" spans="1:30" x14ac:dyDescent="0.3">
      <c r="A448" s="13">
        <v>25</v>
      </c>
      <c r="B448" s="13" t="s">
        <v>70</v>
      </c>
      <c r="C448" s="13" t="s">
        <v>71</v>
      </c>
      <c r="D448" s="13" t="s">
        <v>72</v>
      </c>
      <c r="E448" s="13" t="s">
        <v>108</v>
      </c>
      <c r="F448" s="13" t="s">
        <v>74</v>
      </c>
      <c r="G448" s="13" t="s">
        <v>440</v>
      </c>
      <c r="H448" s="13" t="s">
        <v>74</v>
      </c>
      <c r="I448" s="13" t="s">
        <v>76</v>
      </c>
      <c r="J448" s="13" t="s">
        <v>77</v>
      </c>
      <c r="K448" s="13" t="s">
        <v>78</v>
      </c>
      <c r="L448" s="13" t="s">
        <v>79</v>
      </c>
      <c r="M448" s="13" t="s">
        <v>80</v>
      </c>
      <c r="N448" s="13" t="s">
        <v>82</v>
      </c>
      <c r="O448" s="13" t="s">
        <v>489</v>
      </c>
      <c r="P448" s="13" t="s">
        <v>82</v>
      </c>
      <c r="Q448" s="13" t="s">
        <v>83</v>
      </c>
      <c r="R448" s="13" t="s">
        <v>82</v>
      </c>
      <c r="S448" s="13" t="s">
        <v>82</v>
      </c>
      <c r="T448" s="13" t="s">
        <v>106</v>
      </c>
      <c r="U448" s="13" t="s">
        <v>141</v>
      </c>
      <c r="V448" s="13" t="s">
        <v>112</v>
      </c>
      <c r="W448" t="s">
        <v>486</v>
      </c>
      <c r="X448" s="12">
        <v>2.4545454545454546</v>
      </c>
      <c r="Y448" s="12">
        <v>0.8</v>
      </c>
      <c r="Z448" s="12">
        <v>1</v>
      </c>
      <c r="AA448" s="12">
        <v>0.44444444444444442</v>
      </c>
      <c r="AB448" s="12">
        <v>3</v>
      </c>
      <c r="AC448" s="12">
        <v>0.66666666666666663</v>
      </c>
      <c r="AD448" s="12">
        <v>1.3942760942760943</v>
      </c>
    </row>
    <row r="449" spans="1:30" x14ac:dyDescent="0.3">
      <c r="A449" s="13">
        <v>19</v>
      </c>
      <c r="B449" s="13" t="s">
        <v>70</v>
      </c>
      <c r="C449" s="13" t="s">
        <v>157</v>
      </c>
      <c r="D449" s="13" t="s">
        <v>72</v>
      </c>
      <c r="E449" s="13" t="s">
        <v>73</v>
      </c>
      <c r="F449" s="13" t="s">
        <v>74</v>
      </c>
      <c r="G449" s="13" t="s">
        <v>440</v>
      </c>
      <c r="H449" s="13" t="s">
        <v>136</v>
      </c>
      <c r="I449" s="13" t="s">
        <v>439</v>
      </c>
      <c r="J449" s="13" t="s">
        <v>77</v>
      </c>
      <c r="K449" s="13" t="s">
        <v>122</v>
      </c>
      <c r="L449" s="13" t="s">
        <v>79</v>
      </c>
      <c r="M449" s="13" t="s">
        <v>80</v>
      </c>
      <c r="N449" s="13" t="s">
        <v>79</v>
      </c>
      <c r="O449" s="13" t="s">
        <v>489</v>
      </c>
      <c r="P449" s="13" t="s">
        <v>82</v>
      </c>
      <c r="Q449" s="13" t="s">
        <v>83</v>
      </c>
      <c r="R449" s="13" t="s">
        <v>82</v>
      </c>
      <c r="S449" s="13" t="s">
        <v>79</v>
      </c>
      <c r="T449" s="13" t="s">
        <v>86</v>
      </c>
      <c r="U449" s="13" t="s">
        <v>141</v>
      </c>
      <c r="V449" s="13" t="s">
        <v>112</v>
      </c>
      <c r="W449" t="s">
        <v>485</v>
      </c>
      <c r="X449" s="12">
        <v>2.8181818181818183</v>
      </c>
      <c r="Y449" s="12">
        <v>2</v>
      </c>
      <c r="Z449" s="12">
        <v>0.66666666666666663</v>
      </c>
      <c r="AA449" s="12">
        <v>0.44444444444444442</v>
      </c>
      <c r="AB449" s="12">
        <v>3</v>
      </c>
      <c r="AC449" s="12">
        <v>0.66666666666666663</v>
      </c>
      <c r="AD449" s="12">
        <v>1.5993265993265995</v>
      </c>
    </row>
    <row r="450" spans="1:30" x14ac:dyDescent="0.3">
      <c r="A450" s="13">
        <v>20</v>
      </c>
      <c r="B450" s="13" t="s">
        <v>70</v>
      </c>
      <c r="C450" s="13" t="s">
        <v>157</v>
      </c>
      <c r="D450" s="13" t="s">
        <v>72</v>
      </c>
      <c r="E450" s="13" t="s">
        <v>108</v>
      </c>
      <c r="F450" s="13" t="s">
        <v>98</v>
      </c>
      <c r="G450" s="13" t="s">
        <v>440</v>
      </c>
      <c r="H450" s="13" t="s">
        <v>100</v>
      </c>
      <c r="I450" s="13" t="s">
        <v>76</v>
      </c>
      <c r="J450" s="13" t="s">
        <v>77</v>
      </c>
      <c r="K450" s="13" t="s">
        <v>122</v>
      </c>
      <c r="L450" s="13" t="s">
        <v>79</v>
      </c>
      <c r="M450" s="13" t="s">
        <v>80</v>
      </c>
      <c r="N450" s="13" t="s">
        <v>79</v>
      </c>
      <c r="O450" s="13" t="s">
        <v>489</v>
      </c>
      <c r="P450" s="13" t="s">
        <v>82</v>
      </c>
      <c r="Q450" s="13" t="s">
        <v>83</v>
      </c>
      <c r="R450" s="13" t="s">
        <v>82</v>
      </c>
      <c r="S450" s="13" t="s">
        <v>82</v>
      </c>
      <c r="T450" s="13" t="s">
        <v>106</v>
      </c>
      <c r="U450" s="13" t="s">
        <v>87</v>
      </c>
      <c r="V450" s="13" t="s">
        <v>457</v>
      </c>
      <c r="W450" t="s">
        <v>486</v>
      </c>
      <c r="X450" s="12">
        <v>3</v>
      </c>
      <c r="Y450" s="12">
        <v>3</v>
      </c>
      <c r="Z450" s="12">
        <v>0.66666666666666663</v>
      </c>
      <c r="AA450" s="12">
        <v>0.22222222222222221</v>
      </c>
      <c r="AB450" s="12">
        <v>3</v>
      </c>
      <c r="AC450" s="12">
        <v>0.66666666666666663</v>
      </c>
      <c r="AD450" s="12">
        <v>1.7592592592592593</v>
      </c>
    </row>
    <row r="451" spans="1:30" x14ac:dyDescent="0.3">
      <c r="A451" s="13">
        <v>25</v>
      </c>
      <c r="B451" s="13" t="s">
        <v>70</v>
      </c>
      <c r="C451" s="13" t="s">
        <v>113</v>
      </c>
      <c r="D451" s="13" t="s">
        <v>97</v>
      </c>
      <c r="E451" s="13" t="s">
        <v>108</v>
      </c>
      <c r="F451" s="13" t="s">
        <v>74</v>
      </c>
      <c r="G451" s="13" t="s">
        <v>99</v>
      </c>
      <c r="H451" s="13" t="s">
        <v>136</v>
      </c>
      <c r="I451" s="13" t="s">
        <v>76</v>
      </c>
      <c r="J451" s="13" t="s">
        <v>77</v>
      </c>
      <c r="K451" s="13" t="s">
        <v>78</v>
      </c>
      <c r="L451" s="13" t="s">
        <v>79</v>
      </c>
      <c r="M451" s="13" t="s">
        <v>132</v>
      </c>
      <c r="N451" s="13" t="s">
        <v>79</v>
      </c>
      <c r="O451" s="13" t="s">
        <v>488</v>
      </c>
      <c r="P451" s="13" t="s">
        <v>79</v>
      </c>
      <c r="Q451" s="13" t="s">
        <v>103</v>
      </c>
      <c r="R451" s="13" t="s">
        <v>79</v>
      </c>
      <c r="S451" s="13" t="s">
        <v>82</v>
      </c>
      <c r="T451" s="13" t="s">
        <v>106</v>
      </c>
      <c r="U451" s="13" t="s">
        <v>87</v>
      </c>
      <c r="V451" s="13" t="s">
        <v>112</v>
      </c>
      <c r="W451" t="s">
        <v>486</v>
      </c>
      <c r="X451" s="12">
        <v>3</v>
      </c>
      <c r="Y451" s="12">
        <v>2.2000000000000002</v>
      </c>
      <c r="Z451" s="12">
        <v>0.66666666666666663</v>
      </c>
      <c r="AA451" s="12">
        <v>0.22222222222222221</v>
      </c>
      <c r="AB451" s="12">
        <v>3</v>
      </c>
      <c r="AC451" s="12">
        <v>0.66666666666666663</v>
      </c>
      <c r="AD451" s="12">
        <v>1.6259259259259258</v>
      </c>
    </row>
    <row r="452" spans="1:30" x14ac:dyDescent="0.3">
      <c r="A452" s="13">
        <v>25</v>
      </c>
      <c r="B452" s="13" t="s">
        <v>70</v>
      </c>
      <c r="C452" s="13" t="s">
        <v>71</v>
      </c>
      <c r="D452" s="13" t="s">
        <v>97</v>
      </c>
      <c r="E452" s="13" t="s">
        <v>114</v>
      </c>
      <c r="F452" s="13" t="s">
        <v>74</v>
      </c>
      <c r="G452" s="13" t="s">
        <v>439</v>
      </c>
      <c r="H452" s="13" t="s">
        <v>136</v>
      </c>
      <c r="I452" s="13" t="s">
        <v>76</v>
      </c>
      <c r="J452" s="13" t="s">
        <v>77</v>
      </c>
      <c r="K452" s="13" t="s">
        <v>122</v>
      </c>
      <c r="L452" s="13" t="s">
        <v>79</v>
      </c>
      <c r="M452" s="13" t="s">
        <v>80</v>
      </c>
      <c r="N452" s="13" t="s">
        <v>79</v>
      </c>
      <c r="O452" s="13" t="s">
        <v>487</v>
      </c>
      <c r="P452" s="13" t="s">
        <v>79</v>
      </c>
      <c r="Q452" s="13" t="s">
        <v>103</v>
      </c>
      <c r="R452" s="13" t="s">
        <v>79</v>
      </c>
      <c r="S452" s="13" t="s">
        <v>79</v>
      </c>
      <c r="T452" s="13" t="s">
        <v>106</v>
      </c>
      <c r="U452" s="13" t="s">
        <v>141</v>
      </c>
      <c r="V452" s="13" t="s">
        <v>112</v>
      </c>
      <c r="W452" t="s">
        <v>486</v>
      </c>
      <c r="X452" s="12">
        <v>2.4545454545454546</v>
      </c>
      <c r="Y452" s="12">
        <v>2</v>
      </c>
      <c r="Z452" s="12">
        <v>1.3333333333333333</v>
      </c>
      <c r="AA452" s="12">
        <v>1.1111111111111112</v>
      </c>
      <c r="AB452" s="12">
        <v>2.8</v>
      </c>
      <c r="AC452" s="12">
        <v>0.66666666666666663</v>
      </c>
      <c r="AD452" s="12">
        <v>1.7276094276094278</v>
      </c>
    </row>
    <row r="453" spans="1:30" x14ac:dyDescent="0.3">
      <c r="A453" s="13">
        <v>21</v>
      </c>
      <c r="B453" s="13" t="s">
        <v>70</v>
      </c>
      <c r="C453" s="13" t="s">
        <v>96</v>
      </c>
      <c r="D453" s="13" t="s">
        <v>72</v>
      </c>
      <c r="E453" s="13" t="s">
        <v>73</v>
      </c>
      <c r="F453" s="13" t="s">
        <v>74</v>
      </c>
      <c r="G453" s="13" t="s">
        <v>440</v>
      </c>
      <c r="H453" s="13" t="s">
        <v>74</v>
      </c>
      <c r="I453" s="13" t="s">
        <v>99</v>
      </c>
      <c r="J453" s="13" t="s">
        <v>77</v>
      </c>
      <c r="K453" s="13" t="s">
        <v>78</v>
      </c>
      <c r="L453" s="13" t="s">
        <v>79</v>
      </c>
      <c r="M453" s="13" t="s">
        <v>80</v>
      </c>
      <c r="N453" s="13" t="s">
        <v>79</v>
      </c>
      <c r="O453" s="13" t="s">
        <v>488</v>
      </c>
      <c r="P453" s="13" t="s">
        <v>79</v>
      </c>
      <c r="Q453" s="13" t="s">
        <v>83</v>
      </c>
      <c r="R453" s="13" t="s">
        <v>79</v>
      </c>
      <c r="S453" s="13" t="s">
        <v>82</v>
      </c>
      <c r="T453" s="13" t="s">
        <v>106</v>
      </c>
      <c r="U453" s="13" t="s">
        <v>87</v>
      </c>
      <c r="V453" s="13" t="s">
        <v>112</v>
      </c>
      <c r="W453" t="s">
        <v>486</v>
      </c>
      <c r="X453" s="12">
        <v>1.7272727272727273</v>
      </c>
      <c r="Y453" s="12">
        <v>1.4</v>
      </c>
      <c r="Z453" s="12">
        <v>0.66666666666666663</v>
      </c>
      <c r="AA453" s="12">
        <v>1.1111111111111112</v>
      </c>
      <c r="AB453" s="12">
        <v>2.8</v>
      </c>
      <c r="AC453" s="12">
        <v>0.66666666666666663</v>
      </c>
      <c r="AD453" s="12">
        <v>1.395286195286195</v>
      </c>
    </row>
    <row r="454" spans="1:30" x14ac:dyDescent="0.3">
      <c r="A454" s="13">
        <v>22</v>
      </c>
      <c r="B454" s="13" t="s">
        <v>128</v>
      </c>
      <c r="C454" s="13" t="s">
        <v>113</v>
      </c>
      <c r="D454" s="13" t="s">
        <v>97</v>
      </c>
      <c r="E454" s="13" t="s">
        <v>108</v>
      </c>
      <c r="F454" s="13" t="s">
        <v>98</v>
      </c>
      <c r="G454" s="13" t="s">
        <v>440</v>
      </c>
      <c r="H454" s="13" t="s">
        <v>98</v>
      </c>
      <c r="I454" s="13" t="s">
        <v>76</v>
      </c>
      <c r="J454" s="13" t="s">
        <v>77</v>
      </c>
      <c r="K454" s="13" t="s">
        <v>122</v>
      </c>
      <c r="L454" s="13" t="s">
        <v>79</v>
      </c>
      <c r="M454" s="13" t="s">
        <v>80</v>
      </c>
      <c r="N454" s="13" t="s">
        <v>79</v>
      </c>
      <c r="O454" s="13" t="s">
        <v>487</v>
      </c>
      <c r="P454" s="13" t="s">
        <v>79</v>
      </c>
      <c r="Q454" s="13" t="s">
        <v>83</v>
      </c>
      <c r="R454" s="13" t="s">
        <v>79</v>
      </c>
      <c r="S454" s="13" t="s">
        <v>82</v>
      </c>
      <c r="T454" s="13" t="s">
        <v>106</v>
      </c>
      <c r="U454" s="13" t="s">
        <v>87</v>
      </c>
      <c r="V454" s="13" t="s">
        <v>127</v>
      </c>
      <c r="W454" t="s">
        <v>486</v>
      </c>
      <c r="X454" s="12">
        <v>2.5454545454545454</v>
      </c>
      <c r="Y454" s="12">
        <v>1.2</v>
      </c>
      <c r="Z454" s="12">
        <v>1</v>
      </c>
      <c r="AA454" s="12">
        <v>0.77777777777777779</v>
      </c>
      <c r="AB454" s="12">
        <v>2.8</v>
      </c>
      <c r="AC454" s="12">
        <v>0.66666666666666663</v>
      </c>
      <c r="AD454" s="12">
        <v>1.498316498316498</v>
      </c>
    </row>
    <row r="455" spans="1:30" x14ac:dyDescent="0.3">
      <c r="A455" s="13">
        <v>21</v>
      </c>
      <c r="B455" s="13" t="s">
        <v>70</v>
      </c>
      <c r="C455" s="13" t="s">
        <v>157</v>
      </c>
      <c r="D455" s="13" t="s">
        <v>97</v>
      </c>
      <c r="E455" s="13" t="s">
        <v>108</v>
      </c>
      <c r="F455" s="13" t="s">
        <v>74</v>
      </c>
      <c r="G455" s="13" t="s">
        <v>439</v>
      </c>
      <c r="H455" s="13" t="s">
        <v>74</v>
      </c>
      <c r="I455" s="13" t="s">
        <v>76</v>
      </c>
      <c r="J455" s="13" t="s">
        <v>77</v>
      </c>
      <c r="K455" s="13" t="s">
        <v>131</v>
      </c>
      <c r="L455" s="13" t="s">
        <v>79</v>
      </c>
      <c r="M455" s="13" t="s">
        <v>80</v>
      </c>
      <c r="N455" s="13" t="s">
        <v>82</v>
      </c>
      <c r="O455" s="13" t="s">
        <v>487</v>
      </c>
      <c r="P455" s="13" t="s">
        <v>79</v>
      </c>
      <c r="Q455" s="13" t="s">
        <v>83</v>
      </c>
      <c r="R455" s="13" t="s">
        <v>79</v>
      </c>
      <c r="S455" s="13" t="s">
        <v>79</v>
      </c>
      <c r="T455" s="13" t="s">
        <v>106</v>
      </c>
      <c r="U455" s="13" t="s">
        <v>87</v>
      </c>
      <c r="V455" s="13" t="s">
        <v>112</v>
      </c>
      <c r="W455" t="s">
        <v>486</v>
      </c>
      <c r="X455" s="12">
        <v>2.5454545454545454</v>
      </c>
      <c r="Y455" s="12">
        <v>0.8</v>
      </c>
      <c r="Z455" s="12">
        <v>1</v>
      </c>
      <c r="AA455" s="12">
        <v>0.66666666666666663</v>
      </c>
      <c r="AB455" s="12">
        <v>2.8</v>
      </c>
      <c r="AC455" s="12">
        <v>0.66666666666666663</v>
      </c>
      <c r="AD455" s="12">
        <v>1.413131313131313</v>
      </c>
    </row>
    <row r="456" spans="1:30" x14ac:dyDescent="0.3">
      <c r="A456" s="13">
        <v>22</v>
      </c>
      <c r="B456" s="13" t="s">
        <v>70</v>
      </c>
      <c r="C456" s="13" t="s">
        <v>96</v>
      </c>
      <c r="D456" s="13" t="s">
        <v>72</v>
      </c>
      <c r="E456" s="13" t="s">
        <v>108</v>
      </c>
      <c r="F456" s="13" t="s">
        <v>74</v>
      </c>
      <c r="G456" s="13" t="s">
        <v>99</v>
      </c>
      <c r="H456" s="13" t="s">
        <v>74</v>
      </c>
      <c r="I456" s="13" t="s">
        <v>439</v>
      </c>
      <c r="J456" s="13" t="s">
        <v>77</v>
      </c>
      <c r="K456" s="13" t="s">
        <v>122</v>
      </c>
      <c r="L456" s="13" t="s">
        <v>79</v>
      </c>
      <c r="M456" s="13" t="s">
        <v>80</v>
      </c>
      <c r="N456" s="13" t="s">
        <v>79</v>
      </c>
      <c r="O456" s="13" t="s">
        <v>490</v>
      </c>
      <c r="P456" s="13" t="s">
        <v>82</v>
      </c>
      <c r="Q456" s="13" t="s">
        <v>83</v>
      </c>
      <c r="R456" s="13" t="s">
        <v>82</v>
      </c>
      <c r="S456" s="13" t="s">
        <v>82</v>
      </c>
      <c r="T456" s="13" t="s">
        <v>106</v>
      </c>
      <c r="U456" s="13" t="s">
        <v>141</v>
      </c>
      <c r="V456" s="13" t="s">
        <v>127</v>
      </c>
      <c r="W456" t="s">
        <v>486</v>
      </c>
      <c r="X456" s="12">
        <v>2.3636363636363638</v>
      </c>
      <c r="Y456" s="12">
        <v>1.4</v>
      </c>
      <c r="Z456" s="12">
        <v>1</v>
      </c>
      <c r="AA456" s="12">
        <v>0.44444444444444442</v>
      </c>
      <c r="AB456" s="12">
        <v>2.8</v>
      </c>
      <c r="AC456" s="12">
        <v>0.66666666666666663</v>
      </c>
      <c r="AD456" s="12">
        <v>1.4457912457912458</v>
      </c>
    </row>
    <row r="457" spans="1:30" x14ac:dyDescent="0.3">
      <c r="A457" s="13">
        <v>23</v>
      </c>
      <c r="B457" s="13" t="s">
        <v>70</v>
      </c>
      <c r="C457" s="13" t="s">
        <v>113</v>
      </c>
      <c r="D457" s="13" t="s">
        <v>72</v>
      </c>
      <c r="E457" s="13" t="s">
        <v>114</v>
      </c>
      <c r="F457" s="13" t="s">
        <v>98</v>
      </c>
      <c r="G457" s="13" t="s">
        <v>439</v>
      </c>
      <c r="H457" s="13" t="s">
        <v>165</v>
      </c>
      <c r="I457" s="13" t="s">
        <v>76</v>
      </c>
      <c r="J457" s="13" t="s">
        <v>101</v>
      </c>
      <c r="K457" s="13" t="s">
        <v>125</v>
      </c>
      <c r="L457" s="13" t="s">
        <v>79</v>
      </c>
      <c r="M457" s="13" t="s">
        <v>80</v>
      </c>
      <c r="N457" s="13" t="s">
        <v>79</v>
      </c>
      <c r="O457" s="13" t="s">
        <v>489</v>
      </c>
      <c r="P457" s="13" t="s">
        <v>79</v>
      </c>
      <c r="Q457" s="13" t="s">
        <v>83</v>
      </c>
      <c r="R457" s="13" t="s">
        <v>79</v>
      </c>
      <c r="S457" s="13" t="s">
        <v>82</v>
      </c>
      <c r="T457" s="13" t="s">
        <v>106</v>
      </c>
      <c r="U457" s="13" t="s">
        <v>141</v>
      </c>
      <c r="V457" s="13" t="s">
        <v>112</v>
      </c>
      <c r="W457" t="s">
        <v>486</v>
      </c>
      <c r="X457" s="12">
        <v>2.1818181818181817</v>
      </c>
      <c r="Y457" s="12">
        <v>1.4</v>
      </c>
      <c r="Z457" s="12">
        <v>1.6666666666666667</v>
      </c>
      <c r="AA457" s="12">
        <v>0.66666666666666663</v>
      </c>
      <c r="AB457" s="12">
        <v>2.6</v>
      </c>
      <c r="AC457" s="12">
        <v>0.66666666666666663</v>
      </c>
      <c r="AD457" s="12">
        <v>1.5303030303030303</v>
      </c>
    </row>
    <row r="458" spans="1:30" x14ac:dyDescent="0.3">
      <c r="A458" s="13">
        <v>21</v>
      </c>
      <c r="B458" s="13" t="s">
        <v>70</v>
      </c>
      <c r="C458" s="13" t="s">
        <v>96</v>
      </c>
      <c r="D458" s="13" t="s">
        <v>72</v>
      </c>
      <c r="E458" s="13" t="s">
        <v>108</v>
      </c>
      <c r="F458" s="13" t="s">
        <v>136</v>
      </c>
      <c r="G458" s="13" t="s">
        <v>439</v>
      </c>
      <c r="H458" s="13" t="s">
        <v>98</v>
      </c>
      <c r="I458" s="13" t="s">
        <v>76</v>
      </c>
      <c r="J458" s="13" t="s">
        <v>77</v>
      </c>
      <c r="K458" s="13" t="s">
        <v>125</v>
      </c>
      <c r="L458" s="13" t="s">
        <v>79</v>
      </c>
      <c r="M458" s="13" t="s">
        <v>80</v>
      </c>
      <c r="N458" s="13" t="s">
        <v>79</v>
      </c>
      <c r="O458" s="13" t="s">
        <v>489</v>
      </c>
      <c r="P458" s="13" t="s">
        <v>79</v>
      </c>
      <c r="Q458" s="13" t="s">
        <v>83</v>
      </c>
      <c r="R458" s="13" t="s">
        <v>79</v>
      </c>
      <c r="S458" s="13" t="s">
        <v>82</v>
      </c>
      <c r="T458" s="13" t="s">
        <v>106</v>
      </c>
      <c r="U458" s="13" t="s">
        <v>141</v>
      </c>
      <c r="V458" s="13" t="s">
        <v>112</v>
      </c>
      <c r="W458" t="s">
        <v>486</v>
      </c>
      <c r="X458" s="12">
        <v>2.3636363636363638</v>
      </c>
      <c r="Y458" s="12">
        <v>2</v>
      </c>
      <c r="Z458" s="12">
        <v>1</v>
      </c>
      <c r="AA458" s="12">
        <v>1.1111111111111112</v>
      </c>
      <c r="AB458" s="12">
        <v>2.4</v>
      </c>
      <c r="AC458" s="12">
        <v>0.66666666666666663</v>
      </c>
      <c r="AD458" s="12">
        <v>1.59023569023569</v>
      </c>
    </row>
    <row r="459" spans="1:30" x14ac:dyDescent="0.3">
      <c r="A459" s="13">
        <v>21</v>
      </c>
      <c r="B459" s="13" t="s">
        <v>128</v>
      </c>
      <c r="C459" s="13" t="s">
        <v>157</v>
      </c>
      <c r="D459" s="13" t="s">
        <v>72</v>
      </c>
      <c r="E459" s="13" t="s">
        <v>108</v>
      </c>
      <c r="F459" s="13" t="s">
        <v>74</v>
      </c>
      <c r="G459" s="13" t="s">
        <v>440</v>
      </c>
      <c r="H459" s="13" t="s">
        <v>74</v>
      </c>
      <c r="I459" s="13" t="s">
        <v>76</v>
      </c>
      <c r="J459" s="13" t="s">
        <v>77</v>
      </c>
      <c r="K459" s="13" t="s">
        <v>125</v>
      </c>
      <c r="L459" s="13" t="s">
        <v>79</v>
      </c>
      <c r="M459" s="13" t="s">
        <v>80</v>
      </c>
      <c r="N459" s="13" t="s">
        <v>79</v>
      </c>
      <c r="O459" s="13" t="s">
        <v>490</v>
      </c>
      <c r="P459" s="13" t="s">
        <v>79</v>
      </c>
      <c r="Q459" s="13" t="s">
        <v>103</v>
      </c>
      <c r="R459" s="13" t="s">
        <v>79</v>
      </c>
      <c r="S459" s="13" t="s">
        <v>79</v>
      </c>
      <c r="T459" s="13" t="s">
        <v>106</v>
      </c>
      <c r="U459" s="13" t="s">
        <v>141</v>
      </c>
      <c r="V459" s="13" t="s">
        <v>112</v>
      </c>
      <c r="W459" t="s">
        <v>486</v>
      </c>
      <c r="X459" s="12">
        <v>2.4545454545454546</v>
      </c>
      <c r="Y459" s="12">
        <v>2</v>
      </c>
      <c r="Z459" s="12">
        <v>1.6666666666666667</v>
      </c>
      <c r="AA459" s="12">
        <v>0.55555555555555558</v>
      </c>
      <c r="AB459" s="12">
        <v>2.4</v>
      </c>
      <c r="AC459" s="12">
        <v>0.66666666666666663</v>
      </c>
      <c r="AD459" s="12">
        <v>1.6239057239057237</v>
      </c>
    </row>
    <row r="460" spans="1:30" x14ac:dyDescent="0.3">
      <c r="A460" s="13">
        <v>21</v>
      </c>
      <c r="B460" s="13" t="s">
        <v>70</v>
      </c>
      <c r="C460" s="13" t="s">
        <v>96</v>
      </c>
      <c r="D460" s="13" t="s">
        <v>72</v>
      </c>
      <c r="E460" s="13" t="s">
        <v>114</v>
      </c>
      <c r="F460" s="13" t="s">
        <v>165</v>
      </c>
      <c r="G460" s="13" t="s">
        <v>439</v>
      </c>
      <c r="H460" s="13" t="s">
        <v>98</v>
      </c>
      <c r="I460" s="13" t="s">
        <v>76</v>
      </c>
      <c r="J460" s="13" t="s">
        <v>77</v>
      </c>
      <c r="K460" s="13" t="s">
        <v>125</v>
      </c>
      <c r="L460" s="13" t="s">
        <v>79</v>
      </c>
      <c r="M460" s="13" t="s">
        <v>80</v>
      </c>
      <c r="N460" s="13" t="s">
        <v>79</v>
      </c>
      <c r="O460" s="13" t="s">
        <v>488</v>
      </c>
      <c r="P460" s="13" t="s">
        <v>79</v>
      </c>
      <c r="Q460" s="13" t="s">
        <v>83</v>
      </c>
      <c r="R460" s="13" t="s">
        <v>79</v>
      </c>
      <c r="S460" s="13" t="s">
        <v>82</v>
      </c>
      <c r="T460" s="13" t="s">
        <v>106</v>
      </c>
      <c r="U460" s="13" t="s">
        <v>87</v>
      </c>
      <c r="V460" s="13" t="s">
        <v>112</v>
      </c>
      <c r="W460" t="s">
        <v>485</v>
      </c>
      <c r="X460" s="12">
        <v>1.9090909090909092</v>
      </c>
      <c r="Y460" s="12">
        <v>0.6</v>
      </c>
      <c r="Z460" s="12">
        <v>0.66666666666666663</v>
      </c>
      <c r="AA460" s="12">
        <v>1.4444444444444444</v>
      </c>
      <c r="AB460" s="12">
        <v>2.2000000000000002</v>
      </c>
      <c r="AC460" s="12">
        <v>0.66666666666666663</v>
      </c>
      <c r="AD460" s="12">
        <v>1.2478114478114479</v>
      </c>
    </row>
    <row r="461" spans="1:30" x14ac:dyDescent="0.3">
      <c r="A461" s="13">
        <v>23</v>
      </c>
      <c r="B461" s="13" t="s">
        <v>70</v>
      </c>
      <c r="C461" s="13" t="s">
        <v>113</v>
      </c>
      <c r="D461" s="13" t="s">
        <v>72</v>
      </c>
      <c r="E461" s="13" t="s">
        <v>108</v>
      </c>
      <c r="F461" s="13" t="s">
        <v>136</v>
      </c>
      <c r="G461" s="13" t="s">
        <v>440</v>
      </c>
      <c r="H461" s="13" t="s">
        <v>98</v>
      </c>
      <c r="I461" s="13" t="s">
        <v>76</v>
      </c>
      <c r="J461" s="13" t="s">
        <v>77</v>
      </c>
      <c r="K461" s="13" t="s">
        <v>122</v>
      </c>
      <c r="L461" s="13" t="s">
        <v>79</v>
      </c>
      <c r="M461" s="13" t="s">
        <v>132</v>
      </c>
      <c r="N461" s="13" t="s">
        <v>79</v>
      </c>
      <c r="O461" s="13" t="s">
        <v>487</v>
      </c>
      <c r="P461" s="13" t="s">
        <v>79</v>
      </c>
      <c r="Q461" s="13" t="s">
        <v>83</v>
      </c>
      <c r="R461" s="13" t="s">
        <v>82</v>
      </c>
      <c r="S461" s="13" t="s">
        <v>79</v>
      </c>
      <c r="T461" s="13" t="s">
        <v>86</v>
      </c>
      <c r="U461" s="13" t="s">
        <v>120</v>
      </c>
      <c r="V461" s="13" t="s">
        <v>127</v>
      </c>
      <c r="W461" t="s">
        <v>485</v>
      </c>
      <c r="X461" s="12">
        <v>1.5454545454545454</v>
      </c>
      <c r="Y461" s="12">
        <v>1</v>
      </c>
      <c r="Z461" s="12">
        <v>1.3333333333333333</v>
      </c>
      <c r="AA461" s="12">
        <v>1.7777777777777777</v>
      </c>
      <c r="AB461" s="12">
        <v>2</v>
      </c>
      <c r="AC461" s="12">
        <v>0.66666666666666663</v>
      </c>
      <c r="AD461" s="12">
        <v>1.3872053872053873</v>
      </c>
    </row>
    <row r="462" spans="1:30" x14ac:dyDescent="0.3">
      <c r="A462" s="13">
        <v>23</v>
      </c>
      <c r="B462" s="13" t="s">
        <v>70</v>
      </c>
      <c r="C462" s="13" t="s">
        <v>113</v>
      </c>
      <c r="D462" s="13" t="s">
        <v>97</v>
      </c>
      <c r="E462" s="13" t="s">
        <v>108</v>
      </c>
      <c r="F462" s="13" t="s">
        <v>136</v>
      </c>
      <c r="G462" s="13" t="s">
        <v>99</v>
      </c>
      <c r="H462" s="13" t="s">
        <v>98</v>
      </c>
      <c r="I462" s="13" t="s">
        <v>76</v>
      </c>
      <c r="J462" s="13" t="s">
        <v>77</v>
      </c>
      <c r="K462" s="13" t="s">
        <v>125</v>
      </c>
      <c r="L462" s="13" t="s">
        <v>82</v>
      </c>
      <c r="M462" s="13" t="s">
        <v>102</v>
      </c>
      <c r="N462" s="13" t="s">
        <v>82</v>
      </c>
      <c r="O462" s="13" t="s">
        <v>490</v>
      </c>
      <c r="P462" s="13" t="s">
        <v>82</v>
      </c>
      <c r="Q462" s="13" t="s">
        <v>83</v>
      </c>
      <c r="R462" s="13" t="s">
        <v>82</v>
      </c>
      <c r="S462" s="13" t="s">
        <v>82</v>
      </c>
      <c r="T462" s="13" t="s">
        <v>106</v>
      </c>
      <c r="U462" s="13" t="s">
        <v>141</v>
      </c>
      <c r="V462" s="13" t="s">
        <v>457</v>
      </c>
      <c r="W462" t="s">
        <v>486</v>
      </c>
      <c r="X462" s="12">
        <v>2</v>
      </c>
      <c r="Y462" s="12">
        <v>1.2</v>
      </c>
      <c r="Z462" s="12">
        <v>1.6666666666666667</v>
      </c>
      <c r="AA462" s="12">
        <v>1</v>
      </c>
      <c r="AB462" s="12">
        <v>2</v>
      </c>
      <c r="AC462" s="12">
        <v>0.66666666666666663</v>
      </c>
      <c r="AD462" s="12">
        <v>1.4222222222222223</v>
      </c>
    </row>
    <row r="463" spans="1:30" x14ac:dyDescent="0.3">
      <c r="A463" s="13">
        <v>21</v>
      </c>
      <c r="B463" s="13" t="s">
        <v>70</v>
      </c>
      <c r="C463" s="13" t="s">
        <v>96</v>
      </c>
      <c r="D463" s="13" t="s">
        <v>72</v>
      </c>
      <c r="E463" s="13" t="s">
        <v>108</v>
      </c>
      <c r="F463" s="13" t="s">
        <v>74</v>
      </c>
      <c r="G463" s="13" t="s">
        <v>439</v>
      </c>
      <c r="H463" s="13" t="s">
        <v>74</v>
      </c>
      <c r="I463" s="13" t="s">
        <v>439</v>
      </c>
      <c r="J463" s="13" t="s">
        <v>77</v>
      </c>
      <c r="K463" s="13" t="s">
        <v>78</v>
      </c>
      <c r="L463" s="13" t="s">
        <v>79</v>
      </c>
      <c r="M463" s="13" t="s">
        <v>80</v>
      </c>
      <c r="N463" s="13" t="s">
        <v>79</v>
      </c>
      <c r="O463" s="13" t="s">
        <v>489</v>
      </c>
      <c r="P463" s="13" t="s">
        <v>79</v>
      </c>
      <c r="Q463" s="13" t="s">
        <v>83</v>
      </c>
      <c r="R463" s="13" t="s">
        <v>82</v>
      </c>
      <c r="S463" s="13" t="s">
        <v>82</v>
      </c>
      <c r="T463" s="13" t="s">
        <v>86</v>
      </c>
      <c r="U463" s="13" t="s">
        <v>87</v>
      </c>
      <c r="V463" s="13" t="s">
        <v>112</v>
      </c>
      <c r="W463" t="s">
        <v>486</v>
      </c>
      <c r="X463" s="12">
        <v>1.6363636363636365</v>
      </c>
      <c r="Y463" s="12">
        <v>2.2000000000000002</v>
      </c>
      <c r="Z463" s="12">
        <v>1.3333333333333333</v>
      </c>
      <c r="AA463" s="12">
        <v>1</v>
      </c>
      <c r="AB463" s="12">
        <v>2</v>
      </c>
      <c r="AC463" s="12">
        <v>0.66666666666666663</v>
      </c>
      <c r="AD463" s="12">
        <v>1.4727272727272727</v>
      </c>
    </row>
    <row r="464" spans="1:30" x14ac:dyDescent="0.3">
      <c r="A464" s="13">
        <v>21</v>
      </c>
      <c r="B464" s="13" t="s">
        <v>70</v>
      </c>
      <c r="C464" s="13" t="s">
        <v>96</v>
      </c>
      <c r="D464" s="13" t="s">
        <v>72</v>
      </c>
      <c r="E464" s="13" t="s">
        <v>108</v>
      </c>
      <c r="F464" s="13" t="s">
        <v>74</v>
      </c>
      <c r="G464" s="13" t="s">
        <v>439</v>
      </c>
      <c r="H464" s="13" t="s">
        <v>74</v>
      </c>
      <c r="I464" s="13" t="s">
        <v>439</v>
      </c>
      <c r="J464" s="13" t="s">
        <v>77</v>
      </c>
      <c r="K464" s="13" t="s">
        <v>78</v>
      </c>
      <c r="L464" s="13" t="s">
        <v>79</v>
      </c>
      <c r="M464" s="13" t="s">
        <v>80</v>
      </c>
      <c r="N464" s="13" t="s">
        <v>79</v>
      </c>
      <c r="O464" s="13" t="s">
        <v>489</v>
      </c>
      <c r="P464" s="13" t="s">
        <v>79</v>
      </c>
      <c r="Q464" s="13" t="s">
        <v>83</v>
      </c>
      <c r="R464" s="13" t="s">
        <v>82</v>
      </c>
      <c r="S464" s="13" t="s">
        <v>82</v>
      </c>
      <c r="T464" s="13" t="s">
        <v>86</v>
      </c>
      <c r="U464" s="13" t="s">
        <v>120</v>
      </c>
      <c r="V464" s="13" t="s">
        <v>112</v>
      </c>
      <c r="W464" t="s">
        <v>485</v>
      </c>
      <c r="X464" s="12">
        <v>1.5454545454545454</v>
      </c>
      <c r="Y464" s="12">
        <v>1.2</v>
      </c>
      <c r="Z464" s="12">
        <v>1</v>
      </c>
      <c r="AA464" s="12">
        <v>0.55555555555555558</v>
      </c>
      <c r="AB464" s="12">
        <v>2</v>
      </c>
      <c r="AC464" s="12">
        <v>0.66666666666666663</v>
      </c>
      <c r="AD464" s="12">
        <v>1.1612794612794612</v>
      </c>
    </row>
    <row r="465" spans="1:30" x14ac:dyDescent="0.3">
      <c r="A465" s="13">
        <v>21</v>
      </c>
      <c r="B465" s="13" t="s">
        <v>70</v>
      </c>
      <c r="C465" s="13" t="s">
        <v>96</v>
      </c>
      <c r="D465" s="13" t="s">
        <v>97</v>
      </c>
      <c r="E465" s="13" t="s">
        <v>73</v>
      </c>
      <c r="F465" s="13" t="s">
        <v>136</v>
      </c>
      <c r="G465" s="13" t="s">
        <v>99</v>
      </c>
      <c r="H465" s="13" t="s">
        <v>136</v>
      </c>
      <c r="I465" s="13" t="s">
        <v>76</v>
      </c>
      <c r="J465" s="13" t="s">
        <v>77</v>
      </c>
      <c r="K465" s="13" t="s">
        <v>122</v>
      </c>
      <c r="L465" s="13" t="s">
        <v>79</v>
      </c>
      <c r="M465" s="13" t="s">
        <v>102</v>
      </c>
      <c r="N465" s="13" t="s">
        <v>79</v>
      </c>
      <c r="O465" s="13" t="s">
        <v>487</v>
      </c>
      <c r="P465" s="13" t="s">
        <v>79</v>
      </c>
      <c r="Q465" s="13" t="s">
        <v>83</v>
      </c>
      <c r="R465" s="13" t="s">
        <v>79</v>
      </c>
      <c r="S465" s="13" t="s">
        <v>82</v>
      </c>
      <c r="T465" s="13" t="s">
        <v>86</v>
      </c>
      <c r="U465" s="13" t="s">
        <v>141</v>
      </c>
      <c r="V465" s="13" t="s">
        <v>112</v>
      </c>
      <c r="W465" t="s">
        <v>486</v>
      </c>
      <c r="X465" s="12">
        <v>2.1818181818181817</v>
      </c>
      <c r="Y465" s="12">
        <v>1.4</v>
      </c>
      <c r="Z465" s="12">
        <v>2</v>
      </c>
      <c r="AA465" s="12">
        <v>0.44444444444444442</v>
      </c>
      <c r="AB465" s="12">
        <v>2</v>
      </c>
      <c r="AC465" s="12">
        <v>0.66666666666666663</v>
      </c>
      <c r="AD465" s="12">
        <v>1.4488215488215488</v>
      </c>
    </row>
    <row r="466" spans="1:30" x14ac:dyDescent="0.3">
      <c r="A466" s="13">
        <v>18</v>
      </c>
      <c r="B466" s="13" t="s">
        <v>70</v>
      </c>
      <c r="C466" s="13" t="s">
        <v>157</v>
      </c>
      <c r="D466" s="13" t="s">
        <v>72</v>
      </c>
      <c r="E466" s="13" t="s">
        <v>73</v>
      </c>
      <c r="F466" s="13" t="s">
        <v>74</v>
      </c>
      <c r="G466" s="13" t="s">
        <v>439</v>
      </c>
      <c r="H466" s="13" t="s">
        <v>74</v>
      </c>
      <c r="I466" s="13" t="s">
        <v>439</v>
      </c>
      <c r="J466" s="13" t="s">
        <v>77</v>
      </c>
      <c r="K466" s="13" t="s">
        <v>131</v>
      </c>
      <c r="L466" s="13" t="s">
        <v>79</v>
      </c>
      <c r="M466" s="13" t="s">
        <v>132</v>
      </c>
      <c r="N466" s="13" t="s">
        <v>79</v>
      </c>
      <c r="O466" s="13" t="s">
        <v>489</v>
      </c>
      <c r="P466" s="13" t="s">
        <v>82</v>
      </c>
      <c r="Q466" s="13" t="s">
        <v>83</v>
      </c>
      <c r="R466" s="13" t="s">
        <v>79</v>
      </c>
      <c r="S466" s="13" t="s">
        <v>82</v>
      </c>
      <c r="T466" s="13" t="s">
        <v>106</v>
      </c>
      <c r="U466" s="13" t="s">
        <v>120</v>
      </c>
      <c r="V466" s="13" t="s">
        <v>112</v>
      </c>
      <c r="W466" t="s">
        <v>486</v>
      </c>
      <c r="X466" s="12">
        <v>2.7272727272727271</v>
      </c>
      <c r="Y466" s="12">
        <v>1.6</v>
      </c>
      <c r="Z466" s="12">
        <v>2.6666666666666665</v>
      </c>
      <c r="AA466" s="12">
        <v>0.33333333333333331</v>
      </c>
      <c r="AB466" s="12">
        <v>2</v>
      </c>
      <c r="AC466" s="12">
        <v>0.66666666666666663</v>
      </c>
      <c r="AD466" s="12">
        <v>1.6656565656565656</v>
      </c>
    </row>
    <row r="467" spans="1:30" x14ac:dyDescent="0.3">
      <c r="A467" s="13">
        <v>22</v>
      </c>
      <c r="B467" s="13" t="s">
        <v>70</v>
      </c>
      <c r="C467" s="13" t="s">
        <v>96</v>
      </c>
      <c r="D467" s="13" t="s">
        <v>149</v>
      </c>
      <c r="E467" s="13" t="s">
        <v>108</v>
      </c>
      <c r="F467" s="13" t="s">
        <v>98</v>
      </c>
      <c r="G467" s="13" t="s">
        <v>440</v>
      </c>
      <c r="H467" s="13" t="s">
        <v>165</v>
      </c>
      <c r="I467" s="13" t="s">
        <v>439</v>
      </c>
      <c r="J467" s="13" t="s">
        <v>77</v>
      </c>
      <c r="K467" s="13" t="s">
        <v>122</v>
      </c>
      <c r="L467" s="13" t="s">
        <v>79</v>
      </c>
      <c r="M467" s="13" t="s">
        <v>80</v>
      </c>
      <c r="N467" s="13" t="s">
        <v>82</v>
      </c>
      <c r="O467" s="13" t="s">
        <v>490</v>
      </c>
      <c r="P467" s="13" t="s">
        <v>79</v>
      </c>
      <c r="Q467" s="13" t="s">
        <v>83</v>
      </c>
      <c r="R467" s="13" t="s">
        <v>79</v>
      </c>
      <c r="S467" s="13" t="s">
        <v>79</v>
      </c>
      <c r="T467" s="13" t="s">
        <v>148</v>
      </c>
      <c r="U467" s="13" t="s">
        <v>141</v>
      </c>
      <c r="V467" s="13" t="s">
        <v>127</v>
      </c>
      <c r="W467" t="s">
        <v>485</v>
      </c>
      <c r="X467" s="12">
        <v>1.5454545454545454</v>
      </c>
      <c r="Y467" s="12">
        <v>1.6</v>
      </c>
      <c r="Z467" s="12">
        <v>2</v>
      </c>
      <c r="AA467" s="12">
        <v>1.1111111111111112</v>
      </c>
      <c r="AB467" s="12">
        <v>1.8</v>
      </c>
      <c r="AC467" s="12">
        <v>0.66666666666666663</v>
      </c>
      <c r="AD467" s="12">
        <v>1.453872053872054</v>
      </c>
    </row>
    <row r="468" spans="1:30" x14ac:dyDescent="0.3">
      <c r="A468" s="13">
        <v>25</v>
      </c>
      <c r="B468" s="13" t="s">
        <v>70</v>
      </c>
      <c r="C468" s="13" t="s">
        <v>71</v>
      </c>
      <c r="D468" s="13" t="s">
        <v>149</v>
      </c>
      <c r="E468" s="13" t="s">
        <v>73</v>
      </c>
      <c r="F468" s="13" t="s">
        <v>74</v>
      </c>
      <c r="G468" s="13" t="s">
        <v>99</v>
      </c>
      <c r="H468" s="13" t="s">
        <v>74</v>
      </c>
      <c r="I468" s="13" t="s">
        <v>439</v>
      </c>
      <c r="J468" s="13" t="s">
        <v>77</v>
      </c>
      <c r="K468" s="13" t="s">
        <v>122</v>
      </c>
      <c r="L468" s="13" t="s">
        <v>79</v>
      </c>
      <c r="M468" s="13" t="s">
        <v>80</v>
      </c>
      <c r="N468" s="13" t="s">
        <v>79</v>
      </c>
      <c r="O468" s="13" t="s">
        <v>488</v>
      </c>
      <c r="P468" s="13" t="s">
        <v>82</v>
      </c>
      <c r="Q468" s="13" t="s">
        <v>83</v>
      </c>
      <c r="R468" s="13" t="s">
        <v>79</v>
      </c>
      <c r="S468" s="13" t="s">
        <v>79</v>
      </c>
      <c r="T468" s="13" t="s">
        <v>86</v>
      </c>
      <c r="U468" s="13" t="s">
        <v>141</v>
      </c>
      <c r="V468" s="13" t="s">
        <v>112</v>
      </c>
      <c r="W468" t="s">
        <v>486</v>
      </c>
      <c r="X468" s="12">
        <v>1</v>
      </c>
      <c r="Y468" s="12">
        <v>0.8</v>
      </c>
      <c r="Z468" s="12">
        <v>1</v>
      </c>
      <c r="AA468" s="12">
        <v>1.6666666666666667</v>
      </c>
      <c r="AB468" s="12">
        <v>1.6</v>
      </c>
      <c r="AC468" s="12">
        <v>0.66666666666666663</v>
      </c>
      <c r="AD468" s="12">
        <v>1.1222222222222222</v>
      </c>
    </row>
    <row r="469" spans="1:30" x14ac:dyDescent="0.3">
      <c r="A469" s="13">
        <v>22</v>
      </c>
      <c r="B469" s="13" t="s">
        <v>128</v>
      </c>
      <c r="C469" s="13" t="s">
        <v>113</v>
      </c>
      <c r="D469" s="13" t="s">
        <v>97</v>
      </c>
      <c r="E469" s="13" t="s">
        <v>108</v>
      </c>
      <c r="F469" s="13" t="s">
        <v>100</v>
      </c>
      <c r="G469" s="13" t="s">
        <v>440</v>
      </c>
      <c r="H469" s="13" t="s">
        <v>100</v>
      </c>
      <c r="I469" s="13" t="s">
        <v>76</v>
      </c>
      <c r="J469" s="13" t="s">
        <v>101</v>
      </c>
      <c r="K469" s="13" t="s">
        <v>122</v>
      </c>
      <c r="L469" s="13" t="s">
        <v>82</v>
      </c>
      <c r="M469" s="13" t="s">
        <v>102</v>
      </c>
      <c r="N469" s="13" t="s">
        <v>82</v>
      </c>
      <c r="O469" s="13" t="s">
        <v>488</v>
      </c>
      <c r="P469" s="13" t="s">
        <v>79</v>
      </c>
      <c r="Q469" s="13" t="s">
        <v>83</v>
      </c>
      <c r="R469" s="13" t="s">
        <v>79</v>
      </c>
      <c r="S469" s="13" t="s">
        <v>79</v>
      </c>
      <c r="T469" s="13" t="s">
        <v>106</v>
      </c>
      <c r="U469" s="13" t="s">
        <v>141</v>
      </c>
      <c r="V469" s="13" t="s">
        <v>112</v>
      </c>
      <c r="W469" t="s">
        <v>486</v>
      </c>
      <c r="X469" s="12">
        <v>2.1818181818181817</v>
      </c>
      <c r="Y469" s="12">
        <v>1.4</v>
      </c>
      <c r="Z469" s="12">
        <v>1.3333333333333333</v>
      </c>
      <c r="AA469" s="12">
        <v>0.44444444444444442</v>
      </c>
      <c r="AB469" s="12">
        <v>1.6</v>
      </c>
      <c r="AC469" s="12">
        <v>0.66666666666666663</v>
      </c>
      <c r="AD469" s="12">
        <v>1.2710437710437712</v>
      </c>
    </row>
    <row r="470" spans="1:30" x14ac:dyDescent="0.3">
      <c r="A470" s="13">
        <v>23</v>
      </c>
      <c r="B470" s="13" t="s">
        <v>70</v>
      </c>
      <c r="C470" s="13" t="s">
        <v>113</v>
      </c>
      <c r="D470" s="13" t="s">
        <v>72</v>
      </c>
      <c r="E470" s="13" t="s">
        <v>108</v>
      </c>
      <c r="F470" s="13" t="s">
        <v>98</v>
      </c>
      <c r="G470" s="13" t="s">
        <v>166</v>
      </c>
      <c r="H470" s="13" t="s">
        <v>136</v>
      </c>
      <c r="I470" s="13" t="s">
        <v>166</v>
      </c>
      <c r="J470" s="13" t="s">
        <v>77</v>
      </c>
      <c r="K470" s="13" t="s">
        <v>125</v>
      </c>
      <c r="L470" s="13" t="s">
        <v>79</v>
      </c>
      <c r="M470" s="13" t="s">
        <v>80</v>
      </c>
      <c r="N470" s="13" t="s">
        <v>79</v>
      </c>
      <c r="O470" s="13" t="s">
        <v>487</v>
      </c>
      <c r="P470" s="13" t="s">
        <v>79</v>
      </c>
      <c r="Q470" s="13" t="s">
        <v>83</v>
      </c>
      <c r="R470" s="13" t="s">
        <v>79</v>
      </c>
      <c r="S470" s="13" t="s">
        <v>79</v>
      </c>
      <c r="T470" s="13" t="s">
        <v>86</v>
      </c>
      <c r="U470" s="13" t="s">
        <v>87</v>
      </c>
      <c r="V470" s="13" t="s">
        <v>127</v>
      </c>
      <c r="W470" t="s">
        <v>485</v>
      </c>
      <c r="X470" s="12">
        <v>1.4545454545454546</v>
      </c>
      <c r="Y470" s="12">
        <v>1.4</v>
      </c>
      <c r="Z470" s="12">
        <v>1.6666666666666667</v>
      </c>
      <c r="AA470" s="12">
        <v>1.6666666666666667</v>
      </c>
      <c r="AB470" s="12">
        <v>1.4</v>
      </c>
      <c r="AC470" s="12">
        <v>0.66666666666666663</v>
      </c>
      <c r="AD470" s="12">
        <v>1.3757575757575757</v>
      </c>
    </row>
    <row r="471" spans="1:30" x14ac:dyDescent="0.3">
      <c r="A471" s="13">
        <v>22</v>
      </c>
      <c r="B471" s="13" t="s">
        <v>70</v>
      </c>
      <c r="C471" s="13" t="s">
        <v>113</v>
      </c>
      <c r="D471" s="13" t="s">
        <v>72</v>
      </c>
      <c r="E471" s="13" t="s">
        <v>108</v>
      </c>
      <c r="F471" s="13" t="s">
        <v>98</v>
      </c>
      <c r="G471" s="13" t="s">
        <v>440</v>
      </c>
      <c r="H471" s="13" t="s">
        <v>98</v>
      </c>
      <c r="I471" s="13" t="s">
        <v>76</v>
      </c>
      <c r="J471" s="13" t="s">
        <v>77</v>
      </c>
      <c r="K471" s="13" t="s">
        <v>122</v>
      </c>
      <c r="L471" s="13" t="s">
        <v>79</v>
      </c>
      <c r="M471" s="13" t="s">
        <v>80</v>
      </c>
      <c r="N471" s="13" t="s">
        <v>79</v>
      </c>
      <c r="O471" s="13" t="s">
        <v>487</v>
      </c>
      <c r="P471" s="13" t="s">
        <v>79</v>
      </c>
      <c r="Q471" s="13" t="s">
        <v>83</v>
      </c>
      <c r="R471" s="13" t="s">
        <v>79</v>
      </c>
      <c r="S471" s="13" t="s">
        <v>82</v>
      </c>
      <c r="T471" s="13" t="s">
        <v>86</v>
      </c>
      <c r="U471" s="13" t="s">
        <v>87</v>
      </c>
      <c r="V471" s="13" t="s">
        <v>127</v>
      </c>
      <c r="W471" t="s">
        <v>486</v>
      </c>
      <c r="X471" s="12">
        <v>1.6363636363636365</v>
      </c>
      <c r="Y471" s="12">
        <v>1</v>
      </c>
      <c r="Z471" s="12">
        <v>1.6666666666666667</v>
      </c>
      <c r="AA471" s="12">
        <v>1.5555555555555556</v>
      </c>
      <c r="AB471" s="12">
        <v>1.4</v>
      </c>
      <c r="AC471" s="12">
        <v>0.66666666666666663</v>
      </c>
      <c r="AD471" s="12">
        <v>1.320875420875421</v>
      </c>
    </row>
    <row r="472" spans="1:30" x14ac:dyDescent="0.3">
      <c r="A472" s="13">
        <v>22</v>
      </c>
      <c r="B472" s="13" t="s">
        <v>70</v>
      </c>
      <c r="C472" s="13" t="s">
        <v>96</v>
      </c>
      <c r="D472" s="13" t="s">
        <v>97</v>
      </c>
      <c r="E472" s="13" t="s">
        <v>108</v>
      </c>
      <c r="F472" s="13" t="s">
        <v>74</v>
      </c>
      <c r="G472" s="13" t="s">
        <v>439</v>
      </c>
      <c r="H472" s="13" t="s">
        <v>74</v>
      </c>
      <c r="I472" s="13" t="s">
        <v>76</v>
      </c>
      <c r="J472" s="13" t="s">
        <v>101</v>
      </c>
      <c r="K472" s="13" t="s">
        <v>122</v>
      </c>
      <c r="L472" s="13" t="s">
        <v>79</v>
      </c>
      <c r="M472" s="13" t="s">
        <v>102</v>
      </c>
      <c r="N472" s="13" t="s">
        <v>79</v>
      </c>
      <c r="O472" s="13" t="s">
        <v>489</v>
      </c>
      <c r="P472" s="13" t="s">
        <v>79</v>
      </c>
      <c r="Q472" s="13" t="s">
        <v>83</v>
      </c>
      <c r="R472" s="13" t="s">
        <v>79</v>
      </c>
      <c r="S472" s="13" t="s">
        <v>79</v>
      </c>
      <c r="T472" s="13" t="s">
        <v>106</v>
      </c>
      <c r="U472" s="13" t="s">
        <v>141</v>
      </c>
      <c r="V472" s="13" t="s">
        <v>127</v>
      </c>
      <c r="W472" t="s">
        <v>486</v>
      </c>
      <c r="X472" s="12">
        <v>1.1818181818181819</v>
      </c>
      <c r="Y472" s="12">
        <v>1.8</v>
      </c>
      <c r="Z472" s="12">
        <v>1.6666666666666667</v>
      </c>
      <c r="AA472" s="12">
        <v>1.2222222222222223</v>
      </c>
      <c r="AB472" s="12">
        <v>1.4</v>
      </c>
      <c r="AC472" s="12">
        <v>0.66666666666666663</v>
      </c>
      <c r="AD472" s="12">
        <v>1.3228956228956228</v>
      </c>
    </row>
    <row r="473" spans="1:30" x14ac:dyDescent="0.3">
      <c r="A473" s="13">
        <v>23</v>
      </c>
      <c r="B473" s="13" t="s">
        <v>70</v>
      </c>
      <c r="C473" s="13" t="s">
        <v>96</v>
      </c>
      <c r="D473" s="13" t="s">
        <v>149</v>
      </c>
      <c r="E473" s="13" t="s">
        <v>73</v>
      </c>
      <c r="F473" s="13" t="s">
        <v>136</v>
      </c>
      <c r="G473" s="13" t="s">
        <v>439</v>
      </c>
      <c r="H473" s="13" t="s">
        <v>136</v>
      </c>
      <c r="I473" s="13" t="s">
        <v>76</v>
      </c>
      <c r="J473" s="13" t="s">
        <v>77</v>
      </c>
      <c r="K473" s="13" t="s">
        <v>78</v>
      </c>
      <c r="L473" s="13" t="s">
        <v>79</v>
      </c>
      <c r="M473" s="13" t="s">
        <v>80</v>
      </c>
      <c r="N473" s="13" t="s">
        <v>79</v>
      </c>
      <c r="O473" s="13" t="s">
        <v>488</v>
      </c>
      <c r="P473" s="13" t="s">
        <v>82</v>
      </c>
      <c r="Q473" s="13" t="s">
        <v>118</v>
      </c>
      <c r="R473" s="13" t="s">
        <v>79</v>
      </c>
      <c r="S473" s="13" t="s">
        <v>79</v>
      </c>
      <c r="T473" s="13" t="s">
        <v>106</v>
      </c>
      <c r="U473" s="13" t="s">
        <v>87</v>
      </c>
      <c r="V473" s="13" t="s">
        <v>127</v>
      </c>
      <c r="W473" t="s">
        <v>486</v>
      </c>
      <c r="X473" s="12">
        <v>1.2727272727272727</v>
      </c>
      <c r="Y473" s="12">
        <v>1.6</v>
      </c>
      <c r="Z473" s="12">
        <v>1.3333333333333333</v>
      </c>
      <c r="AA473" s="12">
        <v>1</v>
      </c>
      <c r="AB473" s="12">
        <v>1.4</v>
      </c>
      <c r="AC473" s="12">
        <v>0.66666666666666663</v>
      </c>
      <c r="AD473" s="12">
        <v>1.2121212121212122</v>
      </c>
    </row>
    <row r="474" spans="1:30" x14ac:dyDescent="0.3">
      <c r="A474" s="13">
        <v>24</v>
      </c>
      <c r="B474" s="13" t="s">
        <v>70</v>
      </c>
      <c r="C474" s="13" t="s">
        <v>71</v>
      </c>
      <c r="D474" s="13" t="s">
        <v>72</v>
      </c>
      <c r="E474" s="13" t="s">
        <v>108</v>
      </c>
      <c r="F474" s="13" t="s">
        <v>98</v>
      </c>
      <c r="G474" s="13" t="s">
        <v>166</v>
      </c>
      <c r="H474" s="13" t="s">
        <v>98</v>
      </c>
      <c r="I474" s="13" t="s">
        <v>76</v>
      </c>
      <c r="J474" s="13" t="s">
        <v>77</v>
      </c>
      <c r="K474" s="13" t="s">
        <v>122</v>
      </c>
      <c r="L474" s="13" t="s">
        <v>79</v>
      </c>
      <c r="M474" s="13" t="s">
        <v>80</v>
      </c>
      <c r="N474" s="13" t="s">
        <v>79</v>
      </c>
      <c r="O474" s="13" t="s">
        <v>487</v>
      </c>
      <c r="P474" s="13" t="s">
        <v>79</v>
      </c>
      <c r="Q474" s="13" t="s">
        <v>118</v>
      </c>
      <c r="R474" s="13" t="s">
        <v>79</v>
      </c>
      <c r="S474" s="13" t="s">
        <v>82</v>
      </c>
      <c r="T474" s="13" t="s">
        <v>86</v>
      </c>
      <c r="U474" s="13" t="s">
        <v>120</v>
      </c>
      <c r="V474" s="13" t="s">
        <v>127</v>
      </c>
      <c r="W474" t="s">
        <v>486</v>
      </c>
      <c r="X474" s="12">
        <v>1.2727272727272727</v>
      </c>
      <c r="Y474" s="12">
        <v>1.2</v>
      </c>
      <c r="Z474" s="12">
        <v>1.6666666666666667</v>
      </c>
      <c r="AA474" s="12">
        <v>0.77777777777777779</v>
      </c>
      <c r="AB474" s="12">
        <v>1.4</v>
      </c>
      <c r="AC474" s="12">
        <v>0.66666666666666663</v>
      </c>
      <c r="AD474" s="12">
        <v>1.1639730639730641</v>
      </c>
    </row>
    <row r="475" spans="1:30" x14ac:dyDescent="0.3">
      <c r="A475" s="13">
        <v>23</v>
      </c>
      <c r="B475" s="13" t="s">
        <v>70</v>
      </c>
      <c r="C475" s="13" t="s">
        <v>113</v>
      </c>
      <c r="D475" s="13" t="s">
        <v>72</v>
      </c>
      <c r="E475" s="13" t="s">
        <v>108</v>
      </c>
      <c r="F475" s="13" t="s">
        <v>136</v>
      </c>
      <c r="G475" s="13" t="s">
        <v>440</v>
      </c>
      <c r="H475" s="13" t="s">
        <v>98</v>
      </c>
      <c r="I475" s="13" t="s">
        <v>76</v>
      </c>
      <c r="J475" s="13" t="s">
        <v>77</v>
      </c>
      <c r="K475" s="13" t="s">
        <v>122</v>
      </c>
      <c r="L475" s="13" t="s">
        <v>79</v>
      </c>
      <c r="M475" s="13" t="s">
        <v>80</v>
      </c>
      <c r="N475" s="13" t="s">
        <v>79</v>
      </c>
      <c r="O475" s="13" t="s">
        <v>487</v>
      </c>
      <c r="P475" s="13" t="s">
        <v>79</v>
      </c>
      <c r="Q475" s="13" t="s">
        <v>83</v>
      </c>
      <c r="R475" s="13" t="s">
        <v>79</v>
      </c>
      <c r="S475" s="13" t="s">
        <v>79</v>
      </c>
      <c r="T475" s="13" t="s">
        <v>148</v>
      </c>
      <c r="U475" s="13" t="s">
        <v>87</v>
      </c>
      <c r="V475" s="13" t="s">
        <v>127</v>
      </c>
      <c r="W475" t="s">
        <v>486</v>
      </c>
      <c r="X475" s="12">
        <v>1.2727272727272727</v>
      </c>
      <c r="Y475" s="12">
        <v>1.4</v>
      </c>
      <c r="Z475" s="12">
        <v>0.33333333333333331</v>
      </c>
      <c r="AA475" s="12">
        <v>1.5555555555555556</v>
      </c>
      <c r="AB475" s="12">
        <v>1.2</v>
      </c>
      <c r="AC475" s="12">
        <v>0.66666666666666663</v>
      </c>
      <c r="AD475" s="12">
        <v>1.0713804713804715</v>
      </c>
    </row>
    <row r="476" spans="1:30" x14ac:dyDescent="0.3">
      <c r="A476" s="13">
        <v>22</v>
      </c>
      <c r="B476" s="13" t="s">
        <v>128</v>
      </c>
      <c r="C476" s="13" t="s">
        <v>113</v>
      </c>
      <c r="D476" s="13" t="s">
        <v>97</v>
      </c>
      <c r="E476" s="13" t="s">
        <v>73</v>
      </c>
      <c r="F476" s="13" t="s">
        <v>98</v>
      </c>
      <c r="G476" s="13" t="s">
        <v>440</v>
      </c>
      <c r="H476" s="13" t="s">
        <v>165</v>
      </c>
      <c r="I476" s="13" t="s">
        <v>76</v>
      </c>
      <c r="J476" s="13" t="s">
        <v>77</v>
      </c>
      <c r="K476" s="13" t="s">
        <v>122</v>
      </c>
      <c r="L476" s="13" t="s">
        <v>79</v>
      </c>
      <c r="M476" s="13" t="s">
        <v>132</v>
      </c>
      <c r="N476" s="13" t="s">
        <v>79</v>
      </c>
      <c r="O476" s="13" t="s">
        <v>488</v>
      </c>
      <c r="P476" s="13" t="s">
        <v>79</v>
      </c>
      <c r="Q476" s="13" t="s">
        <v>83</v>
      </c>
      <c r="R476" s="13" t="s">
        <v>79</v>
      </c>
      <c r="S476" s="13" t="s">
        <v>79</v>
      </c>
      <c r="T476" s="13" t="s">
        <v>106</v>
      </c>
      <c r="U476" s="13" t="s">
        <v>120</v>
      </c>
      <c r="V476" s="13" t="s">
        <v>127</v>
      </c>
      <c r="W476" t="s">
        <v>486</v>
      </c>
      <c r="X476" s="12">
        <v>1.3636363636363635</v>
      </c>
      <c r="Y476" s="12">
        <v>1.6</v>
      </c>
      <c r="Z476" s="12">
        <v>1.6666666666666667</v>
      </c>
      <c r="AA476" s="12">
        <v>2</v>
      </c>
      <c r="AB476" s="12">
        <v>1</v>
      </c>
      <c r="AC476" s="12">
        <v>0.66666666666666663</v>
      </c>
      <c r="AD476" s="12">
        <v>1.3828282828282827</v>
      </c>
    </row>
    <row r="477" spans="1:30" x14ac:dyDescent="0.3">
      <c r="A477" s="13">
        <v>23</v>
      </c>
      <c r="B477" s="13" t="s">
        <v>70</v>
      </c>
      <c r="C477" s="13" t="s">
        <v>96</v>
      </c>
      <c r="D477" s="13" t="s">
        <v>149</v>
      </c>
      <c r="E477" s="13" t="s">
        <v>73</v>
      </c>
      <c r="F477" s="13" t="s">
        <v>136</v>
      </c>
      <c r="G477" s="13" t="s">
        <v>439</v>
      </c>
      <c r="H477" s="13" t="s">
        <v>136</v>
      </c>
      <c r="I477" s="13" t="s">
        <v>76</v>
      </c>
      <c r="J477" s="13" t="s">
        <v>77</v>
      </c>
      <c r="K477" s="13" t="s">
        <v>122</v>
      </c>
      <c r="L477" s="13" t="s">
        <v>79</v>
      </c>
      <c r="M477" s="13" t="s">
        <v>80</v>
      </c>
      <c r="N477" s="13" t="s">
        <v>79</v>
      </c>
      <c r="O477" s="13" t="s">
        <v>488</v>
      </c>
      <c r="P477" s="13" t="s">
        <v>82</v>
      </c>
      <c r="Q477" s="13" t="s">
        <v>118</v>
      </c>
      <c r="R477" s="13" t="s">
        <v>79</v>
      </c>
      <c r="S477" s="13" t="s">
        <v>79</v>
      </c>
      <c r="T477" s="13" t="s">
        <v>106</v>
      </c>
      <c r="U477" s="13" t="s">
        <v>87</v>
      </c>
      <c r="V477" s="13" t="s">
        <v>160</v>
      </c>
      <c r="W477" t="s">
        <v>486</v>
      </c>
      <c r="X477" s="12">
        <v>1.4545454545454546</v>
      </c>
      <c r="Y477" s="12">
        <v>1</v>
      </c>
      <c r="Z477" s="12">
        <v>1.6666666666666667</v>
      </c>
      <c r="AA477" s="12">
        <v>1.2222222222222223</v>
      </c>
      <c r="AB477" s="12">
        <v>1</v>
      </c>
      <c r="AC477" s="12">
        <v>0.66666666666666663</v>
      </c>
      <c r="AD477" s="12">
        <v>1.1683501683501685</v>
      </c>
    </row>
    <row r="478" spans="1:30" x14ac:dyDescent="0.3">
      <c r="A478" s="13">
        <v>24</v>
      </c>
      <c r="B478" s="13" t="s">
        <v>70</v>
      </c>
      <c r="C478" s="13" t="s">
        <v>113</v>
      </c>
      <c r="D478" s="13" t="s">
        <v>72</v>
      </c>
      <c r="E478" s="13" t="s">
        <v>114</v>
      </c>
      <c r="F478" s="13" t="s">
        <v>136</v>
      </c>
      <c r="G478" s="13" t="s">
        <v>439</v>
      </c>
      <c r="H478" s="13" t="s">
        <v>100</v>
      </c>
      <c r="I478" s="13" t="s">
        <v>76</v>
      </c>
      <c r="J478" s="13" t="s">
        <v>77</v>
      </c>
      <c r="K478" s="13" t="s">
        <v>122</v>
      </c>
      <c r="L478" s="13" t="s">
        <v>79</v>
      </c>
      <c r="M478" s="13" t="s">
        <v>80</v>
      </c>
      <c r="N478" s="13" t="s">
        <v>79</v>
      </c>
      <c r="O478" s="13" t="s">
        <v>487</v>
      </c>
      <c r="P478" s="13" t="s">
        <v>79</v>
      </c>
      <c r="Q478" s="13" t="s">
        <v>83</v>
      </c>
      <c r="R478" s="13" t="s">
        <v>79</v>
      </c>
      <c r="S478" s="13" t="s">
        <v>79</v>
      </c>
      <c r="T478" s="13" t="s">
        <v>86</v>
      </c>
      <c r="U478" s="13" t="s">
        <v>141</v>
      </c>
      <c r="V478" s="13" t="s">
        <v>112</v>
      </c>
      <c r="W478" t="s">
        <v>486</v>
      </c>
      <c r="X478" s="12">
        <v>1.2727272727272727</v>
      </c>
      <c r="Y478" s="12">
        <v>1.8</v>
      </c>
      <c r="Z478" s="12">
        <v>1</v>
      </c>
      <c r="AA478" s="12">
        <v>1.2222222222222223</v>
      </c>
      <c r="AB478" s="12">
        <v>1</v>
      </c>
      <c r="AC478" s="12">
        <v>0.66666666666666663</v>
      </c>
      <c r="AD478" s="12">
        <v>1.1602693602693603</v>
      </c>
    </row>
    <row r="479" spans="1:30" x14ac:dyDescent="0.3">
      <c r="A479" s="13">
        <v>23</v>
      </c>
      <c r="B479" s="13" t="s">
        <v>70</v>
      </c>
      <c r="C479" s="13" t="s">
        <v>113</v>
      </c>
      <c r="D479" s="13" t="s">
        <v>72</v>
      </c>
      <c r="E479" s="13" t="s">
        <v>73</v>
      </c>
      <c r="F479" s="13" t="s">
        <v>98</v>
      </c>
      <c r="G479" s="13" t="s">
        <v>440</v>
      </c>
      <c r="H479" s="13" t="s">
        <v>98</v>
      </c>
      <c r="I479" s="13" t="s">
        <v>76</v>
      </c>
      <c r="J479" s="13" t="s">
        <v>101</v>
      </c>
      <c r="K479" s="13" t="s">
        <v>78</v>
      </c>
      <c r="L479" s="13" t="s">
        <v>79</v>
      </c>
      <c r="M479" s="13" t="s">
        <v>80</v>
      </c>
      <c r="N479" s="13" t="s">
        <v>82</v>
      </c>
      <c r="O479" s="13" t="s">
        <v>488</v>
      </c>
      <c r="P479" s="13" t="s">
        <v>79</v>
      </c>
      <c r="Q479" s="13" t="s">
        <v>118</v>
      </c>
      <c r="R479" s="13" t="s">
        <v>82</v>
      </c>
      <c r="S479" s="13" t="s">
        <v>82</v>
      </c>
      <c r="T479" s="13" t="s">
        <v>86</v>
      </c>
      <c r="U479" s="13" t="s">
        <v>141</v>
      </c>
      <c r="V479" s="13" t="s">
        <v>112</v>
      </c>
      <c r="W479" t="s">
        <v>486</v>
      </c>
      <c r="X479" s="12">
        <v>1.6363636363636365</v>
      </c>
      <c r="Y479" s="12">
        <v>1</v>
      </c>
      <c r="Z479" s="12">
        <v>0.66666666666666663</v>
      </c>
      <c r="AA479" s="12">
        <v>1.2222222222222223</v>
      </c>
      <c r="AB479" s="12">
        <v>1</v>
      </c>
      <c r="AC479" s="12">
        <v>0.66666666666666663</v>
      </c>
      <c r="AD479" s="12">
        <v>1.0319865319865322</v>
      </c>
    </row>
    <row r="480" spans="1:30" x14ac:dyDescent="0.3">
      <c r="A480" s="13">
        <v>21</v>
      </c>
      <c r="B480" s="13" t="s">
        <v>70</v>
      </c>
      <c r="C480" s="13" t="s">
        <v>157</v>
      </c>
      <c r="D480" s="13" t="s">
        <v>97</v>
      </c>
      <c r="E480" s="13" t="s">
        <v>108</v>
      </c>
      <c r="F480" s="13" t="s">
        <v>74</v>
      </c>
      <c r="G480" s="13" t="s">
        <v>440</v>
      </c>
      <c r="H480" s="13" t="s">
        <v>165</v>
      </c>
      <c r="I480" s="13" t="s">
        <v>76</v>
      </c>
      <c r="J480" s="13" t="s">
        <v>77</v>
      </c>
      <c r="K480" s="13" t="s">
        <v>131</v>
      </c>
      <c r="L480" s="13" t="s">
        <v>79</v>
      </c>
      <c r="M480" s="13" t="s">
        <v>102</v>
      </c>
      <c r="N480" s="13" t="s">
        <v>79</v>
      </c>
      <c r="O480" s="13" t="s">
        <v>490</v>
      </c>
      <c r="P480" s="13" t="s">
        <v>79</v>
      </c>
      <c r="Q480" s="13" t="s">
        <v>103</v>
      </c>
      <c r="R480" s="13" t="s">
        <v>79</v>
      </c>
      <c r="S480" s="13" t="s">
        <v>82</v>
      </c>
      <c r="T480" s="13" t="s">
        <v>148</v>
      </c>
      <c r="U480" s="13" t="s">
        <v>141</v>
      </c>
      <c r="V480" s="13" t="s">
        <v>112</v>
      </c>
      <c r="W480" t="s">
        <v>486</v>
      </c>
      <c r="X480" s="12">
        <v>0.45454545454545453</v>
      </c>
      <c r="Y480" s="12">
        <v>0.8</v>
      </c>
      <c r="Z480" s="12">
        <v>0.66666666666666663</v>
      </c>
      <c r="AA480" s="12">
        <v>0.66666666666666663</v>
      </c>
      <c r="AB480" s="12">
        <v>1</v>
      </c>
      <c r="AC480" s="12">
        <v>0.66666666666666663</v>
      </c>
      <c r="AD480" s="12">
        <v>0.70909090909090911</v>
      </c>
    </row>
    <row r="481" spans="1:30" x14ac:dyDescent="0.3">
      <c r="A481" s="13">
        <v>21</v>
      </c>
      <c r="B481" s="13" t="s">
        <v>70</v>
      </c>
      <c r="C481" s="13" t="s">
        <v>157</v>
      </c>
      <c r="D481" s="13" t="s">
        <v>72</v>
      </c>
      <c r="E481" s="13" t="s">
        <v>114</v>
      </c>
      <c r="F481" s="13" t="s">
        <v>98</v>
      </c>
      <c r="G481" s="13" t="s">
        <v>438</v>
      </c>
      <c r="H481" s="13" t="s">
        <v>100</v>
      </c>
      <c r="I481" s="13" t="s">
        <v>76</v>
      </c>
      <c r="J481" s="13" t="s">
        <v>101</v>
      </c>
      <c r="K481" s="13" t="s">
        <v>125</v>
      </c>
      <c r="L481" s="13" t="s">
        <v>79</v>
      </c>
      <c r="M481" s="13" t="s">
        <v>80</v>
      </c>
      <c r="N481" s="13" t="s">
        <v>79</v>
      </c>
      <c r="O481" s="13" t="s">
        <v>490</v>
      </c>
      <c r="P481" s="13" t="s">
        <v>82</v>
      </c>
      <c r="Q481" s="13" t="s">
        <v>83</v>
      </c>
      <c r="R481" s="13" t="s">
        <v>82</v>
      </c>
      <c r="S481" s="13" t="s">
        <v>82</v>
      </c>
      <c r="T481" s="13" t="s">
        <v>106</v>
      </c>
      <c r="U481" s="13" t="s">
        <v>141</v>
      </c>
      <c r="V481" s="13" t="s">
        <v>455</v>
      </c>
      <c r="W481" t="s">
        <v>485</v>
      </c>
      <c r="X481" s="12">
        <v>0.72727272727272729</v>
      </c>
      <c r="Y481" s="12">
        <v>0.6</v>
      </c>
      <c r="Z481" s="12">
        <v>1</v>
      </c>
      <c r="AA481" s="12">
        <v>0.22222222222222221</v>
      </c>
      <c r="AB481" s="12">
        <v>1</v>
      </c>
      <c r="AC481" s="12">
        <v>0.66666666666666663</v>
      </c>
      <c r="AD481" s="12">
        <v>0.7026936026936027</v>
      </c>
    </row>
    <row r="482" spans="1:30" x14ac:dyDescent="0.3">
      <c r="A482" s="13">
        <v>23</v>
      </c>
      <c r="B482" s="13" t="s">
        <v>70</v>
      </c>
      <c r="C482" s="13" t="s">
        <v>113</v>
      </c>
      <c r="D482" s="13" t="s">
        <v>97</v>
      </c>
      <c r="E482" s="13" t="s">
        <v>108</v>
      </c>
      <c r="F482" s="13" t="s">
        <v>74</v>
      </c>
      <c r="G482" s="13" t="s">
        <v>166</v>
      </c>
      <c r="H482" s="13" t="s">
        <v>136</v>
      </c>
      <c r="I482" s="13" t="s">
        <v>76</v>
      </c>
      <c r="J482" s="13" t="s">
        <v>77</v>
      </c>
      <c r="K482" s="13" t="s">
        <v>125</v>
      </c>
      <c r="L482" s="13" t="s">
        <v>79</v>
      </c>
      <c r="M482" s="13" t="s">
        <v>80</v>
      </c>
      <c r="N482" s="13" t="s">
        <v>79</v>
      </c>
      <c r="O482" s="13" t="s">
        <v>488</v>
      </c>
      <c r="P482" s="13" t="s">
        <v>79</v>
      </c>
      <c r="Q482" s="13" t="s">
        <v>83</v>
      </c>
      <c r="R482" s="13" t="s">
        <v>79</v>
      </c>
      <c r="S482" s="13" t="s">
        <v>79</v>
      </c>
      <c r="T482" s="13" t="s">
        <v>106</v>
      </c>
      <c r="U482" s="13" t="s">
        <v>87</v>
      </c>
      <c r="V482" s="13" t="s">
        <v>112</v>
      </c>
      <c r="W482" t="s">
        <v>486</v>
      </c>
      <c r="X482" s="12">
        <v>1.0909090909090908</v>
      </c>
      <c r="Y482" s="12">
        <v>1</v>
      </c>
      <c r="Z482" s="12">
        <v>1</v>
      </c>
      <c r="AA482" s="12">
        <v>1</v>
      </c>
      <c r="AB482" s="12">
        <v>0.8</v>
      </c>
      <c r="AC482" s="12">
        <v>0.66666666666666663</v>
      </c>
      <c r="AD482" s="12">
        <v>0.92626262626262623</v>
      </c>
    </row>
    <row r="483" spans="1:30" x14ac:dyDescent="0.3">
      <c r="A483" s="13">
        <v>20</v>
      </c>
      <c r="B483" s="13" t="s">
        <v>70</v>
      </c>
      <c r="C483" s="13" t="s">
        <v>157</v>
      </c>
      <c r="D483" s="13" t="s">
        <v>72</v>
      </c>
      <c r="E483" s="13" t="s">
        <v>73</v>
      </c>
      <c r="F483" s="13" t="s">
        <v>136</v>
      </c>
      <c r="G483" s="13" t="s">
        <v>439</v>
      </c>
      <c r="H483" s="13" t="s">
        <v>136</v>
      </c>
      <c r="I483" s="13" t="s">
        <v>76</v>
      </c>
      <c r="J483" s="13" t="s">
        <v>77</v>
      </c>
      <c r="K483" s="13" t="s">
        <v>122</v>
      </c>
      <c r="L483" s="13" t="s">
        <v>79</v>
      </c>
      <c r="M483" s="13" t="s">
        <v>80</v>
      </c>
      <c r="N483" s="13" t="s">
        <v>82</v>
      </c>
      <c r="O483" s="13" t="s">
        <v>487</v>
      </c>
      <c r="P483" s="13" t="s">
        <v>79</v>
      </c>
      <c r="Q483" s="13" t="s">
        <v>83</v>
      </c>
      <c r="R483" s="13" t="s">
        <v>79</v>
      </c>
      <c r="S483" s="13" t="s">
        <v>79</v>
      </c>
      <c r="T483" s="13" t="s">
        <v>106</v>
      </c>
      <c r="U483" s="13" t="s">
        <v>120</v>
      </c>
      <c r="V483" s="13" t="s">
        <v>112</v>
      </c>
      <c r="W483" t="s">
        <v>486</v>
      </c>
      <c r="X483" s="12">
        <v>1.2727272727272727</v>
      </c>
      <c r="Y483" s="12">
        <v>1</v>
      </c>
      <c r="Z483" s="12">
        <v>0.66666666666666663</v>
      </c>
      <c r="AA483" s="12">
        <v>0.77777777777777779</v>
      </c>
      <c r="AB483" s="12">
        <v>0.8</v>
      </c>
      <c r="AC483" s="12">
        <v>0.66666666666666663</v>
      </c>
      <c r="AD483" s="12">
        <v>0.86397306397306395</v>
      </c>
    </row>
    <row r="484" spans="1:30" x14ac:dyDescent="0.3">
      <c r="A484" s="13">
        <v>22</v>
      </c>
      <c r="B484" s="13" t="s">
        <v>128</v>
      </c>
      <c r="C484" s="13" t="s">
        <v>71</v>
      </c>
      <c r="D484" s="13" t="s">
        <v>72</v>
      </c>
      <c r="E484" s="13" t="s">
        <v>114</v>
      </c>
      <c r="F484" s="13" t="s">
        <v>98</v>
      </c>
      <c r="G484" s="13" t="s">
        <v>440</v>
      </c>
      <c r="H484" s="13" t="s">
        <v>98</v>
      </c>
      <c r="I484" s="13" t="s">
        <v>166</v>
      </c>
      <c r="J484" s="13" t="s">
        <v>77</v>
      </c>
      <c r="K484" s="13" t="s">
        <v>125</v>
      </c>
      <c r="L484" s="13" t="s">
        <v>82</v>
      </c>
      <c r="M484" s="13" t="s">
        <v>80</v>
      </c>
      <c r="N484" s="13" t="s">
        <v>82</v>
      </c>
      <c r="O484" s="13" t="s">
        <v>490</v>
      </c>
      <c r="P484" s="13" t="s">
        <v>82</v>
      </c>
      <c r="Q484" s="13" t="s">
        <v>118</v>
      </c>
      <c r="R484" s="13" t="s">
        <v>82</v>
      </c>
      <c r="S484" s="13" t="s">
        <v>82</v>
      </c>
      <c r="T484" s="13" t="s">
        <v>86</v>
      </c>
      <c r="U484" s="13" t="s">
        <v>87</v>
      </c>
      <c r="V484" s="13" t="s">
        <v>112</v>
      </c>
      <c r="W484" t="s">
        <v>486</v>
      </c>
      <c r="X484" s="12">
        <v>0.72727272727272729</v>
      </c>
      <c r="Y484" s="12">
        <v>0.8</v>
      </c>
      <c r="Z484" s="12">
        <v>1</v>
      </c>
      <c r="AA484" s="12">
        <v>0.55555555555555558</v>
      </c>
      <c r="AB484" s="12">
        <v>0.8</v>
      </c>
      <c r="AC484" s="12">
        <v>0.66666666666666663</v>
      </c>
      <c r="AD484" s="12">
        <v>0.75824915824915828</v>
      </c>
    </row>
    <row r="485" spans="1:30" x14ac:dyDescent="0.3">
      <c r="A485" s="13">
        <v>20</v>
      </c>
      <c r="B485" s="13" t="s">
        <v>70</v>
      </c>
      <c r="C485" s="13" t="s">
        <v>96</v>
      </c>
      <c r="D485" s="13" t="s">
        <v>72</v>
      </c>
      <c r="E485" s="13" t="s">
        <v>114</v>
      </c>
      <c r="F485" s="13" t="s">
        <v>74</v>
      </c>
      <c r="G485" s="13" t="s">
        <v>439</v>
      </c>
      <c r="H485" s="13" t="s">
        <v>100</v>
      </c>
      <c r="I485" s="13" t="s">
        <v>76</v>
      </c>
      <c r="J485" s="13" t="s">
        <v>77</v>
      </c>
      <c r="K485" s="13" t="s">
        <v>122</v>
      </c>
      <c r="L485" s="13" t="s">
        <v>79</v>
      </c>
      <c r="M485" s="13" t="s">
        <v>80</v>
      </c>
      <c r="N485" s="13" t="s">
        <v>79</v>
      </c>
      <c r="O485" s="13" t="s">
        <v>490</v>
      </c>
      <c r="P485" s="13" t="s">
        <v>79</v>
      </c>
      <c r="Q485" s="13" t="s">
        <v>83</v>
      </c>
      <c r="R485" s="13" t="s">
        <v>82</v>
      </c>
      <c r="S485" s="13" t="s">
        <v>79</v>
      </c>
      <c r="T485" s="13" t="s">
        <v>106</v>
      </c>
      <c r="U485" s="13" t="s">
        <v>120</v>
      </c>
      <c r="V485" s="13" t="s">
        <v>455</v>
      </c>
      <c r="W485" t="s">
        <v>486</v>
      </c>
      <c r="X485" s="12">
        <v>0.63636363636363635</v>
      </c>
      <c r="Y485" s="12">
        <v>0.6</v>
      </c>
      <c r="Z485" s="12">
        <v>0.66666666666666663</v>
      </c>
      <c r="AA485" s="12">
        <v>0.55555555555555558</v>
      </c>
      <c r="AB485" s="12">
        <v>0.8</v>
      </c>
      <c r="AC485" s="12">
        <v>0.66666666666666663</v>
      </c>
      <c r="AD485" s="12">
        <v>0.65420875420875413</v>
      </c>
    </row>
    <row r="486" spans="1:30" x14ac:dyDescent="0.3">
      <c r="A486" s="13">
        <v>20</v>
      </c>
      <c r="B486" s="13" t="s">
        <v>70</v>
      </c>
      <c r="C486" s="13" t="s">
        <v>157</v>
      </c>
      <c r="D486" s="13" t="s">
        <v>72</v>
      </c>
      <c r="E486" s="13" t="s">
        <v>108</v>
      </c>
      <c r="F486" s="13" t="s">
        <v>74</v>
      </c>
      <c r="G486" s="13" t="s">
        <v>440</v>
      </c>
      <c r="H486" s="13" t="s">
        <v>74</v>
      </c>
      <c r="I486" s="13" t="s">
        <v>439</v>
      </c>
      <c r="J486" s="13" t="s">
        <v>77</v>
      </c>
      <c r="K486" s="13" t="s">
        <v>131</v>
      </c>
      <c r="L486" s="13" t="s">
        <v>79</v>
      </c>
      <c r="M486" s="13" t="s">
        <v>132</v>
      </c>
      <c r="N486" s="13" t="s">
        <v>79</v>
      </c>
      <c r="O486" s="13" t="s">
        <v>488</v>
      </c>
      <c r="P486" s="13" t="s">
        <v>82</v>
      </c>
      <c r="Q486" s="13" t="s">
        <v>118</v>
      </c>
      <c r="R486" s="13" t="s">
        <v>82</v>
      </c>
      <c r="S486" s="13" t="s">
        <v>82</v>
      </c>
      <c r="T486" s="13" t="s">
        <v>106</v>
      </c>
      <c r="U486" s="13" t="s">
        <v>141</v>
      </c>
      <c r="V486" s="13" t="s">
        <v>127</v>
      </c>
      <c r="W486" t="s">
        <v>485</v>
      </c>
      <c r="X486" s="12">
        <v>0.54545454545454541</v>
      </c>
      <c r="Y486" s="12">
        <v>0.8</v>
      </c>
      <c r="Z486" s="12">
        <v>2</v>
      </c>
      <c r="AA486" s="12">
        <v>0.44444444444444442</v>
      </c>
      <c r="AB486" s="12">
        <v>0.8</v>
      </c>
      <c r="AC486" s="12">
        <v>0.66666666666666663</v>
      </c>
      <c r="AD486" s="12">
        <v>0.87609427609427615</v>
      </c>
    </row>
    <row r="487" spans="1:30" x14ac:dyDescent="0.3">
      <c r="A487" s="13">
        <v>20</v>
      </c>
      <c r="B487" s="13" t="s">
        <v>70</v>
      </c>
      <c r="C487" s="13" t="s">
        <v>157</v>
      </c>
      <c r="D487" s="13" t="s">
        <v>72</v>
      </c>
      <c r="E487" s="13" t="s">
        <v>114</v>
      </c>
      <c r="F487" s="13" t="s">
        <v>165</v>
      </c>
      <c r="G487" s="13" t="s">
        <v>438</v>
      </c>
      <c r="H487" s="13" t="s">
        <v>165</v>
      </c>
      <c r="I487" s="13" t="s">
        <v>76</v>
      </c>
      <c r="J487" s="13" t="s">
        <v>101</v>
      </c>
      <c r="K487" s="13" t="s">
        <v>125</v>
      </c>
      <c r="L487" s="13" t="s">
        <v>79</v>
      </c>
      <c r="M487" s="13" t="s">
        <v>80</v>
      </c>
      <c r="N487" s="13" t="s">
        <v>79</v>
      </c>
      <c r="O487" s="13" t="s">
        <v>488</v>
      </c>
      <c r="P487" s="13" t="s">
        <v>79</v>
      </c>
      <c r="Q487" s="13" t="s">
        <v>83</v>
      </c>
      <c r="R487" s="13" t="s">
        <v>79</v>
      </c>
      <c r="S487" s="13" t="s">
        <v>82</v>
      </c>
      <c r="T487" s="13" t="s">
        <v>106</v>
      </c>
      <c r="U487" s="13" t="s">
        <v>87</v>
      </c>
      <c r="V487" s="13" t="s">
        <v>112</v>
      </c>
      <c r="W487" t="s">
        <v>486</v>
      </c>
      <c r="X487" s="12">
        <v>1</v>
      </c>
      <c r="Y487" s="12">
        <v>0.8</v>
      </c>
      <c r="Z487" s="12">
        <v>1</v>
      </c>
      <c r="AA487" s="12">
        <v>0.44444444444444442</v>
      </c>
      <c r="AB487" s="12">
        <v>0.8</v>
      </c>
      <c r="AC487" s="12">
        <v>0.66666666666666663</v>
      </c>
      <c r="AD487" s="12">
        <v>0.78518518518518521</v>
      </c>
    </row>
    <row r="488" spans="1:30" x14ac:dyDescent="0.3">
      <c r="A488" s="13">
        <v>23</v>
      </c>
      <c r="B488" s="13" t="s">
        <v>70</v>
      </c>
      <c r="C488" s="13" t="s">
        <v>113</v>
      </c>
      <c r="D488" s="13" t="s">
        <v>72</v>
      </c>
      <c r="E488" s="13" t="s">
        <v>108</v>
      </c>
      <c r="F488" s="13" t="s">
        <v>74</v>
      </c>
      <c r="G488" s="13" t="s">
        <v>439</v>
      </c>
      <c r="H488" s="13" t="s">
        <v>136</v>
      </c>
      <c r="I488" s="13" t="s">
        <v>76</v>
      </c>
      <c r="J488" s="13" t="s">
        <v>77</v>
      </c>
      <c r="K488" s="13" t="s">
        <v>125</v>
      </c>
      <c r="L488" s="13" t="s">
        <v>79</v>
      </c>
      <c r="M488" s="13" t="s">
        <v>80</v>
      </c>
      <c r="N488" s="13" t="s">
        <v>79</v>
      </c>
      <c r="O488" s="13" t="s">
        <v>489</v>
      </c>
      <c r="P488" s="13" t="s">
        <v>79</v>
      </c>
      <c r="Q488" s="13" t="s">
        <v>83</v>
      </c>
      <c r="R488" s="13" t="s">
        <v>79</v>
      </c>
      <c r="S488" s="13" t="s">
        <v>79</v>
      </c>
      <c r="T488" s="13" t="s">
        <v>106</v>
      </c>
      <c r="U488" s="13" t="s">
        <v>141</v>
      </c>
      <c r="V488" s="13" t="s">
        <v>112</v>
      </c>
      <c r="W488" t="s">
        <v>486</v>
      </c>
      <c r="X488" s="12">
        <v>0.90909090909090906</v>
      </c>
      <c r="Y488" s="12">
        <v>0.8</v>
      </c>
      <c r="Z488" s="12">
        <v>0.66666666666666663</v>
      </c>
      <c r="AA488" s="12">
        <v>1.4444444444444444</v>
      </c>
      <c r="AB488" s="12">
        <v>0.6</v>
      </c>
      <c r="AC488" s="12">
        <v>0.66666666666666663</v>
      </c>
      <c r="AD488" s="12">
        <v>0.84781144781144768</v>
      </c>
    </row>
    <row r="489" spans="1:30" x14ac:dyDescent="0.3">
      <c r="A489" s="13">
        <v>23</v>
      </c>
      <c r="B489" s="13" t="s">
        <v>70</v>
      </c>
      <c r="C489" s="13" t="s">
        <v>153</v>
      </c>
      <c r="D489" s="13" t="s">
        <v>72</v>
      </c>
      <c r="E489" s="13" t="s">
        <v>108</v>
      </c>
      <c r="F489" s="13" t="s">
        <v>74</v>
      </c>
      <c r="G489" s="13" t="s">
        <v>440</v>
      </c>
      <c r="H489" s="13" t="s">
        <v>98</v>
      </c>
      <c r="I489" s="13" t="s">
        <v>76</v>
      </c>
      <c r="J489" s="13" t="s">
        <v>77</v>
      </c>
      <c r="K489" s="13" t="s">
        <v>125</v>
      </c>
      <c r="L489" s="13" t="s">
        <v>79</v>
      </c>
      <c r="M489" s="13" t="s">
        <v>80</v>
      </c>
      <c r="N489" s="13" t="s">
        <v>79</v>
      </c>
      <c r="O489" s="13" t="s">
        <v>489</v>
      </c>
      <c r="P489" s="13" t="s">
        <v>82</v>
      </c>
      <c r="Q489" s="13" t="s">
        <v>103</v>
      </c>
      <c r="R489" s="13" t="s">
        <v>82</v>
      </c>
      <c r="S489" s="13" t="s">
        <v>82</v>
      </c>
      <c r="T489" s="13" t="s">
        <v>86</v>
      </c>
      <c r="U489" s="13" t="s">
        <v>141</v>
      </c>
      <c r="V489" s="13" t="s">
        <v>112</v>
      </c>
      <c r="W489" t="s">
        <v>486</v>
      </c>
      <c r="X489" s="12">
        <v>2.1818181818181817</v>
      </c>
      <c r="Y489" s="12">
        <v>1.2</v>
      </c>
      <c r="Z489" s="12">
        <v>2.6666666666666665</v>
      </c>
      <c r="AA489" s="12">
        <v>1.1111111111111112</v>
      </c>
      <c r="AB489" s="12">
        <v>0.6</v>
      </c>
      <c r="AC489" s="12">
        <v>0.66666666666666663</v>
      </c>
      <c r="AD489" s="12">
        <v>1.4043771043771043</v>
      </c>
    </row>
    <row r="490" spans="1:30" x14ac:dyDescent="0.3">
      <c r="A490" s="13">
        <v>21</v>
      </c>
      <c r="B490" s="13" t="s">
        <v>70</v>
      </c>
      <c r="C490" s="13" t="s">
        <v>96</v>
      </c>
      <c r="D490" s="13" t="s">
        <v>97</v>
      </c>
      <c r="E490" s="13" t="s">
        <v>73</v>
      </c>
      <c r="F490" s="13" t="s">
        <v>136</v>
      </c>
      <c r="G490" s="13" t="s">
        <v>440</v>
      </c>
      <c r="H490" s="13" t="s">
        <v>136</v>
      </c>
      <c r="I490" s="13" t="s">
        <v>439</v>
      </c>
      <c r="J490" s="13" t="s">
        <v>77</v>
      </c>
      <c r="K490" s="13" t="s">
        <v>78</v>
      </c>
      <c r="L490" s="13" t="s">
        <v>82</v>
      </c>
      <c r="M490" s="13" t="s">
        <v>80</v>
      </c>
      <c r="N490" s="13" t="s">
        <v>79</v>
      </c>
      <c r="O490" s="13" t="s">
        <v>488</v>
      </c>
      <c r="P490" s="13" t="s">
        <v>79</v>
      </c>
      <c r="Q490" s="13" t="s">
        <v>83</v>
      </c>
      <c r="R490" s="13" t="s">
        <v>82</v>
      </c>
      <c r="S490" s="13" t="s">
        <v>79</v>
      </c>
      <c r="T490" s="13" t="s">
        <v>106</v>
      </c>
      <c r="U490" s="13" t="s">
        <v>120</v>
      </c>
      <c r="V490" s="13" t="s">
        <v>112</v>
      </c>
      <c r="W490" t="s">
        <v>485</v>
      </c>
      <c r="X490" s="12">
        <v>0.72727272727272729</v>
      </c>
      <c r="Y490" s="12">
        <v>0.6</v>
      </c>
      <c r="Z490" s="12">
        <v>0.33333333333333331</v>
      </c>
      <c r="AA490" s="12">
        <v>0.88888888888888884</v>
      </c>
      <c r="AB490" s="12">
        <v>0.6</v>
      </c>
      <c r="AC490" s="12">
        <v>0.66666666666666663</v>
      </c>
      <c r="AD490" s="12">
        <v>0.63602693602693605</v>
      </c>
    </row>
    <row r="491" spans="1:30" x14ac:dyDescent="0.3">
      <c r="A491" s="13">
        <v>20</v>
      </c>
      <c r="B491" s="13" t="s">
        <v>70</v>
      </c>
      <c r="C491" s="13" t="s">
        <v>157</v>
      </c>
      <c r="D491" s="13" t="s">
        <v>72</v>
      </c>
      <c r="E491" s="13" t="s">
        <v>114</v>
      </c>
      <c r="F491" s="13" t="s">
        <v>165</v>
      </c>
      <c r="G491" s="13" t="s">
        <v>438</v>
      </c>
      <c r="H491" s="13" t="s">
        <v>165</v>
      </c>
      <c r="I491" s="13" t="s">
        <v>76</v>
      </c>
      <c r="J491" s="13" t="s">
        <v>101</v>
      </c>
      <c r="K491" s="13" t="s">
        <v>125</v>
      </c>
      <c r="L491" s="13" t="s">
        <v>79</v>
      </c>
      <c r="M491" s="13" t="s">
        <v>80</v>
      </c>
      <c r="N491" s="13" t="s">
        <v>79</v>
      </c>
      <c r="O491" s="13" t="s">
        <v>490</v>
      </c>
      <c r="P491" s="13" t="s">
        <v>82</v>
      </c>
      <c r="Q491" s="13" t="s">
        <v>83</v>
      </c>
      <c r="R491" s="13" t="s">
        <v>79</v>
      </c>
      <c r="S491" s="13" t="s">
        <v>82</v>
      </c>
      <c r="T491" s="13" t="s">
        <v>106</v>
      </c>
      <c r="U491" s="13" t="s">
        <v>87</v>
      </c>
      <c r="V491" s="13" t="s">
        <v>112</v>
      </c>
      <c r="W491" t="s">
        <v>486</v>
      </c>
      <c r="X491" s="12">
        <v>0.90909090909090906</v>
      </c>
      <c r="Y491" s="12">
        <v>0.6</v>
      </c>
      <c r="Z491" s="12">
        <v>0.66666666666666663</v>
      </c>
      <c r="AA491" s="12">
        <v>0.77777777777777779</v>
      </c>
      <c r="AB491" s="12">
        <v>0.6</v>
      </c>
      <c r="AC491" s="12">
        <v>0.66666666666666663</v>
      </c>
      <c r="AD491" s="12">
        <v>0.70336700336700331</v>
      </c>
    </row>
    <row r="492" spans="1:30" x14ac:dyDescent="0.3">
      <c r="A492" s="13">
        <v>21</v>
      </c>
      <c r="B492" s="13" t="s">
        <v>128</v>
      </c>
      <c r="C492" s="13" t="s">
        <v>96</v>
      </c>
      <c r="D492" s="13" t="s">
        <v>72</v>
      </c>
      <c r="E492" s="13" t="s">
        <v>114</v>
      </c>
      <c r="F492" s="13" t="s">
        <v>74</v>
      </c>
      <c r="G492" s="13" t="s">
        <v>439</v>
      </c>
      <c r="H492" s="13" t="s">
        <v>136</v>
      </c>
      <c r="I492" s="13" t="s">
        <v>76</v>
      </c>
      <c r="J492" s="13" t="s">
        <v>77</v>
      </c>
      <c r="K492" s="13" t="s">
        <v>125</v>
      </c>
      <c r="L492" s="13" t="s">
        <v>79</v>
      </c>
      <c r="M492" s="13" t="s">
        <v>80</v>
      </c>
      <c r="N492" s="13" t="s">
        <v>79</v>
      </c>
      <c r="O492" s="13" t="s">
        <v>488</v>
      </c>
      <c r="P492" s="13" t="s">
        <v>79</v>
      </c>
      <c r="Q492" s="13" t="s">
        <v>83</v>
      </c>
      <c r="R492" s="13" t="s">
        <v>79</v>
      </c>
      <c r="S492" s="13" t="s">
        <v>79</v>
      </c>
      <c r="T492" s="13" t="s">
        <v>106</v>
      </c>
      <c r="U492" s="13" t="s">
        <v>87</v>
      </c>
      <c r="V492" s="13" t="s">
        <v>455</v>
      </c>
      <c r="W492" t="s">
        <v>486</v>
      </c>
      <c r="X492" s="12">
        <v>0.27272727272727271</v>
      </c>
      <c r="Y492" s="12">
        <v>0.8</v>
      </c>
      <c r="Z492" s="12">
        <v>0</v>
      </c>
      <c r="AA492" s="12">
        <v>0.33333333333333331</v>
      </c>
      <c r="AB492" s="12">
        <v>0.6</v>
      </c>
      <c r="AC492" s="12">
        <v>0.66666666666666663</v>
      </c>
      <c r="AD492" s="12">
        <v>0.44545454545454538</v>
      </c>
    </row>
    <row r="493" spans="1:30" x14ac:dyDescent="0.3">
      <c r="A493" s="13">
        <v>21</v>
      </c>
      <c r="B493" s="13" t="s">
        <v>128</v>
      </c>
      <c r="C493" s="13" t="s">
        <v>96</v>
      </c>
      <c r="D493" s="13" t="s">
        <v>72</v>
      </c>
      <c r="E493" s="13" t="s">
        <v>114</v>
      </c>
      <c r="F493" s="13" t="s">
        <v>74</v>
      </c>
      <c r="G493" s="13" t="s">
        <v>439</v>
      </c>
      <c r="H493" s="13" t="s">
        <v>136</v>
      </c>
      <c r="I493" s="13" t="s">
        <v>76</v>
      </c>
      <c r="J493" s="13" t="s">
        <v>77</v>
      </c>
      <c r="K493" s="13" t="s">
        <v>122</v>
      </c>
      <c r="L493" s="13" t="s">
        <v>79</v>
      </c>
      <c r="M493" s="13" t="s">
        <v>80</v>
      </c>
      <c r="N493" s="13" t="s">
        <v>79</v>
      </c>
      <c r="O493" s="13" t="s">
        <v>488</v>
      </c>
      <c r="P493" s="13" t="s">
        <v>82</v>
      </c>
      <c r="Q493" s="13" t="s">
        <v>83</v>
      </c>
      <c r="R493" s="13" t="s">
        <v>82</v>
      </c>
      <c r="S493" s="13" t="s">
        <v>82</v>
      </c>
      <c r="T493" s="13" t="s">
        <v>106</v>
      </c>
      <c r="U493" s="13" t="s">
        <v>87</v>
      </c>
      <c r="V493" s="13" t="s">
        <v>112</v>
      </c>
      <c r="W493" t="s">
        <v>485</v>
      </c>
      <c r="X493" s="12">
        <v>0.63636363636363635</v>
      </c>
      <c r="Y493" s="12">
        <v>1</v>
      </c>
      <c r="Z493" s="12">
        <v>0.33333333333333331</v>
      </c>
      <c r="AA493" s="12">
        <v>0.77777777777777779</v>
      </c>
      <c r="AB493" s="12">
        <v>0.4</v>
      </c>
      <c r="AC493" s="12">
        <v>0.66666666666666663</v>
      </c>
      <c r="AD493" s="12">
        <v>0.63569023569023564</v>
      </c>
    </row>
    <row r="494" spans="1:30" x14ac:dyDescent="0.3">
      <c r="A494" s="13">
        <v>20</v>
      </c>
      <c r="B494" s="13" t="s">
        <v>70</v>
      </c>
      <c r="C494" s="13" t="s">
        <v>157</v>
      </c>
      <c r="D494" s="13" t="s">
        <v>149</v>
      </c>
      <c r="E494" s="13" t="s">
        <v>73</v>
      </c>
      <c r="F494" s="13" t="s">
        <v>74</v>
      </c>
      <c r="G494" s="13" t="s">
        <v>440</v>
      </c>
      <c r="H494" s="13" t="s">
        <v>74</v>
      </c>
      <c r="I494" s="13" t="s">
        <v>439</v>
      </c>
      <c r="J494" s="13" t="s">
        <v>101</v>
      </c>
      <c r="K494" s="13" t="s">
        <v>122</v>
      </c>
      <c r="L494" s="13" t="s">
        <v>79</v>
      </c>
      <c r="M494" s="13" t="s">
        <v>80</v>
      </c>
      <c r="N494" s="13" t="s">
        <v>79</v>
      </c>
      <c r="O494" s="13" t="s">
        <v>488</v>
      </c>
      <c r="P494" s="13" t="s">
        <v>82</v>
      </c>
      <c r="Q494" s="13" t="s">
        <v>83</v>
      </c>
      <c r="R494" s="13" t="s">
        <v>82</v>
      </c>
      <c r="S494" s="13" t="s">
        <v>82</v>
      </c>
      <c r="T494" s="13" t="s">
        <v>86</v>
      </c>
      <c r="U494" s="13" t="s">
        <v>87</v>
      </c>
      <c r="V494" s="13" t="s">
        <v>127</v>
      </c>
      <c r="W494" t="s">
        <v>486</v>
      </c>
      <c r="X494" s="12">
        <v>1.1818181818181819</v>
      </c>
      <c r="Y494" s="12">
        <v>0.4</v>
      </c>
      <c r="Z494" s="12">
        <v>1</v>
      </c>
      <c r="AA494" s="12">
        <v>0.44444444444444442</v>
      </c>
      <c r="AB494" s="12">
        <v>0</v>
      </c>
      <c r="AC494" s="12">
        <v>0.66666666666666663</v>
      </c>
      <c r="AD494" s="12">
        <v>0.61548821548821553</v>
      </c>
    </row>
    <row r="495" spans="1:30" x14ac:dyDescent="0.3">
      <c r="A495" s="13">
        <v>20</v>
      </c>
      <c r="B495" s="13" t="s">
        <v>70</v>
      </c>
      <c r="C495" s="13" t="s">
        <v>157</v>
      </c>
      <c r="D495" s="13" t="s">
        <v>97</v>
      </c>
      <c r="E495" s="13" t="s">
        <v>108</v>
      </c>
      <c r="F495" s="13" t="s">
        <v>74</v>
      </c>
      <c r="G495" s="13" t="s">
        <v>166</v>
      </c>
      <c r="H495" s="13" t="s">
        <v>98</v>
      </c>
      <c r="I495" s="13" t="s">
        <v>76</v>
      </c>
      <c r="J495" s="13" t="s">
        <v>77</v>
      </c>
      <c r="K495" s="13" t="s">
        <v>125</v>
      </c>
      <c r="L495" s="13" t="s">
        <v>82</v>
      </c>
      <c r="M495" s="13" t="s">
        <v>102</v>
      </c>
      <c r="N495" s="13" t="s">
        <v>79</v>
      </c>
      <c r="O495" s="13" t="s">
        <v>488</v>
      </c>
      <c r="P495" s="13" t="s">
        <v>79</v>
      </c>
      <c r="Q495" s="13" t="s">
        <v>103</v>
      </c>
      <c r="R495" s="13" t="s">
        <v>79</v>
      </c>
      <c r="S495" s="13" t="s">
        <v>82</v>
      </c>
      <c r="T495" s="13" t="s">
        <v>86</v>
      </c>
      <c r="U495" s="13" t="s">
        <v>141</v>
      </c>
      <c r="V495" s="13" t="s">
        <v>457</v>
      </c>
      <c r="W495" t="s">
        <v>486</v>
      </c>
      <c r="X495" s="12">
        <v>2.7272727272727271</v>
      </c>
      <c r="Y495" s="12">
        <v>1.2</v>
      </c>
      <c r="Z495" s="12">
        <v>2.6666666666666665</v>
      </c>
      <c r="AA495" s="12">
        <v>1.4444444444444444</v>
      </c>
      <c r="AB495" s="12">
        <v>3</v>
      </c>
      <c r="AC495" s="12">
        <v>0.33333333333333331</v>
      </c>
      <c r="AD495" s="12">
        <v>1.8952861952861955</v>
      </c>
    </row>
    <row r="496" spans="1:30" x14ac:dyDescent="0.3">
      <c r="A496" s="13">
        <v>20</v>
      </c>
      <c r="B496" s="13" t="s">
        <v>70</v>
      </c>
      <c r="C496" s="13" t="s">
        <v>157</v>
      </c>
      <c r="D496" s="13" t="s">
        <v>72</v>
      </c>
      <c r="E496" s="13" t="s">
        <v>73</v>
      </c>
      <c r="F496" s="13" t="s">
        <v>74</v>
      </c>
      <c r="G496" s="13" t="s">
        <v>440</v>
      </c>
      <c r="H496" s="13" t="s">
        <v>74</v>
      </c>
      <c r="I496" s="13" t="s">
        <v>439</v>
      </c>
      <c r="J496" s="13" t="s">
        <v>77</v>
      </c>
      <c r="K496" s="13" t="s">
        <v>78</v>
      </c>
      <c r="L496" s="13" t="s">
        <v>79</v>
      </c>
      <c r="M496" s="13" t="s">
        <v>80</v>
      </c>
      <c r="N496" s="13" t="s">
        <v>79</v>
      </c>
      <c r="O496" s="13" t="s">
        <v>487</v>
      </c>
      <c r="P496" s="13" t="s">
        <v>82</v>
      </c>
      <c r="Q496" s="13" t="s">
        <v>103</v>
      </c>
      <c r="R496" s="13" t="s">
        <v>79</v>
      </c>
      <c r="S496" s="13" t="s">
        <v>79</v>
      </c>
      <c r="T496" s="13" t="s">
        <v>86</v>
      </c>
      <c r="U496" s="13" t="s">
        <v>87</v>
      </c>
      <c r="V496" s="13" t="s">
        <v>112</v>
      </c>
      <c r="W496" t="s">
        <v>486</v>
      </c>
      <c r="X496" s="12">
        <v>2.7272727272727271</v>
      </c>
      <c r="Y496" s="12">
        <v>1.6</v>
      </c>
      <c r="Z496" s="12">
        <v>1.6666666666666667</v>
      </c>
      <c r="AA496" s="12">
        <v>1.4444444444444444</v>
      </c>
      <c r="AB496" s="12">
        <v>3</v>
      </c>
      <c r="AC496" s="12">
        <v>0.33333333333333331</v>
      </c>
      <c r="AD496" s="12">
        <v>1.7952861952861954</v>
      </c>
    </row>
    <row r="497" spans="1:30" x14ac:dyDescent="0.3">
      <c r="A497" s="13">
        <v>24</v>
      </c>
      <c r="B497" s="13" t="s">
        <v>70</v>
      </c>
      <c r="C497" s="13" t="s">
        <v>71</v>
      </c>
      <c r="D497" s="13" t="s">
        <v>97</v>
      </c>
      <c r="E497" s="13" t="s">
        <v>108</v>
      </c>
      <c r="F497" s="13" t="s">
        <v>74</v>
      </c>
      <c r="G497" s="13" t="s">
        <v>440</v>
      </c>
      <c r="H497" s="13" t="s">
        <v>98</v>
      </c>
      <c r="I497" s="13" t="s">
        <v>76</v>
      </c>
      <c r="J497" s="13" t="s">
        <v>101</v>
      </c>
      <c r="K497" s="13" t="s">
        <v>125</v>
      </c>
      <c r="L497" s="13" t="s">
        <v>79</v>
      </c>
      <c r="M497" s="13" t="s">
        <v>80</v>
      </c>
      <c r="N497" s="13" t="s">
        <v>79</v>
      </c>
      <c r="O497" s="13" t="s">
        <v>489</v>
      </c>
      <c r="P497" s="13" t="s">
        <v>79</v>
      </c>
      <c r="Q497" s="13" t="s">
        <v>83</v>
      </c>
      <c r="R497" s="13" t="s">
        <v>79</v>
      </c>
      <c r="S497" s="13" t="s">
        <v>82</v>
      </c>
      <c r="T497" s="13" t="s">
        <v>86</v>
      </c>
      <c r="U497" s="13" t="s">
        <v>87</v>
      </c>
      <c r="V497" s="13" t="s">
        <v>455</v>
      </c>
      <c r="W497" t="s">
        <v>486</v>
      </c>
      <c r="X497" s="12">
        <v>3</v>
      </c>
      <c r="Y497" s="12">
        <v>0.4</v>
      </c>
      <c r="Z497" s="12">
        <v>1.3333333333333333</v>
      </c>
      <c r="AA497" s="12">
        <v>0.77777777777777779</v>
      </c>
      <c r="AB497" s="12">
        <v>3</v>
      </c>
      <c r="AC497" s="12">
        <v>0.33333333333333331</v>
      </c>
      <c r="AD497" s="12">
        <v>1.4740740740740741</v>
      </c>
    </row>
    <row r="498" spans="1:30" x14ac:dyDescent="0.3">
      <c r="A498" s="13">
        <v>21</v>
      </c>
      <c r="B498" s="13" t="s">
        <v>128</v>
      </c>
      <c r="C498" s="13" t="s">
        <v>157</v>
      </c>
      <c r="D498" s="13" t="s">
        <v>72</v>
      </c>
      <c r="E498" s="13" t="s">
        <v>108</v>
      </c>
      <c r="F498" s="13" t="s">
        <v>74</v>
      </c>
      <c r="G498" s="13" t="s">
        <v>439</v>
      </c>
      <c r="H498" s="13" t="s">
        <v>136</v>
      </c>
      <c r="I498" s="13" t="s">
        <v>76</v>
      </c>
      <c r="J498" s="13" t="s">
        <v>77</v>
      </c>
      <c r="K498" s="13" t="s">
        <v>78</v>
      </c>
      <c r="L498" s="13" t="s">
        <v>79</v>
      </c>
      <c r="M498" s="13" t="s">
        <v>80</v>
      </c>
      <c r="N498" s="13" t="s">
        <v>79</v>
      </c>
      <c r="O498" s="13" t="s">
        <v>489</v>
      </c>
      <c r="P498" s="13" t="s">
        <v>79</v>
      </c>
      <c r="Q498" s="13" t="s">
        <v>118</v>
      </c>
      <c r="R498" s="13" t="s">
        <v>82</v>
      </c>
      <c r="S498" s="13" t="s">
        <v>82</v>
      </c>
      <c r="T498" s="13" t="s">
        <v>106</v>
      </c>
      <c r="U498" s="13" t="s">
        <v>87</v>
      </c>
      <c r="V498" s="13" t="s">
        <v>112</v>
      </c>
      <c r="W498" t="s">
        <v>486</v>
      </c>
      <c r="X498" s="12">
        <v>2.5454545454545454</v>
      </c>
      <c r="Y498" s="12">
        <v>2.6</v>
      </c>
      <c r="Z498" s="12">
        <v>0.33333333333333331</v>
      </c>
      <c r="AA498" s="12">
        <v>0.66666666666666663</v>
      </c>
      <c r="AB498" s="12">
        <v>3</v>
      </c>
      <c r="AC498" s="12">
        <v>0.33333333333333331</v>
      </c>
      <c r="AD498" s="12">
        <v>1.5797979797979798</v>
      </c>
    </row>
    <row r="499" spans="1:30" x14ac:dyDescent="0.3">
      <c r="A499" s="13">
        <v>24</v>
      </c>
      <c r="B499" s="13" t="s">
        <v>70</v>
      </c>
      <c r="C499" s="13" t="s">
        <v>113</v>
      </c>
      <c r="D499" s="13" t="s">
        <v>97</v>
      </c>
      <c r="E499" s="13" t="s">
        <v>108</v>
      </c>
      <c r="F499" s="13" t="s">
        <v>100</v>
      </c>
      <c r="G499" s="13" t="s">
        <v>166</v>
      </c>
      <c r="H499" s="13" t="s">
        <v>100</v>
      </c>
      <c r="I499" s="13" t="s">
        <v>76</v>
      </c>
      <c r="J499" s="13" t="s">
        <v>101</v>
      </c>
      <c r="K499" s="13" t="s">
        <v>125</v>
      </c>
      <c r="L499" s="13" t="s">
        <v>79</v>
      </c>
      <c r="M499" s="13" t="s">
        <v>80</v>
      </c>
      <c r="N499" s="13" t="s">
        <v>79</v>
      </c>
      <c r="O499" s="13" t="s">
        <v>490</v>
      </c>
      <c r="P499" s="13" t="s">
        <v>79</v>
      </c>
      <c r="Q499" s="13" t="s">
        <v>83</v>
      </c>
      <c r="R499" s="13" t="s">
        <v>79</v>
      </c>
      <c r="S499" s="13" t="s">
        <v>82</v>
      </c>
      <c r="T499" s="13" t="s">
        <v>106</v>
      </c>
      <c r="U499" s="13" t="s">
        <v>141</v>
      </c>
      <c r="V499" s="13" t="s">
        <v>455</v>
      </c>
      <c r="W499" t="s">
        <v>486</v>
      </c>
      <c r="X499" s="12">
        <v>3</v>
      </c>
      <c r="Y499" s="12">
        <v>2.8</v>
      </c>
      <c r="Z499" s="12">
        <v>2</v>
      </c>
      <c r="AA499" s="12">
        <v>0.44444444444444442</v>
      </c>
      <c r="AB499" s="12">
        <v>3</v>
      </c>
      <c r="AC499" s="12">
        <v>0.33333333333333331</v>
      </c>
      <c r="AD499" s="12">
        <v>1.9296296296296296</v>
      </c>
    </row>
    <row r="500" spans="1:30" x14ac:dyDescent="0.3">
      <c r="A500" s="13">
        <v>22</v>
      </c>
      <c r="B500" s="13" t="s">
        <v>70</v>
      </c>
      <c r="C500" s="13" t="s">
        <v>113</v>
      </c>
      <c r="D500" s="13" t="s">
        <v>97</v>
      </c>
      <c r="E500" s="13" t="s">
        <v>108</v>
      </c>
      <c r="F500" s="13" t="s">
        <v>136</v>
      </c>
      <c r="G500" s="13" t="s">
        <v>439</v>
      </c>
      <c r="H500" s="13" t="s">
        <v>136</v>
      </c>
      <c r="I500" s="13" t="s">
        <v>76</v>
      </c>
      <c r="J500" s="13" t="s">
        <v>77</v>
      </c>
      <c r="K500" s="13" t="s">
        <v>78</v>
      </c>
      <c r="L500" s="13" t="s">
        <v>79</v>
      </c>
      <c r="M500" s="13" t="s">
        <v>102</v>
      </c>
      <c r="N500" s="13" t="s">
        <v>79</v>
      </c>
      <c r="O500" s="13" t="s">
        <v>490</v>
      </c>
      <c r="P500" s="13" t="s">
        <v>82</v>
      </c>
      <c r="Q500" s="13" t="s">
        <v>83</v>
      </c>
      <c r="R500" s="13" t="s">
        <v>82</v>
      </c>
      <c r="S500" s="13" t="s">
        <v>82</v>
      </c>
      <c r="T500" s="13" t="s">
        <v>86</v>
      </c>
      <c r="U500" s="13" t="s">
        <v>141</v>
      </c>
      <c r="V500" s="13" t="s">
        <v>112</v>
      </c>
      <c r="W500" t="s">
        <v>486</v>
      </c>
      <c r="X500" s="12">
        <v>2.7272727272727271</v>
      </c>
      <c r="Y500" s="12">
        <v>2.2000000000000002</v>
      </c>
      <c r="Z500" s="12">
        <v>0.33333333333333331</v>
      </c>
      <c r="AA500" s="12">
        <v>0.44444444444444442</v>
      </c>
      <c r="AB500" s="12">
        <v>3</v>
      </c>
      <c r="AC500" s="12">
        <v>0.33333333333333331</v>
      </c>
      <c r="AD500" s="12">
        <v>1.5063973063973064</v>
      </c>
    </row>
    <row r="501" spans="1:30" x14ac:dyDescent="0.3">
      <c r="A501" s="13">
        <v>20</v>
      </c>
      <c r="B501" s="13" t="s">
        <v>128</v>
      </c>
      <c r="C501" s="13" t="s">
        <v>157</v>
      </c>
      <c r="D501" s="13" t="s">
        <v>72</v>
      </c>
      <c r="E501" s="13" t="s">
        <v>73</v>
      </c>
      <c r="F501" s="13" t="s">
        <v>74</v>
      </c>
      <c r="G501" s="13" t="s">
        <v>439</v>
      </c>
      <c r="H501" s="13" t="s">
        <v>74</v>
      </c>
      <c r="I501" s="13" t="s">
        <v>76</v>
      </c>
      <c r="J501" s="13" t="s">
        <v>77</v>
      </c>
      <c r="K501" s="13" t="s">
        <v>78</v>
      </c>
      <c r="L501" s="13" t="s">
        <v>79</v>
      </c>
      <c r="M501" s="13" t="s">
        <v>80</v>
      </c>
      <c r="N501" s="13" t="s">
        <v>82</v>
      </c>
      <c r="O501" s="13" t="s">
        <v>489</v>
      </c>
      <c r="P501" s="13" t="s">
        <v>82</v>
      </c>
      <c r="Q501" s="13" t="s">
        <v>83</v>
      </c>
      <c r="R501" s="13" t="s">
        <v>79</v>
      </c>
      <c r="S501" s="13" t="s">
        <v>82</v>
      </c>
      <c r="T501" s="13" t="s">
        <v>106</v>
      </c>
      <c r="U501" s="13" t="s">
        <v>141</v>
      </c>
      <c r="V501" s="13" t="s">
        <v>160</v>
      </c>
      <c r="W501" t="s">
        <v>486</v>
      </c>
      <c r="X501" s="12">
        <v>2.6363636363636362</v>
      </c>
      <c r="Y501" s="12">
        <v>2.6</v>
      </c>
      <c r="Z501" s="12">
        <v>1</v>
      </c>
      <c r="AA501" s="12">
        <v>0.33333333333333331</v>
      </c>
      <c r="AB501" s="12">
        <v>3</v>
      </c>
      <c r="AC501" s="12">
        <v>0.33333333333333331</v>
      </c>
      <c r="AD501" s="12">
        <v>1.6505050505050507</v>
      </c>
    </row>
    <row r="502" spans="1:30" x14ac:dyDescent="0.3">
      <c r="A502" s="13">
        <v>23</v>
      </c>
      <c r="B502" s="13" t="s">
        <v>70</v>
      </c>
      <c r="C502" s="13" t="s">
        <v>71</v>
      </c>
      <c r="D502" s="13" t="s">
        <v>72</v>
      </c>
      <c r="E502" s="13" t="s">
        <v>114</v>
      </c>
      <c r="F502" s="13" t="s">
        <v>136</v>
      </c>
      <c r="G502" s="13" t="s">
        <v>438</v>
      </c>
      <c r="H502" s="13" t="s">
        <v>136</v>
      </c>
      <c r="I502" s="13" t="s">
        <v>439</v>
      </c>
      <c r="J502" s="13" t="s">
        <v>77</v>
      </c>
      <c r="K502" s="13" t="s">
        <v>125</v>
      </c>
      <c r="L502" s="13" t="s">
        <v>79</v>
      </c>
      <c r="M502" s="13" t="s">
        <v>132</v>
      </c>
      <c r="N502" s="13" t="s">
        <v>79</v>
      </c>
      <c r="O502" s="13" t="s">
        <v>490</v>
      </c>
      <c r="P502" s="13" t="s">
        <v>82</v>
      </c>
      <c r="Q502" s="13" t="s">
        <v>83</v>
      </c>
      <c r="R502" s="13" t="s">
        <v>82</v>
      </c>
      <c r="S502" s="13" t="s">
        <v>82</v>
      </c>
      <c r="T502" s="13" t="s">
        <v>106</v>
      </c>
      <c r="U502" s="13" t="s">
        <v>87</v>
      </c>
      <c r="V502" s="13" t="s">
        <v>260</v>
      </c>
      <c r="W502" t="s">
        <v>485</v>
      </c>
      <c r="X502" s="12">
        <v>2.7272727272727271</v>
      </c>
      <c r="Y502" s="12">
        <v>0.4</v>
      </c>
      <c r="Z502" s="12">
        <v>1</v>
      </c>
      <c r="AA502" s="12">
        <v>0.33333333333333331</v>
      </c>
      <c r="AB502" s="12">
        <v>3</v>
      </c>
      <c r="AC502" s="12">
        <v>0.33333333333333331</v>
      </c>
      <c r="AD502" s="12">
        <v>1.2989898989898989</v>
      </c>
    </row>
    <row r="503" spans="1:30" x14ac:dyDescent="0.3">
      <c r="A503" s="13">
        <v>22</v>
      </c>
      <c r="B503" s="13" t="s">
        <v>70</v>
      </c>
      <c r="C503" s="13" t="s">
        <v>113</v>
      </c>
      <c r="D503" s="13" t="s">
        <v>97</v>
      </c>
      <c r="E503" s="13" t="s">
        <v>114</v>
      </c>
      <c r="F503" s="13" t="s">
        <v>74</v>
      </c>
      <c r="G503" s="13" t="s">
        <v>99</v>
      </c>
      <c r="H503" s="13" t="s">
        <v>98</v>
      </c>
      <c r="I503" s="13" t="s">
        <v>76</v>
      </c>
      <c r="J503" s="13" t="s">
        <v>77</v>
      </c>
      <c r="K503" s="13" t="s">
        <v>122</v>
      </c>
      <c r="L503" s="13" t="s">
        <v>82</v>
      </c>
      <c r="M503" s="13" t="s">
        <v>80</v>
      </c>
      <c r="N503" s="13" t="s">
        <v>79</v>
      </c>
      <c r="O503" s="13" t="s">
        <v>489</v>
      </c>
      <c r="P503" s="13" t="s">
        <v>79</v>
      </c>
      <c r="Q503" s="13" t="s">
        <v>83</v>
      </c>
      <c r="R503" s="13" t="s">
        <v>82</v>
      </c>
      <c r="S503" s="13" t="s">
        <v>82</v>
      </c>
      <c r="T503" s="13" t="s">
        <v>106</v>
      </c>
      <c r="U503" s="13" t="s">
        <v>87</v>
      </c>
      <c r="V503" s="13" t="s">
        <v>112</v>
      </c>
      <c r="W503" t="s">
        <v>485</v>
      </c>
      <c r="X503" s="12">
        <v>2.7272727272727271</v>
      </c>
      <c r="Y503" s="12">
        <v>2</v>
      </c>
      <c r="Z503" s="12">
        <v>2.3333333333333335</v>
      </c>
      <c r="AA503" s="12">
        <v>0.22222222222222221</v>
      </c>
      <c r="AB503" s="12">
        <v>3</v>
      </c>
      <c r="AC503" s="12">
        <v>0.33333333333333331</v>
      </c>
      <c r="AD503" s="12">
        <v>1.7693602693602697</v>
      </c>
    </row>
    <row r="504" spans="1:30" x14ac:dyDescent="0.3">
      <c r="A504" s="13">
        <v>22</v>
      </c>
      <c r="B504" s="13" t="s">
        <v>70</v>
      </c>
      <c r="C504" s="13" t="s">
        <v>113</v>
      </c>
      <c r="D504" s="13" t="s">
        <v>72</v>
      </c>
      <c r="E504" s="13" t="s">
        <v>73</v>
      </c>
      <c r="F504" s="13" t="s">
        <v>74</v>
      </c>
      <c r="G504" s="13" t="s">
        <v>439</v>
      </c>
      <c r="H504" s="13" t="s">
        <v>136</v>
      </c>
      <c r="I504" s="13" t="s">
        <v>76</v>
      </c>
      <c r="J504" s="13" t="s">
        <v>77</v>
      </c>
      <c r="K504" s="13" t="s">
        <v>122</v>
      </c>
      <c r="L504" s="13" t="s">
        <v>82</v>
      </c>
      <c r="M504" s="13" t="s">
        <v>80</v>
      </c>
      <c r="N504" s="13" t="s">
        <v>79</v>
      </c>
      <c r="O504" s="13" t="s">
        <v>490</v>
      </c>
      <c r="P504" s="13" t="s">
        <v>79</v>
      </c>
      <c r="Q504" s="13" t="s">
        <v>103</v>
      </c>
      <c r="R504" s="13" t="s">
        <v>79</v>
      </c>
      <c r="S504" s="13" t="s">
        <v>79</v>
      </c>
      <c r="T504" s="13" t="s">
        <v>86</v>
      </c>
      <c r="U504" s="13" t="s">
        <v>141</v>
      </c>
      <c r="V504" s="13" t="s">
        <v>112</v>
      </c>
      <c r="W504" t="s">
        <v>486</v>
      </c>
      <c r="X504" s="12">
        <v>2.9090909090909092</v>
      </c>
      <c r="Y504" s="12">
        <v>2</v>
      </c>
      <c r="Z504" s="12">
        <v>1.3333333333333333</v>
      </c>
      <c r="AA504" s="12">
        <v>0.1111111111111111</v>
      </c>
      <c r="AB504" s="12">
        <v>3</v>
      </c>
      <c r="AC504" s="12">
        <v>0.33333333333333331</v>
      </c>
      <c r="AD504" s="12">
        <v>1.6144781144781144</v>
      </c>
    </row>
    <row r="505" spans="1:30" x14ac:dyDescent="0.3">
      <c r="A505" s="13">
        <v>16</v>
      </c>
      <c r="B505" s="13" t="s">
        <v>70</v>
      </c>
      <c r="C505" s="13" t="s">
        <v>157</v>
      </c>
      <c r="D505" s="13" t="s">
        <v>97</v>
      </c>
      <c r="E505" s="13" t="s">
        <v>73</v>
      </c>
      <c r="F505" s="13" t="s">
        <v>74</v>
      </c>
      <c r="G505" s="13" t="s">
        <v>440</v>
      </c>
      <c r="H505" s="13" t="s">
        <v>74</v>
      </c>
      <c r="I505" s="13" t="s">
        <v>76</v>
      </c>
      <c r="J505" s="13" t="s">
        <v>101</v>
      </c>
      <c r="K505" s="13" t="s">
        <v>131</v>
      </c>
      <c r="L505" s="13" t="s">
        <v>79</v>
      </c>
      <c r="M505" s="13" t="s">
        <v>80</v>
      </c>
      <c r="N505" s="13" t="s">
        <v>79</v>
      </c>
      <c r="O505" s="13" t="s">
        <v>487</v>
      </c>
      <c r="P505" s="13" t="s">
        <v>82</v>
      </c>
      <c r="Q505" s="13" t="s">
        <v>83</v>
      </c>
      <c r="R505" s="13" t="s">
        <v>79</v>
      </c>
      <c r="S505" s="13" t="s">
        <v>82</v>
      </c>
      <c r="T505" s="13" t="s">
        <v>106</v>
      </c>
      <c r="U505" s="13" t="s">
        <v>141</v>
      </c>
      <c r="V505" s="13" t="s">
        <v>457</v>
      </c>
      <c r="W505" t="s">
        <v>486</v>
      </c>
      <c r="X505" s="12">
        <v>1.7272727272727273</v>
      </c>
      <c r="Y505" s="12">
        <v>0</v>
      </c>
      <c r="Z505" s="12">
        <v>3</v>
      </c>
      <c r="AA505" s="12">
        <v>0.88888888888888884</v>
      </c>
      <c r="AB505" s="12">
        <v>2.8</v>
      </c>
      <c r="AC505" s="12">
        <v>0.33333333333333331</v>
      </c>
      <c r="AD505" s="12">
        <v>1.4582491582491584</v>
      </c>
    </row>
    <row r="506" spans="1:30" x14ac:dyDescent="0.3">
      <c r="A506" s="13">
        <v>20</v>
      </c>
      <c r="B506" s="13" t="s">
        <v>70</v>
      </c>
      <c r="C506" s="13" t="s">
        <v>157</v>
      </c>
      <c r="D506" s="13" t="s">
        <v>97</v>
      </c>
      <c r="E506" s="13" t="s">
        <v>108</v>
      </c>
      <c r="F506" s="13" t="s">
        <v>74</v>
      </c>
      <c r="G506" s="13" t="s">
        <v>99</v>
      </c>
      <c r="H506" s="13" t="s">
        <v>74</v>
      </c>
      <c r="I506" s="13" t="s">
        <v>76</v>
      </c>
      <c r="J506" s="13" t="s">
        <v>77</v>
      </c>
      <c r="K506" s="13" t="s">
        <v>125</v>
      </c>
      <c r="L506" s="13" t="s">
        <v>82</v>
      </c>
      <c r="M506" s="13" t="s">
        <v>80</v>
      </c>
      <c r="N506" s="13" t="s">
        <v>79</v>
      </c>
      <c r="O506" s="13" t="s">
        <v>490</v>
      </c>
      <c r="P506" s="13" t="s">
        <v>82</v>
      </c>
      <c r="Q506" s="13" t="s">
        <v>103</v>
      </c>
      <c r="R506" s="13" t="s">
        <v>79</v>
      </c>
      <c r="S506" s="13" t="s">
        <v>79</v>
      </c>
      <c r="T506" s="13" t="s">
        <v>106</v>
      </c>
      <c r="U506" s="13" t="s">
        <v>87</v>
      </c>
      <c r="V506" s="13" t="s">
        <v>112</v>
      </c>
      <c r="W506" t="s">
        <v>486</v>
      </c>
      <c r="X506" s="12">
        <v>2.5454545454545454</v>
      </c>
      <c r="Y506" s="12">
        <v>1.6</v>
      </c>
      <c r="Z506" s="12">
        <v>1.6666666666666667</v>
      </c>
      <c r="AA506" s="12">
        <v>0.55555555555555558</v>
      </c>
      <c r="AB506" s="12">
        <v>2.8</v>
      </c>
      <c r="AC506" s="12">
        <v>0.33333333333333331</v>
      </c>
      <c r="AD506" s="12">
        <v>1.5835016835016835</v>
      </c>
    </row>
    <row r="507" spans="1:30" x14ac:dyDescent="0.3">
      <c r="A507" s="13">
        <v>22</v>
      </c>
      <c r="B507" s="13" t="s">
        <v>70</v>
      </c>
      <c r="C507" s="13" t="s">
        <v>96</v>
      </c>
      <c r="D507" s="13" t="s">
        <v>97</v>
      </c>
      <c r="E507" s="13" t="s">
        <v>108</v>
      </c>
      <c r="F507" s="13" t="s">
        <v>74</v>
      </c>
      <c r="G507" s="13" t="s">
        <v>440</v>
      </c>
      <c r="H507" s="13" t="s">
        <v>136</v>
      </c>
      <c r="I507" s="13" t="s">
        <v>76</v>
      </c>
      <c r="J507" s="13" t="s">
        <v>77</v>
      </c>
      <c r="K507" s="13" t="s">
        <v>122</v>
      </c>
      <c r="L507" s="13" t="s">
        <v>82</v>
      </c>
      <c r="M507" s="13" t="s">
        <v>80</v>
      </c>
      <c r="N507" s="13" t="s">
        <v>82</v>
      </c>
      <c r="O507" s="13" t="s">
        <v>488</v>
      </c>
      <c r="P507" s="13" t="s">
        <v>82</v>
      </c>
      <c r="Q507" s="13" t="s">
        <v>103</v>
      </c>
      <c r="R507" s="13" t="s">
        <v>79</v>
      </c>
      <c r="S507" s="13" t="s">
        <v>82</v>
      </c>
      <c r="T507" s="13" t="s">
        <v>148</v>
      </c>
      <c r="U507" s="13" t="s">
        <v>141</v>
      </c>
      <c r="V507" s="13" t="s">
        <v>112</v>
      </c>
      <c r="W507" t="s">
        <v>486</v>
      </c>
      <c r="X507" s="12">
        <v>2.4545454545454546</v>
      </c>
      <c r="Y507" s="12">
        <v>2.2000000000000002</v>
      </c>
      <c r="Z507" s="12">
        <v>1.6666666666666667</v>
      </c>
      <c r="AA507" s="12">
        <v>0.44444444444444442</v>
      </c>
      <c r="AB507" s="12">
        <v>2.6</v>
      </c>
      <c r="AC507" s="12">
        <v>0.33333333333333331</v>
      </c>
      <c r="AD507" s="12">
        <v>1.6164983164983167</v>
      </c>
    </row>
    <row r="508" spans="1:30" x14ac:dyDescent="0.3">
      <c r="A508" s="13">
        <v>23</v>
      </c>
      <c r="B508" s="13" t="s">
        <v>70</v>
      </c>
      <c r="C508" s="13" t="s">
        <v>71</v>
      </c>
      <c r="D508" s="13" t="s">
        <v>97</v>
      </c>
      <c r="E508" s="13" t="s">
        <v>73</v>
      </c>
      <c r="F508" s="13" t="s">
        <v>98</v>
      </c>
      <c r="G508" s="13" t="s">
        <v>439</v>
      </c>
      <c r="H508" s="13" t="s">
        <v>100</v>
      </c>
      <c r="I508" s="13" t="s">
        <v>76</v>
      </c>
      <c r="J508" s="13" t="s">
        <v>77</v>
      </c>
      <c r="K508" s="13" t="s">
        <v>125</v>
      </c>
      <c r="L508" s="13" t="s">
        <v>82</v>
      </c>
      <c r="M508" s="13" t="s">
        <v>80</v>
      </c>
      <c r="N508" s="13" t="s">
        <v>79</v>
      </c>
      <c r="O508" s="13" t="s">
        <v>489</v>
      </c>
      <c r="P508" s="13" t="s">
        <v>82</v>
      </c>
      <c r="Q508" s="13" t="s">
        <v>83</v>
      </c>
      <c r="R508" s="13" t="s">
        <v>82</v>
      </c>
      <c r="S508" s="13" t="s">
        <v>82</v>
      </c>
      <c r="T508" s="13" t="s">
        <v>106</v>
      </c>
      <c r="U508" s="13" t="s">
        <v>87</v>
      </c>
      <c r="V508" s="13" t="s">
        <v>455</v>
      </c>
      <c r="W508" t="s">
        <v>485</v>
      </c>
      <c r="X508" s="12">
        <v>2.0909090909090908</v>
      </c>
      <c r="Y508" s="12">
        <v>0.6</v>
      </c>
      <c r="Z508" s="12">
        <v>1</v>
      </c>
      <c r="AA508" s="12">
        <v>2</v>
      </c>
      <c r="AB508" s="12">
        <v>2.4</v>
      </c>
      <c r="AC508" s="12">
        <v>0.33333333333333331</v>
      </c>
      <c r="AD508" s="12">
        <v>1.4040404040404042</v>
      </c>
    </row>
    <row r="509" spans="1:30" x14ac:dyDescent="0.3">
      <c r="A509" s="13">
        <v>23</v>
      </c>
      <c r="B509" s="13" t="s">
        <v>70</v>
      </c>
      <c r="C509" s="13" t="s">
        <v>113</v>
      </c>
      <c r="D509" s="13" t="s">
        <v>72</v>
      </c>
      <c r="E509" s="13" t="s">
        <v>114</v>
      </c>
      <c r="F509" s="13" t="s">
        <v>100</v>
      </c>
      <c r="G509" s="13" t="s">
        <v>440</v>
      </c>
      <c r="H509" s="13" t="s">
        <v>98</v>
      </c>
      <c r="I509" s="13" t="s">
        <v>76</v>
      </c>
      <c r="J509" s="13" t="s">
        <v>77</v>
      </c>
      <c r="K509" s="13" t="s">
        <v>125</v>
      </c>
      <c r="L509" s="13" t="s">
        <v>82</v>
      </c>
      <c r="M509" s="13" t="s">
        <v>80</v>
      </c>
      <c r="N509" s="13" t="s">
        <v>82</v>
      </c>
      <c r="O509" s="13" t="s">
        <v>489</v>
      </c>
      <c r="P509" s="13" t="s">
        <v>82</v>
      </c>
      <c r="Q509" s="13" t="s">
        <v>83</v>
      </c>
      <c r="R509" s="13" t="s">
        <v>82</v>
      </c>
      <c r="S509" s="13" t="s">
        <v>82</v>
      </c>
      <c r="T509" s="13" t="s">
        <v>106</v>
      </c>
      <c r="U509" s="13" t="s">
        <v>141</v>
      </c>
      <c r="V509" s="13" t="s">
        <v>237</v>
      </c>
      <c r="W509" t="s">
        <v>485</v>
      </c>
      <c r="X509" s="12">
        <v>2.6363636363636362</v>
      </c>
      <c r="Y509" s="12">
        <v>2.6</v>
      </c>
      <c r="Z509" s="12">
        <v>1</v>
      </c>
      <c r="AA509" s="12">
        <v>0.66666666666666663</v>
      </c>
      <c r="AB509" s="12">
        <v>2.4</v>
      </c>
      <c r="AC509" s="12">
        <v>0.33333333333333331</v>
      </c>
      <c r="AD509" s="12">
        <v>1.6060606060606062</v>
      </c>
    </row>
    <row r="510" spans="1:30" x14ac:dyDescent="0.3">
      <c r="A510" s="13">
        <v>21</v>
      </c>
      <c r="B510" s="13" t="s">
        <v>70</v>
      </c>
      <c r="C510" s="13" t="s">
        <v>157</v>
      </c>
      <c r="D510" s="13" t="s">
        <v>72</v>
      </c>
      <c r="E510" s="13" t="s">
        <v>108</v>
      </c>
      <c r="F510" s="13" t="s">
        <v>74</v>
      </c>
      <c r="G510" s="13" t="s">
        <v>439</v>
      </c>
      <c r="H510" s="13" t="s">
        <v>74</v>
      </c>
      <c r="I510" s="13" t="s">
        <v>76</v>
      </c>
      <c r="J510" s="13" t="s">
        <v>77</v>
      </c>
      <c r="K510" s="13" t="s">
        <v>131</v>
      </c>
      <c r="L510" s="13" t="s">
        <v>79</v>
      </c>
      <c r="M510" s="13" t="s">
        <v>80</v>
      </c>
      <c r="N510" s="13" t="s">
        <v>79</v>
      </c>
      <c r="O510" s="13" t="s">
        <v>489</v>
      </c>
      <c r="P510" s="13" t="s">
        <v>82</v>
      </c>
      <c r="Q510" s="13" t="s">
        <v>83</v>
      </c>
      <c r="R510" s="13" t="s">
        <v>82</v>
      </c>
      <c r="S510" s="13" t="s">
        <v>82</v>
      </c>
      <c r="T510" s="13" t="s">
        <v>106</v>
      </c>
      <c r="U510" s="13" t="s">
        <v>120</v>
      </c>
      <c r="V510" s="13" t="s">
        <v>112</v>
      </c>
      <c r="W510" t="s">
        <v>486</v>
      </c>
      <c r="X510" s="12">
        <v>2.7272727272727271</v>
      </c>
      <c r="Y510" s="12">
        <v>1.8</v>
      </c>
      <c r="Z510" s="12">
        <v>1.3333333333333333</v>
      </c>
      <c r="AA510" s="12">
        <v>0.44444444444444442</v>
      </c>
      <c r="AB510" s="12">
        <v>2.4</v>
      </c>
      <c r="AC510" s="12">
        <v>0.33333333333333331</v>
      </c>
      <c r="AD510" s="12">
        <v>1.5063973063973064</v>
      </c>
    </row>
    <row r="511" spans="1:30" x14ac:dyDescent="0.3">
      <c r="A511" s="13">
        <v>23</v>
      </c>
      <c r="B511" s="13" t="s">
        <v>70</v>
      </c>
      <c r="C511" s="13" t="s">
        <v>71</v>
      </c>
      <c r="D511" s="13" t="s">
        <v>149</v>
      </c>
      <c r="E511" s="13" t="s">
        <v>108</v>
      </c>
      <c r="F511" s="13" t="s">
        <v>74</v>
      </c>
      <c r="G511" s="13" t="s">
        <v>439</v>
      </c>
      <c r="H511" s="13" t="s">
        <v>74</v>
      </c>
      <c r="I511" s="13" t="s">
        <v>439</v>
      </c>
      <c r="J511" s="13" t="s">
        <v>77</v>
      </c>
      <c r="K511" s="13" t="s">
        <v>122</v>
      </c>
      <c r="L511" s="13" t="s">
        <v>79</v>
      </c>
      <c r="M511" s="13" t="s">
        <v>80</v>
      </c>
      <c r="N511" s="13" t="s">
        <v>79</v>
      </c>
      <c r="O511" s="13" t="s">
        <v>487</v>
      </c>
      <c r="P511" s="13" t="s">
        <v>82</v>
      </c>
      <c r="Q511" s="13" t="s">
        <v>103</v>
      </c>
      <c r="R511" s="13" t="s">
        <v>79</v>
      </c>
      <c r="S511" s="13" t="s">
        <v>82</v>
      </c>
      <c r="T511" s="13" t="s">
        <v>86</v>
      </c>
      <c r="U511" s="13" t="s">
        <v>87</v>
      </c>
      <c r="V511" s="13" t="s">
        <v>237</v>
      </c>
      <c r="W511" t="s">
        <v>485</v>
      </c>
      <c r="X511" s="12">
        <v>3</v>
      </c>
      <c r="Y511" s="12">
        <v>2.2000000000000002</v>
      </c>
      <c r="Z511" s="12">
        <v>1</v>
      </c>
      <c r="AA511" s="12">
        <v>0</v>
      </c>
      <c r="AB511" s="12">
        <v>2.4</v>
      </c>
      <c r="AC511" s="12">
        <v>0.33333333333333331</v>
      </c>
      <c r="AD511" s="12">
        <v>1.4888888888888889</v>
      </c>
    </row>
    <row r="512" spans="1:30" x14ac:dyDescent="0.3">
      <c r="A512" s="13">
        <v>22</v>
      </c>
      <c r="B512" s="13" t="s">
        <v>70</v>
      </c>
      <c r="C512" s="13" t="s">
        <v>157</v>
      </c>
      <c r="D512" s="13" t="s">
        <v>72</v>
      </c>
      <c r="E512" s="13" t="s">
        <v>114</v>
      </c>
      <c r="F512" s="13" t="s">
        <v>74</v>
      </c>
      <c r="G512" s="13" t="s">
        <v>439</v>
      </c>
      <c r="H512" s="13" t="s">
        <v>136</v>
      </c>
      <c r="I512" s="13" t="s">
        <v>439</v>
      </c>
      <c r="J512" s="13" t="s">
        <v>77</v>
      </c>
      <c r="K512" s="13" t="s">
        <v>125</v>
      </c>
      <c r="L512" s="13" t="s">
        <v>79</v>
      </c>
      <c r="M512" s="13" t="s">
        <v>80</v>
      </c>
      <c r="N512" s="13" t="s">
        <v>79</v>
      </c>
      <c r="O512" s="13" t="s">
        <v>488</v>
      </c>
      <c r="P512" s="13" t="s">
        <v>79</v>
      </c>
      <c r="Q512" s="13" t="s">
        <v>103</v>
      </c>
      <c r="R512" s="13" t="s">
        <v>79</v>
      </c>
      <c r="S512" s="13" t="s">
        <v>79</v>
      </c>
      <c r="T512" s="13" t="s">
        <v>86</v>
      </c>
      <c r="U512" s="13" t="s">
        <v>87</v>
      </c>
      <c r="V512" s="13" t="s">
        <v>127</v>
      </c>
      <c r="W512" t="s">
        <v>486</v>
      </c>
      <c r="X512" s="12">
        <v>2.5454545454545454</v>
      </c>
      <c r="Y512" s="12">
        <v>2.2000000000000002</v>
      </c>
      <c r="Z512" s="12">
        <v>2.6666666666666665</v>
      </c>
      <c r="AA512" s="12">
        <v>1.2222222222222223</v>
      </c>
      <c r="AB512" s="12">
        <v>2.2000000000000002</v>
      </c>
      <c r="AC512" s="12">
        <v>0.33333333333333331</v>
      </c>
      <c r="AD512" s="12">
        <v>1.8612794612794614</v>
      </c>
    </row>
    <row r="513" spans="1:30" x14ac:dyDescent="0.3">
      <c r="A513" s="13">
        <v>21</v>
      </c>
      <c r="B513" s="13" t="s">
        <v>70</v>
      </c>
      <c r="C513" s="13" t="s">
        <v>96</v>
      </c>
      <c r="D513" s="13" t="s">
        <v>72</v>
      </c>
      <c r="E513" s="13" t="s">
        <v>73</v>
      </c>
      <c r="F513" s="13" t="s">
        <v>74</v>
      </c>
      <c r="G513" s="13" t="s">
        <v>439</v>
      </c>
      <c r="H513" s="13" t="s">
        <v>74</v>
      </c>
      <c r="I513" s="13" t="s">
        <v>439</v>
      </c>
      <c r="J513" s="13" t="s">
        <v>77</v>
      </c>
      <c r="K513" s="13" t="s">
        <v>78</v>
      </c>
      <c r="L513" s="13" t="s">
        <v>79</v>
      </c>
      <c r="M513" s="13" t="s">
        <v>80</v>
      </c>
      <c r="N513" s="13" t="s">
        <v>79</v>
      </c>
      <c r="O513" s="13" t="s">
        <v>490</v>
      </c>
      <c r="P513" s="13" t="s">
        <v>79</v>
      </c>
      <c r="Q513" s="13" t="s">
        <v>83</v>
      </c>
      <c r="R513" s="13" t="s">
        <v>79</v>
      </c>
      <c r="S513" s="13" t="s">
        <v>82</v>
      </c>
      <c r="T513" s="13" t="s">
        <v>86</v>
      </c>
      <c r="U513" s="13" t="s">
        <v>120</v>
      </c>
      <c r="V513" s="13" t="s">
        <v>112</v>
      </c>
      <c r="W513" t="s">
        <v>485</v>
      </c>
      <c r="X513" s="12">
        <v>2.3636363636363638</v>
      </c>
      <c r="Y513" s="12">
        <v>2.8</v>
      </c>
      <c r="Z513" s="12">
        <v>3</v>
      </c>
      <c r="AA513" s="12">
        <v>0.55555555555555558</v>
      </c>
      <c r="AB513" s="12">
        <v>2.2000000000000002</v>
      </c>
      <c r="AC513" s="12">
        <v>0.33333333333333331</v>
      </c>
      <c r="AD513" s="12">
        <v>1.8754208754208757</v>
      </c>
    </row>
    <row r="514" spans="1:30" x14ac:dyDescent="0.3">
      <c r="A514" s="13">
        <v>21</v>
      </c>
      <c r="B514" s="13" t="s">
        <v>70</v>
      </c>
      <c r="C514" s="13" t="s">
        <v>96</v>
      </c>
      <c r="D514" s="13" t="s">
        <v>72</v>
      </c>
      <c r="E514" s="13" t="s">
        <v>108</v>
      </c>
      <c r="F514" s="13" t="s">
        <v>74</v>
      </c>
      <c r="G514" s="13" t="s">
        <v>99</v>
      </c>
      <c r="H514" s="13" t="s">
        <v>74</v>
      </c>
      <c r="I514" s="13" t="s">
        <v>439</v>
      </c>
      <c r="J514" s="13" t="s">
        <v>77</v>
      </c>
      <c r="K514" s="13" t="s">
        <v>122</v>
      </c>
      <c r="L514" s="13" t="s">
        <v>79</v>
      </c>
      <c r="M514" s="13" t="s">
        <v>80</v>
      </c>
      <c r="N514" s="13" t="s">
        <v>79</v>
      </c>
      <c r="O514" s="13" t="s">
        <v>490</v>
      </c>
      <c r="P514" s="13" t="s">
        <v>82</v>
      </c>
      <c r="Q514" s="13" t="s">
        <v>83</v>
      </c>
      <c r="R514" s="13" t="s">
        <v>82</v>
      </c>
      <c r="S514" s="13" t="s">
        <v>82</v>
      </c>
      <c r="T514" s="13" t="s">
        <v>106</v>
      </c>
      <c r="U514" s="13" t="s">
        <v>87</v>
      </c>
      <c r="V514" s="13" t="s">
        <v>127</v>
      </c>
      <c r="W514" t="s">
        <v>486</v>
      </c>
      <c r="X514" s="12">
        <v>2.1818181818181817</v>
      </c>
      <c r="Y514" s="12">
        <v>1</v>
      </c>
      <c r="Z514" s="12">
        <v>1.3333333333333333</v>
      </c>
      <c r="AA514" s="12">
        <v>0.22222222222222221</v>
      </c>
      <c r="AB514" s="12">
        <v>2</v>
      </c>
      <c r="AC514" s="12">
        <v>0.33333333333333331</v>
      </c>
      <c r="AD514" s="12">
        <v>1.1784511784511784</v>
      </c>
    </row>
    <row r="515" spans="1:30" x14ac:dyDescent="0.3">
      <c r="A515" s="13">
        <v>25</v>
      </c>
      <c r="B515" s="13" t="s">
        <v>128</v>
      </c>
      <c r="C515" s="13" t="s">
        <v>71</v>
      </c>
      <c r="D515" s="13" t="s">
        <v>97</v>
      </c>
      <c r="E515" s="13" t="s">
        <v>108</v>
      </c>
      <c r="F515" s="13" t="s">
        <v>136</v>
      </c>
      <c r="G515" s="13" t="s">
        <v>440</v>
      </c>
      <c r="H515" s="13" t="s">
        <v>100</v>
      </c>
      <c r="I515" s="13" t="s">
        <v>76</v>
      </c>
      <c r="J515" s="13" t="s">
        <v>77</v>
      </c>
      <c r="K515" s="13" t="s">
        <v>131</v>
      </c>
      <c r="L515" s="13" t="s">
        <v>79</v>
      </c>
      <c r="M515" s="13" t="s">
        <v>80</v>
      </c>
      <c r="N515" s="13" t="s">
        <v>79</v>
      </c>
      <c r="O515" s="13" t="s">
        <v>487</v>
      </c>
      <c r="P515" s="13" t="s">
        <v>79</v>
      </c>
      <c r="Q515" s="13" t="s">
        <v>83</v>
      </c>
      <c r="R515" s="13" t="s">
        <v>79</v>
      </c>
      <c r="S515" s="13" t="s">
        <v>79</v>
      </c>
      <c r="T515" s="13" t="s">
        <v>86</v>
      </c>
      <c r="U515" s="13" t="s">
        <v>141</v>
      </c>
      <c r="V515" s="13" t="s">
        <v>455</v>
      </c>
      <c r="W515" t="s">
        <v>486</v>
      </c>
      <c r="X515" s="12">
        <v>1.8181818181818181</v>
      </c>
      <c r="Y515" s="12">
        <v>1.6</v>
      </c>
      <c r="Z515" s="12">
        <v>2.3333333333333335</v>
      </c>
      <c r="AA515" s="12">
        <v>2</v>
      </c>
      <c r="AB515" s="12">
        <v>1.8</v>
      </c>
      <c r="AC515" s="12">
        <v>0.33333333333333331</v>
      </c>
      <c r="AD515" s="12">
        <v>1.6474747474747478</v>
      </c>
    </row>
    <row r="516" spans="1:30" x14ac:dyDescent="0.3">
      <c r="A516" s="13">
        <v>22</v>
      </c>
      <c r="B516" s="13" t="s">
        <v>70</v>
      </c>
      <c r="C516" s="13" t="s">
        <v>96</v>
      </c>
      <c r="D516" s="13" t="s">
        <v>72</v>
      </c>
      <c r="E516" s="13" t="s">
        <v>73</v>
      </c>
      <c r="F516" s="13" t="s">
        <v>100</v>
      </c>
      <c r="G516" s="13" t="s">
        <v>439</v>
      </c>
      <c r="H516" s="13" t="s">
        <v>100</v>
      </c>
      <c r="I516" s="13" t="s">
        <v>439</v>
      </c>
      <c r="J516" s="13" t="s">
        <v>77</v>
      </c>
      <c r="K516" s="13" t="s">
        <v>122</v>
      </c>
      <c r="L516" s="13" t="s">
        <v>79</v>
      </c>
      <c r="M516" s="13" t="s">
        <v>80</v>
      </c>
      <c r="N516" s="13" t="s">
        <v>79</v>
      </c>
      <c r="O516" s="13" t="s">
        <v>487</v>
      </c>
      <c r="P516" s="13" t="s">
        <v>79</v>
      </c>
      <c r="Q516" s="13" t="s">
        <v>83</v>
      </c>
      <c r="R516" s="13" t="s">
        <v>79</v>
      </c>
      <c r="S516" s="13" t="s">
        <v>79</v>
      </c>
      <c r="T516" s="13" t="s">
        <v>106</v>
      </c>
      <c r="U516" s="13" t="s">
        <v>87</v>
      </c>
      <c r="V516" s="13" t="s">
        <v>112</v>
      </c>
      <c r="W516" t="s">
        <v>485</v>
      </c>
      <c r="X516" s="12">
        <v>1.2727272727272727</v>
      </c>
      <c r="Y516" s="12">
        <v>1.4</v>
      </c>
      <c r="Z516" s="12">
        <v>1</v>
      </c>
      <c r="AA516" s="12">
        <v>0.55555555555555558</v>
      </c>
      <c r="AB516" s="12">
        <v>1.8</v>
      </c>
      <c r="AC516" s="12">
        <v>0.33333333333333331</v>
      </c>
      <c r="AD516" s="12">
        <v>1.0602693602693603</v>
      </c>
    </row>
    <row r="517" spans="1:30" x14ac:dyDescent="0.3">
      <c r="A517" s="13">
        <v>23</v>
      </c>
      <c r="B517" s="13" t="s">
        <v>70</v>
      </c>
      <c r="C517" s="13" t="s">
        <v>71</v>
      </c>
      <c r="D517" s="13" t="s">
        <v>72</v>
      </c>
      <c r="E517" s="13" t="s">
        <v>108</v>
      </c>
      <c r="F517" s="13" t="s">
        <v>136</v>
      </c>
      <c r="G517" s="13" t="s">
        <v>439</v>
      </c>
      <c r="H517" s="13" t="s">
        <v>98</v>
      </c>
      <c r="I517" s="13" t="s">
        <v>76</v>
      </c>
      <c r="J517" s="13" t="s">
        <v>77</v>
      </c>
      <c r="K517" s="13" t="s">
        <v>122</v>
      </c>
      <c r="L517" s="13" t="s">
        <v>79</v>
      </c>
      <c r="M517" s="13" t="s">
        <v>80</v>
      </c>
      <c r="N517" s="13" t="s">
        <v>79</v>
      </c>
      <c r="O517" s="13" t="s">
        <v>489</v>
      </c>
      <c r="P517" s="13" t="s">
        <v>82</v>
      </c>
      <c r="Q517" s="13" t="s">
        <v>103</v>
      </c>
      <c r="R517" s="13" t="s">
        <v>82</v>
      </c>
      <c r="S517" s="13" t="s">
        <v>82</v>
      </c>
      <c r="T517" s="13" t="s">
        <v>106</v>
      </c>
      <c r="U517" s="13" t="s">
        <v>87</v>
      </c>
      <c r="V517" s="13" t="s">
        <v>112</v>
      </c>
      <c r="W517" t="s">
        <v>486</v>
      </c>
      <c r="X517" s="12">
        <v>2.2727272727272729</v>
      </c>
      <c r="Y517" s="12">
        <v>2.2000000000000002</v>
      </c>
      <c r="Z517" s="12">
        <v>1</v>
      </c>
      <c r="AA517" s="12">
        <v>0.22222222222222221</v>
      </c>
      <c r="AB517" s="12">
        <v>1.8</v>
      </c>
      <c r="AC517" s="12">
        <v>0.33333333333333331</v>
      </c>
      <c r="AD517" s="12">
        <v>1.3047138047138047</v>
      </c>
    </row>
    <row r="518" spans="1:30" x14ac:dyDescent="0.3">
      <c r="A518" s="13">
        <v>23</v>
      </c>
      <c r="B518" s="13" t="s">
        <v>70</v>
      </c>
      <c r="C518" s="13" t="s">
        <v>113</v>
      </c>
      <c r="D518" s="13" t="s">
        <v>72</v>
      </c>
      <c r="E518" s="13" t="s">
        <v>73</v>
      </c>
      <c r="F518" s="13" t="s">
        <v>136</v>
      </c>
      <c r="G518" s="13" t="s">
        <v>440</v>
      </c>
      <c r="H518" s="13" t="s">
        <v>136</v>
      </c>
      <c r="I518" s="13" t="s">
        <v>76</v>
      </c>
      <c r="J518" s="13" t="s">
        <v>77</v>
      </c>
      <c r="K518" s="13" t="s">
        <v>131</v>
      </c>
      <c r="L518" s="13" t="s">
        <v>79</v>
      </c>
      <c r="M518" s="13" t="s">
        <v>80</v>
      </c>
      <c r="N518" s="13" t="s">
        <v>79</v>
      </c>
      <c r="O518" s="13" t="s">
        <v>489</v>
      </c>
      <c r="P518" s="13" t="s">
        <v>82</v>
      </c>
      <c r="Q518" s="13" t="s">
        <v>83</v>
      </c>
      <c r="R518" s="13" t="s">
        <v>82</v>
      </c>
      <c r="S518" s="13" t="s">
        <v>82</v>
      </c>
      <c r="T518" s="13" t="s">
        <v>106</v>
      </c>
      <c r="U518" s="13" t="s">
        <v>120</v>
      </c>
      <c r="V518" s="13" t="s">
        <v>112</v>
      </c>
      <c r="W518" t="s">
        <v>486</v>
      </c>
      <c r="X518" s="12">
        <v>1.6363636363636365</v>
      </c>
      <c r="Y518" s="12">
        <v>1.4</v>
      </c>
      <c r="Z518" s="12">
        <v>1.3333333333333333</v>
      </c>
      <c r="AA518" s="12">
        <v>0.88888888888888884</v>
      </c>
      <c r="AB518" s="12">
        <v>1.6</v>
      </c>
      <c r="AC518" s="12">
        <v>0.33333333333333331</v>
      </c>
      <c r="AD518" s="12">
        <v>1.1986531986531985</v>
      </c>
    </row>
    <row r="519" spans="1:30" x14ac:dyDescent="0.3">
      <c r="A519" s="13">
        <v>23</v>
      </c>
      <c r="B519" s="13" t="s">
        <v>128</v>
      </c>
      <c r="C519" s="13" t="s">
        <v>113</v>
      </c>
      <c r="D519" s="13" t="s">
        <v>72</v>
      </c>
      <c r="E519" s="13" t="s">
        <v>108</v>
      </c>
      <c r="F519" s="13" t="s">
        <v>98</v>
      </c>
      <c r="G519" s="13" t="s">
        <v>440</v>
      </c>
      <c r="H519" s="13" t="s">
        <v>136</v>
      </c>
      <c r="I519" s="13" t="s">
        <v>439</v>
      </c>
      <c r="J519" s="13" t="s">
        <v>77</v>
      </c>
      <c r="K519" s="13" t="s">
        <v>122</v>
      </c>
      <c r="L519" s="13" t="s">
        <v>79</v>
      </c>
      <c r="M519" s="13" t="s">
        <v>80</v>
      </c>
      <c r="N519" s="13" t="s">
        <v>79</v>
      </c>
      <c r="O519" s="13" t="s">
        <v>487</v>
      </c>
      <c r="P519" s="13" t="s">
        <v>79</v>
      </c>
      <c r="Q519" s="13" t="s">
        <v>118</v>
      </c>
      <c r="R519" s="13" t="s">
        <v>79</v>
      </c>
      <c r="S519" s="13" t="s">
        <v>79</v>
      </c>
      <c r="T519" s="13" t="s">
        <v>86</v>
      </c>
      <c r="U519" s="13" t="s">
        <v>141</v>
      </c>
      <c r="V519" s="13" t="s">
        <v>127</v>
      </c>
      <c r="W519" t="s">
        <v>485</v>
      </c>
      <c r="X519" s="12">
        <v>1.5454545454545454</v>
      </c>
      <c r="Y519" s="12">
        <v>1</v>
      </c>
      <c r="Z519" s="12">
        <v>1</v>
      </c>
      <c r="AA519" s="12">
        <v>1.5555555555555556</v>
      </c>
      <c r="AB519" s="12">
        <v>1.4</v>
      </c>
      <c r="AC519" s="12">
        <v>0.33333333333333331</v>
      </c>
      <c r="AD519" s="12">
        <v>1.1390572390572389</v>
      </c>
    </row>
    <row r="520" spans="1:30" x14ac:dyDescent="0.3">
      <c r="A520" s="13">
        <v>22</v>
      </c>
      <c r="B520" s="13" t="s">
        <v>128</v>
      </c>
      <c r="C520" s="13" t="s">
        <v>96</v>
      </c>
      <c r="D520" s="13" t="s">
        <v>97</v>
      </c>
      <c r="E520" s="13" t="s">
        <v>108</v>
      </c>
      <c r="F520" s="13" t="s">
        <v>74</v>
      </c>
      <c r="G520" s="13" t="s">
        <v>439</v>
      </c>
      <c r="H520" s="13" t="s">
        <v>136</v>
      </c>
      <c r="I520" s="13" t="s">
        <v>76</v>
      </c>
      <c r="J520" s="13" t="s">
        <v>77</v>
      </c>
      <c r="K520" s="13" t="s">
        <v>131</v>
      </c>
      <c r="L520" s="13" t="s">
        <v>79</v>
      </c>
      <c r="M520" s="13" t="s">
        <v>80</v>
      </c>
      <c r="N520" s="13" t="s">
        <v>82</v>
      </c>
      <c r="O520" s="13" t="s">
        <v>490</v>
      </c>
      <c r="P520" s="13" t="s">
        <v>79</v>
      </c>
      <c r="Q520" s="13" t="s">
        <v>118</v>
      </c>
      <c r="R520" s="13" t="s">
        <v>79</v>
      </c>
      <c r="S520" s="13" t="s">
        <v>82</v>
      </c>
      <c r="T520" s="13" t="s">
        <v>86</v>
      </c>
      <c r="U520" s="13" t="s">
        <v>141</v>
      </c>
      <c r="V520" s="13" t="s">
        <v>160</v>
      </c>
      <c r="W520" t="s">
        <v>486</v>
      </c>
      <c r="X520" s="12">
        <v>1.7272727272727273</v>
      </c>
      <c r="Y520" s="12">
        <v>1.6</v>
      </c>
      <c r="Z520" s="12">
        <v>1</v>
      </c>
      <c r="AA520" s="12">
        <v>1.3333333333333333</v>
      </c>
      <c r="AB520" s="12">
        <v>1.4</v>
      </c>
      <c r="AC520" s="12">
        <v>0.33333333333333331</v>
      </c>
      <c r="AD520" s="12">
        <v>1.2323232323232323</v>
      </c>
    </row>
    <row r="521" spans="1:30" x14ac:dyDescent="0.3">
      <c r="A521" s="13">
        <v>20</v>
      </c>
      <c r="B521" s="13" t="s">
        <v>70</v>
      </c>
      <c r="C521" s="13" t="s">
        <v>157</v>
      </c>
      <c r="D521" s="13" t="s">
        <v>72</v>
      </c>
      <c r="E521" s="13" t="s">
        <v>108</v>
      </c>
      <c r="F521" s="13" t="s">
        <v>74</v>
      </c>
      <c r="G521" s="13" t="s">
        <v>440</v>
      </c>
      <c r="H521" s="13" t="s">
        <v>74</v>
      </c>
      <c r="I521" s="13" t="s">
        <v>439</v>
      </c>
      <c r="J521" s="13" t="s">
        <v>77</v>
      </c>
      <c r="K521" s="13" t="s">
        <v>131</v>
      </c>
      <c r="L521" s="13" t="s">
        <v>79</v>
      </c>
      <c r="M521" s="13" t="s">
        <v>132</v>
      </c>
      <c r="N521" s="13" t="s">
        <v>79</v>
      </c>
      <c r="O521" s="13" t="s">
        <v>490</v>
      </c>
      <c r="P521" s="13" t="s">
        <v>79</v>
      </c>
      <c r="Q521" s="13" t="s">
        <v>83</v>
      </c>
      <c r="R521" s="13" t="s">
        <v>79</v>
      </c>
      <c r="S521" s="13" t="s">
        <v>79</v>
      </c>
      <c r="T521" s="13" t="s">
        <v>106</v>
      </c>
      <c r="U521" s="13" t="s">
        <v>120</v>
      </c>
      <c r="V521" s="13" t="s">
        <v>112</v>
      </c>
      <c r="W521" t="s">
        <v>486</v>
      </c>
      <c r="X521" s="12">
        <v>0.63636363636363635</v>
      </c>
      <c r="Y521" s="12">
        <v>1.4</v>
      </c>
      <c r="Z521" s="12">
        <v>0.66666666666666663</v>
      </c>
      <c r="AA521" s="12">
        <v>1.6666666666666667</v>
      </c>
      <c r="AB521" s="12">
        <v>0.8</v>
      </c>
      <c r="AC521" s="12">
        <v>0.33333333333333331</v>
      </c>
      <c r="AD521" s="12">
        <v>0.91717171717171697</v>
      </c>
    </row>
    <row r="522" spans="1:30" x14ac:dyDescent="0.3">
      <c r="A522" s="13">
        <v>22</v>
      </c>
      <c r="B522" s="13" t="s">
        <v>128</v>
      </c>
      <c r="C522" s="13" t="s">
        <v>96</v>
      </c>
      <c r="D522" s="13" t="s">
        <v>72</v>
      </c>
      <c r="E522" s="13" t="s">
        <v>108</v>
      </c>
      <c r="F522" s="13" t="s">
        <v>98</v>
      </c>
      <c r="G522" s="13" t="s">
        <v>440</v>
      </c>
      <c r="H522" s="13" t="s">
        <v>100</v>
      </c>
      <c r="I522" s="13" t="s">
        <v>166</v>
      </c>
      <c r="J522" s="13" t="s">
        <v>77</v>
      </c>
      <c r="K522" s="13" t="s">
        <v>125</v>
      </c>
      <c r="L522" s="13" t="s">
        <v>79</v>
      </c>
      <c r="M522" s="13" t="s">
        <v>132</v>
      </c>
      <c r="N522" s="13" t="s">
        <v>79</v>
      </c>
      <c r="O522" s="13" t="s">
        <v>487</v>
      </c>
      <c r="P522" s="13" t="s">
        <v>79</v>
      </c>
      <c r="Q522" s="13" t="s">
        <v>83</v>
      </c>
      <c r="R522" s="13" t="s">
        <v>79</v>
      </c>
      <c r="S522" s="13" t="s">
        <v>79</v>
      </c>
      <c r="T522" s="13" t="s">
        <v>86</v>
      </c>
      <c r="U522" s="13" t="s">
        <v>120</v>
      </c>
      <c r="V522" s="13" t="s">
        <v>127</v>
      </c>
      <c r="W522" t="s">
        <v>486</v>
      </c>
      <c r="X522" s="12">
        <v>1.0909090909090908</v>
      </c>
      <c r="Y522" s="12">
        <v>1.6</v>
      </c>
      <c r="Z522" s="12">
        <v>1.3333333333333333</v>
      </c>
      <c r="AA522" s="12">
        <v>1.2222222222222223</v>
      </c>
      <c r="AB522" s="12">
        <v>0.8</v>
      </c>
      <c r="AC522" s="12">
        <v>0.33333333333333331</v>
      </c>
      <c r="AD522" s="12">
        <v>1.0632996632996632</v>
      </c>
    </row>
    <row r="523" spans="1:30" x14ac:dyDescent="0.3">
      <c r="A523" s="13">
        <v>21</v>
      </c>
      <c r="B523" s="13" t="s">
        <v>70</v>
      </c>
      <c r="C523" s="13" t="s">
        <v>157</v>
      </c>
      <c r="D523" s="13" t="s">
        <v>97</v>
      </c>
      <c r="E523" s="13" t="s">
        <v>114</v>
      </c>
      <c r="F523" s="13" t="s">
        <v>74</v>
      </c>
      <c r="G523" s="13" t="s">
        <v>440</v>
      </c>
      <c r="H523" s="13" t="s">
        <v>74</v>
      </c>
      <c r="I523" s="13" t="s">
        <v>76</v>
      </c>
      <c r="J523" s="13" t="s">
        <v>77</v>
      </c>
      <c r="K523" s="13" t="s">
        <v>131</v>
      </c>
      <c r="L523" s="13" t="s">
        <v>79</v>
      </c>
      <c r="M523" s="13" t="s">
        <v>132</v>
      </c>
      <c r="N523" s="13" t="s">
        <v>79</v>
      </c>
      <c r="O523" s="13" t="s">
        <v>490</v>
      </c>
      <c r="P523" s="13" t="s">
        <v>82</v>
      </c>
      <c r="Q523" s="13" t="s">
        <v>118</v>
      </c>
      <c r="R523" s="13" t="s">
        <v>79</v>
      </c>
      <c r="S523" s="13" t="s">
        <v>79</v>
      </c>
      <c r="T523" s="13" t="s">
        <v>106</v>
      </c>
      <c r="U523" s="13" t="s">
        <v>141</v>
      </c>
      <c r="V523" s="13" t="s">
        <v>112</v>
      </c>
      <c r="W523" t="s">
        <v>486</v>
      </c>
      <c r="X523" s="12">
        <v>0.72727272727272729</v>
      </c>
      <c r="Y523" s="12">
        <v>0.4</v>
      </c>
      <c r="Z523" s="12">
        <v>0.66666666666666663</v>
      </c>
      <c r="AA523" s="12">
        <v>0.88888888888888884</v>
      </c>
      <c r="AB523" s="12">
        <v>0.8</v>
      </c>
      <c r="AC523" s="12">
        <v>0.33333333333333331</v>
      </c>
      <c r="AD523" s="12">
        <v>0.63602693602693605</v>
      </c>
    </row>
    <row r="524" spans="1:30" x14ac:dyDescent="0.3">
      <c r="A524" s="13">
        <v>21</v>
      </c>
      <c r="B524" s="13" t="s">
        <v>70</v>
      </c>
      <c r="C524" s="13" t="s">
        <v>96</v>
      </c>
      <c r="D524" s="13" t="s">
        <v>72</v>
      </c>
      <c r="E524" s="13" t="s">
        <v>114</v>
      </c>
      <c r="F524" s="13" t="s">
        <v>136</v>
      </c>
      <c r="G524" s="13" t="s">
        <v>439</v>
      </c>
      <c r="H524" s="13" t="s">
        <v>136</v>
      </c>
      <c r="I524" s="13" t="s">
        <v>76</v>
      </c>
      <c r="J524" s="13" t="s">
        <v>77</v>
      </c>
      <c r="K524" s="13" t="s">
        <v>125</v>
      </c>
      <c r="L524" s="13" t="s">
        <v>82</v>
      </c>
      <c r="M524" s="13" t="s">
        <v>80</v>
      </c>
      <c r="N524" s="13" t="s">
        <v>79</v>
      </c>
      <c r="O524" s="13" t="s">
        <v>488</v>
      </c>
      <c r="P524" s="13" t="s">
        <v>79</v>
      </c>
      <c r="Q524" s="13" t="s">
        <v>118</v>
      </c>
      <c r="R524" s="13" t="s">
        <v>79</v>
      </c>
      <c r="S524" s="13" t="s">
        <v>79</v>
      </c>
      <c r="T524" s="13" t="s">
        <v>106</v>
      </c>
      <c r="U524" s="13" t="s">
        <v>141</v>
      </c>
      <c r="V524" s="13" t="s">
        <v>112</v>
      </c>
      <c r="W524" t="s">
        <v>486</v>
      </c>
      <c r="X524" s="12">
        <v>0.81818181818181823</v>
      </c>
      <c r="Y524" s="12">
        <v>0.8</v>
      </c>
      <c r="Z524" s="12">
        <v>0.33333333333333331</v>
      </c>
      <c r="AA524" s="12">
        <v>0.88888888888888884</v>
      </c>
      <c r="AB524" s="12">
        <v>0.6</v>
      </c>
      <c r="AC524" s="12">
        <v>0.33333333333333331</v>
      </c>
      <c r="AD524" s="12">
        <v>0.62895622895622905</v>
      </c>
    </row>
    <row r="525" spans="1:30" x14ac:dyDescent="0.3">
      <c r="A525" s="13">
        <v>21</v>
      </c>
      <c r="B525" s="13" t="s">
        <v>128</v>
      </c>
      <c r="C525" s="13" t="s">
        <v>96</v>
      </c>
      <c r="D525" s="13" t="s">
        <v>72</v>
      </c>
      <c r="E525" s="13" t="s">
        <v>114</v>
      </c>
      <c r="F525" s="13" t="s">
        <v>74</v>
      </c>
      <c r="G525" s="13" t="s">
        <v>439</v>
      </c>
      <c r="H525" s="13" t="s">
        <v>136</v>
      </c>
      <c r="I525" s="13" t="s">
        <v>76</v>
      </c>
      <c r="J525" s="13" t="s">
        <v>77</v>
      </c>
      <c r="K525" s="13" t="s">
        <v>122</v>
      </c>
      <c r="L525" s="13" t="s">
        <v>79</v>
      </c>
      <c r="M525" s="13" t="s">
        <v>80</v>
      </c>
      <c r="N525" s="13" t="s">
        <v>79</v>
      </c>
      <c r="O525" s="13" t="s">
        <v>487</v>
      </c>
      <c r="P525" s="13" t="s">
        <v>79</v>
      </c>
      <c r="Q525" s="13" t="s">
        <v>83</v>
      </c>
      <c r="R525" s="13" t="s">
        <v>79</v>
      </c>
      <c r="S525" s="13" t="s">
        <v>79</v>
      </c>
      <c r="T525" s="13" t="s">
        <v>148</v>
      </c>
      <c r="U525" s="13" t="s">
        <v>87</v>
      </c>
      <c r="V525" s="13" t="s">
        <v>455</v>
      </c>
      <c r="W525" t="s">
        <v>486</v>
      </c>
      <c r="X525" s="12">
        <v>0.63636363636363635</v>
      </c>
      <c r="Y525" s="12">
        <v>1</v>
      </c>
      <c r="Z525" s="12">
        <v>0.33333333333333331</v>
      </c>
      <c r="AA525" s="12">
        <v>0.66666666666666663</v>
      </c>
      <c r="AB525" s="12">
        <v>0.6</v>
      </c>
      <c r="AC525" s="12">
        <v>0.33333333333333331</v>
      </c>
      <c r="AD525" s="12">
        <v>0.59494949494949501</v>
      </c>
    </row>
    <row r="526" spans="1:30" x14ac:dyDescent="0.3">
      <c r="A526" s="13">
        <v>19</v>
      </c>
      <c r="B526" s="13" t="s">
        <v>70</v>
      </c>
      <c r="C526" s="13" t="s">
        <v>157</v>
      </c>
      <c r="D526" s="13" t="s">
        <v>97</v>
      </c>
      <c r="E526" s="13" t="s">
        <v>114</v>
      </c>
      <c r="F526" s="13" t="s">
        <v>136</v>
      </c>
      <c r="G526" s="13" t="s">
        <v>440</v>
      </c>
      <c r="H526" s="13" t="s">
        <v>98</v>
      </c>
      <c r="I526" s="13" t="s">
        <v>76</v>
      </c>
      <c r="J526" s="13" t="s">
        <v>77</v>
      </c>
      <c r="K526" s="13" t="s">
        <v>125</v>
      </c>
      <c r="L526" s="13" t="s">
        <v>82</v>
      </c>
      <c r="M526" s="13" t="s">
        <v>80</v>
      </c>
      <c r="N526" s="13" t="s">
        <v>79</v>
      </c>
      <c r="O526" s="13" t="s">
        <v>490</v>
      </c>
      <c r="P526" s="13" t="s">
        <v>79</v>
      </c>
      <c r="Q526" s="13" t="s">
        <v>103</v>
      </c>
      <c r="R526" s="13" t="s">
        <v>79</v>
      </c>
      <c r="S526" s="13" t="s">
        <v>82</v>
      </c>
      <c r="T526" s="13" t="s">
        <v>86</v>
      </c>
      <c r="U526" s="13" t="s">
        <v>141</v>
      </c>
      <c r="V526" s="13" t="s">
        <v>112</v>
      </c>
      <c r="W526" t="s">
        <v>486</v>
      </c>
      <c r="X526" s="12">
        <v>0.63636363636363635</v>
      </c>
      <c r="Y526" s="12">
        <v>0.8</v>
      </c>
      <c r="Z526" s="12">
        <v>1.3333333333333333</v>
      </c>
      <c r="AA526" s="12">
        <v>0.55555555555555558</v>
      </c>
      <c r="AB526" s="12">
        <v>0.6</v>
      </c>
      <c r="AC526" s="12">
        <v>0.33333333333333331</v>
      </c>
      <c r="AD526" s="12">
        <v>0.70976430976430971</v>
      </c>
    </row>
    <row r="527" spans="1:30" x14ac:dyDescent="0.3">
      <c r="A527" s="13">
        <v>23</v>
      </c>
      <c r="B527" s="13" t="s">
        <v>70</v>
      </c>
      <c r="C527" s="13" t="s">
        <v>96</v>
      </c>
      <c r="D527" s="13" t="s">
        <v>97</v>
      </c>
      <c r="E527" s="13" t="s">
        <v>108</v>
      </c>
      <c r="F527" s="13" t="s">
        <v>98</v>
      </c>
      <c r="G527" s="13" t="s">
        <v>440</v>
      </c>
      <c r="H527" s="13" t="s">
        <v>98</v>
      </c>
      <c r="I527" s="13" t="s">
        <v>76</v>
      </c>
      <c r="J527" s="13" t="s">
        <v>77</v>
      </c>
      <c r="K527" s="13" t="s">
        <v>122</v>
      </c>
      <c r="L527" s="13" t="s">
        <v>82</v>
      </c>
      <c r="M527" s="13" t="s">
        <v>80</v>
      </c>
      <c r="N527" s="13" t="s">
        <v>82</v>
      </c>
      <c r="O527" s="13" t="s">
        <v>489</v>
      </c>
      <c r="P527" s="13" t="s">
        <v>82</v>
      </c>
      <c r="Q527" s="13" t="s">
        <v>118</v>
      </c>
      <c r="R527" s="13" t="s">
        <v>82</v>
      </c>
      <c r="S527" s="13" t="s">
        <v>82</v>
      </c>
      <c r="T527" s="13" t="s">
        <v>106</v>
      </c>
      <c r="U527" s="13" t="s">
        <v>120</v>
      </c>
      <c r="V527" s="13" t="s">
        <v>455</v>
      </c>
      <c r="W527" t="s">
        <v>486</v>
      </c>
      <c r="X527" s="12">
        <v>0.54545454545454541</v>
      </c>
      <c r="Y527" s="12">
        <v>0.6</v>
      </c>
      <c r="Z527" s="12">
        <v>0.66666666666666663</v>
      </c>
      <c r="AA527" s="12">
        <v>0.44444444444444442</v>
      </c>
      <c r="AB527" s="12">
        <v>0.6</v>
      </c>
      <c r="AC527" s="12">
        <v>0.33333333333333331</v>
      </c>
      <c r="AD527" s="12">
        <v>0.53164983164983159</v>
      </c>
    </row>
    <row r="528" spans="1:30" x14ac:dyDescent="0.3">
      <c r="A528" s="13">
        <v>20</v>
      </c>
      <c r="B528" s="13" t="s">
        <v>70</v>
      </c>
      <c r="C528" s="13" t="s">
        <v>157</v>
      </c>
      <c r="D528" s="13" t="s">
        <v>97</v>
      </c>
      <c r="E528" s="13" t="s">
        <v>108</v>
      </c>
      <c r="F528" s="13" t="s">
        <v>74</v>
      </c>
      <c r="G528" s="13" t="s">
        <v>440</v>
      </c>
      <c r="H528" s="13" t="s">
        <v>74</v>
      </c>
      <c r="I528" s="13" t="s">
        <v>76</v>
      </c>
      <c r="J528" s="13" t="s">
        <v>101</v>
      </c>
      <c r="K528" s="13" t="s">
        <v>122</v>
      </c>
      <c r="L528" s="13" t="s">
        <v>79</v>
      </c>
      <c r="M528" s="13" t="s">
        <v>80</v>
      </c>
      <c r="N528" s="13" t="s">
        <v>79</v>
      </c>
      <c r="O528" s="13" t="s">
        <v>487</v>
      </c>
      <c r="P528" s="13" t="s">
        <v>82</v>
      </c>
      <c r="Q528" s="13" t="s">
        <v>83</v>
      </c>
      <c r="R528" s="13" t="s">
        <v>79</v>
      </c>
      <c r="S528" s="13" t="s">
        <v>82</v>
      </c>
      <c r="T528" s="13" t="s">
        <v>106</v>
      </c>
      <c r="U528" s="13" t="s">
        <v>141</v>
      </c>
      <c r="V528" s="13" t="s">
        <v>237</v>
      </c>
      <c r="W528" t="s">
        <v>486</v>
      </c>
      <c r="X528" s="12">
        <v>1.2727272727272727</v>
      </c>
      <c r="Y528" s="12">
        <v>1</v>
      </c>
      <c r="Z528" s="12">
        <v>1</v>
      </c>
      <c r="AA528" s="12">
        <v>1.3333333333333333</v>
      </c>
      <c r="AB528" s="12">
        <v>0.4</v>
      </c>
      <c r="AC528" s="12">
        <v>0.33333333333333331</v>
      </c>
      <c r="AD528" s="12">
        <v>0.88989898989898986</v>
      </c>
    </row>
    <row r="529" spans="1:30" x14ac:dyDescent="0.3">
      <c r="A529" s="13">
        <v>21</v>
      </c>
      <c r="B529" s="13" t="s">
        <v>70</v>
      </c>
      <c r="C529" s="13" t="s">
        <v>96</v>
      </c>
      <c r="D529" s="13" t="s">
        <v>72</v>
      </c>
      <c r="E529" s="13" t="s">
        <v>108</v>
      </c>
      <c r="F529" s="13" t="s">
        <v>74</v>
      </c>
      <c r="G529" s="13" t="s">
        <v>99</v>
      </c>
      <c r="H529" s="13" t="s">
        <v>74</v>
      </c>
      <c r="I529" s="13" t="s">
        <v>76</v>
      </c>
      <c r="J529" s="13" t="s">
        <v>77</v>
      </c>
      <c r="K529" s="13" t="s">
        <v>78</v>
      </c>
      <c r="L529" s="13" t="s">
        <v>79</v>
      </c>
      <c r="M529" s="13" t="s">
        <v>102</v>
      </c>
      <c r="N529" s="13" t="s">
        <v>79</v>
      </c>
      <c r="O529" s="13" t="s">
        <v>488</v>
      </c>
      <c r="P529" s="13" t="s">
        <v>82</v>
      </c>
      <c r="Q529" s="13" t="s">
        <v>83</v>
      </c>
      <c r="R529" s="13" t="s">
        <v>79</v>
      </c>
      <c r="S529" s="13" t="s">
        <v>79</v>
      </c>
      <c r="T529" s="13" t="s">
        <v>86</v>
      </c>
      <c r="U529" s="13" t="s">
        <v>87</v>
      </c>
      <c r="V529" s="13" t="s">
        <v>112</v>
      </c>
      <c r="W529" t="s">
        <v>486</v>
      </c>
      <c r="X529" s="12">
        <v>0.36363636363636365</v>
      </c>
      <c r="Y529" s="12">
        <v>0.2</v>
      </c>
      <c r="Z529" s="12">
        <v>0.66666666666666663</v>
      </c>
      <c r="AA529" s="12">
        <v>0.33333333333333331</v>
      </c>
      <c r="AB529" s="12">
        <v>0.2</v>
      </c>
      <c r="AC529" s="12">
        <v>0.33333333333333331</v>
      </c>
      <c r="AD529" s="12">
        <v>0.34949494949494953</v>
      </c>
    </row>
    <row r="530" spans="1:30" x14ac:dyDescent="0.3">
      <c r="A530" s="13">
        <v>21</v>
      </c>
      <c r="B530" s="13" t="s">
        <v>70</v>
      </c>
      <c r="C530" s="13" t="s">
        <v>157</v>
      </c>
      <c r="D530" s="13" t="s">
        <v>72</v>
      </c>
      <c r="E530" s="13" t="s">
        <v>114</v>
      </c>
      <c r="F530" s="13" t="s">
        <v>98</v>
      </c>
      <c r="G530" s="13" t="s">
        <v>166</v>
      </c>
      <c r="H530" s="13" t="s">
        <v>100</v>
      </c>
      <c r="I530" s="13" t="s">
        <v>76</v>
      </c>
      <c r="J530" s="13" t="s">
        <v>101</v>
      </c>
      <c r="K530" s="13" t="s">
        <v>125</v>
      </c>
      <c r="L530" s="13" t="s">
        <v>82</v>
      </c>
      <c r="M530" s="13" t="s">
        <v>80</v>
      </c>
      <c r="N530" s="13" t="s">
        <v>79</v>
      </c>
      <c r="O530" s="13" t="s">
        <v>488</v>
      </c>
      <c r="P530" s="13" t="s">
        <v>82</v>
      </c>
      <c r="Q530" s="13" t="s">
        <v>83</v>
      </c>
      <c r="R530" s="13" t="s">
        <v>82</v>
      </c>
      <c r="S530" s="13" t="s">
        <v>82</v>
      </c>
      <c r="T530" s="13" t="s">
        <v>106</v>
      </c>
      <c r="U530" s="13" t="s">
        <v>141</v>
      </c>
      <c r="V530" s="13" t="s">
        <v>455</v>
      </c>
      <c r="W530" t="s">
        <v>486</v>
      </c>
      <c r="X530" s="12">
        <v>0</v>
      </c>
      <c r="Y530" s="12">
        <v>0.4</v>
      </c>
      <c r="Z530" s="12">
        <v>0</v>
      </c>
      <c r="AA530" s="12">
        <v>0.33333333333333331</v>
      </c>
      <c r="AB530" s="12">
        <v>0</v>
      </c>
      <c r="AC530" s="12">
        <v>0.33333333333333331</v>
      </c>
      <c r="AD530" s="12">
        <v>0.17777777777777778</v>
      </c>
    </row>
    <row r="531" spans="1:30" x14ac:dyDescent="0.3">
      <c r="A531" s="13">
        <v>20</v>
      </c>
      <c r="B531" s="13" t="s">
        <v>70</v>
      </c>
      <c r="C531" s="13" t="s">
        <v>157</v>
      </c>
      <c r="D531" s="13" t="s">
        <v>149</v>
      </c>
      <c r="E531" s="13" t="s">
        <v>108</v>
      </c>
      <c r="F531" s="13" t="s">
        <v>74</v>
      </c>
      <c r="G531" s="13" t="s">
        <v>438</v>
      </c>
      <c r="H531" s="13" t="s">
        <v>98</v>
      </c>
      <c r="I531" s="13" t="s">
        <v>76</v>
      </c>
      <c r="J531" s="13" t="s">
        <v>77</v>
      </c>
      <c r="K531" s="13" t="s">
        <v>78</v>
      </c>
      <c r="L531" s="13" t="s">
        <v>79</v>
      </c>
      <c r="M531" s="13" t="s">
        <v>80</v>
      </c>
      <c r="N531" s="13" t="s">
        <v>82</v>
      </c>
      <c r="O531" s="13" t="s">
        <v>489</v>
      </c>
      <c r="P531" s="13" t="s">
        <v>79</v>
      </c>
      <c r="Q531" s="13" t="s">
        <v>83</v>
      </c>
      <c r="R531" s="13" t="s">
        <v>82</v>
      </c>
      <c r="S531" s="13" t="s">
        <v>82</v>
      </c>
      <c r="T531" s="13" t="s">
        <v>148</v>
      </c>
      <c r="U531" s="13" t="s">
        <v>120</v>
      </c>
      <c r="V531" s="13" t="s">
        <v>454</v>
      </c>
      <c r="W531" t="s">
        <v>486</v>
      </c>
      <c r="X531" s="12">
        <v>2.7272727272727271</v>
      </c>
      <c r="Y531" s="12">
        <v>2.4</v>
      </c>
      <c r="Z531" s="12">
        <v>0.66666666666666663</v>
      </c>
      <c r="AA531" s="12">
        <v>0.22222222222222221</v>
      </c>
      <c r="AB531" s="12">
        <v>0</v>
      </c>
      <c r="AC531" s="12">
        <v>0.33333333333333331</v>
      </c>
      <c r="AD531" s="12">
        <v>1.0582491582491582</v>
      </c>
    </row>
    <row r="532" spans="1:30" x14ac:dyDescent="0.3">
      <c r="A532" s="13">
        <v>22</v>
      </c>
      <c r="B532" s="13" t="s">
        <v>128</v>
      </c>
      <c r="C532" s="13" t="s">
        <v>113</v>
      </c>
      <c r="D532" s="13" t="s">
        <v>72</v>
      </c>
      <c r="E532" s="13" t="s">
        <v>114</v>
      </c>
      <c r="F532" s="13" t="s">
        <v>136</v>
      </c>
      <c r="G532" s="13" t="s">
        <v>439</v>
      </c>
      <c r="H532" s="13" t="s">
        <v>74</v>
      </c>
      <c r="I532" s="13" t="s">
        <v>439</v>
      </c>
      <c r="J532" s="13" t="s">
        <v>77</v>
      </c>
      <c r="K532" s="13" t="s">
        <v>122</v>
      </c>
      <c r="L532" s="13" t="s">
        <v>79</v>
      </c>
      <c r="M532" s="13" t="s">
        <v>80</v>
      </c>
      <c r="N532" s="13" t="s">
        <v>79</v>
      </c>
      <c r="O532" s="13" t="s">
        <v>487</v>
      </c>
      <c r="P532" s="13" t="s">
        <v>79</v>
      </c>
      <c r="Q532" s="13" t="s">
        <v>83</v>
      </c>
      <c r="R532" s="13" t="s">
        <v>79</v>
      </c>
      <c r="S532" s="13" t="s">
        <v>82</v>
      </c>
      <c r="T532" s="13" t="s">
        <v>148</v>
      </c>
      <c r="U532" s="13" t="s">
        <v>120</v>
      </c>
      <c r="V532" s="13" t="s">
        <v>112</v>
      </c>
      <c r="W532" t="s">
        <v>485</v>
      </c>
      <c r="X532" s="12">
        <v>2.5454545454545454</v>
      </c>
      <c r="Y532" s="12">
        <v>2.2000000000000002</v>
      </c>
      <c r="Z532" s="12">
        <v>2</v>
      </c>
      <c r="AA532" s="12">
        <v>1.7777777777777777</v>
      </c>
      <c r="AB532" s="12">
        <v>3</v>
      </c>
      <c r="AC532" s="12">
        <v>0</v>
      </c>
      <c r="AD532" s="12">
        <v>2.3046464646464648</v>
      </c>
    </row>
    <row r="533" spans="1:30" x14ac:dyDescent="0.3">
      <c r="A533" s="13">
        <v>21</v>
      </c>
      <c r="B533" s="13" t="s">
        <v>70</v>
      </c>
      <c r="C533" s="13" t="s">
        <v>96</v>
      </c>
      <c r="D533" s="13" t="s">
        <v>72</v>
      </c>
      <c r="E533" s="13" t="s">
        <v>114</v>
      </c>
      <c r="F533" s="13" t="s">
        <v>74</v>
      </c>
      <c r="G533" s="13" t="s">
        <v>99</v>
      </c>
      <c r="H533" s="13" t="s">
        <v>74</v>
      </c>
      <c r="I533" s="13" t="s">
        <v>439</v>
      </c>
      <c r="J533" s="13" t="s">
        <v>101</v>
      </c>
      <c r="K533" s="13" t="s">
        <v>122</v>
      </c>
      <c r="L533" s="13" t="s">
        <v>82</v>
      </c>
      <c r="M533" s="13" t="s">
        <v>80</v>
      </c>
      <c r="N533" s="13" t="s">
        <v>79</v>
      </c>
      <c r="O533" s="13" t="s">
        <v>490</v>
      </c>
      <c r="P533" s="13" t="s">
        <v>79</v>
      </c>
      <c r="Q533" s="13" t="s">
        <v>83</v>
      </c>
      <c r="R533" s="13" t="s">
        <v>79</v>
      </c>
      <c r="S533" s="13" t="s">
        <v>82</v>
      </c>
      <c r="T533" s="13" t="s">
        <v>86</v>
      </c>
      <c r="U533" s="13" t="s">
        <v>141</v>
      </c>
      <c r="V533" s="13" t="s">
        <v>112</v>
      </c>
      <c r="W533" t="s">
        <v>486</v>
      </c>
      <c r="X533" s="12">
        <v>3</v>
      </c>
      <c r="Y533" s="12">
        <v>2.6</v>
      </c>
      <c r="Z533" s="12">
        <v>0</v>
      </c>
      <c r="AA533" s="12">
        <v>1.5555555555555556</v>
      </c>
      <c r="AB533" s="12">
        <v>3</v>
      </c>
      <c r="AC533" s="12">
        <v>0</v>
      </c>
      <c r="AD533" s="12">
        <v>2.0311111111111111</v>
      </c>
    </row>
    <row r="534" spans="1:30" x14ac:dyDescent="0.3">
      <c r="A534" s="13">
        <v>22</v>
      </c>
      <c r="B534" s="13" t="s">
        <v>70</v>
      </c>
      <c r="C534" s="13" t="s">
        <v>157</v>
      </c>
      <c r="D534" s="13" t="s">
        <v>72</v>
      </c>
      <c r="E534" s="13" t="s">
        <v>114</v>
      </c>
      <c r="F534" s="13" t="s">
        <v>98</v>
      </c>
      <c r="G534" s="13" t="s">
        <v>440</v>
      </c>
      <c r="H534" s="13" t="s">
        <v>98</v>
      </c>
      <c r="I534" s="13" t="s">
        <v>76</v>
      </c>
      <c r="J534" s="13" t="s">
        <v>77</v>
      </c>
      <c r="K534" s="13" t="s">
        <v>122</v>
      </c>
      <c r="L534" s="13" t="s">
        <v>82</v>
      </c>
      <c r="M534" s="13" t="s">
        <v>80</v>
      </c>
      <c r="N534" s="13" t="s">
        <v>79</v>
      </c>
      <c r="O534" s="13" t="s">
        <v>489</v>
      </c>
      <c r="P534" s="13" t="s">
        <v>82</v>
      </c>
      <c r="Q534" s="13" t="s">
        <v>83</v>
      </c>
      <c r="R534" s="13" t="s">
        <v>82</v>
      </c>
      <c r="S534" s="13" t="s">
        <v>82</v>
      </c>
      <c r="T534" s="13" t="s">
        <v>86</v>
      </c>
      <c r="U534" s="13" t="s">
        <v>87</v>
      </c>
      <c r="V534" s="13" t="s">
        <v>457</v>
      </c>
      <c r="W534" t="s">
        <v>486</v>
      </c>
      <c r="X534" s="12">
        <v>3</v>
      </c>
      <c r="Y534" s="12">
        <v>2.6</v>
      </c>
      <c r="Z534" s="12">
        <v>2</v>
      </c>
      <c r="AA534" s="12">
        <v>1.2222222222222223</v>
      </c>
      <c r="AB534" s="12">
        <v>3</v>
      </c>
      <c r="AC534" s="12">
        <v>0</v>
      </c>
      <c r="AD534" s="12">
        <v>2.3644444444444446</v>
      </c>
    </row>
    <row r="535" spans="1:30" x14ac:dyDescent="0.3">
      <c r="A535" s="13">
        <v>22</v>
      </c>
      <c r="B535" s="13" t="s">
        <v>70</v>
      </c>
      <c r="C535" s="13" t="s">
        <v>157</v>
      </c>
      <c r="D535" s="13" t="s">
        <v>97</v>
      </c>
      <c r="E535" s="13" t="s">
        <v>73</v>
      </c>
      <c r="F535" s="13" t="s">
        <v>136</v>
      </c>
      <c r="G535" s="13" t="s">
        <v>440</v>
      </c>
      <c r="H535" s="13" t="s">
        <v>100</v>
      </c>
      <c r="I535" s="13" t="s">
        <v>76</v>
      </c>
      <c r="J535" s="13" t="s">
        <v>101</v>
      </c>
      <c r="K535" s="13" t="s">
        <v>125</v>
      </c>
      <c r="L535" s="13" t="s">
        <v>79</v>
      </c>
      <c r="M535" s="13" t="s">
        <v>80</v>
      </c>
      <c r="N535" s="13" t="s">
        <v>79</v>
      </c>
      <c r="O535" s="13" t="s">
        <v>489</v>
      </c>
      <c r="P535" s="13" t="s">
        <v>79</v>
      </c>
      <c r="Q535" s="13" t="s">
        <v>103</v>
      </c>
      <c r="R535" s="13" t="s">
        <v>79</v>
      </c>
      <c r="S535" s="13" t="s">
        <v>82</v>
      </c>
      <c r="T535" s="13" t="s">
        <v>106</v>
      </c>
      <c r="U535" s="13" t="s">
        <v>141</v>
      </c>
      <c r="V535" s="13" t="s">
        <v>112</v>
      </c>
      <c r="W535" t="s">
        <v>486</v>
      </c>
      <c r="X535" s="12">
        <v>2.0909090909090908</v>
      </c>
      <c r="Y535" s="12">
        <v>1.4</v>
      </c>
      <c r="Z535" s="12">
        <v>1</v>
      </c>
      <c r="AA535" s="12">
        <v>1.1111111111111112</v>
      </c>
      <c r="AB535" s="12">
        <v>3</v>
      </c>
      <c r="AC535" s="12">
        <v>0</v>
      </c>
      <c r="AD535" s="12">
        <v>1.7204040404040402</v>
      </c>
    </row>
    <row r="536" spans="1:30" x14ac:dyDescent="0.3">
      <c r="A536" s="13">
        <v>22</v>
      </c>
      <c r="B536" s="13" t="s">
        <v>70</v>
      </c>
      <c r="C536" s="13" t="s">
        <v>157</v>
      </c>
      <c r="D536" s="13" t="s">
        <v>72</v>
      </c>
      <c r="E536" s="13" t="s">
        <v>114</v>
      </c>
      <c r="F536" s="13" t="s">
        <v>98</v>
      </c>
      <c r="G536" s="13" t="s">
        <v>440</v>
      </c>
      <c r="H536" s="13" t="s">
        <v>98</v>
      </c>
      <c r="I536" s="13" t="s">
        <v>76</v>
      </c>
      <c r="J536" s="13" t="s">
        <v>77</v>
      </c>
      <c r="K536" s="13" t="s">
        <v>122</v>
      </c>
      <c r="L536" s="13" t="s">
        <v>79</v>
      </c>
      <c r="M536" s="13" t="s">
        <v>102</v>
      </c>
      <c r="N536" s="13" t="s">
        <v>79</v>
      </c>
      <c r="O536" s="13" t="s">
        <v>489</v>
      </c>
      <c r="P536" s="13" t="s">
        <v>82</v>
      </c>
      <c r="Q536" s="13" t="s">
        <v>83</v>
      </c>
      <c r="R536" s="13" t="s">
        <v>79</v>
      </c>
      <c r="S536" s="13" t="s">
        <v>82</v>
      </c>
      <c r="T536" s="13" t="s">
        <v>86</v>
      </c>
      <c r="U536" s="13" t="s">
        <v>87</v>
      </c>
      <c r="V536" s="13" t="s">
        <v>455</v>
      </c>
      <c r="W536" t="s">
        <v>485</v>
      </c>
      <c r="X536" s="12">
        <v>3</v>
      </c>
      <c r="Y536" s="12">
        <v>2.6</v>
      </c>
      <c r="Z536" s="12">
        <v>0.66666666666666663</v>
      </c>
      <c r="AA536" s="12">
        <v>1</v>
      </c>
      <c r="AB536" s="12">
        <v>3</v>
      </c>
      <c r="AC536" s="12">
        <v>0</v>
      </c>
      <c r="AD536" s="12">
        <v>2.0533333333333332</v>
      </c>
    </row>
    <row r="537" spans="1:30" x14ac:dyDescent="0.3">
      <c r="A537" s="13">
        <v>20</v>
      </c>
      <c r="B537" s="13" t="s">
        <v>70</v>
      </c>
      <c r="C537" s="13" t="s">
        <v>157</v>
      </c>
      <c r="D537" s="13" t="s">
        <v>72</v>
      </c>
      <c r="E537" s="13" t="s">
        <v>108</v>
      </c>
      <c r="F537" s="13" t="s">
        <v>74</v>
      </c>
      <c r="G537" s="13" t="s">
        <v>440</v>
      </c>
      <c r="H537" s="13" t="s">
        <v>74</v>
      </c>
      <c r="I537" s="13" t="s">
        <v>439</v>
      </c>
      <c r="J537" s="13" t="s">
        <v>77</v>
      </c>
      <c r="K537" s="13" t="s">
        <v>131</v>
      </c>
      <c r="L537" s="13" t="s">
        <v>79</v>
      </c>
      <c r="M537" s="13" t="s">
        <v>80</v>
      </c>
      <c r="N537" s="13" t="s">
        <v>79</v>
      </c>
      <c r="O537" s="13" t="s">
        <v>490</v>
      </c>
      <c r="P537" s="13" t="s">
        <v>82</v>
      </c>
      <c r="Q537" s="13" t="s">
        <v>83</v>
      </c>
      <c r="R537" s="13" t="s">
        <v>79</v>
      </c>
      <c r="S537" s="13" t="s">
        <v>82</v>
      </c>
      <c r="T537" s="13" t="s">
        <v>106</v>
      </c>
      <c r="U537" s="13" t="s">
        <v>141</v>
      </c>
      <c r="V537" s="13" t="s">
        <v>112</v>
      </c>
      <c r="W537" t="s">
        <v>486</v>
      </c>
      <c r="X537" s="12">
        <v>2.3636363636363638</v>
      </c>
      <c r="Y537" s="12">
        <v>1.4</v>
      </c>
      <c r="Z537" s="12">
        <v>0.66666666666666663</v>
      </c>
      <c r="AA537" s="12">
        <v>1</v>
      </c>
      <c r="AB537" s="12">
        <v>3</v>
      </c>
      <c r="AC537" s="12">
        <v>0</v>
      </c>
      <c r="AD537" s="12">
        <v>1.686060606060606</v>
      </c>
    </row>
    <row r="538" spans="1:30" x14ac:dyDescent="0.3">
      <c r="A538" s="13">
        <v>21</v>
      </c>
      <c r="B538" s="13" t="s">
        <v>70</v>
      </c>
      <c r="C538" s="13" t="s">
        <v>96</v>
      </c>
      <c r="D538" s="13" t="s">
        <v>149</v>
      </c>
      <c r="E538" s="13" t="s">
        <v>108</v>
      </c>
      <c r="F538" s="13" t="s">
        <v>74</v>
      </c>
      <c r="G538" s="13" t="s">
        <v>439</v>
      </c>
      <c r="H538" s="13" t="s">
        <v>74</v>
      </c>
      <c r="I538" s="13" t="s">
        <v>439</v>
      </c>
      <c r="J538" s="13" t="s">
        <v>77</v>
      </c>
      <c r="K538" s="13" t="s">
        <v>131</v>
      </c>
      <c r="L538" s="13" t="s">
        <v>79</v>
      </c>
      <c r="M538" s="13" t="s">
        <v>102</v>
      </c>
      <c r="N538" s="13" t="s">
        <v>79</v>
      </c>
      <c r="O538" s="13" t="s">
        <v>487</v>
      </c>
      <c r="P538" s="13" t="s">
        <v>82</v>
      </c>
      <c r="Q538" s="13" t="s">
        <v>103</v>
      </c>
      <c r="R538" s="13" t="s">
        <v>79</v>
      </c>
      <c r="S538" s="13" t="s">
        <v>79</v>
      </c>
      <c r="T538" s="13" t="s">
        <v>86</v>
      </c>
      <c r="U538" s="13" t="s">
        <v>87</v>
      </c>
      <c r="V538" s="13" t="s">
        <v>112</v>
      </c>
      <c r="W538" t="s">
        <v>486</v>
      </c>
      <c r="X538" s="12">
        <v>2.2727272727272729</v>
      </c>
      <c r="Y538" s="12">
        <v>2</v>
      </c>
      <c r="Z538" s="12">
        <v>2</v>
      </c>
      <c r="AA538" s="12">
        <v>0.88888888888888884</v>
      </c>
      <c r="AB538" s="12">
        <v>3</v>
      </c>
      <c r="AC538" s="12">
        <v>0</v>
      </c>
      <c r="AD538" s="12">
        <v>2.0323232323232325</v>
      </c>
    </row>
    <row r="539" spans="1:30" x14ac:dyDescent="0.3">
      <c r="A539" s="13">
        <v>22</v>
      </c>
      <c r="B539" s="13" t="s">
        <v>70</v>
      </c>
      <c r="C539" s="13" t="s">
        <v>113</v>
      </c>
      <c r="D539" s="13" t="s">
        <v>72</v>
      </c>
      <c r="E539" s="13" t="s">
        <v>108</v>
      </c>
      <c r="F539" s="13" t="s">
        <v>74</v>
      </c>
      <c r="G539" s="13" t="s">
        <v>99</v>
      </c>
      <c r="H539" s="13" t="s">
        <v>136</v>
      </c>
      <c r="I539" s="13" t="s">
        <v>76</v>
      </c>
      <c r="J539" s="13" t="s">
        <v>101</v>
      </c>
      <c r="K539" s="13" t="s">
        <v>122</v>
      </c>
      <c r="L539" s="13" t="s">
        <v>79</v>
      </c>
      <c r="M539" s="13" t="s">
        <v>80</v>
      </c>
      <c r="N539" s="13" t="s">
        <v>79</v>
      </c>
      <c r="O539" s="13" t="s">
        <v>488</v>
      </c>
      <c r="P539" s="13" t="s">
        <v>79</v>
      </c>
      <c r="Q539" s="13" t="s">
        <v>103</v>
      </c>
      <c r="R539" s="13" t="s">
        <v>79</v>
      </c>
      <c r="S539" s="13" t="s">
        <v>82</v>
      </c>
      <c r="T539" s="13" t="s">
        <v>148</v>
      </c>
      <c r="U539" s="13" t="s">
        <v>141</v>
      </c>
      <c r="V539" s="13" t="s">
        <v>112</v>
      </c>
      <c r="W539" t="s">
        <v>486</v>
      </c>
      <c r="X539" s="12">
        <v>3</v>
      </c>
      <c r="Y539" s="12">
        <v>2.8</v>
      </c>
      <c r="Z539" s="12">
        <v>1</v>
      </c>
      <c r="AA539" s="12">
        <v>0.66666666666666663</v>
      </c>
      <c r="AB539" s="12">
        <v>3</v>
      </c>
      <c r="AC539" s="12">
        <v>0</v>
      </c>
      <c r="AD539" s="12">
        <v>2.0933333333333333</v>
      </c>
    </row>
    <row r="540" spans="1:30" x14ac:dyDescent="0.3">
      <c r="A540" s="13">
        <v>20</v>
      </c>
      <c r="B540" s="13" t="s">
        <v>70</v>
      </c>
      <c r="C540" s="13" t="s">
        <v>157</v>
      </c>
      <c r="D540" s="13" t="s">
        <v>97</v>
      </c>
      <c r="E540" s="13" t="s">
        <v>108</v>
      </c>
      <c r="F540" s="13" t="s">
        <v>74</v>
      </c>
      <c r="G540" s="13" t="s">
        <v>439</v>
      </c>
      <c r="H540" s="13" t="s">
        <v>74</v>
      </c>
      <c r="I540" s="13" t="s">
        <v>439</v>
      </c>
      <c r="J540" s="13" t="s">
        <v>77</v>
      </c>
      <c r="K540" s="13" t="s">
        <v>78</v>
      </c>
      <c r="L540" s="13" t="s">
        <v>82</v>
      </c>
      <c r="M540" s="13" t="s">
        <v>80</v>
      </c>
      <c r="N540" s="13" t="s">
        <v>79</v>
      </c>
      <c r="O540" s="13" t="s">
        <v>490</v>
      </c>
      <c r="P540" s="13" t="s">
        <v>82</v>
      </c>
      <c r="Q540" s="13" t="s">
        <v>83</v>
      </c>
      <c r="R540" s="13" t="s">
        <v>82</v>
      </c>
      <c r="S540" s="13" t="s">
        <v>82</v>
      </c>
      <c r="T540" s="13" t="s">
        <v>106</v>
      </c>
      <c r="U540" s="13" t="s">
        <v>141</v>
      </c>
      <c r="V540" s="13" t="s">
        <v>112</v>
      </c>
      <c r="W540" t="s">
        <v>486</v>
      </c>
      <c r="X540" s="12">
        <v>3</v>
      </c>
      <c r="Y540" s="12">
        <v>3</v>
      </c>
      <c r="Z540" s="12">
        <v>0</v>
      </c>
      <c r="AA540" s="12">
        <v>0.66666666666666663</v>
      </c>
      <c r="AB540" s="12">
        <v>3</v>
      </c>
      <c r="AC540" s="12">
        <v>0</v>
      </c>
      <c r="AD540" s="12">
        <v>1.9333333333333336</v>
      </c>
    </row>
    <row r="541" spans="1:30" x14ac:dyDescent="0.3">
      <c r="A541" s="13">
        <v>21</v>
      </c>
      <c r="B541" s="13" t="s">
        <v>70</v>
      </c>
      <c r="C541" s="13" t="s">
        <v>96</v>
      </c>
      <c r="D541" s="13" t="s">
        <v>72</v>
      </c>
      <c r="E541" s="13" t="s">
        <v>114</v>
      </c>
      <c r="F541" s="13" t="s">
        <v>74</v>
      </c>
      <c r="G541" s="13" t="s">
        <v>438</v>
      </c>
      <c r="H541" s="13" t="s">
        <v>74</v>
      </c>
      <c r="I541" s="13" t="s">
        <v>76</v>
      </c>
      <c r="J541" s="13" t="s">
        <v>101</v>
      </c>
      <c r="K541" s="13" t="s">
        <v>125</v>
      </c>
      <c r="L541" s="13" t="s">
        <v>79</v>
      </c>
      <c r="M541" s="13" t="s">
        <v>80</v>
      </c>
      <c r="N541" s="13" t="s">
        <v>82</v>
      </c>
      <c r="O541" s="13" t="s">
        <v>488</v>
      </c>
      <c r="P541" s="13" t="s">
        <v>82</v>
      </c>
      <c r="Q541" s="13" t="s">
        <v>83</v>
      </c>
      <c r="R541" s="13" t="s">
        <v>79</v>
      </c>
      <c r="S541" s="13" t="s">
        <v>82</v>
      </c>
      <c r="T541" s="13" t="s">
        <v>86</v>
      </c>
      <c r="U541" s="13" t="s">
        <v>87</v>
      </c>
      <c r="V541" s="13" t="s">
        <v>121</v>
      </c>
      <c r="W541" t="s">
        <v>486</v>
      </c>
      <c r="X541" s="12">
        <v>2.5454545454545454</v>
      </c>
      <c r="Y541" s="12">
        <v>2.6</v>
      </c>
      <c r="Z541" s="12">
        <v>3</v>
      </c>
      <c r="AA541" s="12">
        <v>0.55555555555555558</v>
      </c>
      <c r="AB541" s="12">
        <v>3</v>
      </c>
      <c r="AC541" s="12">
        <v>0</v>
      </c>
      <c r="AD541" s="12">
        <v>2.3402020202020202</v>
      </c>
    </row>
    <row r="542" spans="1:30" x14ac:dyDescent="0.3">
      <c r="A542" s="13">
        <v>21</v>
      </c>
      <c r="B542" s="13" t="s">
        <v>70</v>
      </c>
      <c r="C542" s="13" t="s">
        <v>157</v>
      </c>
      <c r="D542" s="13" t="s">
        <v>72</v>
      </c>
      <c r="E542" s="13" t="s">
        <v>114</v>
      </c>
      <c r="F542" s="13" t="s">
        <v>74</v>
      </c>
      <c r="G542" s="13" t="s">
        <v>439</v>
      </c>
      <c r="H542" s="13" t="s">
        <v>74</v>
      </c>
      <c r="I542" s="13" t="s">
        <v>439</v>
      </c>
      <c r="J542" s="13" t="s">
        <v>77</v>
      </c>
      <c r="K542" s="13" t="s">
        <v>122</v>
      </c>
      <c r="L542" s="13" t="s">
        <v>82</v>
      </c>
      <c r="M542" s="13" t="s">
        <v>80</v>
      </c>
      <c r="N542" s="13" t="s">
        <v>79</v>
      </c>
      <c r="O542" s="13" t="s">
        <v>488</v>
      </c>
      <c r="P542" s="13" t="s">
        <v>82</v>
      </c>
      <c r="Q542" s="13" t="s">
        <v>83</v>
      </c>
      <c r="R542" s="13" t="s">
        <v>82</v>
      </c>
      <c r="S542" s="13" t="s">
        <v>82</v>
      </c>
      <c r="T542" s="13" t="s">
        <v>106</v>
      </c>
      <c r="U542" s="13" t="s">
        <v>87</v>
      </c>
      <c r="V542" s="13" t="s">
        <v>112</v>
      </c>
      <c r="W542" t="s">
        <v>486</v>
      </c>
      <c r="X542" s="12">
        <v>2.6363636363636362</v>
      </c>
      <c r="Y542" s="12">
        <v>2.4</v>
      </c>
      <c r="Z542" s="12">
        <v>2</v>
      </c>
      <c r="AA542" s="12">
        <v>0.55555555555555558</v>
      </c>
      <c r="AB542" s="12">
        <v>3</v>
      </c>
      <c r="AC542" s="12">
        <v>0</v>
      </c>
      <c r="AD542" s="12">
        <v>2.1183838383838385</v>
      </c>
    </row>
    <row r="543" spans="1:30" x14ac:dyDescent="0.3">
      <c r="A543" s="13">
        <v>23</v>
      </c>
      <c r="B543" s="13" t="s">
        <v>128</v>
      </c>
      <c r="C543" s="13" t="s">
        <v>71</v>
      </c>
      <c r="D543" s="13" t="s">
        <v>149</v>
      </c>
      <c r="E543" s="13" t="s">
        <v>108</v>
      </c>
      <c r="F543" s="13" t="s">
        <v>136</v>
      </c>
      <c r="G543" s="13" t="s">
        <v>440</v>
      </c>
      <c r="H543" s="13" t="s">
        <v>136</v>
      </c>
      <c r="I543" s="13" t="s">
        <v>76</v>
      </c>
      <c r="J543" s="13" t="s">
        <v>77</v>
      </c>
      <c r="K543" s="13" t="s">
        <v>78</v>
      </c>
      <c r="L543" s="13" t="s">
        <v>82</v>
      </c>
      <c r="M543" s="13" t="s">
        <v>80</v>
      </c>
      <c r="N543" s="13" t="s">
        <v>79</v>
      </c>
      <c r="O543" s="13" t="s">
        <v>488</v>
      </c>
      <c r="P543" s="13" t="s">
        <v>82</v>
      </c>
      <c r="Q543" s="13" t="s">
        <v>83</v>
      </c>
      <c r="R543" s="13" t="s">
        <v>79</v>
      </c>
      <c r="S543" s="13" t="s">
        <v>79</v>
      </c>
      <c r="T543" s="13" t="s">
        <v>106</v>
      </c>
      <c r="U543" s="13" t="s">
        <v>141</v>
      </c>
      <c r="V543" s="13" t="s">
        <v>127</v>
      </c>
      <c r="W543" t="s">
        <v>486</v>
      </c>
      <c r="X543" s="12">
        <v>3</v>
      </c>
      <c r="Y543" s="12">
        <v>2.8</v>
      </c>
      <c r="Z543" s="12">
        <v>2</v>
      </c>
      <c r="AA543" s="12">
        <v>0.44444444444444442</v>
      </c>
      <c r="AB543" s="12">
        <v>3</v>
      </c>
      <c r="AC543" s="12">
        <v>0</v>
      </c>
      <c r="AD543" s="12">
        <v>2.2488888888888887</v>
      </c>
    </row>
    <row r="544" spans="1:30" x14ac:dyDescent="0.3">
      <c r="A544" s="13">
        <v>24</v>
      </c>
      <c r="B544" s="13" t="s">
        <v>70</v>
      </c>
      <c r="C544" s="13" t="s">
        <v>71</v>
      </c>
      <c r="D544" s="13" t="s">
        <v>72</v>
      </c>
      <c r="E544" s="13" t="s">
        <v>73</v>
      </c>
      <c r="F544" s="13" t="s">
        <v>74</v>
      </c>
      <c r="G544" s="13" t="s">
        <v>439</v>
      </c>
      <c r="H544" s="13" t="s">
        <v>74</v>
      </c>
      <c r="I544" s="13" t="s">
        <v>76</v>
      </c>
      <c r="J544" s="13" t="s">
        <v>77</v>
      </c>
      <c r="K544" s="13" t="s">
        <v>78</v>
      </c>
      <c r="L544" s="13" t="s">
        <v>79</v>
      </c>
      <c r="M544" s="13" t="s">
        <v>80</v>
      </c>
      <c r="N544" s="13" t="s">
        <v>79</v>
      </c>
      <c r="O544" s="13" t="s">
        <v>490</v>
      </c>
      <c r="P544" s="13" t="s">
        <v>82</v>
      </c>
      <c r="Q544" s="13" t="s">
        <v>83</v>
      </c>
      <c r="R544" s="13" t="s">
        <v>82</v>
      </c>
      <c r="S544" s="13" t="s">
        <v>82</v>
      </c>
      <c r="T544" s="13" t="s">
        <v>86</v>
      </c>
      <c r="U544" s="13" t="s">
        <v>87</v>
      </c>
      <c r="V544" s="13" t="s">
        <v>455</v>
      </c>
      <c r="W544" t="s">
        <v>486</v>
      </c>
      <c r="X544" s="12">
        <v>2.9090909090909092</v>
      </c>
      <c r="Y544" s="12">
        <v>2</v>
      </c>
      <c r="Z544" s="12">
        <v>2</v>
      </c>
      <c r="AA544" s="12">
        <v>0.44444444444444442</v>
      </c>
      <c r="AB544" s="12">
        <v>3</v>
      </c>
      <c r="AC544" s="12">
        <v>0</v>
      </c>
      <c r="AD544" s="12">
        <v>2.0707070707070705</v>
      </c>
    </row>
    <row r="545" spans="1:30" x14ac:dyDescent="0.3">
      <c r="A545" s="13">
        <v>23</v>
      </c>
      <c r="B545" s="13" t="s">
        <v>70</v>
      </c>
      <c r="C545" s="13" t="s">
        <v>71</v>
      </c>
      <c r="D545" s="13" t="s">
        <v>72</v>
      </c>
      <c r="E545" s="13" t="s">
        <v>108</v>
      </c>
      <c r="F545" s="13" t="s">
        <v>98</v>
      </c>
      <c r="G545" s="13" t="s">
        <v>440</v>
      </c>
      <c r="H545" s="13" t="s">
        <v>98</v>
      </c>
      <c r="I545" s="13" t="s">
        <v>76</v>
      </c>
      <c r="J545" s="13" t="s">
        <v>77</v>
      </c>
      <c r="K545" s="13" t="s">
        <v>122</v>
      </c>
      <c r="L545" s="13" t="s">
        <v>79</v>
      </c>
      <c r="M545" s="13" t="s">
        <v>80</v>
      </c>
      <c r="N545" s="13" t="s">
        <v>79</v>
      </c>
      <c r="O545" s="13" t="s">
        <v>489</v>
      </c>
      <c r="P545" s="13" t="s">
        <v>82</v>
      </c>
      <c r="Q545" s="13" t="s">
        <v>83</v>
      </c>
      <c r="R545" s="13" t="s">
        <v>82</v>
      </c>
      <c r="S545" s="13" t="s">
        <v>82</v>
      </c>
      <c r="T545" s="13" t="s">
        <v>106</v>
      </c>
      <c r="U545" s="13" t="s">
        <v>141</v>
      </c>
      <c r="V545" s="13" t="s">
        <v>455</v>
      </c>
      <c r="W545" t="s">
        <v>485</v>
      </c>
      <c r="X545" s="12">
        <v>3</v>
      </c>
      <c r="Y545" s="12">
        <v>3</v>
      </c>
      <c r="Z545" s="12">
        <v>1</v>
      </c>
      <c r="AA545" s="12">
        <v>0.44444444444444442</v>
      </c>
      <c r="AB545" s="12">
        <v>3</v>
      </c>
      <c r="AC545" s="12">
        <v>0</v>
      </c>
      <c r="AD545" s="12">
        <v>2.088888888888889</v>
      </c>
    </row>
    <row r="546" spans="1:30" x14ac:dyDescent="0.3">
      <c r="A546" s="13">
        <v>26</v>
      </c>
      <c r="B546" s="13" t="s">
        <v>70</v>
      </c>
      <c r="C546" s="13" t="s">
        <v>153</v>
      </c>
      <c r="D546" s="13" t="s">
        <v>72</v>
      </c>
      <c r="E546" s="13" t="s">
        <v>108</v>
      </c>
      <c r="F546" s="13" t="s">
        <v>74</v>
      </c>
      <c r="G546" s="13" t="s">
        <v>438</v>
      </c>
      <c r="H546" s="13" t="s">
        <v>136</v>
      </c>
      <c r="I546" s="13" t="s">
        <v>76</v>
      </c>
      <c r="J546" s="13" t="s">
        <v>77</v>
      </c>
      <c r="K546" s="13" t="s">
        <v>78</v>
      </c>
      <c r="L546" s="13" t="s">
        <v>82</v>
      </c>
      <c r="M546" s="13" t="s">
        <v>132</v>
      </c>
      <c r="N546" s="13" t="s">
        <v>79</v>
      </c>
      <c r="O546" s="13" t="s">
        <v>487</v>
      </c>
      <c r="P546" s="13" t="s">
        <v>82</v>
      </c>
      <c r="Q546" s="13" t="s">
        <v>83</v>
      </c>
      <c r="R546" s="13" t="s">
        <v>82</v>
      </c>
      <c r="S546" s="13" t="s">
        <v>82</v>
      </c>
      <c r="T546" s="13" t="s">
        <v>86</v>
      </c>
      <c r="U546" s="13" t="s">
        <v>141</v>
      </c>
      <c r="V546" s="13" t="s">
        <v>455</v>
      </c>
      <c r="W546" t="s">
        <v>486</v>
      </c>
      <c r="X546" s="12">
        <v>1.9090909090909092</v>
      </c>
      <c r="Y546" s="12">
        <v>1.8</v>
      </c>
      <c r="Z546" s="12">
        <v>1</v>
      </c>
      <c r="AA546" s="12">
        <v>0.44444444444444442</v>
      </c>
      <c r="AB546" s="12">
        <v>3</v>
      </c>
      <c r="AC546" s="12">
        <v>0</v>
      </c>
      <c r="AD546" s="12">
        <v>1.6307070707070708</v>
      </c>
    </row>
    <row r="547" spans="1:30" x14ac:dyDescent="0.3">
      <c r="A547" s="13">
        <v>20</v>
      </c>
      <c r="B547" s="13" t="s">
        <v>70</v>
      </c>
      <c r="C547" s="13" t="s">
        <v>113</v>
      </c>
      <c r="D547" s="13" t="s">
        <v>72</v>
      </c>
      <c r="E547" s="13" t="s">
        <v>73</v>
      </c>
      <c r="F547" s="13" t="s">
        <v>74</v>
      </c>
      <c r="G547" s="13" t="s">
        <v>439</v>
      </c>
      <c r="H547" s="13" t="s">
        <v>74</v>
      </c>
      <c r="I547" s="13" t="s">
        <v>439</v>
      </c>
      <c r="J547" s="13" t="s">
        <v>77</v>
      </c>
      <c r="K547" s="13" t="s">
        <v>78</v>
      </c>
      <c r="L547" s="13" t="s">
        <v>79</v>
      </c>
      <c r="M547" s="13" t="s">
        <v>80</v>
      </c>
      <c r="N547" s="13" t="s">
        <v>79</v>
      </c>
      <c r="O547" s="13" t="s">
        <v>487</v>
      </c>
      <c r="P547" s="13" t="s">
        <v>82</v>
      </c>
      <c r="Q547" s="13" t="s">
        <v>83</v>
      </c>
      <c r="R547" s="13" t="s">
        <v>82</v>
      </c>
      <c r="S547" s="13" t="s">
        <v>79</v>
      </c>
      <c r="T547" s="13" t="s">
        <v>86</v>
      </c>
      <c r="U547" s="13" t="s">
        <v>87</v>
      </c>
      <c r="V547" s="13" t="s">
        <v>112</v>
      </c>
      <c r="W547" t="s">
        <v>486</v>
      </c>
      <c r="X547" s="12">
        <v>2.6363636363636362</v>
      </c>
      <c r="Y547" s="12">
        <v>2.2000000000000002</v>
      </c>
      <c r="Z547" s="12">
        <v>0.66666666666666663</v>
      </c>
      <c r="AA547" s="12">
        <v>0.44444444444444442</v>
      </c>
      <c r="AB547" s="12">
        <v>3</v>
      </c>
      <c r="AC547" s="12">
        <v>0</v>
      </c>
      <c r="AD547" s="12">
        <v>1.7894949494949492</v>
      </c>
    </row>
    <row r="548" spans="1:30" x14ac:dyDescent="0.3">
      <c r="A548" s="13">
        <v>21</v>
      </c>
      <c r="B548" s="13" t="s">
        <v>70</v>
      </c>
      <c r="C548" s="13" t="s">
        <v>157</v>
      </c>
      <c r="D548" s="13" t="s">
        <v>72</v>
      </c>
      <c r="E548" s="13" t="s">
        <v>73</v>
      </c>
      <c r="F548" s="13" t="s">
        <v>74</v>
      </c>
      <c r="G548" s="13" t="s">
        <v>439</v>
      </c>
      <c r="H548" s="13" t="s">
        <v>74</v>
      </c>
      <c r="I548" s="13" t="s">
        <v>439</v>
      </c>
      <c r="J548" s="13" t="s">
        <v>77</v>
      </c>
      <c r="K548" s="13" t="s">
        <v>131</v>
      </c>
      <c r="L548" s="13" t="s">
        <v>79</v>
      </c>
      <c r="M548" s="13" t="s">
        <v>132</v>
      </c>
      <c r="N548" s="13" t="s">
        <v>79</v>
      </c>
      <c r="O548" s="13" t="s">
        <v>489</v>
      </c>
      <c r="P548" s="13" t="s">
        <v>79</v>
      </c>
      <c r="Q548" s="13" t="s">
        <v>83</v>
      </c>
      <c r="R548" s="13" t="s">
        <v>79</v>
      </c>
      <c r="S548" s="13" t="s">
        <v>79</v>
      </c>
      <c r="T548" s="13" t="s">
        <v>106</v>
      </c>
      <c r="U548" s="13" t="s">
        <v>120</v>
      </c>
      <c r="V548" s="13" t="s">
        <v>112</v>
      </c>
      <c r="W548" t="s">
        <v>486</v>
      </c>
      <c r="X548" s="12">
        <v>2.1818181818181817</v>
      </c>
      <c r="Y548" s="12">
        <v>1.8</v>
      </c>
      <c r="Z548" s="12">
        <v>1</v>
      </c>
      <c r="AA548" s="12">
        <v>0.33333333333333331</v>
      </c>
      <c r="AB548" s="12">
        <v>3</v>
      </c>
      <c r="AC548" s="12">
        <v>0</v>
      </c>
      <c r="AD548" s="12">
        <v>1.6630303030303029</v>
      </c>
    </row>
    <row r="549" spans="1:30" x14ac:dyDescent="0.3">
      <c r="A549" s="13">
        <v>23</v>
      </c>
      <c r="B549" s="13" t="s">
        <v>70</v>
      </c>
      <c r="C549" s="13" t="s">
        <v>113</v>
      </c>
      <c r="D549" s="13" t="s">
        <v>72</v>
      </c>
      <c r="E549" s="13" t="s">
        <v>108</v>
      </c>
      <c r="F549" s="13" t="s">
        <v>74</v>
      </c>
      <c r="G549" s="13" t="s">
        <v>440</v>
      </c>
      <c r="H549" s="13" t="s">
        <v>74</v>
      </c>
      <c r="I549" s="13" t="s">
        <v>439</v>
      </c>
      <c r="J549" s="13" t="s">
        <v>101</v>
      </c>
      <c r="K549" s="13" t="s">
        <v>122</v>
      </c>
      <c r="L549" s="13" t="s">
        <v>79</v>
      </c>
      <c r="M549" s="13" t="s">
        <v>102</v>
      </c>
      <c r="N549" s="13" t="s">
        <v>79</v>
      </c>
      <c r="O549" s="13" t="s">
        <v>490</v>
      </c>
      <c r="P549" s="13" t="s">
        <v>79</v>
      </c>
      <c r="Q549" s="13" t="s">
        <v>83</v>
      </c>
      <c r="R549" s="13" t="s">
        <v>82</v>
      </c>
      <c r="S549" s="13" t="s">
        <v>82</v>
      </c>
      <c r="T549" s="13" t="s">
        <v>106</v>
      </c>
      <c r="U549" s="13" t="s">
        <v>141</v>
      </c>
      <c r="V549" s="13" t="s">
        <v>112</v>
      </c>
      <c r="W549" t="s">
        <v>486</v>
      </c>
      <c r="X549" s="12">
        <v>2.8181818181818183</v>
      </c>
      <c r="Y549" s="12">
        <v>2.8</v>
      </c>
      <c r="Z549" s="12">
        <v>0.66666666666666663</v>
      </c>
      <c r="AA549" s="12">
        <v>0.33333333333333331</v>
      </c>
      <c r="AB549" s="12">
        <v>3</v>
      </c>
      <c r="AC549" s="12">
        <v>0</v>
      </c>
      <c r="AD549" s="12">
        <v>1.9236363636363634</v>
      </c>
    </row>
    <row r="550" spans="1:30" x14ac:dyDescent="0.3">
      <c r="A550" s="13">
        <v>23</v>
      </c>
      <c r="B550" s="13" t="s">
        <v>70</v>
      </c>
      <c r="C550" s="13" t="s">
        <v>71</v>
      </c>
      <c r="D550" s="13" t="s">
        <v>97</v>
      </c>
      <c r="E550" s="13" t="s">
        <v>108</v>
      </c>
      <c r="F550" s="13" t="s">
        <v>74</v>
      </c>
      <c r="G550" s="13" t="s">
        <v>439</v>
      </c>
      <c r="H550" s="13" t="s">
        <v>74</v>
      </c>
      <c r="I550" s="13" t="s">
        <v>439</v>
      </c>
      <c r="J550" s="13" t="s">
        <v>77</v>
      </c>
      <c r="K550" s="13" t="s">
        <v>131</v>
      </c>
      <c r="L550" s="13" t="s">
        <v>79</v>
      </c>
      <c r="M550" s="13" t="s">
        <v>132</v>
      </c>
      <c r="N550" s="13" t="s">
        <v>82</v>
      </c>
      <c r="O550" s="13" t="s">
        <v>487</v>
      </c>
      <c r="P550" s="13" t="s">
        <v>79</v>
      </c>
      <c r="Q550" s="13" t="s">
        <v>83</v>
      </c>
      <c r="R550" s="13" t="s">
        <v>82</v>
      </c>
      <c r="S550" s="13" t="s">
        <v>82</v>
      </c>
      <c r="T550" s="13" t="s">
        <v>106</v>
      </c>
      <c r="U550" s="13" t="s">
        <v>87</v>
      </c>
      <c r="V550" s="13" t="s">
        <v>127</v>
      </c>
      <c r="W550" t="s">
        <v>486</v>
      </c>
      <c r="X550" s="12">
        <v>2.6363636363636362</v>
      </c>
      <c r="Y550" s="12">
        <v>2.6</v>
      </c>
      <c r="Z550" s="12">
        <v>0.33333333333333331</v>
      </c>
      <c r="AA550" s="12">
        <v>0.33333333333333331</v>
      </c>
      <c r="AB550" s="12">
        <v>3</v>
      </c>
      <c r="AC550" s="12">
        <v>0</v>
      </c>
      <c r="AD550" s="12">
        <v>1.7806060606060605</v>
      </c>
    </row>
    <row r="551" spans="1:30" x14ac:dyDescent="0.3">
      <c r="A551" s="13">
        <v>20</v>
      </c>
      <c r="B551" s="13" t="s">
        <v>70</v>
      </c>
      <c r="C551" s="13" t="s">
        <v>157</v>
      </c>
      <c r="D551" s="13" t="s">
        <v>97</v>
      </c>
      <c r="E551" s="13" t="s">
        <v>108</v>
      </c>
      <c r="F551" s="13" t="s">
        <v>74</v>
      </c>
      <c r="G551" s="13" t="s">
        <v>439</v>
      </c>
      <c r="H551" s="13" t="s">
        <v>74</v>
      </c>
      <c r="I551" s="13" t="s">
        <v>439</v>
      </c>
      <c r="J551" s="13" t="s">
        <v>77</v>
      </c>
      <c r="K551" s="13" t="s">
        <v>78</v>
      </c>
      <c r="L551" s="13" t="s">
        <v>82</v>
      </c>
      <c r="M551" s="13" t="s">
        <v>80</v>
      </c>
      <c r="N551" s="13" t="s">
        <v>79</v>
      </c>
      <c r="O551" s="13" t="s">
        <v>490</v>
      </c>
      <c r="P551" s="13" t="s">
        <v>82</v>
      </c>
      <c r="Q551" s="13" t="s">
        <v>83</v>
      </c>
      <c r="R551" s="13" t="s">
        <v>82</v>
      </c>
      <c r="S551" s="13" t="s">
        <v>82</v>
      </c>
      <c r="T551" s="13" t="s">
        <v>106</v>
      </c>
      <c r="U551" s="13" t="s">
        <v>141</v>
      </c>
      <c r="V551" s="13" t="s">
        <v>112</v>
      </c>
      <c r="W551" t="s">
        <v>486</v>
      </c>
      <c r="X551" s="12">
        <v>1.9090909090909092</v>
      </c>
      <c r="Y551" s="12">
        <v>2.6</v>
      </c>
      <c r="Z551" s="12">
        <v>0</v>
      </c>
      <c r="AA551" s="12">
        <v>0.33333333333333331</v>
      </c>
      <c r="AB551" s="12">
        <v>3</v>
      </c>
      <c r="AC551" s="12">
        <v>0</v>
      </c>
      <c r="AD551" s="12">
        <v>1.5684848484848486</v>
      </c>
    </row>
    <row r="552" spans="1:30" x14ac:dyDescent="0.3">
      <c r="A552" s="13">
        <v>21</v>
      </c>
      <c r="B552" s="13" t="s">
        <v>70</v>
      </c>
      <c r="C552" s="13" t="s">
        <v>113</v>
      </c>
      <c r="D552" s="13" t="s">
        <v>72</v>
      </c>
      <c r="E552" s="13" t="s">
        <v>114</v>
      </c>
      <c r="F552" s="13" t="s">
        <v>74</v>
      </c>
      <c r="G552" s="13" t="s">
        <v>439</v>
      </c>
      <c r="H552" s="13" t="s">
        <v>74</v>
      </c>
      <c r="I552" s="13" t="s">
        <v>439</v>
      </c>
      <c r="J552" s="13" t="s">
        <v>77</v>
      </c>
      <c r="K552" s="13" t="s">
        <v>78</v>
      </c>
      <c r="L552" s="13" t="s">
        <v>79</v>
      </c>
      <c r="M552" s="13" t="s">
        <v>80</v>
      </c>
      <c r="N552" s="13" t="s">
        <v>82</v>
      </c>
      <c r="O552" s="13" t="s">
        <v>489</v>
      </c>
      <c r="P552" s="13" t="s">
        <v>79</v>
      </c>
      <c r="Q552" s="13" t="s">
        <v>83</v>
      </c>
      <c r="R552" s="13" t="s">
        <v>79</v>
      </c>
      <c r="S552" s="13" t="s">
        <v>79</v>
      </c>
      <c r="T552" s="13" t="s">
        <v>106</v>
      </c>
      <c r="U552" s="13" t="s">
        <v>141</v>
      </c>
      <c r="V552" s="13" t="s">
        <v>112</v>
      </c>
      <c r="W552" t="s">
        <v>486</v>
      </c>
      <c r="X552" s="12">
        <v>2.6363636363636362</v>
      </c>
      <c r="Y552" s="12">
        <v>1.8</v>
      </c>
      <c r="Z552" s="12">
        <v>0.66666666666666663</v>
      </c>
      <c r="AA552" s="12">
        <v>0.22222222222222221</v>
      </c>
      <c r="AB552" s="12">
        <v>3</v>
      </c>
      <c r="AC552" s="12">
        <v>0</v>
      </c>
      <c r="AD552" s="12">
        <v>1.6650505050505053</v>
      </c>
    </row>
    <row r="553" spans="1:30" x14ac:dyDescent="0.3">
      <c r="A553" s="13">
        <v>21</v>
      </c>
      <c r="B553" s="13" t="s">
        <v>70</v>
      </c>
      <c r="C553" s="13" t="s">
        <v>157</v>
      </c>
      <c r="D553" s="13" t="s">
        <v>97</v>
      </c>
      <c r="E553" s="13" t="s">
        <v>108</v>
      </c>
      <c r="F553" s="13" t="s">
        <v>74</v>
      </c>
      <c r="G553" s="13" t="s">
        <v>439</v>
      </c>
      <c r="H553" s="13" t="s">
        <v>98</v>
      </c>
      <c r="I553" s="13" t="s">
        <v>76</v>
      </c>
      <c r="J553" s="13" t="s">
        <v>77</v>
      </c>
      <c r="K553" s="13" t="s">
        <v>131</v>
      </c>
      <c r="L553" s="13" t="s">
        <v>82</v>
      </c>
      <c r="M553" s="13" t="s">
        <v>132</v>
      </c>
      <c r="N553" s="13" t="s">
        <v>82</v>
      </c>
      <c r="O553" s="13" t="s">
        <v>489</v>
      </c>
      <c r="P553" s="13" t="s">
        <v>82</v>
      </c>
      <c r="Q553" s="13" t="s">
        <v>83</v>
      </c>
      <c r="R553" s="13" t="s">
        <v>82</v>
      </c>
      <c r="S553" s="13" t="s">
        <v>82</v>
      </c>
      <c r="T553" s="13" t="s">
        <v>106</v>
      </c>
      <c r="U553" s="13" t="s">
        <v>141</v>
      </c>
      <c r="V553" s="13" t="s">
        <v>112</v>
      </c>
      <c r="W553" t="s">
        <v>486</v>
      </c>
      <c r="X553" s="12">
        <v>2.7272727272727271</v>
      </c>
      <c r="Y553" s="12">
        <v>2.4</v>
      </c>
      <c r="Z553" s="12">
        <v>0</v>
      </c>
      <c r="AA553" s="12">
        <v>0.22222222222222221</v>
      </c>
      <c r="AB553" s="12">
        <v>3</v>
      </c>
      <c r="AC553" s="12">
        <v>0</v>
      </c>
      <c r="AD553" s="12">
        <v>1.66989898989899</v>
      </c>
    </row>
    <row r="554" spans="1:30" x14ac:dyDescent="0.3">
      <c r="A554" s="13">
        <v>22</v>
      </c>
      <c r="B554" s="13" t="s">
        <v>70</v>
      </c>
      <c r="C554" s="13" t="s">
        <v>157</v>
      </c>
      <c r="D554" s="13" t="s">
        <v>72</v>
      </c>
      <c r="E554" s="13" t="s">
        <v>114</v>
      </c>
      <c r="F554" s="13" t="s">
        <v>98</v>
      </c>
      <c r="G554" s="13" t="s">
        <v>440</v>
      </c>
      <c r="H554" s="13" t="s">
        <v>98</v>
      </c>
      <c r="I554" s="13" t="s">
        <v>76</v>
      </c>
      <c r="J554" s="13" t="s">
        <v>77</v>
      </c>
      <c r="K554" s="13" t="s">
        <v>122</v>
      </c>
      <c r="L554" s="13" t="s">
        <v>79</v>
      </c>
      <c r="M554" s="13" t="s">
        <v>102</v>
      </c>
      <c r="N554" s="13" t="s">
        <v>79</v>
      </c>
      <c r="O554" s="13" t="s">
        <v>489</v>
      </c>
      <c r="P554" s="13" t="s">
        <v>82</v>
      </c>
      <c r="Q554" s="13" t="s">
        <v>83</v>
      </c>
      <c r="R554" s="13" t="s">
        <v>79</v>
      </c>
      <c r="S554" s="13" t="s">
        <v>82</v>
      </c>
      <c r="T554" s="13" t="s">
        <v>86</v>
      </c>
      <c r="U554" s="13" t="s">
        <v>87</v>
      </c>
      <c r="V554" s="13" t="s">
        <v>455</v>
      </c>
      <c r="W554" t="s">
        <v>486</v>
      </c>
      <c r="X554" s="12">
        <v>3</v>
      </c>
      <c r="Y554" s="12">
        <v>3</v>
      </c>
      <c r="Z554" s="12">
        <v>0.66666666666666663</v>
      </c>
      <c r="AA554" s="12">
        <v>0</v>
      </c>
      <c r="AB554" s="12">
        <v>3</v>
      </c>
      <c r="AC554" s="12">
        <v>0</v>
      </c>
      <c r="AD554" s="12">
        <v>1.9333333333333336</v>
      </c>
    </row>
    <row r="555" spans="1:30" x14ac:dyDescent="0.3">
      <c r="A555" s="13">
        <v>22</v>
      </c>
      <c r="B555" s="13" t="s">
        <v>70</v>
      </c>
      <c r="C555" s="13" t="s">
        <v>157</v>
      </c>
      <c r="D555" s="13" t="s">
        <v>72</v>
      </c>
      <c r="E555" s="13" t="s">
        <v>114</v>
      </c>
      <c r="F555" s="13" t="s">
        <v>98</v>
      </c>
      <c r="G555" s="13" t="s">
        <v>440</v>
      </c>
      <c r="H555" s="13" t="s">
        <v>98</v>
      </c>
      <c r="I555" s="13" t="s">
        <v>76</v>
      </c>
      <c r="J555" s="13" t="s">
        <v>77</v>
      </c>
      <c r="K555" s="13" t="s">
        <v>125</v>
      </c>
      <c r="L555" s="13" t="s">
        <v>79</v>
      </c>
      <c r="M555" s="13" t="s">
        <v>102</v>
      </c>
      <c r="N555" s="13" t="s">
        <v>79</v>
      </c>
      <c r="O555" s="13" t="s">
        <v>489</v>
      </c>
      <c r="P555" s="13" t="s">
        <v>82</v>
      </c>
      <c r="Q555" s="13" t="s">
        <v>83</v>
      </c>
      <c r="R555" s="13" t="s">
        <v>82</v>
      </c>
      <c r="S555" s="13" t="s">
        <v>82</v>
      </c>
      <c r="T555" s="13" t="s">
        <v>86</v>
      </c>
      <c r="U555" s="13" t="s">
        <v>87</v>
      </c>
      <c r="V555" s="13" t="s">
        <v>455</v>
      </c>
      <c r="W555" t="s">
        <v>485</v>
      </c>
      <c r="X555" s="12">
        <v>3</v>
      </c>
      <c r="Y555" s="12">
        <v>3</v>
      </c>
      <c r="Z555" s="12">
        <v>0.66666666666666663</v>
      </c>
      <c r="AA555" s="12">
        <v>0</v>
      </c>
      <c r="AB555" s="12">
        <v>3</v>
      </c>
      <c r="AC555" s="12">
        <v>0</v>
      </c>
      <c r="AD555" s="12">
        <v>1.9333333333333336</v>
      </c>
    </row>
    <row r="556" spans="1:30" x14ac:dyDescent="0.3">
      <c r="A556" s="13">
        <v>22</v>
      </c>
      <c r="B556" s="13" t="s">
        <v>70</v>
      </c>
      <c r="C556" s="13" t="s">
        <v>157</v>
      </c>
      <c r="D556" s="13" t="s">
        <v>72</v>
      </c>
      <c r="E556" s="13" t="s">
        <v>114</v>
      </c>
      <c r="F556" s="13" t="s">
        <v>98</v>
      </c>
      <c r="G556" s="13" t="s">
        <v>440</v>
      </c>
      <c r="H556" s="13" t="s">
        <v>98</v>
      </c>
      <c r="I556" s="13" t="s">
        <v>76</v>
      </c>
      <c r="J556" s="13" t="s">
        <v>77</v>
      </c>
      <c r="K556" s="13" t="s">
        <v>125</v>
      </c>
      <c r="L556" s="13" t="s">
        <v>79</v>
      </c>
      <c r="M556" s="13" t="s">
        <v>102</v>
      </c>
      <c r="N556" s="13" t="s">
        <v>79</v>
      </c>
      <c r="O556" s="13" t="s">
        <v>489</v>
      </c>
      <c r="P556" s="13" t="s">
        <v>82</v>
      </c>
      <c r="Q556" s="13" t="s">
        <v>83</v>
      </c>
      <c r="R556" s="13" t="s">
        <v>82</v>
      </c>
      <c r="S556" s="13" t="s">
        <v>82</v>
      </c>
      <c r="T556" s="13" t="s">
        <v>86</v>
      </c>
      <c r="U556" s="13" t="s">
        <v>87</v>
      </c>
      <c r="V556" s="13" t="s">
        <v>455</v>
      </c>
      <c r="W556" t="s">
        <v>486</v>
      </c>
      <c r="X556" s="12">
        <v>3</v>
      </c>
      <c r="Y556" s="12">
        <v>3</v>
      </c>
      <c r="Z556" s="12">
        <v>0.66666666666666663</v>
      </c>
      <c r="AA556" s="12">
        <v>0</v>
      </c>
      <c r="AB556" s="12">
        <v>3</v>
      </c>
      <c r="AC556" s="12">
        <v>0</v>
      </c>
      <c r="AD556" s="12">
        <v>1.9333333333333336</v>
      </c>
    </row>
    <row r="557" spans="1:30" x14ac:dyDescent="0.3">
      <c r="A557" s="13">
        <v>23</v>
      </c>
      <c r="B557" s="13" t="s">
        <v>70</v>
      </c>
      <c r="C557" s="13" t="s">
        <v>113</v>
      </c>
      <c r="D557" s="13" t="s">
        <v>72</v>
      </c>
      <c r="E557" s="13" t="s">
        <v>114</v>
      </c>
      <c r="F557" s="13" t="s">
        <v>74</v>
      </c>
      <c r="G557" s="13" t="s">
        <v>439</v>
      </c>
      <c r="H557" s="13" t="s">
        <v>74</v>
      </c>
      <c r="I557" s="13" t="s">
        <v>76</v>
      </c>
      <c r="J557" s="13" t="s">
        <v>77</v>
      </c>
      <c r="K557" s="13" t="s">
        <v>125</v>
      </c>
      <c r="L557" s="13" t="s">
        <v>79</v>
      </c>
      <c r="M557" s="13" t="s">
        <v>80</v>
      </c>
      <c r="N557" s="13" t="s">
        <v>79</v>
      </c>
      <c r="O557" s="13" t="s">
        <v>490</v>
      </c>
      <c r="P557" s="13" t="s">
        <v>82</v>
      </c>
      <c r="Q557" s="13" t="s">
        <v>103</v>
      </c>
      <c r="R557" s="13" t="s">
        <v>79</v>
      </c>
      <c r="S557" s="13" t="s">
        <v>82</v>
      </c>
      <c r="T557" s="13" t="s">
        <v>106</v>
      </c>
      <c r="U557" s="13" t="s">
        <v>87</v>
      </c>
      <c r="V557" s="13" t="s">
        <v>112</v>
      </c>
      <c r="W557" t="s">
        <v>486</v>
      </c>
      <c r="X557" s="12">
        <v>2.4545454545454546</v>
      </c>
      <c r="Y557" s="12">
        <v>3</v>
      </c>
      <c r="Z557" s="12">
        <v>0.66666666666666663</v>
      </c>
      <c r="AA557" s="12">
        <v>0</v>
      </c>
      <c r="AB557" s="12">
        <v>3</v>
      </c>
      <c r="AC557" s="12">
        <v>0</v>
      </c>
      <c r="AD557" s="12">
        <v>1.8242424242424242</v>
      </c>
    </row>
    <row r="558" spans="1:30" x14ac:dyDescent="0.3">
      <c r="A558" s="13">
        <v>22</v>
      </c>
      <c r="B558" s="13" t="s">
        <v>70</v>
      </c>
      <c r="C558" s="13" t="s">
        <v>157</v>
      </c>
      <c r="D558" s="13" t="s">
        <v>72</v>
      </c>
      <c r="E558" s="13" t="s">
        <v>114</v>
      </c>
      <c r="F558" s="13" t="s">
        <v>98</v>
      </c>
      <c r="G558" s="13" t="s">
        <v>440</v>
      </c>
      <c r="H558" s="13" t="s">
        <v>98</v>
      </c>
      <c r="I558" s="13" t="s">
        <v>76</v>
      </c>
      <c r="J558" s="13" t="s">
        <v>77</v>
      </c>
      <c r="K558" s="13" t="s">
        <v>122</v>
      </c>
      <c r="L558" s="13" t="s">
        <v>79</v>
      </c>
      <c r="M558" s="13" t="s">
        <v>80</v>
      </c>
      <c r="N558" s="13" t="s">
        <v>79</v>
      </c>
      <c r="O558" s="13" t="s">
        <v>489</v>
      </c>
      <c r="P558" s="13" t="s">
        <v>82</v>
      </c>
      <c r="Q558" s="13" t="s">
        <v>83</v>
      </c>
      <c r="R558" s="13" t="s">
        <v>79</v>
      </c>
      <c r="S558" s="13" t="s">
        <v>82</v>
      </c>
      <c r="T558" s="13" t="s">
        <v>86</v>
      </c>
      <c r="U558" s="13" t="s">
        <v>87</v>
      </c>
      <c r="V558" s="13" t="s">
        <v>455</v>
      </c>
      <c r="W558" t="s">
        <v>486</v>
      </c>
      <c r="X558" s="12">
        <v>3</v>
      </c>
      <c r="Y558" s="12">
        <v>2.2000000000000002</v>
      </c>
      <c r="Z558" s="12">
        <v>0.66666666666666663</v>
      </c>
      <c r="AA558" s="12">
        <v>0</v>
      </c>
      <c r="AB558" s="12">
        <v>3</v>
      </c>
      <c r="AC558" s="12">
        <v>0</v>
      </c>
      <c r="AD558" s="12">
        <v>1.7733333333333334</v>
      </c>
    </row>
    <row r="559" spans="1:30" x14ac:dyDescent="0.3">
      <c r="A559" s="13">
        <v>24</v>
      </c>
      <c r="B559" s="13" t="s">
        <v>70</v>
      </c>
      <c r="C559" s="13" t="s">
        <v>113</v>
      </c>
      <c r="D559" s="13" t="s">
        <v>97</v>
      </c>
      <c r="E559" s="13" t="s">
        <v>108</v>
      </c>
      <c r="F559" s="13" t="s">
        <v>136</v>
      </c>
      <c r="G559" s="13" t="s">
        <v>440</v>
      </c>
      <c r="H559" s="13" t="s">
        <v>165</v>
      </c>
      <c r="I559" s="13" t="s">
        <v>76</v>
      </c>
      <c r="J559" s="13" t="s">
        <v>101</v>
      </c>
      <c r="K559" s="13" t="s">
        <v>122</v>
      </c>
      <c r="L559" s="13" t="s">
        <v>79</v>
      </c>
      <c r="M559" s="13" t="s">
        <v>80</v>
      </c>
      <c r="N559" s="13" t="s">
        <v>79</v>
      </c>
      <c r="O559" s="13" t="s">
        <v>489</v>
      </c>
      <c r="P559" s="13" t="s">
        <v>79</v>
      </c>
      <c r="Q559" s="13" t="s">
        <v>103</v>
      </c>
      <c r="R559" s="13" t="s">
        <v>79</v>
      </c>
      <c r="S559" s="13" t="s">
        <v>82</v>
      </c>
      <c r="T559" s="13" t="s">
        <v>86</v>
      </c>
      <c r="U559" s="13" t="s">
        <v>87</v>
      </c>
      <c r="V559" s="13" t="s">
        <v>112</v>
      </c>
      <c r="W559" t="s">
        <v>486</v>
      </c>
      <c r="X559" s="12">
        <v>3</v>
      </c>
      <c r="Y559" s="12">
        <v>3</v>
      </c>
      <c r="Z559" s="12">
        <v>0</v>
      </c>
      <c r="AA559" s="12">
        <v>0</v>
      </c>
      <c r="AB559" s="12">
        <v>3</v>
      </c>
      <c r="AC559" s="12">
        <v>0</v>
      </c>
      <c r="AD559" s="12">
        <v>1.8</v>
      </c>
    </row>
    <row r="560" spans="1:30" x14ac:dyDescent="0.3">
      <c r="A560" s="13">
        <v>23</v>
      </c>
      <c r="B560" s="13" t="s">
        <v>128</v>
      </c>
      <c r="C560" s="13" t="s">
        <v>71</v>
      </c>
      <c r="D560" s="13" t="s">
        <v>149</v>
      </c>
      <c r="E560" s="13" t="s">
        <v>108</v>
      </c>
      <c r="F560" s="13" t="s">
        <v>136</v>
      </c>
      <c r="G560" s="13" t="s">
        <v>440</v>
      </c>
      <c r="H560" s="13" t="s">
        <v>136</v>
      </c>
      <c r="I560" s="13" t="s">
        <v>76</v>
      </c>
      <c r="J560" s="13" t="s">
        <v>77</v>
      </c>
      <c r="K560" s="13" t="s">
        <v>78</v>
      </c>
      <c r="L560" s="13" t="s">
        <v>79</v>
      </c>
      <c r="M560" s="13" t="s">
        <v>80</v>
      </c>
      <c r="N560" s="13" t="s">
        <v>79</v>
      </c>
      <c r="O560" s="13" t="s">
        <v>488</v>
      </c>
      <c r="P560" s="13" t="s">
        <v>82</v>
      </c>
      <c r="Q560" s="13" t="s">
        <v>83</v>
      </c>
      <c r="R560" s="13" t="s">
        <v>79</v>
      </c>
      <c r="S560" s="13" t="s">
        <v>79</v>
      </c>
      <c r="T560" s="13" t="s">
        <v>106</v>
      </c>
      <c r="U560" s="13" t="s">
        <v>141</v>
      </c>
      <c r="V560" s="13" t="s">
        <v>112</v>
      </c>
      <c r="W560" t="s">
        <v>486</v>
      </c>
      <c r="X560" s="12">
        <v>2.6363636363636362</v>
      </c>
      <c r="Y560" s="12">
        <v>2.6</v>
      </c>
      <c r="Z560" s="12">
        <v>0</v>
      </c>
      <c r="AA560" s="12">
        <v>0</v>
      </c>
      <c r="AB560" s="12">
        <v>3</v>
      </c>
      <c r="AC560" s="12">
        <v>0</v>
      </c>
      <c r="AD560" s="12">
        <v>1.6472727272727272</v>
      </c>
    </row>
    <row r="561" spans="1:30" x14ac:dyDescent="0.3">
      <c r="A561" s="13">
        <v>21</v>
      </c>
      <c r="B561" s="13" t="s">
        <v>70</v>
      </c>
      <c r="C561" s="13" t="s">
        <v>96</v>
      </c>
      <c r="D561" s="13" t="s">
        <v>72</v>
      </c>
      <c r="E561" s="13" t="s">
        <v>108</v>
      </c>
      <c r="F561" s="13" t="s">
        <v>74</v>
      </c>
      <c r="G561" s="13" t="s">
        <v>439</v>
      </c>
      <c r="H561" s="13" t="s">
        <v>74</v>
      </c>
      <c r="I561" s="13" t="s">
        <v>439</v>
      </c>
      <c r="J561" s="13" t="s">
        <v>77</v>
      </c>
      <c r="K561" s="13" t="s">
        <v>78</v>
      </c>
      <c r="L561" s="13" t="s">
        <v>79</v>
      </c>
      <c r="M561" s="13" t="s">
        <v>80</v>
      </c>
      <c r="N561" s="13" t="s">
        <v>79</v>
      </c>
      <c r="O561" s="13" t="s">
        <v>489</v>
      </c>
      <c r="P561" s="13" t="s">
        <v>79</v>
      </c>
      <c r="Q561" s="13" t="s">
        <v>83</v>
      </c>
      <c r="R561" s="13" t="s">
        <v>82</v>
      </c>
      <c r="S561" s="13" t="s">
        <v>82</v>
      </c>
      <c r="T561" s="13" t="s">
        <v>86</v>
      </c>
      <c r="U561" s="13" t="s">
        <v>120</v>
      </c>
      <c r="V561" s="13" t="s">
        <v>127</v>
      </c>
      <c r="W561" t="s">
        <v>485</v>
      </c>
      <c r="X561" s="12">
        <v>1.5454545454545454</v>
      </c>
      <c r="Y561" s="12">
        <v>0.4</v>
      </c>
      <c r="Z561" s="12">
        <v>1</v>
      </c>
      <c r="AA561" s="12">
        <v>0.77777777777777779</v>
      </c>
      <c r="AB561" s="12">
        <v>2.8</v>
      </c>
      <c r="AC561" s="12">
        <v>0</v>
      </c>
      <c r="AD561" s="12">
        <v>1.3046464646464646</v>
      </c>
    </row>
    <row r="562" spans="1:30" x14ac:dyDescent="0.3">
      <c r="A562" s="13">
        <v>21</v>
      </c>
      <c r="B562" s="13" t="s">
        <v>70</v>
      </c>
      <c r="C562" s="13" t="s">
        <v>96</v>
      </c>
      <c r="D562" s="13" t="s">
        <v>97</v>
      </c>
      <c r="E562" s="13" t="s">
        <v>73</v>
      </c>
      <c r="F562" s="13" t="s">
        <v>74</v>
      </c>
      <c r="G562" s="13" t="s">
        <v>440</v>
      </c>
      <c r="H562" s="13" t="s">
        <v>136</v>
      </c>
      <c r="I562" s="13" t="s">
        <v>76</v>
      </c>
      <c r="J562" s="13" t="s">
        <v>77</v>
      </c>
      <c r="K562" s="13" t="s">
        <v>122</v>
      </c>
      <c r="L562" s="13" t="s">
        <v>82</v>
      </c>
      <c r="M562" s="13" t="s">
        <v>80</v>
      </c>
      <c r="N562" s="13" t="s">
        <v>79</v>
      </c>
      <c r="O562" s="13" t="s">
        <v>490</v>
      </c>
      <c r="P562" s="13" t="s">
        <v>82</v>
      </c>
      <c r="Q562" s="13" t="s">
        <v>83</v>
      </c>
      <c r="R562" s="13" t="s">
        <v>82</v>
      </c>
      <c r="S562" s="13" t="s">
        <v>82</v>
      </c>
      <c r="T562" s="13" t="s">
        <v>86</v>
      </c>
      <c r="U562" s="13" t="s">
        <v>141</v>
      </c>
      <c r="V562" s="13" t="s">
        <v>112</v>
      </c>
      <c r="W562" t="s">
        <v>486</v>
      </c>
      <c r="X562" s="12">
        <v>2.7272727272727271</v>
      </c>
      <c r="Y562" s="12">
        <v>1.4</v>
      </c>
      <c r="Z562" s="12">
        <v>0</v>
      </c>
      <c r="AA562" s="12">
        <v>0.44444444444444442</v>
      </c>
      <c r="AB562" s="12">
        <v>2.8</v>
      </c>
      <c r="AC562" s="12">
        <v>0</v>
      </c>
      <c r="AD562" s="12">
        <v>1.4743434343434343</v>
      </c>
    </row>
    <row r="563" spans="1:30" x14ac:dyDescent="0.3">
      <c r="A563" s="13">
        <v>22</v>
      </c>
      <c r="B563" s="13" t="s">
        <v>70</v>
      </c>
      <c r="C563" s="13" t="s">
        <v>113</v>
      </c>
      <c r="D563" s="13" t="s">
        <v>72</v>
      </c>
      <c r="E563" s="13" t="s">
        <v>114</v>
      </c>
      <c r="F563" s="13" t="s">
        <v>74</v>
      </c>
      <c r="G563" s="13" t="s">
        <v>439</v>
      </c>
      <c r="H563" s="13" t="s">
        <v>136</v>
      </c>
      <c r="I563" s="13" t="s">
        <v>76</v>
      </c>
      <c r="J563" s="13" t="s">
        <v>77</v>
      </c>
      <c r="K563" s="13" t="s">
        <v>122</v>
      </c>
      <c r="L563" s="13" t="s">
        <v>79</v>
      </c>
      <c r="M563" s="13" t="s">
        <v>80</v>
      </c>
      <c r="N563" s="13" t="s">
        <v>79</v>
      </c>
      <c r="O563" s="13" t="s">
        <v>490</v>
      </c>
      <c r="P563" s="13" t="s">
        <v>82</v>
      </c>
      <c r="Q563" s="13" t="s">
        <v>83</v>
      </c>
      <c r="R563" s="13" t="s">
        <v>82</v>
      </c>
      <c r="S563" s="13" t="s">
        <v>82</v>
      </c>
      <c r="T563" s="13" t="s">
        <v>106</v>
      </c>
      <c r="U563" s="13" t="s">
        <v>87</v>
      </c>
      <c r="V563" s="13" t="s">
        <v>112</v>
      </c>
      <c r="W563" t="s">
        <v>486</v>
      </c>
      <c r="X563" s="12">
        <v>2.6363636363636362</v>
      </c>
      <c r="Y563" s="12">
        <v>2.4</v>
      </c>
      <c r="Z563" s="12">
        <v>0.33333333333333331</v>
      </c>
      <c r="AA563" s="12">
        <v>0.33333333333333331</v>
      </c>
      <c r="AB563" s="12">
        <v>2.8</v>
      </c>
      <c r="AC563" s="12">
        <v>0</v>
      </c>
      <c r="AD563" s="12">
        <v>1.7006060606060605</v>
      </c>
    </row>
    <row r="564" spans="1:30" x14ac:dyDescent="0.3">
      <c r="A564" s="13">
        <v>20</v>
      </c>
      <c r="B564" s="13" t="s">
        <v>70</v>
      </c>
      <c r="C564" s="13" t="s">
        <v>157</v>
      </c>
      <c r="D564" s="13" t="s">
        <v>72</v>
      </c>
      <c r="E564" s="13" t="s">
        <v>73</v>
      </c>
      <c r="F564" s="13" t="s">
        <v>74</v>
      </c>
      <c r="G564" s="13" t="s">
        <v>439</v>
      </c>
      <c r="H564" s="13" t="s">
        <v>74</v>
      </c>
      <c r="I564" s="13" t="s">
        <v>439</v>
      </c>
      <c r="J564" s="13" t="s">
        <v>101</v>
      </c>
      <c r="K564" s="13" t="s">
        <v>122</v>
      </c>
      <c r="L564" s="13" t="s">
        <v>79</v>
      </c>
      <c r="M564" s="13" t="s">
        <v>80</v>
      </c>
      <c r="N564" s="13" t="s">
        <v>79</v>
      </c>
      <c r="O564" s="13" t="s">
        <v>489</v>
      </c>
      <c r="P564" s="13" t="s">
        <v>79</v>
      </c>
      <c r="Q564" s="13" t="s">
        <v>83</v>
      </c>
      <c r="R564" s="13" t="s">
        <v>79</v>
      </c>
      <c r="S564" s="13" t="s">
        <v>79</v>
      </c>
      <c r="T564" s="13" t="s">
        <v>86</v>
      </c>
      <c r="U564" s="13" t="s">
        <v>87</v>
      </c>
      <c r="V564" s="13" t="s">
        <v>112</v>
      </c>
      <c r="W564" t="s">
        <v>486</v>
      </c>
      <c r="X564" s="12">
        <v>2.9090909090909092</v>
      </c>
      <c r="Y564" s="12">
        <v>3</v>
      </c>
      <c r="Z564" s="12">
        <v>1.6666666666666667</v>
      </c>
      <c r="AA564" s="12">
        <v>0</v>
      </c>
      <c r="AB564" s="12">
        <v>2.8</v>
      </c>
      <c r="AC564" s="12">
        <v>0</v>
      </c>
      <c r="AD564" s="12">
        <v>2.0751515151515152</v>
      </c>
    </row>
    <row r="565" spans="1:30" x14ac:dyDescent="0.3">
      <c r="A565" s="13">
        <v>21</v>
      </c>
      <c r="B565" s="13" t="s">
        <v>70</v>
      </c>
      <c r="C565" s="13" t="s">
        <v>157</v>
      </c>
      <c r="D565" s="13" t="s">
        <v>72</v>
      </c>
      <c r="E565" s="13" t="s">
        <v>73</v>
      </c>
      <c r="F565" s="13" t="s">
        <v>74</v>
      </c>
      <c r="G565" s="13" t="s">
        <v>439</v>
      </c>
      <c r="H565" s="13" t="s">
        <v>74</v>
      </c>
      <c r="I565" s="13" t="s">
        <v>439</v>
      </c>
      <c r="J565" s="13" t="s">
        <v>77</v>
      </c>
      <c r="K565" s="13" t="s">
        <v>131</v>
      </c>
      <c r="L565" s="13" t="s">
        <v>79</v>
      </c>
      <c r="M565" s="13" t="s">
        <v>132</v>
      </c>
      <c r="N565" s="13" t="s">
        <v>79</v>
      </c>
      <c r="O565" s="13" t="s">
        <v>489</v>
      </c>
      <c r="P565" s="13" t="s">
        <v>82</v>
      </c>
      <c r="Q565" s="13" t="s">
        <v>83</v>
      </c>
      <c r="R565" s="13" t="s">
        <v>79</v>
      </c>
      <c r="S565" s="13" t="s">
        <v>82</v>
      </c>
      <c r="T565" s="13" t="s">
        <v>106</v>
      </c>
      <c r="U565" s="13" t="s">
        <v>120</v>
      </c>
      <c r="V565" s="13" t="s">
        <v>112</v>
      </c>
      <c r="W565" t="s">
        <v>486</v>
      </c>
      <c r="X565" s="12">
        <v>2.7272727272727271</v>
      </c>
      <c r="Y565" s="12">
        <v>2.4</v>
      </c>
      <c r="Z565" s="12">
        <v>2.3333333333333335</v>
      </c>
      <c r="AA565" s="12">
        <v>1.1111111111111112</v>
      </c>
      <c r="AB565" s="12">
        <v>2.6</v>
      </c>
      <c r="AC565" s="12">
        <v>0</v>
      </c>
      <c r="AD565" s="12">
        <v>2.2343434343434341</v>
      </c>
    </row>
    <row r="566" spans="1:30" x14ac:dyDescent="0.3">
      <c r="A566" s="13">
        <v>22</v>
      </c>
      <c r="B566" s="13" t="s">
        <v>70</v>
      </c>
      <c r="C566" s="13" t="s">
        <v>113</v>
      </c>
      <c r="D566" s="13" t="s">
        <v>72</v>
      </c>
      <c r="E566" s="13" t="s">
        <v>114</v>
      </c>
      <c r="F566" s="13" t="s">
        <v>98</v>
      </c>
      <c r="G566" s="13" t="s">
        <v>438</v>
      </c>
      <c r="H566" s="13" t="s">
        <v>165</v>
      </c>
      <c r="I566" s="13" t="s">
        <v>76</v>
      </c>
      <c r="J566" s="13" t="s">
        <v>77</v>
      </c>
      <c r="K566" s="13" t="s">
        <v>125</v>
      </c>
      <c r="L566" s="13" t="s">
        <v>82</v>
      </c>
      <c r="M566" s="13" t="s">
        <v>102</v>
      </c>
      <c r="N566" s="13" t="s">
        <v>79</v>
      </c>
      <c r="O566" s="13" t="s">
        <v>489</v>
      </c>
      <c r="P566" s="13" t="s">
        <v>79</v>
      </c>
      <c r="Q566" s="13" t="s">
        <v>83</v>
      </c>
      <c r="R566" s="13" t="s">
        <v>79</v>
      </c>
      <c r="S566" s="13" t="s">
        <v>82</v>
      </c>
      <c r="T566" s="13" t="s">
        <v>106</v>
      </c>
      <c r="U566" s="13" t="s">
        <v>141</v>
      </c>
      <c r="V566" s="13" t="s">
        <v>455</v>
      </c>
      <c r="W566" t="s">
        <v>486</v>
      </c>
      <c r="X566" s="12">
        <v>1.6363636363636365</v>
      </c>
      <c r="Y566" s="12">
        <v>0.2</v>
      </c>
      <c r="Z566" s="12">
        <v>1.6666666666666667</v>
      </c>
      <c r="AA566" s="12">
        <v>0.66666666666666663</v>
      </c>
      <c r="AB566" s="12">
        <v>2.6</v>
      </c>
      <c r="AC566" s="12">
        <v>0</v>
      </c>
      <c r="AD566" s="12">
        <v>1.353939393939394</v>
      </c>
    </row>
    <row r="567" spans="1:30" x14ac:dyDescent="0.3">
      <c r="A567" s="13">
        <v>19</v>
      </c>
      <c r="B567" s="13" t="s">
        <v>70</v>
      </c>
      <c r="C567" s="13" t="s">
        <v>157</v>
      </c>
      <c r="D567" s="13" t="s">
        <v>72</v>
      </c>
      <c r="E567" s="13" t="s">
        <v>73</v>
      </c>
      <c r="F567" s="13" t="s">
        <v>74</v>
      </c>
      <c r="G567" s="13" t="s">
        <v>440</v>
      </c>
      <c r="H567" s="13" t="s">
        <v>136</v>
      </c>
      <c r="I567" s="13" t="s">
        <v>439</v>
      </c>
      <c r="J567" s="13" t="s">
        <v>77</v>
      </c>
      <c r="K567" s="13" t="s">
        <v>122</v>
      </c>
      <c r="L567" s="13" t="s">
        <v>79</v>
      </c>
      <c r="M567" s="13" t="s">
        <v>80</v>
      </c>
      <c r="N567" s="13" t="s">
        <v>82</v>
      </c>
      <c r="O567" s="13" t="s">
        <v>489</v>
      </c>
      <c r="P567" s="13" t="s">
        <v>82</v>
      </c>
      <c r="Q567" s="13" t="s">
        <v>83</v>
      </c>
      <c r="R567" s="13" t="s">
        <v>79</v>
      </c>
      <c r="S567" s="13" t="s">
        <v>82</v>
      </c>
      <c r="T567" s="13" t="s">
        <v>106</v>
      </c>
      <c r="U567" s="13" t="s">
        <v>141</v>
      </c>
      <c r="V567" s="13" t="s">
        <v>112</v>
      </c>
      <c r="W567" t="s">
        <v>486</v>
      </c>
      <c r="X567" s="12">
        <v>2.4545454545454546</v>
      </c>
      <c r="Y567" s="12">
        <v>2</v>
      </c>
      <c r="Z567" s="12">
        <v>0.66666666666666663</v>
      </c>
      <c r="AA567" s="12">
        <v>0.33333333333333331</v>
      </c>
      <c r="AB567" s="12">
        <v>2.6</v>
      </c>
      <c r="AC567" s="12">
        <v>0</v>
      </c>
      <c r="AD567" s="12">
        <v>1.6109090909090908</v>
      </c>
    </row>
    <row r="568" spans="1:30" x14ac:dyDescent="0.3">
      <c r="A568" s="13">
        <v>22</v>
      </c>
      <c r="B568" s="13" t="s">
        <v>128</v>
      </c>
      <c r="C568" s="13" t="s">
        <v>96</v>
      </c>
      <c r="D568" s="13" t="s">
        <v>97</v>
      </c>
      <c r="E568" s="13" t="s">
        <v>114</v>
      </c>
      <c r="F568" s="13" t="s">
        <v>74</v>
      </c>
      <c r="G568" s="13" t="s">
        <v>440</v>
      </c>
      <c r="H568" s="13" t="s">
        <v>74</v>
      </c>
      <c r="I568" s="13" t="s">
        <v>439</v>
      </c>
      <c r="J568" s="13" t="s">
        <v>101</v>
      </c>
      <c r="K568" s="13" t="s">
        <v>125</v>
      </c>
      <c r="L568" s="13" t="s">
        <v>79</v>
      </c>
      <c r="M568" s="13" t="s">
        <v>80</v>
      </c>
      <c r="N568" s="13" t="s">
        <v>82</v>
      </c>
      <c r="O568" s="13" t="s">
        <v>489</v>
      </c>
      <c r="P568" s="13" t="s">
        <v>82</v>
      </c>
      <c r="Q568" s="13" t="s">
        <v>118</v>
      </c>
      <c r="R568" s="13" t="s">
        <v>82</v>
      </c>
      <c r="S568" s="13" t="s">
        <v>82</v>
      </c>
      <c r="T568" s="13" t="s">
        <v>106</v>
      </c>
      <c r="U568" s="13" t="s">
        <v>87</v>
      </c>
      <c r="V568" s="13" t="s">
        <v>127</v>
      </c>
      <c r="W568" t="s">
        <v>485</v>
      </c>
      <c r="X568" s="12">
        <v>2.6363636363636362</v>
      </c>
      <c r="Y568" s="12">
        <v>2.8</v>
      </c>
      <c r="Z568" s="12">
        <v>0.66666666666666663</v>
      </c>
      <c r="AA568" s="12">
        <v>0.77777777777777779</v>
      </c>
      <c r="AB568" s="12">
        <v>2.4</v>
      </c>
      <c r="AC568" s="12">
        <v>0</v>
      </c>
      <c r="AD568" s="12">
        <v>1.8561616161616161</v>
      </c>
    </row>
    <row r="569" spans="1:30" x14ac:dyDescent="0.3">
      <c r="A569" s="13">
        <v>24</v>
      </c>
      <c r="B569" s="13" t="s">
        <v>70</v>
      </c>
      <c r="C569" s="13" t="s">
        <v>113</v>
      </c>
      <c r="D569" s="13" t="s">
        <v>97</v>
      </c>
      <c r="E569" s="13" t="s">
        <v>108</v>
      </c>
      <c r="F569" s="13" t="s">
        <v>74</v>
      </c>
      <c r="G569" s="13" t="s">
        <v>439</v>
      </c>
      <c r="H569" s="13" t="s">
        <v>136</v>
      </c>
      <c r="I569" s="13" t="s">
        <v>76</v>
      </c>
      <c r="J569" s="13" t="s">
        <v>77</v>
      </c>
      <c r="K569" s="13" t="s">
        <v>131</v>
      </c>
      <c r="L569" s="13" t="s">
        <v>79</v>
      </c>
      <c r="M569" s="13" t="s">
        <v>102</v>
      </c>
      <c r="N569" s="13" t="s">
        <v>79</v>
      </c>
      <c r="O569" s="13" t="s">
        <v>488</v>
      </c>
      <c r="P569" s="13" t="s">
        <v>82</v>
      </c>
      <c r="Q569" s="13" t="s">
        <v>103</v>
      </c>
      <c r="R569" s="13" t="s">
        <v>79</v>
      </c>
      <c r="S569" s="13" t="s">
        <v>79</v>
      </c>
      <c r="T569" s="13" t="s">
        <v>86</v>
      </c>
      <c r="U569" s="13" t="s">
        <v>141</v>
      </c>
      <c r="V569" s="13" t="s">
        <v>112</v>
      </c>
      <c r="W569" t="s">
        <v>486</v>
      </c>
      <c r="X569" s="12">
        <v>2</v>
      </c>
      <c r="Y569" s="12">
        <v>1</v>
      </c>
      <c r="Z569" s="12">
        <v>2</v>
      </c>
      <c r="AA569" s="12">
        <v>0.44444444444444442</v>
      </c>
      <c r="AB569" s="12">
        <v>2.4</v>
      </c>
      <c r="AC569" s="12">
        <v>0</v>
      </c>
      <c r="AD569" s="12">
        <v>1.568888888888889</v>
      </c>
    </row>
    <row r="570" spans="1:30" x14ac:dyDescent="0.3">
      <c r="A570" s="13">
        <v>24</v>
      </c>
      <c r="B570" s="13" t="s">
        <v>128</v>
      </c>
      <c r="C570" s="13" t="s">
        <v>113</v>
      </c>
      <c r="D570" s="13" t="s">
        <v>72</v>
      </c>
      <c r="E570" s="13" t="s">
        <v>108</v>
      </c>
      <c r="F570" s="13" t="s">
        <v>74</v>
      </c>
      <c r="G570" s="13" t="s">
        <v>439</v>
      </c>
      <c r="H570" s="13" t="s">
        <v>136</v>
      </c>
      <c r="I570" s="13" t="s">
        <v>440</v>
      </c>
      <c r="J570" s="13" t="s">
        <v>77</v>
      </c>
      <c r="K570" s="13" t="s">
        <v>125</v>
      </c>
      <c r="L570" s="13" t="s">
        <v>82</v>
      </c>
      <c r="M570" s="13" t="s">
        <v>80</v>
      </c>
      <c r="N570" s="13" t="s">
        <v>82</v>
      </c>
      <c r="O570" s="13" t="s">
        <v>489</v>
      </c>
      <c r="P570" s="13" t="s">
        <v>82</v>
      </c>
      <c r="Q570" s="13" t="s">
        <v>83</v>
      </c>
      <c r="R570" s="13" t="s">
        <v>82</v>
      </c>
      <c r="S570" s="13" t="s">
        <v>82</v>
      </c>
      <c r="T570" s="13" t="s">
        <v>106</v>
      </c>
      <c r="U570" s="13" t="s">
        <v>141</v>
      </c>
      <c r="V570" s="13" t="s">
        <v>457</v>
      </c>
      <c r="W570" t="s">
        <v>485</v>
      </c>
      <c r="X570" s="12">
        <v>2</v>
      </c>
      <c r="Y570" s="12">
        <v>0.8</v>
      </c>
      <c r="Z570" s="12">
        <v>1.6666666666666667</v>
      </c>
      <c r="AA570" s="12">
        <v>0.44444444444444442</v>
      </c>
      <c r="AB570" s="12">
        <v>2.4</v>
      </c>
      <c r="AC570" s="12">
        <v>0</v>
      </c>
      <c r="AD570" s="12">
        <v>1.4622222222222223</v>
      </c>
    </row>
    <row r="571" spans="1:30" x14ac:dyDescent="0.3">
      <c r="A571" s="13">
        <v>20</v>
      </c>
      <c r="B571" s="13" t="s">
        <v>70</v>
      </c>
      <c r="C571" s="13" t="s">
        <v>96</v>
      </c>
      <c r="D571" s="13" t="s">
        <v>97</v>
      </c>
      <c r="E571" s="13" t="s">
        <v>73</v>
      </c>
      <c r="F571" s="13" t="s">
        <v>74</v>
      </c>
      <c r="G571" s="13" t="s">
        <v>439</v>
      </c>
      <c r="H571" s="13" t="s">
        <v>136</v>
      </c>
      <c r="I571" s="13" t="s">
        <v>76</v>
      </c>
      <c r="J571" s="13" t="s">
        <v>77</v>
      </c>
      <c r="K571" s="13" t="s">
        <v>122</v>
      </c>
      <c r="L571" s="13" t="s">
        <v>79</v>
      </c>
      <c r="M571" s="13" t="s">
        <v>80</v>
      </c>
      <c r="N571" s="13" t="s">
        <v>79</v>
      </c>
      <c r="O571" s="13" t="s">
        <v>487</v>
      </c>
      <c r="P571" s="13" t="s">
        <v>82</v>
      </c>
      <c r="Q571" s="13" t="s">
        <v>83</v>
      </c>
      <c r="R571" s="13" t="s">
        <v>82</v>
      </c>
      <c r="S571" s="13" t="s">
        <v>82</v>
      </c>
      <c r="T571" s="13" t="s">
        <v>86</v>
      </c>
      <c r="U571" s="13" t="s">
        <v>87</v>
      </c>
      <c r="V571" s="13" t="s">
        <v>112</v>
      </c>
      <c r="W571" t="s">
        <v>486</v>
      </c>
      <c r="X571" s="12">
        <v>2.6363636363636362</v>
      </c>
      <c r="Y571" s="12">
        <v>2</v>
      </c>
      <c r="Z571" s="12">
        <v>1</v>
      </c>
      <c r="AA571" s="12">
        <v>0.22222222222222221</v>
      </c>
      <c r="AB571" s="12">
        <v>2.4</v>
      </c>
      <c r="AC571" s="12">
        <v>0</v>
      </c>
      <c r="AD571" s="12">
        <v>1.6517171717171717</v>
      </c>
    </row>
    <row r="572" spans="1:30" x14ac:dyDescent="0.3">
      <c r="A572" s="13">
        <v>21</v>
      </c>
      <c r="B572" s="13" t="s">
        <v>70</v>
      </c>
      <c r="C572" s="13" t="s">
        <v>157</v>
      </c>
      <c r="D572" s="13" t="s">
        <v>97</v>
      </c>
      <c r="E572" s="13" t="s">
        <v>108</v>
      </c>
      <c r="F572" s="13" t="s">
        <v>74</v>
      </c>
      <c r="G572" s="13" t="s">
        <v>99</v>
      </c>
      <c r="H572" s="13" t="s">
        <v>74</v>
      </c>
      <c r="I572" s="13" t="s">
        <v>76</v>
      </c>
      <c r="J572" s="13" t="s">
        <v>77</v>
      </c>
      <c r="K572" s="13" t="s">
        <v>78</v>
      </c>
      <c r="L572" s="13" t="s">
        <v>82</v>
      </c>
      <c r="M572" s="13" t="s">
        <v>80</v>
      </c>
      <c r="N572" s="13" t="s">
        <v>79</v>
      </c>
      <c r="O572" s="13" t="s">
        <v>489</v>
      </c>
      <c r="P572" s="13" t="s">
        <v>82</v>
      </c>
      <c r="Q572" s="13" t="s">
        <v>83</v>
      </c>
      <c r="R572" s="13" t="s">
        <v>79</v>
      </c>
      <c r="S572" s="13" t="s">
        <v>82</v>
      </c>
      <c r="T572" s="13" t="s">
        <v>86</v>
      </c>
      <c r="U572" s="13" t="s">
        <v>87</v>
      </c>
      <c r="V572" s="13" t="s">
        <v>455</v>
      </c>
      <c r="W572" t="s">
        <v>486</v>
      </c>
      <c r="X572" s="12">
        <v>2.3636363636363638</v>
      </c>
      <c r="Y572" s="12">
        <v>2.8</v>
      </c>
      <c r="Z572" s="12">
        <v>0.33333333333333331</v>
      </c>
      <c r="AA572" s="12">
        <v>0</v>
      </c>
      <c r="AB572" s="12">
        <v>2.4</v>
      </c>
      <c r="AC572" s="12">
        <v>0</v>
      </c>
      <c r="AD572" s="12">
        <v>1.5793939393939394</v>
      </c>
    </row>
    <row r="573" spans="1:30" x14ac:dyDescent="0.3">
      <c r="A573" s="13">
        <v>20</v>
      </c>
      <c r="B573" s="13" t="s">
        <v>70</v>
      </c>
      <c r="C573" s="13" t="s">
        <v>96</v>
      </c>
      <c r="D573" s="13" t="s">
        <v>149</v>
      </c>
      <c r="E573" s="13" t="s">
        <v>108</v>
      </c>
      <c r="F573" s="13" t="s">
        <v>74</v>
      </c>
      <c r="G573" s="13" t="s">
        <v>439</v>
      </c>
      <c r="H573" s="13" t="s">
        <v>74</v>
      </c>
      <c r="I573" s="13" t="s">
        <v>439</v>
      </c>
      <c r="J573" s="13" t="s">
        <v>77</v>
      </c>
      <c r="K573" s="13" t="s">
        <v>131</v>
      </c>
      <c r="L573" s="13" t="s">
        <v>79</v>
      </c>
      <c r="M573" s="13" t="s">
        <v>102</v>
      </c>
      <c r="N573" s="13" t="s">
        <v>82</v>
      </c>
      <c r="O573" s="13" t="s">
        <v>489</v>
      </c>
      <c r="P573" s="13" t="s">
        <v>82</v>
      </c>
      <c r="Q573" s="13" t="s">
        <v>83</v>
      </c>
      <c r="R573" s="13" t="s">
        <v>79</v>
      </c>
      <c r="S573" s="13" t="s">
        <v>79</v>
      </c>
      <c r="T573" s="13" t="s">
        <v>86</v>
      </c>
      <c r="U573" s="13" t="s">
        <v>87</v>
      </c>
      <c r="V573" s="13" t="s">
        <v>112</v>
      </c>
      <c r="W573" t="s">
        <v>486</v>
      </c>
      <c r="X573" s="12">
        <v>3</v>
      </c>
      <c r="Y573" s="12">
        <v>3</v>
      </c>
      <c r="Z573" s="12">
        <v>0</v>
      </c>
      <c r="AA573" s="12">
        <v>0</v>
      </c>
      <c r="AB573" s="12">
        <v>2.4</v>
      </c>
      <c r="AC573" s="12">
        <v>0</v>
      </c>
      <c r="AD573" s="12">
        <v>1.6800000000000002</v>
      </c>
    </row>
    <row r="574" spans="1:30" x14ac:dyDescent="0.3">
      <c r="A574" s="13">
        <v>22</v>
      </c>
      <c r="B574" s="13" t="s">
        <v>70</v>
      </c>
      <c r="C574" s="13" t="s">
        <v>113</v>
      </c>
      <c r="D574" s="13" t="s">
        <v>97</v>
      </c>
      <c r="E574" s="13" t="s">
        <v>108</v>
      </c>
      <c r="F574" s="13" t="s">
        <v>136</v>
      </c>
      <c r="G574" s="13" t="s">
        <v>440</v>
      </c>
      <c r="H574" s="13" t="s">
        <v>136</v>
      </c>
      <c r="I574" s="13" t="s">
        <v>76</v>
      </c>
      <c r="J574" s="13" t="s">
        <v>77</v>
      </c>
      <c r="K574" s="13" t="s">
        <v>78</v>
      </c>
      <c r="L574" s="13" t="s">
        <v>79</v>
      </c>
      <c r="M574" s="13" t="s">
        <v>80</v>
      </c>
      <c r="N574" s="13" t="s">
        <v>79</v>
      </c>
      <c r="O574" s="13" t="s">
        <v>489</v>
      </c>
      <c r="P574" s="13" t="s">
        <v>79</v>
      </c>
      <c r="Q574" s="13" t="s">
        <v>83</v>
      </c>
      <c r="R574" s="13" t="s">
        <v>79</v>
      </c>
      <c r="S574" s="13" t="s">
        <v>82</v>
      </c>
      <c r="T574" s="13" t="s">
        <v>106</v>
      </c>
      <c r="U574" s="13" t="s">
        <v>141</v>
      </c>
      <c r="V574" s="13" t="s">
        <v>112</v>
      </c>
      <c r="W574" t="s">
        <v>486</v>
      </c>
      <c r="X574" s="12">
        <v>2.5454545454545454</v>
      </c>
      <c r="Y574" s="12">
        <v>1.2</v>
      </c>
      <c r="Z574" s="12">
        <v>0</v>
      </c>
      <c r="AA574" s="12">
        <v>0.55555555555555558</v>
      </c>
      <c r="AB574" s="12">
        <v>2</v>
      </c>
      <c r="AC574" s="12">
        <v>0</v>
      </c>
      <c r="AD574" s="12">
        <v>1.2602020202020201</v>
      </c>
    </row>
    <row r="575" spans="1:30" x14ac:dyDescent="0.3">
      <c r="A575" s="13">
        <v>21</v>
      </c>
      <c r="B575" s="13" t="s">
        <v>70</v>
      </c>
      <c r="C575" s="13" t="s">
        <v>96</v>
      </c>
      <c r="D575" s="13" t="s">
        <v>97</v>
      </c>
      <c r="E575" s="13" t="s">
        <v>73</v>
      </c>
      <c r="F575" s="13" t="s">
        <v>136</v>
      </c>
      <c r="G575" s="13" t="s">
        <v>99</v>
      </c>
      <c r="H575" s="13" t="s">
        <v>136</v>
      </c>
      <c r="I575" s="13" t="s">
        <v>76</v>
      </c>
      <c r="J575" s="13" t="s">
        <v>77</v>
      </c>
      <c r="K575" s="13" t="s">
        <v>122</v>
      </c>
      <c r="L575" s="13" t="s">
        <v>79</v>
      </c>
      <c r="M575" s="13" t="s">
        <v>102</v>
      </c>
      <c r="N575" s="13" t="s">
        <v>79</v>
      </c>
      <c r="O575" s="13" t="s">
        <v>487</v>
      </c>
      <c r="P575" s="13" t="s">
        <v>79</v>
      </c>
      <c r="Q575" s="13" t="s">
        <v>83</v>
      </c>
      <c r="R575" s="13" t="s">
        <v>79</v>
      </c>
      <c r="S575" s="13" t="s">
        <v>82</v>
      </c>
      <c r="T575" s="13" t="s">
        <v>86</v>
      </c>
      <c r="U575" s="13" t="s">
        <v>141</v>
      </c>
      <c r="V575" s="13" t="s">
        <v>112</v>
      </c>
      <c r="W575" t="s">
        <v>485</v>
      </c>
      <c r="X575" s="12">
        <v>2.1818181818181817</v>
      </c>
      <c r="Y575" s="12">
        <v>2.2000000000000002</v>
      </c>
      <c r="Z575" s="12">
        <v>1.6666666666666667</v>
      </c>
      <c r="AA575" s="12">
        <v>0.77777777777777779</v>
      </c>
      <c r="AB575" s="12">
        <v>1.8</v>
      </c>
      <c r="AC575" s="12">
        <v>0</v>
      </c>
      <c r="AD575" s="12">
        <v>1.7252525252525253</v>
      </c>
    </row>
    <row r="576" spans="1:30" x14ac:dyDescent="0.3">
      <c r="A576" s="13">
        <v>24</v>
      </c>
      <c r="B576" s="13" t="s">
        <v>70</v>
      </c>
      <c r="C576" s="13" t="s">
        <v>113</v>
      </c>
      <c r="D576" s="13" t="s">
        <v>97</v>
      </c>
      <c r="E576" s="13" t="s">
        <v>114</v>
      </c>
      <c r="F576" s="13" t="s">
        <v>74</v>
      </c>
      <c r="G576" s="13" t="s">
        <v>439</v>
      </c>
      <c r="H576" s="13" t="s">
        <v>74</v>
      </c>
      <c r="I576" s="13" t="s">
        <v>440</v>
      </c>
      <c r="J576" s="13" t="s">
        <v>77</v>
      </c>
      <c r="K576" s="13" t="s">
        <v>78</v>
      </c>
      <c r="L576" s="13" t="s">
        <v>79</v>
      </c>
      <c r="M576" s="13" t="s">
        <v>80</v>
      </c>
      <c r="N576" s="13" t="s">
        <v>79</v>
      </c>
      <c r="O576" s="13" t="s">
        <v>489</v>
      </c>
      <c r="P576" s="13" t="s">
        <v>79</v>
      </c>
      <c r="Q576" s="13" t="s">
        <v>118</v>
      </c>
      <c r="R576" s="13" t="s">
        <v>79</v>
      </c>
      <c r="S576" s="13" t="s">
        <v>82</v>
      </c>
      <c r="T576" s="13" t="s">
        <v>106</v>
      </c>
      <c r="U576" s="13" t="s">
        <v>120</v>
      </c>
      <c r="V576" s="13" t="s">
        <v>121</v>
      </c>
      <c r="W576" t="s">
        <v>486</v>
      </c>
      <c r="X576" s="12">
        <v>2.0909090909090908</v>
      </c>
      <c r="Y576" s="12">
        <v>2.4</v>
      </c>
      <c r="Z576" s="12">
        <v>1</v>
      </c>
      <c r="AA576" s="12">
        <v>0.22222222222222221</v>
      </c>
      <c r="AB576" s="12">
        <v>1.4</v>
      </c>
      <c r="AC576" s="12">
        <v>0</v>
      </c>
      <c r="AD576" s="12">
        <v>1.4226262626262625</v>
      </c>
    </row>
    <row r="577" spans="1:30" x14ac:dyDescent="0.3">
      <c r="A577" s="13">
        <v>22</v>
      </c>
      <c r="B577" s="13" t="s">
        <v>128</v>
      </c>
      <c r="C577" s="13" t="s">
        <v>96</v>
      </c>
      <c r="D577" s="13" t="s">
        <v>149</v>
      </c>
      <c r="E577" s="13" t="s">
        <v>114</v>
      </c>
      <c r="F577" s="13" t="s">
        <v>98</v>
      </c>
      <c r="G577" s="13" t="s">
        <v>439</v>
      </c>
      <c r="H577" s="13" t="s">
        <v>100</v>
      </c>
      <c r="I577" s="13" t="s">
        <v>76</v>
      </c>
      <c r="J577" s="13" t="s">
        <v>77</v>
      </c>
      <c r="K577" s="13" t="s">
        <v>125</v>
      </c>
      <c r="L577" s="13" t="s">
        <v>79</v>
      </c>
      <c r="M577" s="13" t="s">
        <v>80</v>
      </c>
      <c r="N577" s="13" t="s">
        <v>79</v>
      </c>
      <c r="O577" s="13" t="s">
        <v>487</v>
      </c>
      <c r="P577" s="13" t="s">
        <v>82</v>
      </c>
      <c r="Q577" s="13" t="s">
        <v>83</v>
      </c>
      <c r="R577" s="13" t="s">
        <v>79</v>
      </c>
      <c r="S577" s="13" t="s">
        <v>79</v>
      </c>
      <c r="T577" s="13" t="s">
        <v>106</v>
      </c>
      <c r="U577" s="13" t="s">
        <v>141</v>
      </c>
      <c r="V577" s="13" t="s">
        <v>457</v>
      </c>
      <c r="W577" t="s">
        <v>485</v>
      </c>
      <c r="X577" s="12">
        <v>1.8181818181818181</v>
      </c>
      <c r="Y577" s="12">
        <v>2.2000000000000002</v>
      </c>
      <c r="Z577" s="12">
        <v>2</v>
      </c>
      <c r="AA577" s="12">
        <v>2.1111111111111112</v>
      </c>
      <c r="AB577" s="12">
        <v>0</v>
      </c>
      <c r="AC577" s="12">
        <v>0</v>
      </c>
      <c r="AD577" s="12">
        <v>2.0323232323232325</v>
      </c>
    </row>
    <row r="578" spans="1:30" x14ac:dyDescent="0.3">
      <c r="A578" s="13">
        <v>19</v>
      </c>
      <c r="B578" s="13" t="s">
        <v>70</v>
      </c>
      <c r="C578" s="13" t="s">
        <v>157</v>
      </c>
      <c r="D578" s="13" t="s">
        <v>97</v>
      </c>
      <c r="E578" s="13" t="s">
        <v>108</v>
      </c>
      <c r="F578" s="13" t="s">
        <v>74</v>
      </c>
      <c r="G578" s="13" t="s">
        <v>439</v>
      </c>
      <c r="H578" s="13" t="s">
        <v>74</v>
      </c>
      <c r="I578" s="13" t="s">
        <v>439</v>
      </c>
      <c r="J578" s="13" t="s">
        <v>77</v>
      </c>
      <c r="K578" s="13" t="s">
        <v>131</v>
      </c>
      <c r="L578" s="13" t="s">
        <v>79</v>
      </c>
      <c r="M578" s="13" t="s">
        <v>80</v>
      </c>
      <c r="N578" s="13" t="s">
        <v>82</v>
      </c>
      <c r="O578" s="13" t="s">
        <v>489</v>
      </c>
      <c r="P578" s="13" t="s">
        <v>82</v>
      </c>
      <c r="Q578" s="13" t="s">
        <v>83</v>
      </c>
      <c r="R578" s="13" t="s">
        <v>82</v>
      </c>
      <c r="S578" s="13" t="s">
        <v>82</v>
      </c>
      <c r="T578" s="13" t="s">
        <v>106</v>
      </c>
      <c r="U578" s="13" t="s">
        <v>87</v>
      </c>
      <c r="V578" s="13" t="s">
        <v>112</v>
      </c>
      <c r="W578" t="s">
        <v>486</v>
      </c>
      <c r="X578" s="12">
        <v>2.9090909090909092</v>
      </c>
      <c r="Y578" s="12">
        <v>0.8</v>
      </c>
      <c r="Z578" s="12">
        <v>2</v>
      </c>
      <c r="AA578" s="12">
        <v>2.1111111111111112</v>
      </c>
      <c r="AB578" s="12">
        <v>0</v>
      </c>
      <c r="AC578" s="12">
        <v>0</v>
      </c>
      <c r="AD578" s="12">
        <v>1.9550505050505049</v>
      </c>
    </row>
    <row r="579" spans="1:30" x14ac:dyDescent="0.3">
      <c r="A579" s="13">
        <v>18</v>
      </c>
      <c r="B579" s="13" t="s">
        <v>70</v>
      </c>
      <c r="C579" s="13" t="s">
        <v>96</v>
      </c>
      <c r="D579" s="13" t="s">
        <v>97</v>
      </c>
      <c r="E579" s="13" t="s">
        <v>108</v>
      </c>
      <c r="F579" s="13" t="s">
        <v>98</v>
      </c>
      <c r="G579" s="13" t="s">
        <v>439</v>
      </c>
      <c r="H579" s="13" t="s">
        <v>74</v>
      </c>
      <c r="I579" s="13" t="s">
        <v>76</v>
      </c>
      <c r="J579" s="13" t="s">
        <v>77</v>
      </c>
      <c r="K579" s="13" t="s">
        <v>125</v>
      </c>
      <c r="L579" s="13" t="s">
        <v>82</v>
      </c>
      <c r="M579" s="13" t="s">
        <v>132</v>
      </c>
      <c r="N579" s="13" t="s">
        <v>79</v>
      </c>
      <c r="O579" s="13" t="s">
        <v>489</v>
      </c>
      <c r="P579" s="13" t="s">
        <v>82</v>
      </c>
      <c r="Q579" s="13" t="s">
        <v>83</v>
      </c>
      <c r="R579" s="13" t="s">
        <v>79</v>
      </c>
      <c r="S579" s="13" t="s">
        <v>82</v>
      </c>
      <c r="T579" s="13" t="s">
        <v>106</v>
      </c>
      <c r="U579" s="13" t="s">
        <v>120</v>
      </c>
      <c r="V579" s="13" t="s">
        <v>112</v>
      </c>
      <c r="W579" t="s">
        <v>486</v>
      </c>
      <c r="X579" s="12">
        <v>2.7272727272727271</v>
      </c>
      <c r="Y579" s="12">
        <v>1</v>
      </c>
      <c r="Z579" s="12">
        <v>2.6666666666666665</v>
      </c>
      <c r="AA579" s="12">
        <v>1.6666666666666667</v>
      </c>
      <c r="AB579" s="12">
        <v>0</v>
      </c>
      <c r="AC579" s="12">
        <v>0</v>
      </c>
      <c r="AD579" s="12">
        <v>2.0151515151515151</v>
      </c>
    </row>
    <row r="580" spans="1:30" x14ac:dyDescent="0.3">
      <c r="A580" s="13">
        <v>22</v>
      </c>
      <c r="B580" s="13" t="s">
        <v>70</v>
      </c>
      <c r="C580" s="13" t="s">
        <v>96</v>
      </c>
      <c r="D580" s="13" t="s">
        <v>72</v>
      </c>
      <c r="E580" s="13" t="s">
        <v>73</v>
      </c>
      <c r="F580" s="13" t="s">
        <v>74</v>
      </c>
      <c r="G580" s="13" t="s">
        <v>440</v>
      </c>
      <c r="H580" s="13" t="s">
        <v>74</v>
      </c>
      <c r="I580" s="13" t="s">
        <v>99</v>
      </c>
      <c r="J580" s="13" t="s">
        <v>77</v>
      </c>
      <c r="K580" s="13" t="s">
        <v>78</v>
      </c>
      <c r="L580" s="13" t="s">
        <v>79</v>
      </c>
      <c r="M580" s="13" t="s">
        <v>80</v>
      </c>
      <c r="N580" s="13" t="s">
        <v>79</v>
      </c>
      <c r="O580" s="13" t="s">
        <v>488</v>
      </c>
      <c r="P580" s="13" t="s">
        <v>79</v>
      </c>
      <c r="Q580" s="13" t="s">
        <v>83</v>
      </c>
      <c r="R580" s="13" t="s">
        <v>79</v>
      </c>
      <c r="S580" s="13" t="s">
        <v>82</v>
      </c>
      <c r="T580" s="13" t="s">
        <v>106</v>
      </c>
      <c r="U580" s="13" t="s">
        <v>87</v>
      </c>
      <c r="V580" s="13" t="s">
        <v>112</v>
      </c>
      <c r="W580" t="s">
        <v>486</v>
      </c>
      <c r="X580" s="12">
        <v>2.6363636363636362</v>
      </c>
      <c r="Y580" s="12">
        <v>1.4</v>
      </c>
      <c r="Z580" s="12">
        <v>1</v>
      </c>
      <c r="AA580" s="12">
        <v>1.6666666666666667</v>
      </c>
      <c r="AB580" s="12">
        <v>0</v>
      </c>
      <c r="AC580" s="12">
        <v>0</v>
      </c>
      <c r="AD580" s="12">
        <v>1.6757575757575758</v>
      </c>
    </row>
    <row r="581" spans="1:30" x14ac:dyDescent="0.3">
      <c r="A581" s="13">
        <v>23</v>
      </c>
      <c r="B581" s="13" t="s">
        <v>70</v>
      </c>
      <c r="C581" s="13" t="s">
        <v>113</v>
      </c>
      <c r="D581" s="13" t="s">
        <v>149</v>
      </c>
      <c r="E581" s="13" t="s">
        <v>108</v>
      </c>
      <c r="F581" s="13" t="s">
        <v>74</v>
      </c>
      <c r="G581" s="13" t="s">
        <v>439</v>
      </c>
      <c r="H581" s="13" t="s">
        <v>136</v>
      </c>
      <c r="I581" s="13" t="s">
        <v>76</v>
      </c>
      <c r="J581" s="13" t="s">
        <v>77</v>
      </c>
      <c r="K581" s="13" t="s">
        <v>78</v>
      </c>
      <c r="L581" s="13" t="s">
        <v>79</v>
      </c>
      <c r="M581" s="13" t="s">
        <v>80</v>
      </c>
      <c r="N581" s="13" t="s">
        <v>79</v>
      </c>
      <c r="O581" s="13" t="s">
        <v>489</v>
      </c>
      <c r="P581" s="13" t="s">
        <v>79</v>
      </c>
      <c r="Q581" s="13" t="s">
        <v>83</v>
      </c>
      <c r="R581" s="13" t="s">
        <v>79</v>
      </c>
      <c r="S581" s="13" t="s">
        <v>82</v>
      </c>
      <c r="T581" s="13" t="s">
        <v>106</v>
      </c>
      <c r="U581" s="13" t="s">
        <v>120</v>
      </c>
      <c r="V581" s="13" t="s">
        <v>160</v>
      </c>
      <c r="W581" t="s">
        <v>486</v>
      </c>
      <c r="X581" s="12">
        <v>2.8181818181818183</v>
      </c>
      <c r="Y581" s="12">
        <v>2</v>
      </c>
      <c r="Z581" s="12">
        <v>1.6666666666666667</v>
      </c>
      <c r="AA581" s="12">
        <v>1.4444444444444444</v>
      </c>
      <c r="AB581" s="12">
        <v>0</v>
      </c>
      <c r="AC581" s="12">
        <v>0</v>
      </c>
      <c r="AD581" s="12">
        <v>1.9823232323232325</v>
      </c>
    </row>
    <row r="582" spans="1:30" x14ac:dyDescent="0.3">
      <c r="A582" s="13">
        <v>22</v>
      </c>
      <c r="B582" s="13" t="s">
        <v>128</v>
      </c>
      <c r="C582" s="13" t="s">
        <v>157</v>
      </c>
      <c r="D582" s="13" t="s">
        <v>72</v>
      </c>
      <c r="E582" s="13" t="s">
        <v>108</v>
      </c>
      <c r="F582" s="13" t="s">
        <v>74</v>
      </c>
      <c r="G582" s="13" t="s">
        <v>99</v>
      </c>
      <c r="H582" s="13" t="s">
        <v>74</v>
      </c>
      <c r="I582" s="13" t="s">
        <v>76</v>
      </c>
      <c r="J582" s="13" t="s">
        <v>77</v>
      </c>
      <c r="K582" s="13" t="s">
        <v>78</v>
      </c>
      <c r="L582" s="13" t="s">
        <v>82</v>
      </c>
      <c r="M582" s="13" t="s">
        <v>80</v>
      </c>
      <c r="N582" s="13" t="s">
        <v>82</v>
      </c>
      <c r="O582" s="13" t="s">
        <v>489</v>
      </c>
      <c r="P582" s="13" t="s">
        <v>82</v>
      </c>
      <c r="Q582" s="13" t="s">
        <v>83</v>
      </c>
      <c r="R582" s="13" t="s">
        <v>82</v>
      </c>
      <c r="S582" s="13" t="s">
        <v>82</v>
      </c>
      <c r="T582" s="13" t="s">
        <v>106</v>
      </c>
      <c r="U582" s="13" t="s">
        <v>120</v>
      </c>
      <c r="V582" s="13" t="s">
        <v>260</v>
      </c>
      <c r="W582" t="s">
        <v>485</v>
      </c>
      <c r="X582" s="12">
        <v>2</v>
      </c>
      <c r="Y582" s="12">
        <v>0.2</v>
      </c>
      <c r="Z582" s="12">
        <v>2.3333333333333335</v>
      </c>
      <c r="AA582" s="12">
        <v>1.3333333333333333</v>
      </c>
      <c r="AB582" s="12">
        <v>0</v>
      </c>
      <c r="AC582" s="12">
        <v>0</v>
      </c>
      <c r="AD582" s="12">
        <v>1.4666666666666666</v>
      </c>
    </row>
    <row r="583" spans="1:30" x14ac:dyDescent="0.3">
      <c r="A583" s="13">
        <v>22</v>
      </c>
      <c r="B583" s="13" t="s">
        <v>70</v>
      </c>
      <c r="C583" s="13" t="s">
        <v>113</v>
      </c>
      <c r="D583" s="13" t="s">
        <v>72</v>
      </c>
      <c r="E583" s="13" t="s">
        <v>108</v>
      </c>
      <c r="F583" s="13" t="s">
        <v>136</v>
      </c>
      <c r="G583" s="13" t="s">
        <v>99</v>
      </c>
      <c r="H583" s="13" t="s">
        <v>136</v>
      </c>
      <c r="I583" s="13" t="s">
        <v>76</v>
      </c>
      <c r="J583" s="13" t="s">
        <v>77</v>
      </c>
      <c r="K583" s="13" t="s">
        <v>122</v>
      </c>
      <c r="L583" s="13" t="s">
        <v>79</v>
      </c>
      <c r="M583" s="13" t="s">
        <v>80</v>
      </c>
      <c r="N583" s="13" t="s">
        <v>79</v>
      </c>
      <c r="O583" s="13" t="s">
        <v>489</v>
      </c>
      <c r="P583" s="13" t="s">
        <v>79</v>
      </c>
      <c r="Q583" s="13" t="s">
        <v>83</v>
      </c>
      <c r="R583" s="13" t="s">
        <v>79</v>
      </c>
      <c r="S583" s="13" t="s">
        <v>82</v>
      </c>
      <c r="T583" s="13" t="s">
        <v>106</v>
      </c>
      <c r="U583" s="13" t="s">
        <v>87</v>
      </c>
      <c r="V583" s="13" t="s">
        <v>112</v>
      </c>
      <c r="W583" t="s">
        <v>485</v>
      </c>
      <c r="X583" s="12">
        <v>2.1818181818181817</v>
      </c>
      <c r="Y583" s="12">
        <v>1.6</v>
      </c>
      <c r="Z583" s="12">
        <v>2</v>
      </c>
      <c r="AA583" s="12">
        <v>1.3333333333333333</v>
      </c>
      <c r="AB583" s="12">
        <v>0</v>
      </c>
      <c r="AC583" s="12">
        <v>0</v>
      </c>
      <c r="AD583" s="12">
        <v>1.7787878787878786</v>
      </c>
    </row>
    <row r="584" spans="1:30" x14ac:dyDescent="0.3">
      <c r="A584" s="13">
        <v>22</v>
      </c>
      <c r="B584" s="13" t="s">
        <v>70</v>
      </c>
      <c r="C584" s="13" t="s">
        <v>113</v>
      </c>
      <c r="D584" s="13" t="s">
        <v>72</v>
      </c>
      <c r="E584" s="13" t="s">
        <v>108</v>
      </c>
      <c r="F584" s="13" t="s">
        <v>74</v>
      </c>
      <c r="G584" s="13" t="s">
        <v>99</v>
      </c>
      <c r="H584" s="13" t="s">
        <v>136</v>
      </c>
      <c r="I584" s="13" t="s">
        <v>76</v>
      </c>
      <c r="J584" s="13" t="s">
        <v>77</v>
      </c>
      <c r="K584" s="13" t="s">
        <v>78</v>
      </c>
      <c r="L584" s="13" t="s">
        <v>82</v>
      </c>
      <c r="M584" s="13" t="s">
        <v>80</v>
      </c>
      <c r="N584" s="13" t="s">
        <v>79</v>
      </c>
      <c r="O584" s="13" t="s">
        <v>489</v>
      </c>
      <c r="P584" s="13" t="s">
        <v>79</v>
      </c>
      <c r="Q584" s="13" t="s">
        <v>103</v>
      </c>
      <c r="R584" s="13" t="s">
        <v>79</v>
      </c>
      <c r="S584" s="13" t="s">
        <v>82</v>
      </c>
      <c r="T584" s="13" t="s">
        <v>106</v>
      </c>
      <c r="U584" s="13" t="s">
        <v>120</v>
      </c>
      <c r="V584" s="13" t="s">
        <v>112</v>
      </c>
      <c r="W584" t="s">
        <v>485</v>
      </c>
      <c r="X584" s="12">
        <v>2.9090909090909092</v>
      </c>
      <c r="Y584" s="12">
        <v>1.6</v>
      </c>
      <c r="Z584" s="12">
        <v>0.66666666666666663</v>
      </c>
      <c r="AA584" s="12">
        <v>1.3333333333333333</v>
      </c>
      <c r="AB584" s="12">
        <v>0</v>
      </c>
      <c r="AC584" s="12">
        <v>0</v>
      </c>
      <c r="AD584" s="12">
        <v>1.6272727272727274</v>
      </c>
    </row>
    <row r="585" spans="1:30" x14ac:dyDescent="0.3">
      <c r="A585" s="13">
        <v>19</v>
      </c>
      <c r="B585" s="13" t="s">
        <v>70</v>
      </c>
      <c r="C585" s="13" t="s">
        <v>157</v>
      </c>
      <c r="D585" s="13" t="s">
        <v>72</v>
      </c>
      <c r="E585" s="13" t="s">
        <v>114</v>
      </c>
      <c r="F585" s="13" t="s">
        <v>74</v>
      </c>
      <c r="G585" s="13" t="s">
        <v>439</v>
      </c>
      <c r="H585" s="13" t="s">
        <v>74</v>
      </c>
      <c r="I585" s="13" t="s">
        <v>76</v>
      </c>
      <c r="J585" s="13" t="s">
        <v>77</v>
      </c>
      <c r="K585" s="13" t="s">
        <v>122</v>
      </c>
      <c r="L585" s="13" t="s">
        <v>79</v>
      </c>
      <c r="M585" s="13" t="s">
        <v>80</v>
      </c>
      <c r="N585" s="13" t="s">
        <v>82</v>
      </c>
      <c r="O585" s="13" t="s">
        <v>489</v>
      </c>
      <c r="P585" s="13" t="s">
        <v>82</v>
      </c>
      <c r="Q585" s="13" t="s">
        <v>83</v>
      </c>
      <c r="R585" s="13" t="s">
        <v>79</v>
      </c>
      <c r="S585" s="13" t="s">
        <v>79</v>
      </c>
      <c r="T585" s="13" t="s">
        <v>106</v>
      </c>
      <c r="U585" s="13" t="s">
        <v>141</v>
      </c>
      <c r="V585" s="13" t="s">
        <v>112</v>
      </c>
      <c r="W585" t="s">
        <v>485</v>
      </c>
      <c r="X585" s="12">
        <v>0.81818181818181823</v>
      </c>
      <c r="Y585" s="12">
        <v>0.6</v>
      </c>
      <c r="Z585" s="12">
        <v>2.3333333333333335</v>
      </c>
      <c r="AA585" s="12">
        <v>1.2222222222222223</v>
      </c>
      <c r="AB585" s="12">
        <v>0</v>
      </c>
      <c r="AC585" s="12">
        <v>0</v>
      </c>
      <c r="AD585" s="12">
        <v>1.2434343434343436</v>
      </c>
    </row>
    <row r="586" spans="1:30" x14ac:dyDescent="0.3">
      <c r="A586" s="13">
        <v>23</v>
      </c>
      <c r="B586" s="13" t="s">
        <v>70</v>
      </c>
      <c r="C586" s="13" t="s">
        <v>113</v>
      </c>
      <c r="D586" s="13" t="s">
        <v>72</v>
      </c>
      <c r="E586" s="13" t="s">
        <v>114</v>
      </c>
      <c r="F586" s="13" t="s">
        <v>74</v>
      </c>
      <c r="G586" s="13" t="s">
        <v>440</v>
      </c>
      <c r="H586" s="13" t="s">
        <v>98</v>
      </c>
      <c r="I586" s="13" t="s">
        <v>76</v>
      </c>
      <c r="J586" s="13" t="s">
        <v>77</v>
      </c>
      <c r="K586" s="13" t="s">
        <v>122</v>
      </c>
      <c r="L586" s="13" t="s">
        <v>82</v>
      </c>
      <c r="M586" s="13" t="s">
        <v>80</v>
      </c>
      <c r="N586" s="13" t="s">
        <v>79</v>
      </c>
      <c r="O586" s="13" t="s">
        <v>488</v>
      </c>
      <c r="P586" s="13" t="s">
        <v>82</v>
      </c>
      <c r="Q586" s="13" t="s">
        <v>83</v>
      </c>
      <c r="R586" s="13" t="s">
        <v>79</v>
      </c>
      <c r="S586" s="13" t="s">
        <v>79</v>
      </c>
      <c r="T586" s="13" t="s">
        <v>86</v>
      </c>
      <c r="U586" s="13" t="s">
        <v>87</v>
      </c>
      <c r="V586" s="13" t="s">
        <v>455</v>
      </c>
      <c r="W586" t="s">
        <v>486</v>
      </c>
      <c r="X586" s="12">
        <v>2.7272727272727271</v>
      </c>
      <c r="Y586" s="12">
        <v>2.8</v>
      </c>
      <c r="Z586" s="12">
        <v>1.3333333333333333</v>
      </c>
      <c r="AA586" s="12">
        <v>1</v>
      </c>
      <c r="AB586" s="12">
        <v>0</v>
      </c>
      <c r="AC586" s="12">
        <v>0</v>
      </c>
      <c r="AD586" s="12">
        <v>1.9651515151515151</v>
      </c>
    </row>
    <row r="587" spans="1:30" x14ac:dyDescent="0.3">
      <c r="A587" s="13">
        <v>25</v>
      </c>
      <c r="B587" s="13" t="s">
        <v>70</v>
      </c>
      <c r="C587" s="13" t="s">
        <v>153</v>
      </c>
      <c r="D587" s="13" t="s">
        <v>97</v>
      </c>
      <c r="E587" s="13" t="s">
        <v>73</v>
      </c>
      <c r="F587" s="13" t="s">
        <v>74</v>
      </c>
      <c r="G587" s="13" t="s">
        <v>439</v>
      </c>
      <c r="H587" s="13" t="s">
        <v>74</v>
      </c>
      <c r="I587" s="13" t="s">
        <v>439</v>
      </c>
      <c r="J587" s="13" t="s">
        <v>77</v>
      </c>
      <c r="K587" s="13" t="s">
        <v>122</v>
      </c>
      <c r="L587" s="13" t="s">
        <v>82</v>
      </c>
      <c r="M587" s="13" t="s">
        <v>80</v>
      </c>
      <c r="N587" s="13" t="s">
        <v>82</v>
      </c>
      <c r="O587" s="13" t="s">
        <v>489</v>
      </c>
      <c r="P587" s="13" t="s">
        <v>82</v>
      </c>
      <c r="Q587" s="13" t="s">
        <v>83</v>
      </c>
      <c r="R587" s="13" t="s">
        <v>82</v>
      </c>
      <c r="S587" s="13" t="s">
        <v>82</v>
      </c>
      <c r="T587" s="13" t="s">
        <v>106</v>
      </c>
      <c r="U587" s="13" t="s">
        <v>141</v>
      </c>
      <c r="V587" s="13" t="s">
        <v>457</v>
      </c>
      <c r="W587" t="s">
        <v>486</v>
      </c>
      <c r="X587" s="12">
        <v>1</v>
      </c>
      <c r="Y587" s="12">
        <v>1</v>
      </c>
      <c r="Z587" s="12">
        <v>1</v>
      </c>
      <c r="AA587" s="12">
        <v>1</v>
      </c>
      <c r="AB587" s="12">
        <v>0</v>
      </c>
      <c r="AC587" s="12">
        <v>0</v>
      </c>
      <c r="AD587" s="12">
        <v>1</v>
      </c>
    </row>
    <row r="588" spans="1:30" x14ac:dyDescent="0.3">
      <c r="A588" s="13">
        <v>24</v>
      </c>
      <c r="B588" s="13" t="s">
        <v>70</v>
      </c>
      <c r="C588" s="13" t="s">
        <v>71</v>
      </c>
      <c r="D588" s="13" t="s">
        <v>149</v>
      </c>
      <c r="E588" s="13" t="s">
        <v>108</v>
      </c>
      <c r="F588" s="13" t="s">
        <v>74</v>
      </c>
      <c r="G588" s="13" t="s">
        <v>440</v>
      </c>
      <c r="H588" s="13" t="s">
        <v>136</v>
      </c>
      <c r="I588" s="13" t="s">
        <v>76</v>
      </c>
      <c r="J588" s="13" t="s">
        <v>77</v>
      </c>
      <c r="K588" s="13" t="s">
        <v>122</v>
      </c>
      <c r="L588" s="13" t="s">
        <v>79</v>
      </c>
      <c r="M588" s="13" t="s">
        <v>80</v>
      </c>
      <c r="N588" s="13" t="s">
        <v>79</v>
      </c>
      <c r="O588" s="13" t="s">
        <v>488</v>
      </c>
      <c r="P588" s="13" t="s">
        <v>79</v>
      </c>
      <c r="Q588" s="13" t="s">
        <v>83</v>
      </c>
      <c r="R588" s="13" t="s">
        <v>79</v>
      </c>
      <c r="S588" s="13" t="s">
        <v>82</v>
      </c>
      <c r="T588" s="13" t="s">
        <v>106</v>
      </c>
      <c r="U588" s="13" t="s">
        <v>141</v>
      </c>
      <c r="V588" s="13" t="s">
        <v>112</v>
      </c>
      <c r="W588" t="s">
        <v>486</v>
      </c>
      <c r="X588" s="12">
        <v>1.6363636363636365</v>
      </c>
      <c r="Y588" s="12">
        <v>0.8</v>
      </c>
      <c r="Z588" s="12">
        <v>2.3333333333333335</v>
      </c>
      <c r="AA588" s="12">
        <v>0.88888888888888884</v>
      </c>
      <c r="AB588" s="12">
        <v>0</v>
      </c>
      <c r="AC588" s="12">
        <v>0</v>
      </c>
      <c r="AD588" s="12">
        <v>1.4146464646464647</v>
      </c>
    </row>
    <row r="589" spans="1:30" x14ac:dyDescent="0.3">
      <c r="A589" s="13">
        <v>22</v>
      </c>
      <c r="B589" s="13" t="s">
        <v>70</v>
      </c>
      <c r="C589" s="13" t="s">
        <v>157</v>
      </c>
      <c r="D589" s="13" t="s">
        <v>97</v>
      </c>
      <c r="E589" s="13" t="s">
        <v>108</v>
      </c>
      <c r="F589" s="13" t="s">
        <v>74</v>
      </c>
      <c r="G589" s="13" t="s">
        <v>440</v>
      </c>
      <c r="H589" s="13" t="s">
        <v>98</v>
      </c>
      <c r="I589" s="13" t="s">
        <v>76</v>
      </c>
      <c r="J589" s="13" t="s">
        <v>77</v>
      </c>
      <c r="K589" s="13" t="s">
        <v>122</v>
      </c>
      <c r="L589" s="13" t="s">
        <v>79</v>
      </c>
      <c r="M589" s="13" t="s">
        <v>80</v>
      </c>
      <c r="N589" s="13" t="s">
        <v>79</v>
      </c>
      <c r="O589" s="13" t="s">
        <v>488</v>
      </c>
      <c r="P589" s="13" t="s">
        <v>79</v>
      </c>
      <c r="Q589" s="13" t="s">
        <v>103</v>
      </c>
      <c r="R589" s="13" t="s">
        <v>79</v>
      </c>
      <c r="S589" s="13" t="s">
        <v>79</v>
      </c>
      <c r="T589" s="13" t="s">
        <v>106</v>
      </c>
      <c r="U589" s="13" t="s">
        <v>141</v>
      </c>
      <c r="V589" s="13" t="s">
        <v>112</v>
      </c>
      <c r="W589" t="s">
        <v>486</v>
      </c>
      <c r="X589" s="12">
        <v>2.7272727272727271</v>
      </c>
      <c r="Y589" s="12">
        <v>2.4</v>
      </c>
      <c r="Z589" s="12">
        <v>1.6666666666666667</v>
      </c>
      <c r="AA589" s="12">
        <v>0.88888888888888884</v>
      </c>
      <c r="AB589" s="12">
        <v>0</v>
      </c>
      <c r="AC589" s="12">
        <v>0</v>
      </c>
      <c r="AD589" s="12">
        <v>1.9207070707070706</v>
      </c>
    </row>
    <row r="590" spans="1:30" x14ac:dyDescent="0.3">
      <c r="A590" s="13">
        <v>21</v>
      </c>
      <c r="B590" s="13" t="s">
        <v>70</v>
      </c>
      <c r="C590" s="13" t="s">
        <v>96</v>
      </c>
      <c r="D590" s="13" t="s">
        <v>97</v>
      </c>
      <c r="E590" s="13" t="s">
        <v>108</v>
      </c>
      <c r="F590" s="13" t="s">
        <v>136</v>
      </c>
      <c r="G590" s="13" t="s">
        <v>440</v>
      </c>
      <c r="H590" s="13" t="s">
        <v>98</v>
      </c>
      <c r="I590" s="13" t="s">
        <v>76</v>
      </c>
      <c r="J590" s="13" t="s">
        <v>77</v>
      </c>
      <c r="K590" s="13" t="s">
        <v>131</v>
      </c>
      <c r="L590" s="13" t="s">
        <v>79</v>
      </c>
      <c r="M590" s="13" t="s">
        <v>80</v>
      </c>
      <c r="N590" s="13" t="s">
        <v>82</v>
      </c>
      <c r="O590" s="13" t="s">
        <v>489</v>
      </c>
      <c r="P590" s="13" t="s">
        <v>79</v>
      </c>
      <c r="Q590" s="13" t="s">
        <v>103</v>
      </c>
      <c r="R590" s="13" t="s">
        <v>79</v>
      </c>
      <c r="S590" s="13" t="s">
        <v>79</v>
      </c>
      <c r="T590" s="13" t="s">
        <v>106</v>
      </c>
      <c r="U590" s="13" t="s">
        <v>141</v>
      </c>
      <c r="V590" s="13" t="s">
        <v>112</v>
      </c>
      <c r="W590" t="s">
        <v>486</v>
      </c>
      <c r="X590" s="12">
        <v>3</v>
      </c>
      <c r="Y590" s="12">
        <v>2.8</v>
      </c>
      <c r="Z590" s="12">
        <v>1</v>
      </c>
      <c r="AA590" s="12">
        <v>0.88888888888888884</v>
      </c>
      <c r="AB590" s="12">
        <v>0</v>
      </c>
      <c r="AC590" s="12">
        <v>0</v>
      </c>
      <c r="AD590" s="12">
        <v>1.9222222222222221</v>
      </c>
    </row>
    <row r="591" spans="1:30" x14ac:dyDescent="0.3">
      <c r="A591" s="13">
        <v>19</v>
      </c>
      <c r="B591" s="13" t="s">
        <v>70</v>
      </c>
      <c r="C591" s="13" t="s">
        <v>157</v>
      </c>
      <c r="D591" s="13" t="s">
        <v>72</v>
      </c>
      <c r="E591" s="13" t="s">
        <v>114</v>
      </c>
      <c r="F591" s="13" t="s">
        <v>74</v>
      </c>
      <c r="G591" s="13" t="s">
        <v>440</v>
      </c>
      <c r="H591" s="13" t="s">
        <v>136</v>
      </c>
      <c r="I591" s="13" t="s">
        <v>76</v>
      </c>
      <c r="J591" s="13" t="s">
        <v>77</v>
      </c>
      <c r="K591" s="13" t="s">
        <v>78</v>
      </c>
      <c r="L591" s="13" t="s">
        <v>79</v>
      </c>
      <c r="M591" s="13" t="s">
        <v>80</v>
      </c>
      <c r="N591" s="13" t="s">
        <v>79</v>
      </c>
      <c r="O591" s="13" t="s">
        <v>487</v>
      </c>
      <c r="P591" s="13" t="s">
        <v>79</v>
      </c>
      <c r="Q591" s="13" t="s">
        <v>83</v>
      </c>
      <c r="R591" s="13" t="s">
        <v>79</v>
      </c>
      <c r="S591" s="13" t="s">
        <v>79</v>
      </c>
      <c r="T591" s="13" t="s">
        <v>106</v>
      </c>
      <c r="U591" s="13" t="s">
        <v>120</v>
      </c>
      <c r="V591" s="13" t="s">
        <v>112</v>
      </c>
      <c r="W591" t="s">
        <v>486</v>
      </c>
      <c r="X591" s="12">
        <v>2.7272727272727271</v>
      </c>
      <c r="Y591" s="12">
        <v>1.8</v>
      </c>
      <c r="Z591" s="12">
        <v>0.66666666666666663</v>
      </c>
      <c r="AA591" s="12">
        <v>0.88888888888888884</v>
      </c>
      <c r="AB591" s="12">
        <v>0</v>
      </c>
      <c r="AC591" s="12">
        <v>0</v>
      </c>
      <c r="AD591" s="12">
        <v>1.5207070707070707</v>
      </c>
    </row>
    <row r="592" spans="1:30" x14ac:dyDescent="0.3">
      <c r="A592" s="13">
        <v>21</v>
      </c>
      <c r="B592" s="13" t="s">
        <v>70</v>
      </c>
      <c r="C592" s="13" t="s">
        <v>157</v>
      </c>
      <c r="D592" s="13" t="s">
        <v>149</v>
      </c>
      <c r="E592" s="13" t="s">
        <v>114</v>
      </c>
      <c r="F592" s="13" t="s">
        <v>136</v>
      </c>
      <c r="G592" s="13" t="s">
        <v>439</v>
      </c>
      <c r="H592" s="13" t="s">
        <v>136</v>
      </c>
      <c r="I592" s="13" t="s">
        <v>76</v>
      </c>
      <c r="J592" s="13" t="s">
        <v>77</v>
      </c>
      <c r="K592" s="13" t="s">
        <v>125</v>
      </c>
      <c r="L592" s="13" t="s">
        <v>82</v>
      </c>
      <c r="M592" s="13" t="s">
        <v>132</v>
      </c>
      <c r="N592" s="13" t="s">
        <v>79</v>
      </c>
      <c r="O592" s="13" t="s">
        <v>488</v>
      </c>
      <c r="P592" s="13" t="s">
        <v>79</v>
      </c>
      <c r="Q592" s="13" t="s">
        <v>83</v>
      </c>
      <c r="R592" s="13" t="s">
        <v>79</v>
      </c>
      <c r="S592" s="13" t="s">
        <v>79</v>
      </c>
      <c r="T592" s="13" t="s">
        <v>86</v>
      </c>
      <c r="U592" s="13" t="s">
        <v>141</v>
      </c>
      <c r="V592" s="13" t="s">
        <v>127</v>
      </c>
      <c r="W592" t="s">
        <v>486</v>
      </c>
      <c r="X592" s="12">
        <v>2.8181818181818183</v>
      </c>
      <c r="Y592" s="12">
        <v>1.4</v>
      </c>
      <c r="Z592" s="12">
        <v>1</v>
      </c>
      <c r="AA592" s="12">
        <v>0.77777777777777779</v>
      </c>
      <c r="AB592" s="12">
        <v>0</v>
      </c>
      <c r="AC592" s="12">
        <v>0</v>
      </c>
      <c r="AD592" s="12">
        <v>1.4989898989898991</v>
      </c>
    </row>
    <row r="593" spans="1:30" x14ac:dyDescent="0.3">
      <c r="A593" s="13">
        <v>23</v>
      </c>
      <c r="B593" s="13" t="s">
        <v>70</v>
      </c>
      <c r="C593" s="13" t="s">
        <v>71</v>
      </c>
      <c r="D593" s="13" t="s">
        <v>97</v>
      </c>
      <c r="E593" s="13" t="s">
        <v>114</v>
      </c>
      <c r="F593" s="13" t="s">
        <v>98</v>
      </c>
      <c r="G593" s="13" t="s">
        <v>439</v>
      </c>
      <c r="H593" s="13" t="s">
        <v>100</v>
      </c>
      <c r="I593" s="13" t="s">
        <v>76</v>
      </c>
      <c r="J593" s="13" t="s">
        <v>101</v>
      </c>
      <c r="K593" s="13" t="s">
        <v>125</v>
      </c>
      <c r="L593" s="13" t="s">
        <v>79</v>
      </c>
      <c r="M593" s="13" t="s">
        <v>80</v>
      </c>
      <c r="N593" s="13" t="s">
        <v>82</v>
      </c>
      <c r="O593" s="13" t="s">
        <v>489</v>
      </c>
      <c r="P593" s="13" t="s">
        <v>79</v>
      </c>
      <c r="Q593" s="13" t="s">
        <v>103</v>
      </c>
      <c r="R593" s="13" t="s">
        <v>79</v>
      </c>
      <c r="S593" s="13" t="s">
        <v>79</v>
      </c>
      <c r="T593" s="13" t="s">
        <v>86</v>
      </c>
      <c r="U593" s="13" t="s">
        <v>141</v>
      </c>
      <c r="V593" s="13" t="s">
        <v>112</v>
      </c>
      <c r="W593" t="s">
        <v>486</v>
      </c>
      <c r="X593" s="12">
        <v>2.0909090909090908</v>
      </c>
      <c r="Y593" s="12">
        <v>1.2</v>
      </c>
      <c r="Z593" s="12">
        <v>3</v>
      </c>
      <c r="AA593" s="12">
        <v>0.66666666666666663</v>
      </c>
      <c r="AB593" s="12">
        <v>0</v>
      </c>
      <c r="AC593" s="12">
        <v>0</v>
      </c>
      <c r="AD593" s="12">
        <v>1.7393939393939395</v>
      </c>
    </row>
    <row r="594" spans="1:30" x14ac:dyDescent="0.3">
      <c r="A594" s="13">
        <v>19</v>
      </c>
      <c r="B594" s="13" t="s">
        <v>70</v>
      </c>
      <c r="C594" s="13" t="s">
        <v>157</v>
      </c>
      <c r="D594" s="13" t="s">
        <v>72</v>
      </c>
      <c r="E594" s="13" t="s">
        <v>114</v>
      </c>
      <c r="F594" s="13" t="s">
        <v>74</v>
      </c>
      <c r="G594" s="13" t="s">
        <v>440</v>
      </c>
      <c r="H594" s="13" t="s">
        <v>136</v>
      </c>
      <c r="I594" s="13" t="s">
        <v>76</v>
      </c>
      <c r="J594" s="13" t="s">
        <v>77</v>
      </c>
      <c r="K594" s="13" t="s">
        <v>78</v>
      </c>
      <c r="L594" s="13" t="s">
        <v>79</v>
      </c>
      <c r="M594" s="13" t="s">
        <v>80</v>
      </c>
      <c r="N594" s="13" t="s">
        <v>79</v>
      </c>
      <c r="O594" s="13" t="s">
        <v>487</v>
      </c>
      <c r="P594" s="13" t="s">
        <v>79</v>
      </c>
      <c r="Q594" s="13" t="s">
        <v>83</v>
      </c>
      <c r="R594" s="13" t="s">
        <v>79</v>
      </c>
      <c r="S594" s="13" t="s">
        <v>82</v>
      </c>
      <c r="T594" s="13" t="s">
        <v>106</v>
      </c>
      <c r="U594" s="13" t="s">
        <v>87</v>
      </c>
      <c r="V594" s="13" t="s">
        <v>112</v>
      </c>
      <c r="W594" t="s">
        <v>485</v>
      </c>
      <c r="X594" s="12">
        <v>2.9090909090909092</v>
      </c>
      <c r="Y594" s="12">
        <v>2.4</v>
      </c>
      <c r="Z594" s="12">
        <v>1</v>
      </c>
      <c r="AA594" s="12">
        <v>0.66666666666666663</v>
      </c>
      <c r="AB594" s="12">
        <v>0</v>
      </c>
      <c r="AC594" s="12">
        <v>0</v>
      </c>
      <c r="AD594" s="12">
        <v>1.7439393939393939</v>
      </c>
    </row>
    <row r="595" spans="1:30" x14ac:dyDescent="0.3">
      <c r="A595" s="13">
        <v>19</v>
      </c>
      <c r="B595" s="13" t="s">
        <v>70</v>
      </c>
      <c r="C595" s="13" t="s">
        <v>157</v>
      </c>
      <c r="D595" s="13" t="s">
        <v>72</v>
      </c>
      <c r="E595" s="13" t="s">
        <v>114</v>
      </c>
      <c r="F595" s="13" t="s">
        <v>74</v>
      </c>
      <c r="G595" s="13" t="s">
        <v>440</v>
      </c>
      <c r="H595" s="13" t="s">
        <v>136</v>
      </c>
      <c r="I595" s="13" t="s">
        <v>76</v>
      </c>
      <c r="J595" s="13" t="s">
        <v>77</v>
      </c>
      <c r="K595" s="13" t="s">
        <v>78</v>
      </c>
      <c r="L595" s="13" t="s">
        <v>79</v>
      </c>
      <c r="M595" s="13" t="s">
        <v>80</v>
      </c>
      <c r="N595" s="13" t="s">
        <v>79</v>
      </c>
      <c r="O595" s="13" t="s">
        <v>487</v>
      </c>
      <c r="P595" s="13" t="s">
        <v>79</v>
      </c>
      <c r="Q595" s="13" t="s">
        <v>83</v>
      </c>
      <c r="R595" s="13" t="s">
        <v>79</v>
      </c>
      <c r="S595" s="13" t="s">
        <v>82</v>
      </c>
      <c r="T595" s="13" t="s">
        <v>106</v>
      </c>
      <c r="U595" s="13" t="s">
        <v>87</v>
      </c>
      <c r="V595" s="13" t="s">
        <v>112</v>
      </c>
      <c r="W595" t="s">
        <v>486</v>
      </c>
      <c r="X595" s="12">
        <v>2.8181818181818183</v>
      </c>
      <c r="Y595" s="12">
        <v>2.2000000000000002</v>
      </c>
      <c r="Z595" s="12">
        <v>1</v>
      </c>
      <c r="AA595" s="12">
        <v>0.66666666666666663</v>
      </c>
      <c r="AB595" s="12">
        <v>0</v>
      </c>
      <c r="AC595" s="12">
        <v>0</v>
      </c>
      <c r="AD595" s="12">
        <v>1.6712121212121214</v>
      </c>
    </row>
    <row r="596" spans="1:30" x14ac:dyDescent="0.3">
      <c r="A596" s="13">
        <v>21</v>
      </c>
      <c r="B596" s="13" t="s">
        <v>70</v>
      </c>
      <c r="C596" s="13" t="s">
        <v>96</v>
      </c>
      <c r="D596" s="13" t="s">
        <v>72</v>
      </c>
      <c r="E596" s="13" t="s">
        <v>114</v>
      </c>
      <c r="F596" s="13" t="s">
        <v>74</v>
      </c>
      <c r="G596" s="13" t="s">
        <v>439</v>
      </c>
      <c r="H596" s="13" t="s">
        <v>100</v>
      </c>
      <c r="I596" s="13" t="s">
        <v>76</v>
      </c>
      <c r="J596" s="13" t="s">
        <v>77</v>
      </c>
      <c r="K596" s="13" t="s">
        <v>122</v>
      </c>
      <c r="L596" s="13" t="s">
        <v>79</v>
      </c>
      <c r="M596" s="13" t="s">
        <v>80</v>
      </c>
      <c r="N596" s="13" t="s">
        <v>82</v>
      </c>
      <c r="O596" s="13" t="s">
        <v>490</v>
      </c>
      <c r="P596" s="13" t="s">
        <v>79</v>
      </c>
      <c r="Q596" s="13" t="s">
        <v>103</v>
      </c>
      <c r="R596" s="13" t="s">
        <v>79</v>
      </c>
      <c r="S596" s="13" t="s">
        <v>82</v>
      </c>
      <c r="T596" s="13" t="s">
        <v>148</v>
      </c>
      <c r="U596" s="13" t="s">
        <v>141</v>
      </c>
      <c r="V596" s="13" t="s">
        <v>455</v>
      </c>
      <c r="W596" t="s">
        <v>486</v>
      </c>
      <c r="X596" s="12">
        <v>2.2727272727272729</v>
      </c>
      <c r="Y596" s="12">
        <v>1</v>
      </c>
      <c r="Z596" s="12">
        <v>0.66666666666666663</v>
      </c>
      <c r="AA596" s="12">
        <v>0.66666666666666663</v>
      </c>
      <c r="AB596" s="12">
        <v>0</v>
      </c>
      <c r="AC596" s="12">
        <v>0</v>
      </c>
      <c r="AD596" s="12">
        <v>1.1515151515151516</v>
      </c>
    </row>
    <row r="597" spans="1:30" x14ac:dyDescent="0.3">
      <c r="A597" s="13">
        <v>25</v>
      </c>
      <c r="B597" s="13" t="s">
        <v>70</v>
      </c>
      <c r="C597" s="13" t="s">
        <v>153</v>
      </c>
      <c r="D597" s="13" t="s">
        <v>97</v>
      </c>
      <c r="E597" s="13" t="s">
        <v>114</v>
      </c>
      <c r="F597" s="13" t="s">
        <v>74</v>
      </c>
      <c r="G597" s="13" t="s">
        <v>439</v>
      </c>
      <c r="H597" s="13" t="s">
        <v>136</v>
      </c>
      <c r="I597" s="13" t="s">
        <v>439</v>
      </c>
      <c r="J597" s="13" t="s">
        <v>77</v>
      </c>
      <c r="K597" s="13" t="s">
        <v>122</v>
      </c>
      <c r="L597" s="13" t="s">
        <v>82</v>
      </c>
      <c r="M597" s="13" t="s">
        <v>80</v>
      </c>
      <c r="N597" s="13" t="s">
        <v>79</v>
      </c>
      <c r="O597" s="13" t="s">
        <v>489</v>
      </c>
      <c r="P597" s="13" t="s">
        <v>82</v>
      </c>
      <c r="Q597" s="13" t="s">
        <v>83</v>
      </c>
      <c r="R597" s="13" t="s">
        <v>79</v>
      </c>
      <c r="S597" s="13" t="s">
        <v>79</v>
      </c>
      <c r="T597" s="13" t="s">
        <v>106</v>
      </c>
      <c r="U597" s="13" t="s">
        <v>87</v>
      </c>
      <c r="V597" s="13" t="s">
        <v>112</v>
      </c>
      <c r="W597" t="s">
        <v>486</v>
      </c>
      <c r="X597" s="12">
        <v>2.7272727272727271</v>
      </c>
      <c r="Y597" s="12">
        <v>2</v>
      </c>
      <c r="Z597" s="12">
        <v>1.3333333333333333</v>
      </c>
      <c r="AA597" s="12">
        <v>0.55555555555555558</v>
      </c>
      <c r="AB597" s="12">
        <v>0</v>
      </c>
      <c r="AC597" s="12">
        <v>0</v>
      </c>
      <c r="AD597" s="12">
        <v>1.6540404040404038</v>
      </c>
    </row>
    <row r="598" spans="1:30" x14ac:dyDescent="0.3">
      <c r="A598" s="13">
        <v>23</v>
      </c>
      <c r="B598" s="13" t="s">
        <v>70</v>
      </c>
      <c r="C598" s="13" t="s">
        <v>71</v>
      </c>
      <c r="D598" s="13" t="s">
        <v>72</v>
      </c>
      <c r="E598" s="13" t="s">
        <v>108</v>
      </c>
      <c r="F598" s="13" t="s">
        <v>74</v>
      </c>
      <c r="G598" s="13" t="s">
        <v>439</v>
      </c>
      <c r="H598" s="13" t="s">
        <v>74</v>
      </c>
      <c r="I598" s="13" t="s">
        <v>76</v>
      </c>
      <c r="J598" s="13" t="s">
        <v>77</v>
      </c>
      <c r="K598" s="13" t="s">
        <v>122</v>
      </c>
      <c r="L598" s="13" t="s">
        <v>79</v>
      </c>
      <c r="M598" s="13" t="s">
        <v>80</v>
      </c>
      <c r="N598" s="13" t="s">
        <v>79</v>
      </c>
      <c r="O598" s="13" t="s">
        <v>489</v>
      </c>
      <c r="P598" s="13" t="s">
        <v>82</v>
      </c>
      <c r="Q598" s="13" t="s">
        <v>83</v>
      </c>
      <c r="R598" s="13" t="s">
        <v>79</v>
      </c>
      <c r="S598" s="13" t="s">
        <v>82</v>
      </c>
      <c r="T598" s="13" t="s">
        <v>86</v>
      </c>
      <c r="U598" s="13" t="s">
        <v>87</v>
      </c>
      <c r="V598" s="13" t="s">
        <v>112</v>
      </c>
      <c r="W598" t="s">
        <v>486</v>
      </c>
      <c r="X598" s="12">
        <v>1.7272727272727273</v>
      </c>
      <c r="Y598" s="12">
        <v>1.2</v>
      </c>
      <c r="Z598" s="12">
        <v>1.3333333333333333</v>
      </c>
      <c r="AA598" s="12">
        <v>0.55555555555555558</v>
      </c>
      <c r="AB598" s="12">
        <v>0</v>
      </c>
      <c r="AC598" s="12">
        <v>0</v>
      </c>
      <c r="AD598" s="12">
        <v>1.204040404040404</v>
      </c>
    </row>
    <row r="599" spans="1:30" x14ac:dyDescent="0.3">
      <c r="A599" s="13">
        <v>19</v>
      </c>
      <c r="B599" s="13" t="s">
        <v>70</v>
      </c>
      <c r="C599" s="13" t="s">
        <v>157</v>
      </c>
      <c r="D599" s="13" t="s">
        <v>72</v>
      </c>
      <c r="E599" s="13" t="s">
        <v>108</v>
      </c>
      <c r="F599" s="13" t="s">
        <v>74</v>
      </c>
      <c r="G599" s="13" t="s">
        <v>440</v>
      </c>
      <c r="H599" s="13" t="s">
        <v>74</v>
      </c>
      <c r="I599" s="13" t="s">
        <v>439</v>
      </c>
      <c r="J599" s="13" t="s">
        <v>77</v>
      </c>
      <c r="K599" s="13" t="s">
        <v>78</v>
      </c>
      <c r="L599" s="13" t="s">
        <v>79</v>
      </c>
      <c r="M599" s="13" t="s">
        <v>80</v>
      </c>
      <c r="N599" s="13" t="s">
        <v>79</v>
      </c>
      <c r="O599" s="13" t="s">
        <v>490</v>
      </c>
      <c r="P599" s="13" t="s">
        <v>82</v>
      </c>
      <c r="Q599" s="13" t="s">
        <v>83</v>
      </c>
      <c r="R599" s="13" t="s">
        <v>79</v>
      </c>
      <c r="S599" s="13" t="s">
        <v>82</v>
      </c>
      <c r="T599" s="13" t="s">
        <v>106</v>
      </c>
      <c r="U599" s="13" t="s">
        <v>87</v>
      </c>
      <c r="V599" s="13" t="s">
        <v>112</v>
      </c>
      <c r="W599" t="s">
        <v>486</v>
      </c>
      <c r="X599" s="12">
        <v>2.6363636363636362</v>
      </c>
      <c r="Y599" s="12">
        <v>2.2000000000000002</v>
      </c>
      <c r="Z599" s="12">
        <v>1</v>
      </c>
      <c r="AA599" s="12">
        <v>0.55555555555555558</v>
      </c>
      <c r="AB599" s="12">
        <v>0</v>
      </c>
      <c r="AC599" s="12">
        <v>0</v>
      </c>
      <c r="AD599" s="12">
        <v>1.5979797979797978</v>
      </c>
    </row>
    <row r="600" spans="1:30" x14ac:dyDescent="0.3">
      <c r="A600" s="13">
        <v>22</v>
      </c>
      <c r="B600" s="13" t="s">
        <v>70</v>
      </c>
      <c r="C600" s="13" t="s">
        <v>113</v>
      </c>
      <c r="D600" s="13" t="s">
        <v>72</v>
      </c>
      <c r="E600" s="13" t="s">
        <v>108</v>
      </c>
      <c r="F600" s="13" t="s">
        <v>74</v>
      </c>
      <c r="G600" s="13" t="s">
        <v>439</v>
      </c>
      <c r="H600" s="13" t="s">
        <v>74</v>
      </c>
      <c r="I600" s="13" t="s">
        <v>439</v>
      </c>
      <c r="J600" s="13" t="s">
        <v>101</v>
      </c>
      <c r="K600" s="13" t="s">
        <v>131</v>
      </c>
      <c r="L600" s="13" t="s">
        <v>82</v>
      </c>
      <c r="M600" s="13" t="s">
        <v>132</v>
      </c>
      <c r="N600" s="13" t="s">
        <v>82</v>
      </c>
      <c r="O600" s="13" t="s">
        <v>490</v>
      </c>
      <c r="P600" s="13" t="s">
        <v>79</v>
      </c>
      <c r="Q600" s="13" t="s">
        <v>103</v>
      </c>
      <c r="R600" s="13" t="s">
        <v>82</v>
      </c>
      <c r="S600" s="13" t="s">
        <v>82</v>
      </c>
      <c r="T600" s="13" t="s">
        <v>106</v>
      </c>
      <c r="U600" s="13" t="s">
        <v>141</v>
      </c>
      <c r="V600" s="13" t="s">
        <v>112</v>
      </c>
      <c r="W600" t="s">
        <v>486</v>
      </c>
      <c r="X600" s="12">
        <v>3</v>
      </c>
      <c r="Y600" s="12">
        <v>1</v>
      </c>
      <c r="Z600" s="12">
        <v>0.66666666666666663</v>
      </c>
      <c r="AA600" s="12">
        <v>0.55555555555555558</v>
      </c>
      <c r="AB600" s="12">
        <v>0</v>
      </c>
      <c r="AC600" s="12">
        <v>0</v>
      </c>
      <c r="AD600" s="12">
        <v>1.3055555555555556</v>
      </c>
    </row>
    <row r="601" spans="1:30" x14ac:dyDescent="0.3">
      <c r="A601" s="13">
        <v>23</v>
      </c>
      <c r="B601" s="13" t="s">
        <v>128</v>
      </c>
      <c r="C601" s="13" t="s">
        <v>153</v>
      </c>
      <c r="D601" s="13" t="s">
        <v>72</v>
      </c>
      <c r="E601" s="13" t="s">
        <v>114</v>
      </c>
      <c r="F601" s="13" t="s">
        <v>74</v>
      </c>
      <c r="G601" s="13" t="s">
        <v>439</v>
      </c>
      <c r="H601" s="13" t="s">
        <v>74</v>
      </c>
      <c r="I601" s="13" t="s">
        <v>439</v>
      </c>
      <c r="J601" s="13" t="s">
        <v>77</v>
      </c>
      <c r="K601" s="13" t="s">
        <v>122</v>
      </c>
      <c r="L601" s="13" t="s">
        <v>82</v>
      </c>
      <c r="M601" s="13" t="s">
        <v>132</v>
      </c>
      <c r="N601" s="13" t="s">
        <v>79</v>
      </c>
      <c r="O601" s="13" t="s">
        <v>490</v>
      </c>
      <c r="P601" s="13" t="s">
        <v>82</v>
      </c>
      <c r="Q601" s="13" t="s">
        <v>83</v>
      </c>
      <c r="R601" s="13" t="s">
        <v>82</v>
      </c>
      <c r="S601" s="13" t="s">
        <v>82</v>
      </c>
      <c r="T601" s="13" t="s">
        <v>106</v>
      </c>
      <c r="U601" s="13" t="s">
        <v>87</v>
      </c>
      <c r="V601" s="13" t="s">
        <v>112</v>
      </c>
      <c r="W601" t="s">
        <v>486</v>
      </c>
      <c r="X601" s="12">
        <v>2.4545454545454546</v>
      </c>
      <c r="Y601" s="12">
        <v>2.2000000000000002</v>
      </c>
      <c r="Z601" s="12">
        <v>2.6666666666666665</v>
      </c>
      <c r="AA601" s="12">
        <v>0.44444444444444442</v>
      </c>
      <c r="AB601" s="12">
        <v>0</v>
      </c>
      <c r="AC601" s="12">
        <v>0</v>
      </c>
      <c r="AD601" s="12">
        <v>1.9414141414141413</v>
      </c>
    </row>
    <row r="602" spans="1:30" x14ac:dyDescent="0.3">
      <c r="A602" s="13">
        <v>19</v>
      </c>
      <c r="B602" s="13" t="s">
        <v>70</v>
      </c>
      <c r="C602" s="13" t="s">
        <v>157</v>
      </c>
      <c r="D602" s="13" t="s">
        <v>72</v>
      </c>
      <c r="E602" s="13" t="s">
        <v>114</v>
      </c>
      <c r="F602" s="13" t="s">
        <v>74</v>
      </c>
      <c r="G602" s="13" t="s">
        <v>440</v>
      </c>
      <c r="H602" s="13" t="s">
        <v>136</v>
      </c>
      <c r="I602" s="13" t="s">
        <v>76</v>
      </c>
      <c r="J602" s="13" t="s">
        <v>77</v>
      </c>
      <c r="K602" s="13" t="s">
        <v>78</v>
      </c>
      <c r="L602" s="13" t="s">
        <v>79</v>
      </c>
      <c r="M602" s="13" t="s">
        <v>80</v>
      </c>
      <c r="N602" s="13" t="s">
        <v>79</v>
      </c>
      <c r="O602" s="13" t="s">
        <v>487</v>
      </c>
      <c r="P602" s="13" t="s">
        <v>79</v>
      </c>
      <c r="Q602" s="13" t="s">
        <v>83</v>
      </c>
      <c r="R602" s="13" t="s">
        <v>82</v>
      </c>
      <c r="S602" s="13" t="s">
        <v>82</v>
      </c>
      <c r="T602" s="13" t="s">
        <v>106</v>
      </c>
      <c r="U602" s="13" t="s">
        <v>87</v>
      </c>
      <c r="V602" s="13" t="s">
        <v>112</v>
      </c>
      <c r="W602" t="s">
        <v>485</v>
      </c>
      <c r="X602" s="12">
        <v>2.9090909090909092</v>
      </c>
      <c r="Y602" s="12">
        <v>2.6</v>
      </c>
      <c r="Z602" s="12">
        <v>1.6666666666666667</v>
      </c>
      <c r="AA602" s="12">
        <v>0.44444444444444442</v>
      </c>
      <c r="AB602" s="12">
        <v>0</v>
      </c>
      <c r="AC602" s="12">
        <v>0</v>
      </c>
      <c r="AD602" s="12">
        <v>1.9050505050505053</v>
      </c>
    </row>
    <row r="603" spans="1:30" x14ac:dyDescent="0.3">
      <c r="A603" s="13">
        <v>22</v>
      </c>
      <c r="B603" s="13" t="s">
        <v>70</v>
      </c>
      <c r="C603" s="13" t="s">
        <v>71</v>
      </c>
      <c r="D603" s="13" t="s">
        <v>97</v>
      </c>
      <c r="E603" s="13" t="s">
        <v>108</v>
      </c>
      <c r="F603" s="13" t="s">
        <v>74</v>
      </c>
      <c r="G603" s="13" t="s">
        <v>440</v>
      </c>
      <c r="H603" s="13" t="s">
        <v>136</v>
      </c>
      <c r="I603" s="13" t="s">
        <v>76</v>
      </c>
      <c r="J603" s="13" t="s">
        <v>77</v>
      </c>
      <c r="K603" s="13" t="s">
        <v>131</v>
      </c>
      <c r="L603" s="13" t="s">
        <v>79</v>
      </c>
      <c r="M603" s="13" t="s">
        <v>80</v>
      </c>
      <c r="N603" s="13" t="s">
        <v>79</v>
      </c>
      <c r="O603" s="13" t="s">
        <v>487</v>
      </c>
      <c r="P603" s="13" t="s">
        <v>82</v>
      </c>
      <c r="Q603" s="13" t="s">
        <v>103</v>
      </c>
      <c r="R603" s="13" t="s">
        <v>79</v>
      </c>
      <c r="S603" s="13" t="s">
        <v>82</v>
      </c>
      <c r="T603" s="13" t="s">
        <v>86</v>
      </c>
      <c r="U603" s="13" t="s">
        <v>120</v>
      </c>
      <c r="V603" s="13" t="s">
        <v>457</v>
      </c>
      <c r="W603" t="s">
        <v>486</v>
      </c>
      <c r="X603" s="12">
        <v>3</v>
      </c>
      <c r="Y603" s="12">
        <v>3</v>
      </c>
      <c r="Z603" s="12">
        <v>2</v>
      </c>
      <c r="AA603" s="12">
        <v>0.33333333333333331</v>
      </c>
      <c r="AB603" s="12">
        <v>0</v>
      </c>
      <c r="AC603" s="12">
        <v>0</v>
      </c>
      <c r="AD603" s="12">
        <v>2.0833333333333335</v>
      </c>
    </row>
    <row r="604" spans="1:30" x14ac:dyDescent="0.3">
      <c r="A604" s="13">
        <v>23</v>
      </c>
      <c r="B604" s="13" t="s">
        <v>70</v>
      </c>
      <c r="C604" s="13" t="s">
        <v>71</v>
      </c>
      <c r="D604" s="13" t="s">
        <v>97</v>
      </c>
      <c r="E604" s="13" t="s">
        <v>114</v>
      </c>
      <c r="F604" s="13" t="s">
        <v>136</v>
      </c>
      <c r="G604" s="13" t="s">
        <v>99</v>
      </c>
      <c r="H604" s="13" t="s">
        <v>136</v>
      </c>
      <c r="I604" s="13" t="s">
        <v>76</v>
      </c>
      <c r="J604" s="13" t="s">
        <v>77</v>
      </c>
      <c r="K604" s="13" t="s">
        <v>125</v>
      </c>
      <c r="L604" s="13" t="s">
        <v>79</v>
      </c>
      <c r="M604" s="13" t="s">
        <v>80</v>
      </c>
      <c r="N604" s="13" t="s">
        <v>79</v>
      </c>
      <c r="O604" s="13" t="s">
        <v>489</v>
      </c>
      <c r="P604" s="13" t="s">
        <v>82</v>
      </c>
      <c r="Q604" s="13" t="s">
        <v>83</v>
      </c>
      <c r="R604" s="13" t="s">
        <v>79</v>
      </c>
      <c r="S604" s="13" t="s">
        <v>82</v>
      </c>
      <c r="T604" s="13" t="s">
        <v>106</v>
      </c>
      <c r="U604" s="13" t="s">
        <v>120</v>
      </c>
      <c r="V604" s="13" t="s">
        <v>455</v>
      </c>
      <c r="W604" t="s">
        <v>486</v>
      </c>
      <c r="X604" s="12">
        <v>2.3636363636363638</v>
      </c>
      <c r="Y604" s="12">
        <v>1.8</v>
      </c>
      <c r="Z604" s="12">
        <v>2</v>
      </c>
      <c r="AA604" s="12">
        <v>0.33333333333333331</v>
      </c>
      <c r="AB604" s="12">
        <v>0</v>
      </c>
      <c r="AC604" s="12">
        <v>0</v>
      </c>
      <c r="AD604" s="12">
        <v>1.6242424242424243</v>
      </c>
    </row>
    <row r="605" spans="1:30" x14ac:dyDescent="0.3">
      <c r="A605" s="13">
        <v>23</v>
      </c>
      <c r="B605" s="13" t="s">
        <v>70</v>
      </c>
      <c r="C605" s="13" t="s">
        <v>71</v>
      </c>
      <c r="D605" s="13" t="s">
        <v>97</v>
      </c>
      <c r="E605" s="13" t="s">
        <v>108</v>
      </c>
      <c r="F605" s="13" t="s">
        <v>74</v>
      </c>
      <c r="G605" s="13" t="s">
        <v>99</v>
      </c>
      <c r="H605" s="13" t="s">
        <v>136</v>
      </c>
      <c r="I605" s="13" t="s">
        <v>76</v>
      </c>
      <c r="J605" s="13" t="s">
        <v>77</v>
      </c>
      <c r="K605" s="13" t="s">
        <v>122</v>
      </c>
      <c r="L605" s="13" t="s">
        <v>82</v>
      </c>
      <c r="M605" s="13" t="s">
        <v>80</v>
      </c>
      <c r="N605" s="13" t="s">
        <v>79</v>
      </c>
      <c r="O605" s="13" t="s">
        <v>490</v>
      </c>
      <c r="P605" s="13" t="s">
        <v>79</v>
      </c>
      <c r="Q605" s="13" t="s">
        <v>83</v>
      </c>
      <c r="R605" s="13" t="s">
        <v>79</v>
      </c>
      <c r="S605" s="13" t="s">
        <v>82</v>
      </c>
      <c r="T605" s="13" t="s">
        <v>106</v>
      </c>
      <c r="U605" s="13" t="s">
        <v>141</v>
      </c>
      <c r="V605" s="13" t="s">
        <v>457</v>
      </c>
      <c r="W605" t="s">
        <v>486</v>
      </c>
      <c r="X605" s="12">
        <v>2.5454545454545454</v>
      </c>
      <c r="Y605" s="12">
        <v>1.8</v>
      </c>
      <c r="Z605" s="12">
        <v>1.3333333333333333</v>
      </c>
      <c r="AA605" s="12">
        <v>0.33333333333333331</v>
      </c>
      <c r="AB605" s="12">
        <v>0</v>
      </c>
      <c r="AC605" s="12">
        <v>0</v>
      </c>
      <c r="AD605" s="12">
        <v>1.5030303030303029</v>
      </c>
    </row>
    <row r="606" spans="1:30" x14ac:dyDescent="0.3">
      <c r="A606" s="13">
        <v>22</v>
      </c>
      <c r="B606" s="13" t="s">
        <v>70</v>
      </c>
      <c r="C606" s="13" t="s">
        <v>113</v>
      </c>
      <c r="D606" s="13" t="s">
        <v>72</v>
      </c>
      <c r="E606" s="13" t="s">
        <v>108</v>
      </c>
      <c r="F606" s="13" t="s">
        <v>74</v>
      </c>
      <c r="G606" s="13" t="s">
        <v>440</v>
      </c>
      <c r="H606" s="13" t="s">
        <v>98</v>
      </c>
      <c r="I606" s="13" t="s">
        <v>76</v>
      </c>
      <c r="J606" s="13" t="s">
        <v>77</v>
      </c>
      <c r="K606" s="13" t="s">
        <v>125</v>
      </c>
      <c r="L606" s="13" t="s">
        <v>79</v>
      </c>
      <c r="M606" s="13" t="s">
        <v>80</v>
      </c>
      <c r="N606" s="13" t="s">
        <v>79</v>
      </c>
      <c r="O606" s="13" t="s">
        <v>489</v>
      </c>
      <c r="P606" s="13" t="s">
        <v>82</v>
      </c>
      <c r="Q606" s="13" t="s">
        <v>83</v>
      </c>
      <c r="R606" s="13" t="s">
        <v>82</v>
      </c>
      <c r="S606" s="13" t="s">
        <v>82</v>
      </c>
      <c r="T606" s="13" t="s">
        <v>106</v>
      </c>
      <c r="U606" s="13" t="s">
        <v>141</v>
      </c>
      <c r="V606" s="13" t="s">
        <v>112</v>
      </c>
      <c r="W606" t="s">
        <v>486</v>
      </c>
      <c r="X606" s="12">
        <v>2.3636363636363638</v>
      </c>
      <c r="Y606" s="12">
        <v>1.6</v>
      </c>
      <c r="Z606" s="12">
        <v>1</v>
      </c>
      <c r="AA606" s="12">
        <v>0.33333333333333331</v>
      </c>
      <c r="AB606" s="12">
        <v>0</v>
      </c>
      <c r="AC606" s="12">
        <v>0</v>
      </c>
      <c r="AD606" s="12">
        <v>1.3242424242424242</v>
      </c>
    </row>
    <row r="607" spans="1:30" x14ac:dyDescent="0.3">
      <c r="A607" s="13">
        <v>22</v>
      </c>
      <c r="B607" s="13" t="s">
        <v>70</v>
      </c>
      <c r="C607" s="13" t="s">
        <v>113</v>
      </c>
      <c r="D607" s="13" t="s">
        <v>72</v>
      </c>
      <c r="E607" s="13" t="s">
        <v>114</v>
      </c>
      <c r="F607" s="13" t="s">
        <v>136</v>
      </c>
      <c r="G607" s="13" t="s">
        <v>438</v>
      </c>
      <c r="H607" s="13" t="s">
        <v>98</v>
      </c>
      <c r="I607" s="13" t="s">
        <v>76</v>
      </c>
      <c r="J607" s="13" t="s">
        <v>77</v>
      </c>
      <c r="K607" s="13" t="s">
        <v>125</v>
      </c>
      <c r="L607" s="13" t="s">
        <v>79</v>
      </c>
      <c r="M607" s="13" t="s">
        <v>102</v>
      </c>
      <c r="N607" s="13" t="s">
        <v>79</v>
      </c>
      <c r="O607" s="13" t="s">
        <v>489</v>
      </c>
      <c r="P607" s="13" t="s">
        <v>82</v>
      </c>
      <c r="Q607" s="13" t="s">
        <v>103</v>
      </c>
      <c r="R607" s="13" t="s">
        <v>82</v>
      </c>
      <c r="S607" s="13" t="s">
        <v>82</v>
      </c>
      <c r="T607" s="13" t="s">
        <v>106</v>
      </c>
      <c r="U607" s="13" t="s">
        <v>87</v>
      </c>
      <c r="V607" s="13" t="s">
        <v>455</v>
      </c>
      <c r="W607" t="s">
        <v>486</v>
      </c>
      <c r="X607" s="12">
        <v>3</v>
      </c>
      <c r="Y607" s="12">
        <v>3</v>
      </c>
      <c r="Z607" s="12">
        <v>0</v>
      </c>
      <c r="AA607" s="12">
        <v>0.33333333333333331</v>
      </c>
      <c r="AB607" s="12">
        <v>0</v>
      </c>
      <c r="AC607" s="12">
        <v>0</v>
      </c>
      <c r="AD607" s="12">
        <v>1.5833333333333333</v>
      </c>
    </row>
    <row r="608" spans="1:30" x14ac:dyDescent="0.3">
      <c r="A608" s="13">
        <v>22</v>
      </c>
      <c r="B608" s="13" t="s">
        <v>70</v>
      </c>
      <c r="C608" s="13" t="s">
        <v>113</v>
      </c>
      <c r="D608" s="13" t="s">
        <v>72</v>
      </c>
      <c r="E608" s="13" t="s">
        <v>108</v>
      </c>
      <c r="F608" s="13" t="s">
        <v>74</v>
      </c>
      <c r="G608" s="13" t="s">
        <v>439</v>
      </c>
      <c r="H608" s="13" t="s">
        <v>136</v>
      </c>
      <c r="I608" s="13" t="s">
        <v>76</v>
      </c>
      <c r="J608" s="13" t="s">
        <v>77</v>
      </c>
      <c r="K608" s="13" t="s">
        <v>122</v>
      </c>
      <c r="L608" s="13" t="s">
        <v>82</v>
      </c>
      <c r="M608" s="13" t="s">
        <v>80</v>
      </c>
      <c r="N608" s="13" t="s">
        <v>79</v>
      </c>
      <c r="O608" s="13" t="s">
        <v>488</v>
      </c>
      <c r="P608" s="13" t="s">
        <v>82</v>
      </c>
      <c r="Q608" s="13" t="s">
        <v>83</v>
      </c>
      <c r="R608" s="13" t="s">
        <v>82</v>
      </c>
      <c r="S608" s="13" t="s">
        <v>82</v>
      </c>
      <c r="T608" s="13" t="s">
        <v>106</v>
      </c>
      <c r="U608" s="13" t="s">
        <v>87</v>
      </c>
      <c r="V608" s="13" t="s">
        <v>457</v>
      </c>
      <c r="W608" t="s">
        <v>486</v>
      </c>
      <c r="X608" s="12">
        <v>2.8181818181818183</v>
      </c>
      <c r="Y608" s="12">
        <v>2.8</v>
      </c>
      <c r="Z608" s="12">
        <v>1.6666666666666667</v>
      </c>
      <c r="AA608" s="12">
        <v>0.22222222222222221</v>
      </c>
      <c r="AB608" s="12">
        <v>0</v>
      </c>
      <c r="AC608" s="12">
        <v>0</v>
      </c>
      <c r="AD608" s="12">
        <v>1.8767676767676769</v>
      </c>
    </row>
    <row r="609" spans="1:30" x14ac:dyDescent="0.3">
      <c r="A609" s="13">
        <v>20</v>
      </c>
      <c r="B609" s="13" t="s">
        <v>70</v>
      </c>
      <c r="C609" s="13" t="s">
        <v>96</v>
      </c>
      <c r="D609" s="13" t="s">
        <v>97</v>
      </c>
      <c r="E609" s="13" t="s">
        <v>73</v>
      </c>
      <c r="F609" s="13" t="s">
        <v>74</v>
      </c>
      <c r="G609" s="13" t="s">
        <v>439</v>
      </c>
      <c r="H609" s="13" t="s">
        <v>136</v>
      </c>
      <c r="I609" s="13" t="s">
        <v>76</v>
      </c>
      <c r="J609" s="13" t="s">
        <v>77</v>
      </c>
      <c r="K609" s="13" t="s">
        <v>122</v>
      </c>
      <c r="L609" s="13" t="s">
        <v>79</v>
      </c>
      <c r="M609" s="13" t="s">
        <v>80</v>
      </c>
      <c r="N609" s="13" t="s">
        <v>79</v>
      </c>
      <c r="O609" s="13" t="s">
        <v>487</v>
      </c>
      <c r="P609" s="13" t="s">
        <v>82</v>
      </c>
      <c r="Q609" s="13" t="s">
        <v>83</v>
      </c>
      <c r="R609" s="13" t="s">
        <v>82</v>
      </c>
      <c r="S609" s="13" t="s">
        <v>82</v>
      </c>
      <c r="T609" s="13" t="s">
        <v>86</v>
      </c>
      <c r="U609" s="13" t="s">
        <v>87</v>
      </c>
      <c r="V609" s="13" t="s">
        <v>112</v>
      </c>
      <c r="W609" t="s">
        <v>486</v>
      </c>
      <c r="X609" s="12">
        <v>2.3636363636363638</v>
      </c>
      <c r="Y609" s="12">
        <v>1.6</v>
      </c>
      <c r="Z609" s="12">
        <v>1</v>
      </c>
      <c r="AA609" s="12">
        <v>0.22222222222222221</v>
      </c>
      <c r="AB609" s="12">
        <v>0</v>
      </c>
      <c r="AC609" s="12">
        <v>0</v>
      </c>
      <c r="AD609" s="12">
        <v>1.2964646464646465</v>
      </c>
    </row>
    <row r="610" spans="1:30" x14ac:dyDescent="0.3">
      <c r="A610" s="13">
        <v>21</v>
      </c>
      <c r="B610" s="13" t="s">
        <v>70</v>
      </c>
      <c r="C610" s="13" t="s">
        <v>113</v>
      </c>
      <c r="D610" s="13" t="s">
        <v>72</v>
      </c>
      <c r="E610" s="13" t="s">
        <v>108</v>
      </c>
      <c r="F610" s="13" t="s">
        <v>74</v>
      </c>
      <c r="G610" s="13" t="s">
        <v>439</v>
      </c>
      <c r="H610" s="13" t="s">
        <v>74</v>
      </c>
      <c r="I610" s="13" t="s">
        <v>76</v>
      </c>
      <c r="J610" s="13" t="s">
        <v>77</v>
      </c>
      <c r="K610" s="13" t="s">
        <v>125</v>
      </c>
      <c r="L610" s="13" t="s">
        <v>82</v>
      </c>
      <c r="M610" s="13" t="s">
        <v>80</v>
      </c>
      <c r="N610" s="13" t="s">
        <v>79</v>
      </c>
      <c r="O610" s="13" t="s">
        <v>490</v>
      </c>
      <c r="P610" s="13" t="s">
        <v>82</v>
      </c>
      <c r="Q610" s="13" t="s">
        <v>83</v>
      </c>
      <c r="R610" s="13" t="s">
        <v>82</v>
      </c>
      <c r="S610" s="13" t="s">
        <v>82</v>
      </c>
      <c r="T610" s="13" t="s">
        <v>106</v>
      </c>
      <c r="U610" s="13" t="s">
        <v>87</v>
      </c>
      <c r="V610" s="13" t="s">
        <v>112</v>
      </c>
      <c r="W610" t="s">
        <v>485</v>
      </c>
      <c r="X610" s="12">
        <v>2.3636363636363638</v>
      </c>
      <c r="Y610" s="12">
        <v>1.2</v>
      </c>
      <c r="Z610" s="12">
        <v>1</v>
      </c>
      <c r="AA610" s="12">
        <v>0.22222222222222221</v>
      </c>
      <c r="AB610" s="12">
        <v>0</v>
      </c>
      <c r="AC610" s="12">
        <v>0</v>
      </c>
      <c r="AD610" s="12">
        <v>1.1964646464646465</v>
      </c>
    </row>
    <row r="611" spans="1:30" x14ac:dyDescent="0.3">
      <c r="A611" s="13">
        <v>20</v>
      </c>
      <c r="B611" s="13" t="s">
        <v>70</v>
      </c>
      <c r="C611" s="13" t="s">
        <v>157</v>
      </c>
      <c r="D611" s="13" t="s">
        <v>72</v>
      </c>
      <c r="E611" s="13" t="s">
        <v>114</v>
      </c>
      <c r="F611" s="13" t="s">
        <v>136</v>
      </c>
      <c r="G611" s="13" t="s">
        <v>166</v>
      </c>
      <c r="H611" s="13" t="s">
        <v>100</v>
      </c>
      <c r="I611" s="13" t="s">
        <v>76</v>
      </c>
      <c r="J611" s="13" t="s">
        <v>77</v>
      </c>
      <c r="K611" s="13" t="s">
        <v>122</v>
      </c>
      <c r="L611" s="13" t="s">
        <v>79</v>
      </c>
      <c r="M611" s="13" t="s">
        <v>102</v>
      </c>
      <c r="N611" s="13" t="s">
        <v>79</v>
      </c>
      <c r="O611" s="13" t="s">
        <v>488</v>
      </c>
      <c r="P611" s="13" t="s">
        <v>82</v>
      </c>
      <c r="Q611" s="13" t="s">
        <v>103</v>
      </c>
      <c r="R611" s="13" t="s">
        <v>82</v>
      </c>
      <c r="S611" s="13" t="s">
        <v>82</v>
      </c>
      <c r="T611" s="13" t="s">
        <v>86</v>
      </c>
      <c r="U611" s="13" t="s">
        <v>87</v>
      </c>
      <c r="V611" s="13" t="s">
        <v>112</v>
      </c>
      <c r="W611" t="s">
        <v>485</v>
      </c>
      <c r="X611" s="12">
        <v>3</v>
      </c>
      <c r="Y611" s="12">
        <v>3</v>
      </c>
      <c r="Z611" s="12">
        <v>0.66666666666666663</v>
      </c>
      <c r="AA611" s="12">
        <v>0.22222222222222221</v>
      </c>
      <c r="AB611" s="12">
        <v>0</v>
      </c>
      <c r="AC611" s="12">
        <v>0</v>
      </c>
      <c r="AD611" s="12">
        <v>1.7222222222222223</v>
      </c>
    </row>
    <row r="612" spans="1:30" x14ac:dyDescent="0.3">
      <c r="A612" s="13">
        <v>20</v>
      </c>
      <c r="B612" s="13" t="s">
        <v>70</v>
      </c>
      <c r="C612" s="13" t="s">
        <v>113</v>
      </c>
      <c r="D612" s="13" t="s">
        <v>72</v>
      </c>
      <c r="E612" s="13" t="s">
        <v>108</v>
      </c>
      <c r="F612" s="13" t="s">
        <v>74</v>
      </c>
      <c r="G612" s="13" t="s">
        <v>439</v>
      </c>
      <c r="H612" s="13" t="s">
        <v>74</v>
      </c>
      <c r="I612" s="13" t="s">
        <v>439</v>
      </c>
      <c r="J612" s="13" t="s">
        <v>77</v>
      </c>
      <c r="K612" s="13" t="s">
        <v>78</v>
      </c>
      <c r="L612" s="13" t="s">
        <v>79</v>
      </c>
      <c r="M612" s="13" t="s">
        <v>80</v>
      </c>
      <c r="N612" s="13" t="s">
        <v>79</v>
      </c>
      <c r="O612" s="13" t="s">
        <v>488</v>
      </c>
      <c r="P612" s="13" t="s">
        <v>82</v>
      </c>
      <c r="Q612" s="13" t="s">
        <v>83</v>
      </c>
      <c r="R612" s="13" t="s">
        <v>82</v>
      </c>
      <c r="S612" s="13" t="s">
        <v>79</v>
      </c>
      <c r="T612" s="13" t="s">
        <v>86</v>
      </c>
      <c r="U612" s="13" t="s">
        <v>87</v>
      </c>
      <c r="V612" s="13" t="s">
        <v>112</v>
      </c>
      <c r="W612" t="s">
        <v>486</v>
      </c>
      <c r="X612" s="12">
        <v>2.9090909090909092</v>
      </c>
      <c r="Y612" s="12">
        <v>2.4</v>
      </c>
      <c r="Z612" s="12">
        <v>0.66666666666666663</v>
      </c>
      <c r="AA612" s="12">
        <v>0.22222222222222221</v>
      </c>
      <c r="AB612" s="12">
        <v>0</v>
      </c>
      <c r="AC612" s="12">
        <v>0</v>
      </c>
      <c r="AD612" s="12">
        <v>1.5494949494949495</v>
      </c>
    </row>
    <row r="613" spans="1:30" x14ac:dyDescent="0.3">
      <c r="A613" s="13">
        <v>24</v>
      </c>
      <c r="B613" s="13" t="s">
        <v>70</v>
      </c>
      <c r="C613" s="13" t="s">
        <v>153</v>
      </c>
      <c r="D613" s="13" t="s">
        <v>97</v>
      </c>
      <c r="E613" s="13" t="s">
        <v>108</v>
      </c>
      <c r="F613" s="13" t="s">
        <v>74</v>
      </c>
      <c r="G613" s="13" t="s">
        <v>439</v>
      </c>
      <c r="H613" s="13" t="s">
        <v>74</v>
      </c>
      <c r="I613" s="13" t="s">
        <v>76</v>
      </c>
      <c r="J613" s="13" t="s">
        <v>101</v>
      </c>
      <c r="K613" s="13" t="s">
        <v>131</v>
      </c>
      <c r="L613" s="13" t="s">
        <v>82</v>
      </c>
      <c r="M613" s="13" t="s">
        <v>80</v>
      </c>
      <c r="N613" s="13" t="s">
        <v>79</v>
      </c>
      <c r="O613" s="13" t="s">
        <v>488</v>
      </c>
      <c r="P613" s="13" t="s">
        <v>79</v>
      </c>
      <c r="Q613" s="13" t="s">
        <v>83</v>
      </c>
      <c r="R613" s="13" t="s">
        <v>79</v>
      </c>
      <c r="S613" s="13" t="s">
        <v>79</v>
      </c>
      <c r="T613" s="13" t="s">
        <v>86</v>
      </c>
      <c r="U613" s="13" t="s">
        <v>141</v>
      </c>
      <c r="V613" s="13" t="s">
        <v>455</v>
      </c>
      <c r="W613" t="s">
        <v>486</v>
      </c>
      <c r="X613" s="12">
        <v>2.8181818181818183</v>
      </c>
      <c r="Y613" s="12">
        <v>3</v>
      </c>
      <c r="Z613" s="12">
        <v>0.33333333333333331</v>
      </c>
      <c r="AA613" s="12">
        <v>0.22222222222222221</v>
      </c>
      <c r="AB613" s="12">
        <v>0</v>
      </c>
      <c r="AC613" s="12">
        <v>0</v>
      </c>
      <c r="AD613" s="12">
        <v>1.5934343434343434</v>
      </c>
    </row>
    <row r="614" spans="1:30" x14ac:dyDescent="0.3">
      <c r="A614" s="13">
        <v>23</v>
      </c>
      <c r="B614" s="13" t="s">
        <v>70</v>
      </c>
      <c r="C614" s="13" t="s">
        <v>113</v>
      </c>
      <c r="D614" s="13" t="s">
        <v>149</v>
      </c>
      <c r="E614" s="13" t="s">
        <v>108</v>
      </c>
      <c r="F614" s="13" t="s">
        <v>74</v>
      </c>
      <c r="G614" s="13" t="s">
        <v>440</v>
      </c>
      <c r="H614" s="13" t="s">
        <v>136</v>
      </c>
      <c r="I614" s="13" t="s">
        <v>76</v>
      </c>
      <c r="J614" s="13" t="s">
        <v>77</v>
      </c>
      <c r="K614" s="13" t="s">
        <v>122</v>
      </c>
      <c r="L614" s="13" t="s">
        <v>82</v>
      </c>
      <c r="M614" s="13" t="s">
        <v>80</v>
      </c>
      <c r="N614" s="13" t="s">
        <v>79</v>
      </c>
      <c r="O614" s="13" t="s">
        <v>487</v>
      </c>
      <c r="P614" s="13" t="s">
        <v>82</v>
      </c>
      <c r="Q614" s="13" t="s">
        <v>83</v>
      </c>
      <c r="R614" s="13" t="s">
        <v>82</v>
      </c>
      <c r="S614" s="13" t="s">
        <v>82</v>
      </c>
      <c r="T614" s="13" t="s">
        <v>106</v>
      </c>
      <c r="U614" s="13" t="s">
        <v>141</v>
      </c>
      <c r="V614" s="13" t="s">
        <v>457</v>
      </c>
      <c r="W614" t="s">
        <v>485</v>
      </c>
      <c r="X614" s="12">
        <v>2.9090909090909092</v>
      </c>
      <c r="Y614" s="12">
        <v>2.4</v>
      </c>
      <c r="Z614" s="12">
        <v>0.33333333333333331</v>
      </c>
      <c r="AA614" s="12">
        <v>0.22222222222222221</v>
      </c>
      <c r="AB614" s="12">
        <v>0</v>
      </c>
      <c r="AC614" s="12">
        <v>0</v>
      </c>
      <c r="AD614" s="12">
        <v>1.466161616161616</v>
      </c>
    </row>
    <row r="615" spans="1:30" x14ac:dyDescent="0.3">
      <c r="A615" s="13">
        <v>19</v>
      </c>
      <c r="B615" s="13" t="s">
        <v>70</v>
      </c>
      <c r="C615" s="13" t="s">
        <v>157</v>
      </c>
      <c r="D615" s="13" t="s">
        <v>97</v>
      </c>
      <c r="E615" s="13" t="s">
        <v>114</v>
      </c>
      <c r="F615" s="13" t="s">
        <v>74</v>
      </c>
      <c r="G615" s="13" t="s">
        <v>440</v>
      </c>
      <c r="H615" s="13" t="s">
        <v>74</v>
      </c>
      <c r="I615" s="13" t="s">
        <v>76</v>
      </c>
      <c r="J615" s="13" t="s">
        <v>77</v>
      </c>
      <c r="K615" s="13" t="s">
        <v>125</v>
      </c>
      <c r="L615" s="13" t="s">
        <v>79</v>
      </c>
      <c r="M615" s="13" t="s">
        <v>80</v>
      </c>
      <c r="N615" s="13" t="s">
        <v>79</v>
      </c>
      <c r="O615" s="13" t="s">
        <v>490</v>
      </c>
      <c r="P615" s="13" t="s">
        <v>82</v>
      </c>
      <c r="Q615" s="13" t="s">
        <v>83</v>
      </c>
      <c r="R615" s="13" t="s">
        <v>82</v>
      </c>
      <c r="S615" s="13" t="s">
        <v>82</v>
      </c>
      <c r="T615" s="13" t="s">
        <v>106</v>
      </c>
      <c r="U615" s="13" t="s">
        <v>87</v>
      </c>
      <c r="V615" s="13" t="s">
        <v>112</v>
      </c>
      <c r="W615" t="s">
        <v>485</v>
      </c>
      <c r="X615" s="12">
        <v>2.0909090909090908</v>
      </c>
      <c r="Y615" s="12">
        <v>1.4</v>
      </c>
      <c r="Z615" s="12">
        <v>2</v>
      </c>
      <c r="AA615" s="12">
        <v>0.1111111111111111</v>
      </c>
      <c r="AB615" s="12">
        <v>0</v>
      </c>
      <c r="AC615" s="12">
        <v>0</v>
      </c>
      <c r="AD615" s="12">
        <v>1.4005050505050503</v>
      </c>
    </row>
    <row r="616" spans="1:30" x14ac:dyDescent="0.3">
      <c r="A616" s="13">
        <v>24</v>
      </c>
      <c r="B616" s="13" t="s">
        <v>70</v>
      </c>
      <c r="C616" s="13" t="s">
        <v>113</v>
      </c>
      <c r="D616" s="13" t="s">
        <v>72</v>
      </c>
      <c r="E616" s="13" t="s">
        <v>73</v>
      </c>
      <c r="F616" s="13" t="s">
        <v>136</v>
      </c>
      <c r="G616" s="13" t="s">
        <v>440</v>
      </c>
      <c r="H616" s="13" t="s">
        <v>136</v>
      </c>
      <c r="I616" s="13" t="s">
        <v>76</v>
      </c>
      <c r="J616" s="13" t="s">
        <v>101</v>
      </c>
      <c r="K616" s="13" t="s">
        <v>125</v>
      </c>
      <c r="L616" s="13" t="s">
        <v>82</v>
      </c>
      <c r="M616" s="13" t="s">
        <v>132</v>
      </c>
      <c r="N616" s="13" t="s">
        <v>79</v>
      </c>
      <c r="O616" s="13" t="s">
        <v>488</v>
      </c>
      <c r="P616" s="13" t="s">
        <v>82</v>
      </c>
      <c r="Q616" s="13" t="s">
        <v>83</v>
      </c>
      <c r="R616" s="13" t="s">
        <v>79</v>
      </c>
      <c r="S616" s="13" t="s">
        <v>82</v>
      </c>
      <c r="T616" s="13" t="s">
        <v>86</v>
      </c>
      <c r="U616" s="13" t="s">
        <v>87</v>
      </c>
      <c r="V616" s="13" t="s">
        <v>112</v>
      </c>
      <c r="W616" t="s">
        <v>486</v>
      </c>
      <c r="X616" s="12">
        <v>2.9090909090909092</v>
      </c>
      <c r="Y616" s="12">
        <v>2.4</v>
      </c>
      <c r="Z616" s="12">
        <v>1</v>
      </c>
      <c r="AA616" s="12">
        <v>0.1111111111111111</v>
      </c>
      <c r="AB616" s="12">
        <v>0</v>
      </c>
      <c r="AC616" s="12">
        <v>0</v>
      </c>
      <c r="AD616" s="12">
        <v>1.6050505050505048</v>
      </c>
    </row>
    <row r="617" spans="1:30" x14ac:dyDescent="0.3">
      <c r="A617" s="13">
        <v>19</v>
      </c>
      <c r="B617" s="13" t="s">
        <v>70</v>
      </c>
      <c r="C617" s="13" t="s">
        <v>157</v>
      </c>
      <c r="D617" s="13" t="s">
        <v>72</v>
      </c>
      <c r="E617" s="13" t="s">
        <v>114</v>
      </c>
      <c r="F617" s="13" t="s">
        <v>74</v>
      </c>
      <c r="G617" s="13" t="s">
        <v>440</v>
      </c>
      <c r="H617" s="13" t="s">
        <v>136</v>
      </c>
      <c r="I617" s="13" t="s">
        <v>76</v>
      </c>
      <c r="J617" s="13" t="s">
        <v>77</v>
      </c>
      <c r="K617" s="13" t="s">
        <v>78</v>
      </c>
      <c r="L617" s="13" t="s">
        <v>79</v>
      </c>
      <c r="M617" s="13" t="s">
        <v>80</v>
      </c>
      <c r="N617" s="13" t="s">
        <v>79</v>
      </c>
      <c r="O617" s="13" t="s">
        <v>487</v>
      </c>
      <c r="P617" s="13" t="s">
        <v>79</v>
      </c>
      <c r="Q617" s="13" t="s">
        <v>83</v>
      </c>
      <c r="R617" s="13" t="s">
        <v>79</v>
      </c>
      <c r="S617" s="13" t="s">
        <v>82</v>
      </c>
      <c r="T617" s="13" t="s">
        <v>106</v>
      </c>
      <c r="U617" s="13" t="s">
        <v>87</v>
      </c>
      <c r="V617" s="13" t="s">
        <v>112</v>
      </c>
      <c r="W617" t="s">
        <v>486</v>
      </c>
      <c r="X617" s="12">
        <v>2.8181818181818183</v>
      </c>
      <c r="Y617" s="12">
        <v>2</v>
      </c>
      <c r="Z617" s="12">
        <v>0.66666666666666663</v>
      </c>
      <c r="AA617" s="12">
        <v>0.1111111111111111</v>
      </c>
      <c r="AB617" s="12">
        <v>0</v>
      </c>
      <c r="AC617" s="12">
        <v>0</v>
      </c>
      <c r="AD617" s="12">
        <v>1.398989898989899</v>
      </c>
    </row>
    <row r="618" spans="1:30" x14ac:dyDescent="0.3">
      <c r="A618" s="13">
        <v>21</v>
      </c>
      <c r="B618" s="13" t="s">
        <v>70</v>
      </c>
      <c r="C618" s="13" t="s">
        <v>96</v>
      </c>
      <c r="D618" s="13" t="s">
        <v>72</v>
      </c>
      <c r="E618" s="13" t="s">
        <v>114</v>
      </c>
      <c r="F618" s="13" t="s">
        <v>136</v>
      </c>
      <c r="G618" s="13" t="s">
        <v>439</v>
      </c>
      <c r="H618" s="13" t="s">
        <v>136</v>
      </c>
      <c r="I618" s="13" t="s">
        <v>76</v>
      </c>
      <c r="J618" s="13" t="s">
        <v>77</v>
      </c>
      <c r="K618" s="13" t="s">
        <v>125</v>
      </c>
      <c r="L618" s="13" t="s">
        <v>82</v>
      </c>
      <c r="M618" s="13" t="s">
        <v>80</v>
      </c>
      <c r="N618" s="13" t="s">
        <v>79</v>
      </c>
      <c r="O618" s="13" t="s">
        <v>488</v>
      </c>
      <c r="P618" s="13" t="s">
        <v>82</v>
      </c>
      <c r="Q618" s="13" t="s">
        <v>103</v>
      </c>
      <c r="R618" s="13" t="s">
        <v>79</v>
      </c>
      <c r="S618" s="13" t="s">
        <v>82</v>
      </c>
      <c r="T618" s="13" t="s">
        <v>106</v>
      </c>
      <c r="U618" s="13" t="s">
        <v>87</v>
      </c>
      <c r="V618" s="13" t="s">
        <v>455</v>
      </c>
      <c r="W618" t="s">
        <v>486</v>
      </c>
      <c r="X618" s="12">
        <v>0.63636363636363635</v>
      </c>
      <c r="Y618" s="12">
        <v>0.2</v>
      </c>
      <c r="Z618" s="12">
        <v>1.3333333333333333</v>
      </c>
      <c r="AA618" s="12">
        <v>0</v>
      </c>
      <c r="AB618" s="12">
        <v>0</v>
      </c>
      <c r="AC618" s="12">
        <v>0</v>
      </c>
      <c r="AD618" s="12">
        <v>0.54242424242424248</v>
      </c>
    </row>
    <row r="619" spans="1:30" x14ac:dyDescent="0.3">
      <c r="A619" s="13">
        <v>22</v>
      </c>
      <c r="B619" s="13" t="s">
        <v>70</v>
      </c>
      <c r="C619" s="13" t="s">
        <v>113</v>
      </c>
      <c r="D619" s="13" t="s">
        <v>149</v>
      </c>
      <c r="E619" s="13" t="s">
        <v>108</v>
      </c>
      <c r="F619" s="13" t="s">
        <v>98</v>
      </c>
      <c r="G619" s="13" t="s">
        <v>99</v>
      </c>
      <c r="H619" s="13" t="s">
        <v>98</v>
      </c>
      <c r="I619" s="13" t="s">
        <v>76</v>
      </c>
      <c r="J619" s="13" t="s">
        <v>77</v>
      </c>
      <c r="K619" s="13" t="s">
        <v>122</v>
      </c>
      <c r="L619" s="13" t="s">
        <v>82</v>
      </c>
      <c r="M619" s="13" t="s">
        <v>80</v>
      </c>
      <c r="N619" s="13" t="s">
        <v>79</v>
      </c>
      <c r="O619" s="13" t="s">
        <v>488</v>
      </c>
      <c r="P619" s="13" t="s">
        <v>82</v>
      </c>
      <c r="Q619" s="13" t="s">
        <v>103</v>
      </c>
      <c r="R619" s="13" t="s">
        <v>79</v>
      </c>
      <c r="S619" s="13" t="s">
        <v>79</v>
      </c>
      <c r="T619" s="13" t="s">
        <v>106</v>
      </c>
      <c r="U619" s="13" t="s">
        <v>141</v>
      </c>
      <c r="V619" s="13" t="s">
        <v>457</v>
      </c>
      <c r="W619" t="s">
        <v>486</v>
      </c>
      <c r="X619" s="12">
        <v>2.9090909090909092</v>
      </c>
      <c r="Y619" s="12">
        <v>3</v>
      </c>
      <c r="Z619" s="12">
        <v>0.66666666666666663</v>
      </c>
      <c r="AA619" s="12">
        <v>0</v>
      </c>
      <c r="AB619" s="12">
        <v>0</v>
      </c>
      <c r="AC619" s="12">
        <v>0</v>
      </c>
      <c r="AD619" s="12">
        <v>1.643939393939394</v>
      </c>
    </row>
    <row r="620" spans="1:30" x14ac:dyDescent="0.3">
      <c r="A620" s="13">
        <v>19</v>
      </c>
      <c r="B620" s="13" t="s">
        <v>70</v>
      </c>
      <c r="C620" s="13" t="s">
        <v>157</v>
      </c>
      <c r="D620" s="13" t="s">
        <v>72</v>
      </c>
      <c r="E620" s="13" t="s">
        <v>114</v>
      </c>
      <c r="F620" s="13" t="s">
        <v>74</v>
      </c>
      <c r="G620" s="13" t="s">
        <v>440</v>
      </c>
      <c r="H620" s="13" t="s">
        <v>136</v>
      </c>
      <c r="I620" s="13" t="s">
        <v>76</v>
      </c>
      <c r="J620" s="13" t="s">
        <v>77</v>
      </c>
      <c r="K620" s="13" t="s">
        <v>78</v>
      </c>
      <c r="L620" s="13" t="s">
        <v>79</v>
      </c>
      <c r="M620" s="13" t="s">
        <v>80</v>
      </c>
      <c r="N620" s="13" t="s">
        <v>79</v>
      </c>
      <c r="O620" s="13" t="s">
        <v>487</v>
      </c>
      <c r="P620" s="13" t="s">
        <v>79</v>
      </c>
      <c r="Q620" s="13" t="s">
        <v>83</v>
      </c>
      <c r="R620" s="13" t="s">
        <v>79</v>
      </c>
      <c r="S620" s="13" t="s">
        <v>79</v>
      </c>
      <c r="T620" s="13" t="s">
        <v>106</v>
      </c>
      <c r="U620" s="13" t="s">
        <v>87</v>
      </c>
      <c r="V620" s="13" t="s">
        <v>112</v>
      </c>
      <c r="W620" t="s">
        <v>485</v>
      </c>
      <c r="X620" s="12">
        <v>2.8181818181818183</v>
      </c>
      <c r="Y620" s="12">
        <v>2.2000000000000002</v>
      </c>
      <c r="Z620" s="12">
        <v>0</v>
      </c>
      <c r="AA620" s="12">
        <v>0</v>
      </c>
      <c r="AB620" s="12">
        <v>0</v>
      </c>
      <c r="AC620" s="12">
        <v>0</v>
      </c>
      <c r="AD620" s="12">
        <v>1.2545454545454546</v>
      </c>
    </row>
    <row r="621" spans="1:30" x14ac:dyDescent="0.3">
      <c r="A621" s="13">
        <v>21</v>
      </c>
      <c r="B621" s="13" t="s">
        <v>70</v>
      </c>
      <c r="C621" s="13" t="s">
        <v>96</v>
      </c>
      <c r="D621" s="13" t="s">
        <v>72</v>
      </c>
      <c r="E621" s="13" t="s">
        <v>73</v>
      </c>
      <c r="F621" s="13" t="s">
        <v>74</v>
      </c>
      <c r="G621" s="13" t="s">
        <v>439</v>
      </c>
      <c r="H621" s="13" t="s">
        <v>74</v>
      </c>
      <c r="I621" s="13" t="s">
        <v>439</v>
      </c>
      <c r="J621" s="13" t="s">
        <v>77</v>
      </c>
      <c r="K621" s="13" t="s">
        <v>78</v>
      </c>
      <c r="L621" s="13" t="s">
        <v>79</v>
      </c>
      <c r="M621" s="13" t="s">
        <v>80</v>
      </c>
      <c r="N621" s="13" t="s">
        <v>79</v>
      </c>
      <c r="O621" s="13" t="s">
        <v>488</v>
      </c>
      <c r="P621" s="13" t="s">
        <v>79</v>
      </c>
      <c r="Q621" s="13" t="s">
        <v>83</v>
      </c>
      <c r="R621" s="13" t="s">
        <v>79</v>
      </c>
      <c r="S621" s="13" t="s">
        <v>79</v>
      </c>
      <c r="T621" s="13" t="s">
        <v>106</v>
      </c>
      <c r="U621" s="13" t="s">
        <v>120</v>
      </c>
      <c r="V621" s="13" t="s">
        <v>112</v>
      </c>
      <c r="W621" t="s">
        <v>486</v>
      </c>
      <c r="X621" s="12">
        <v>0</v>
      </c>
      <c r="Y621" s="12">
        <v>0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</row>
    <row r="622" spans="1:30" x14ac:dyDescent="0.3">
      <c r="A622" s="13">
        <v>20</v>
      </c>
      <c r="B622" s="13" t="s">
        <v>70</v>
      </c>
      <c r="C622" s="13" t="s">
        <v>157</v>
      </c>
      <c r="D622" s="13" t="s">
        <v>72</v>
      </c>
      <c r="E622" s="13" t="s">
        <v>114</v>
      </c>
      <c r="F622" s="13" t="s">
        <v>98</v>
      </c>
      <c r="G622" s="13" t="s">
        <v>166</v>
      </c>
      <c r="H622" s="13" t="s">
        <v>165</v>
      </c>
      <c r="I622" s="13" t="s">
        <v>76</v>
      </c>
      <c r="J622" s="13" t="s">
        <v>101</v>
      </c>
      <c r="K622" s="13" t="s">
        <v>125</v>
      </c>
      <c r="L622" s="13" t="s">
        <v>79</v>
      </c>
      <c r="M622" s="13" t="s">
        <v>80</v>
      </c>
      <c r="N622" s="13" t="s">
        <v>79</v>
      </c>
      <c r="O622" s="13" t="s">
        <v>490</v>
      </c>
      <c r="P622" s="13" t="s">
        <v>82</v>
      </c>
      <c r="Q622" s="13" t="s">
        <v>83</v>
      </c>
      <c r="R622" s="13" t="s">
        <v>82</v>
      </c>
      <c r="S622" s="13" t="s">
        <v>82</v>
      </c>
      <c r="T622" s="13" t="s">
        <v>106</v>
      </c>
      <c r="U622" s="13" t="s">
        <v>87</v>
      </c>
      <c r="V622" s="13" t="s">
        <v>112</v>
      </c>
      <c r="W622" t="s">
        <v>486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</row>
    <row r="623" spans="1:30" x14ac:dyDescent="0.3">
      <c r="A623" s="13">
        <v>21</v>
      </c>
      <c r="B623" s="13" t="s">
        <v>70</v>
      </c>
      <c r="C623" s="13" t="s">
        <v>96</v>
      </c>
      <c r="D623" s="13" t="s">
        <v>72</v>
      </c>
      <c r="E623" s="13" t="s">
        <v>73</v>
      </c>
      <c r="F623" s="13" t="s">
        <v>74</v>
      </c>
      <c r="G623" s="13" t="s">
        <v>439</v>
      </c>
      <c r="H623" s="13" t="s">
        <v>74</v>
      </c>
      <c r="I623" s="13" t="s">
        <v>439</v>
      </c>
      <c r="J623" s="13" t="s">
        <v>77</v>
      </c>
      <c r="K623" s="13" t="s">
        <v>78</v>
      </c>
      <c r="L623" s="13" t="s">
        <v>79</v>
      </c>
      <c r="M623" s="13" t="s">
        <v>80</v>
      </c>
      <c r="N623" s="13" t="s">
        <v>79</v>
      </c>
      <c r="O623" s="13" t="s">
        <v>490</v>
      </c>
      <c r="P623" s="13" t="s">
        <v>79</v>
      </c>
      <c r="Q623" s="13" t="s">
        <v>83</v>
      </c>
      <c r="R623" s="13" t="s">
        <v>79</v>
      </c>
      <c r="S623" s="13" t="s">
        <v>79</v>
      </c>
      <c r="T623" s="13" t="s">
        <v>106</v>
      </c>
      <c r="U623" s="13" t="s">
        <v>141</v>
      </c>
      <c r="V623" s="13" t="s">
        <v>112</v>
      </c>
      <c r="W623" t="s">
        <v>486</v>
      </c>
      <c r="X623" s="12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</row>
    <row r="624" spans="1:30" x14ac:dyDescent="0.3">
      <c r="A624" s="13">
        <v>21</v>
      </c>
      <c r="B624" s="13" t="s">
        <v>70</v>
      </c>
      <c r="C624" s="13" t="s">
        <v>96</v>
      </c>
      <c r="D624" s="13" t="s">
        <v>72</v>
      </c>
      <c r="E624" s="13" t="s">
        <v>73</v>
      </c>
      <c r="F624" s="13" t="s">
        <v>74</v>
      </c>
      <c r="G624" s="13" t="s">
        <v>439</v>
      </c>
      <c r="H624" s="13" t="s">
        <v>74</v>
      </c>
      <c r="I624" s="13" t="s">
        <v>439</v>
      </c>
      <c r="J624" s="13" t="s">
        <v>77</v>
      </c>
      <c r="K624" s="13" t="s">
        <v>78</v>
      </c>
      <c r="L624" s="13" t="s">
        <v>79</v>
      </c>
      <c r="M624" s="13" t="s">
        <v>80</v>
      </c>
      <c r="N624" s="13" t="s">
        <v>79</v>
      </c>
      <c r="O624" s="13" t="s">
        <v>490</v>
      </c>
      <c r="P624" s="13" t="s">
        <v>79</v>
      </c>
      <c r="Q624" s="13" t="s">
        <v>83</v>
      </c>
      <c r="R624" s="13" t="s">
        <v>79</v>
      </c>
      <c r="S624" s="13" t="s">
        <v>82</v>
      </c>
      <c r="T624" s="13" t="s">
        <v>86</v>
      </c>
      <c r="U624" s="13" t="s">
        <v>120</v>
      </c>
      <c r="V624" s="13" t="s">
        <v>112</v>
      </c>
      <c r="W624" t="s">
        <v>485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</row>
    <row r="625" spans="1:30" x14ac:dyDescent="0.3">
      <c r="A625" s="13">
        <v>23</v>
      </c>
      <c r="B625" s="13" t="s">
        <v>128</v>
      </c>
      <c r="C625" s="13" t="s">
        <v>96</v>
      </c>
      <c r="D625" s="13" t="s">
        <v>72</v>
      </c>
      <c r="E625" s="13" t="s">
        <v>114</v>
      </c>
      <c r="F625" s="13" t="s">
        <v>74</v>
      </c>
      <c r="G625" s="13" t="s">
        <v>439</v>
      </c>
      <c r="H625" s="13" t="s">
        <v>74</v>
      </c>
      <c r="I625" s="13" t="s">
        <v>76</v>
      </c>
      <c r="J625" s="13" t="s">
        <v>77</v>
      </c>
      <c r="K625" s="13" t="s">
        <v>125</v>
      </c>
      <c r="L625" s="13" t="s">
        <v>79</v>
      </c>
      <c r="M625" s="13" t="s">
        <v>80</v>
      </c>
      <c r="N625" s="13" t="s">
        <v>79</v>
      </c>
      <c r="O625" s="13" t="s">
        <v>490</v>
      </c>
      <c r="P625" s="13" t="s">
        <v>82</v>
      </c>
      <c r="Q625" s="13" t="s">
        <v>83</v>
      </c>
      <c r="R625" s="13" t="s">
        <v>79</v>
      </c>
      <c r="S625" s="13" t="s">
        <v>82</v>
      </c>
      <c r="T625" s="13" t="s">
        <v>86</v>
      </c>
      <c r="U625" s="13" t="s">
        <v>141</v>
      </c>
      <c r="V625" s="13" t="s">
        <v>455</v>
      </c>
      <c r="W625" t="s">
        <v>486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</row>
    <row r="626" spans="1:30" x14ac:dyDescent="0.3">
      <c r="A626" s="13">
        <v>22</v>
      </c>
      <c r="B626" s="13" t="s">
        <v>70</v>
      </c>
      <c r="C626" s="13" t="s">
        <v>96</v>
      </c>
      <c r="D626" s="13" t="s">
        <v>72</v>
      </c>
      <c r="E626" s="13" t="s">
        <v>108</v>
      </c>
      <c r="F626" s="13" t="s">
        <v>136</v>
      </c>
      <c r="G626" s="13" t="s">
        <v>440</v>
      </c>
      <c r="H626" s="13" t="s">
        <v>136</v>
      </c>
      <c r="I626" s="13" t="s">
        <v>76</v>
      </c>
      <c r="J626" s="13" t="s">
        <v>101</v>
      </c>
      <c r="K626" s="13" t="s">
        <v>78</v>
      </c>
      <c r="L626" s="13" t="s">
        <v>79</v>
      </c>
      <c r="M626" s="13" t="s">
        <v>102</v>
      </c>
      <c r="N626" s="13" t="s">
        <v>79</v>
      </c>
      <c r="O626" s="13" t="s">
        <v>489</v>
      </c>
      <c r="P626" s="13" t="s">
        <v>82</v>
      </c>
      <c r="Q626" s="13" t="s">
        <v>83</v>
      </c>
      <c r="R626" s="13" t="s">
        <v>82</v>
      </c>
      <c r="S626" s="13" t="s">
        <v>82</v>
      </c>
      <c r="T626" s="13" t="s">
        <v>86</v>
      </c>
      <c r="U626" s="13" t="s">
        <v>120</v>
      </c>
      <c r="V626" s="13" t="s">
        <v>455</v>
      </c>
      <c r="W626" t="s">
        <v>486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5A24-4AE8-4481-8E76-3E51E95B4C13}">
  <dimension ref="A1:BL626"/>
  <sheetViews>
    <sheetView topLeftCell="S1" workbookViewId="0">
      <selection activeCell="X16" sqref="X16"/>
    </sheetView>
  </sheetViews>
  <sheetFormatPr defaultRowHeight="14.4" x14ac:dyDescent="0.3"/>
  <cols>
    <col min="1" max="1" width="10.109375" style="13" bestFit="1" customWidth="1"/>
    <col min="2" max="2" width="9.88671875" style="13" bestFit="1" customWidth="1"/>
    <col min="3" max="3" width="18" style="13" bestFit="1" customWidth="1"/>
    <col min="4" max="4" width="18.6640625" style="13" bestFit="1" customWidth="1"/>
    <col min="5" max="5" width="13" style="13" customWidth="1"/>
    <col min="6" max="6" width="17.88671875" style="13" customWidth="1"/>
    <col min="7" max="7" width="19.21875" style="13" customWidth="1"/>
    <col min="8" max="8" width="15.109375" style="13" customWidth="1"/>
    <col min="9" max="9" width="10" style="13" customWidth="1"/>
    <col min="10" max="10" width="16.77734375" style="13" bestFit="1" customWidth="1"/>
    <col min="11" max="11" width="23" style="13" customWidth="1"/>
    <col min="12" max="12" width="8.77734375" style="13" customWidth="1"/>
    <col min="13" max="13" width="15.6640625" style="13" customWidth="1"/>
    <col min="14" max="14" width="13.77734375" style="13" customWidth="1"/>
    <col min="15" max="15" width="21.5546875" style="13" customWidth="1"/>
    <col min="16" max="16" width="12.33203125" style="13" customWidth="1"/>
    <col min="17" max="17" width="18.44140625" style="13" customWidth="1"/>
    <col min="18" max="18" width="16.44140625" style="13" customWidth="1"/>
    <col min="19" max="19" width="19.88671875" style="13" customWidth="1"/>
    <col min="20" max="20" width="21.44140625" style="13" customWidth="1"/>
    <col min="21" max="21" width="23.44140625" style="13" customWidth="1"/>
    <col min="22" max="22" width="25.21875" style="13" bestFit="1" customWidth="1"/>
    <col min="23" max="37" width="10" style="13" bestFit="1" customWidth="1"/>
    <col min="38" max="44" width="10" style="10" bestFit="1" customWidth="1"/>
    <col min="45" max="50" width="10" style="11" bestFit="1" customWidth="1"/>
    <col min="51" max="58" width="10" style="13" bestFit="1" customWidth="1"/>
    <col min="59" max="59" width="36.6640625" style="12" bestFit="1" customWidth="1"/>
    <col min="60" max="60" width="38.33203125" style="13" bestFit="1" customWidth="1"/>
    <col min="61" max="61" width="26.6640625" style="12" bestFit="1" customWidth="1"/>
    <col min="62" max="62" width="29.44140625" style="12" bestFit="1" customWidth="1"/>
    <col min="63" max="63" width="24.6640625" style="12" bestFit="1" customWidth="1"/>
    <col min="64" max="64" width="16.88671875" style="12" bestFit="1" customWidth="1"/>
    <col min="65" max="16384" width="8.88671875" style="13"/>
  </cols>
  <sheetData>
    <row r="1" spans="1:64" s="3" customFormat="1" x14ac:dyDescent="0.3">
      <c r="A1" s="1" t="s">
        <v>414</v>
      </c>
      <c r="B1" s="1" t="s">
        <v>1</v>
      </c>
      <c r="C1" s="1" t="s">
        <v>408</v>
      </c>
      <c r="D1" s="1" t="s">
        <v>3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415</v>
      </c>
      <c r="K1" s="1" t="s">
        <v>416</v>
      </c>
      <c r="L1" s="2" t="s">
        <v>441</v>
      </c>
      <c r="M1" s="2" t="s">
        <v>442</v>
      </c>
      <c r="N1" s="2" t="s">
        <v>443</v>
      </c>
      <c r="O1" s="2" t="s">
        <v>444</v>
      </c>
      <c r="P1" s="2" t="s">
        <v>445</v>
      </c>
      <c r="Q1" s="2" t="s">
        <v>446</v>
      </c>
      <c r="R1" s="2" t="s">
        <v>447</v>
      </c>
      <c r="S1" s="2" t="s">
        <v>450</v>
      </c>
      <c r="T1" s="2" t="s">
        <v>451</v>
      </c>
      <c r="U1" s="2" t="s">
        <v>452</v>
      </c>
      <c r="V1" s="2" t="s">
        <v>453</v>
      </c>
      <c r="W1" s="4" t="s">
        <v>370</v>
      </c>
      <c r="X1" s="4" t="s">
        <v>371</v>
      </c>
      <c r="Y1" s="4" t="s">
        <v>372</v>
      </c>
      <c r="Z1" s="4" t="s">
        <v>373</v>
      </c>
      <c r="AA1" s="4" t="s">
        <v>374</v>
      </c>
      <c r="AB1" s="4" t="s">
        <v>375</v>
      </c>
      <c r="AC1" s="4" t="s">
        <v>376</v>
      </c>
      <c r="AD1" s="4" t="s">
        <v>377</v>
      </c>
      <c r="AE1" s="4" t="s">
        <v>378</v>
      </c>
      <c r="AF1" s="4" t="s">
        <v>379</v>
      </c>
      <c r="AG1" s="4" t="s">
        <v>380</v>
      </c>
      <c r="AH1" s="4" t="s">
        <v>381</v>
      </c>
      <c r="AI1" s="4" t="s">
        <v>382</v>
      </c>
      <c r="AJ1" s="4" t="s">
        <v>383</v>
      </c>
      <c r="AK1" s="4" t="s">
        <v>384</v>
      </c>
      <c r="AL1" s="5" t="s">
        <v>417</v>
      </c>
      <c r="AM1" s="5" t="s">
        <v>418</v>
      </c>
      <c r="AN1" s="5" t="s">
        <v>419</v>
      </c>
      <c r="AO1" s="5" t="s">
        <v>420</v>
      </c>
      <c r="AP1" s="5" t="s">
        <v>421</v>
      </c>
      <c r="AQ1" s="5" t="s">
        <v>422</v>
      </c>
      <c r="AR1" s="5" t="s">
        <v>423</v>
      </c>
      <c r="AS1" s="6" t="s">
        <v>424</v>
      </c>
      <c r="AT1" s="6" t="s">
        <v>425</v>
      </c>
      <c r="AU1" s="6" t="s">
        <v>426</v>
      </c>
      <c r="AV1" s="6" t="s">
        <v>427</v>
      </c>
      <c r="AW1" s="6" t="s">
        <v>428</v>
      </c>
      <c r="AX1" s="6" t="s">
        <v>429</v>
      </c>
      <c r="AY1" s="4" t="s">
        <v>430</v>
      </c>
      <c r="AZ1" s="4" t="s">
        <v>431</v>
      </c>
      <c r="BA1" s="4" t="s">
        <v>432</v>
      </c>
      <c r="BB1" s="4" t="s">
        <v>433</v>
      </c>
      <c r="BC1" s="4" t="s">
        <v>434</v>
      </c>
      <c r="BD1" s="4" t="s">
        <v>435</v>
      </c>
      <c r="BE1" s="4" t="s">
        <v>436</v>
      </c>
      <c r="BF1" s="4" t="s">
        <v>437</v>
      </c>
      <c r="BG1" s="3" t="s">
        <v>464</v>
      </c>
      <c r="BH1" s="3" t="s">
        <v>465</v>
      </c>
      <c r="BI1" s="3" t="s">
        <v>466</v>
      </c>
      <c r="BJ1" s="3" t="s">
        <v>467</v>
      </c>
      <c r="BK1" s="3" t="s">
        <v>469</v>
      </c>
      <c r="BL1" s="3" t="s">
        <v>468</v>
      </c>
    </row>
    <row r="2" spans="1:64" x14ac:dyDescent="0.3">
      <c r="A2" s="7">
        <v>24</v>
      </c>
      <c r="B2" s="7" t="s">
        <v>70</v>
      </c>
      <c r="C2" s="7" t="s">
        <v>71</v>
      </c>
      <c r="D2" s="7" t="s">
        <v>72</v>
      </c>
      <c r="E2" s="7" t="s">
        <v>73</v>
      </c>
      <c r="F2" s="7" t="s">
        <v>74</v>
      </c>
      <c r="G2" s="7" t="s">
        <v>439</v>
      </c>
      <c r="H2" s="7" t="s">
        <v>74</v>
      </c>
      <c r="I2" s="7" t="s">
        <v>76</v>
      </c>
      <c r="J2" s="7" t="s">
        <v>77</v>
      </c>
      <c r="K2" s="7" t="s">
        <v>78</v>
      </c>
      <c r="L2" s="8" t="s">
        <v>79</v>
      </c>
      <c r="M2" s="8" t="s">
        <v>80</v>
      </c>
      <c r="N2" s="8" t="s">
        <v>79</v>
      </c>
      <c r="O2" s="8" t="s">
        <v>81</v>
      </c>
      <c r="P2" s="8" t="s">
        <v>82</v>
      </c>
      <c r="Q2" s="8" t="s">
        <v>83</v>
      </c>
      <c r="R2" s="8" t="s">
        <v>82</v>
      </c>
      <c r="S2" s="8" t="s">
        <v>82</v>
      </c>
      <c r="T2" s="8" t="s">
        <v>86</v>
      </c>
      <c r="U2" s="8" t="s">
        <v>87</v>
      </c>
      <c r="V2" s="8" t="s">
        <v>455</v>
      </c>
      <c r="W2" s="9">
        <v>2</v>
      </c>
      <c r="X2" s="9">
        <v>3</v>
      </c>
      <c r="Y2" s="9">
        <v>3</v>
      </c>
      <c r="Z2" s="9">
        <v>3</v>
      </c>
      <c r="AA2" s="9">
        <v>2</v>
      </c>
      <c r="AB2" s="9">
        <v>2</v>
      </c>
      <c r="AC2" s="9">
        <v>2</v>
      </c>
      <c r="AD2" s="9">
        <v>3</v>
      </c>
      <c r="AE2" s="9">
        <v>1</v>
      </c>
      <c r="AF2" s="9">
        <v>3</v>
      </c>
      <c r="AG2" s="9">
        <v>3</v>
      </c>
      <c r="AH2" s="9">
        <v>3</v>
      </c>
      <c r="AI2" s="9">
        <v>3</v>
      </c>
      <c r="AJ2" s="9">
        <v>1</v>
      </c>
      <c r="AK2" s="9">
        <v>1</v>
      </c>
      <c r="AL2" s="10">
        <v>3</v>
      </c>
      <c r="AM2" s="10">
        <v>3</v>
      </c>
      <c r="AN2" s="10">
        <v>3</v>
      </c>
      <c r="AO2" s="10">
        <v>0</v>
      </c>
      <c r="AP2" s="10">
        <v>0</v>
      </c>
      <c r="AQ2" s="10">
        <v>0</v>
      </c>
      <c r="AR2" s="10">
        <v>0</v>
      </c>
      <c r="AS2" s="11">
        <v>2</v>
      </c>
      <c r="AT2" s="11">
        <v>1</v>
      </c>
      <c r="AU2" s="11">
        <v>3</v>
      </c>
      <c r="AV2" s="11">
        <v>2</v>
      </c>
      <c r="AW2" s="11">
        <v>0</v>
      </c>
      <c r="AX2" s="11">
        <v>0</v>
      </c>
      <c r="AY2" s="7">
        <v>3</v>
      </c>
      <c r="AZ2" s="7">
        <v>3</v>
      </c>
      <c r="BA2" s="7">
        <v>3</v>
      </c>
      <c r="BB2" s="7">
        <v>3</v>
      </c>
      <c r="BC2" s="7">
        <v>3</v>
      </c>
      <c r="BD2" s="7">
        <v>0</v>
      </c>
      <c r="BE2" s="7">
        <v>0</v>
      </c>
      <c r="BF2" s="7">
        <v>0</v>
      </c>
      <c r="BG2" s="12">
        <f>SUM(data__22[[#This Row],[N1]:[N4]],data__22[[#This Row],[N10]:[N13]],data__22[[#This Row],[N16]:[N18]])/11</f>
        <v>2.9090909090909092</v>
      </c>
      <c r="BH2" s="13">
        <f>SUM(data__22[[#This Row],[N8]:[N9]],data__22[[#This Row],[N23]:[N25]])/5</f>
        <v>2</v>
      </c>
      <c r="BI2" s="12">
        <f>SUM(data__22[[#This Row],[N5]:[N7]])/3</f>
        <v>2</v>
      </c>
      <c r="BJ2" s="12">
        <f>SUM(data__22[[#This Row],[N14]:[N15]],data__22[[#This Row],[N19]:[N22]],data__22[[#This Row],[N26]:[N28]])/9</f>
        <v>0.44444444444444442</v>
      </c>
      <c r="BK2" s="12">
        <f>SUM(data__22[[#This Row],[N29]:[N33]])/5</f>
        <v>3</v>
      </c>
      <c r="BL2" s="12">
        <f>SUM(data__22[[#This Row],[N34]:[N36]])/3</f>
        <v>0</v>
      </c>
    </row>
    <row r="3" spans="1:64" x14ac:dyDescent="0.3">
      <c r="A3" s="7">
        <v>22</v>
      </c>
      <c r="B3" s="7" t="s">
        <v>70</v>
      </c>
      <c r="C3" s="7" t="s">
        <v>96</v>
      </c>
      <c r="D3" s="7" t="s">
        <v>97</v>
      </c>
      <c r="E3" s="7" t="s">
        <v>73</v>
      </c>
      <c r="F3" s="7" t="s">
        <v>98</v>
      </c>
      <c r="G3" s="7" t="s">
        <v>99</v>
      </c>
      <c r="H3" s="7" t="s">
        <v>100</v>
      </c>
      <c r="I3" s="7" t="s">
        <v>76</v>
      </c>
      <c r="J3" s="7" t="s">
        <v>101</v>
      </c>
      <c r="K3" s="7" t="s">
        <v>78</v>
      </c>
      <c r="L3" s="8" t="s">
        <v>79</v>
      </c>
      <c r="M3" s="8" t="s">
        <v>102</v>
      </c>
      <c r="N3" s="8" t="s">
        <v>79</v>
      </c>
      <c r="O3" s="8" t="s">
        <v>81</v>
      </c>
      <c r="P3" s="8" t="s">
        <v>82</v>
      </c>
      <c r="Q3" s="8" t="s">
        <v>103</v>
      </c>
      <c r="R3" s="8" t="s">
        <v>79</v>
      </c>
      <c r="S3" s="8" t="s">
        <v>82</v>
      </c>
      <c r="T3" s="8" t="s">
        <v>106</v>
      </c>
      <c r="U3" s="8" t="s">
        <v>87</v>
      </c>
      <c r="V3" s="8" t="s">
        <v>455</v>
      </c>
      <c r="W3" s="9">
        <v>0</v>
      </c>
      <c r="X3" s="9">
        <v>1</v>
      </c>
      <c r="Y3" s="9">
        <v>1</v>
      </c>
      <c r="Z3" s="9">
        <v>0</v>
      </c>
      <c r="AA3" s="9">
        <v>2</v>
      </c>
      <c r="AB3" s="9">
        <v>2</v>
      </c>
      <c r="AC3" s="9">
        <v>2</v>
      </c>
      <c r="AD3" s="9">
        <v>2</v>
      </c>
      <c r="AE3" s="9">
        <v>2</v>
      </c>
      <c r="AF3" s="9">
        <v>2</v>
      </c>
      <c r="AG3" s="9">
        <v>1</v>
      </c>
      <c r="AH3" s="9">
        <v>2</v>
      </c>
      <c r="AI3" s="9">
        <v>2</v>
      </c>
      <c r="AJ3" s="9">
        <v>2</v>
      </c>
      <c r="AK3" s="9">
        <v>2</v>
      </c>
      <c r="AL3" s="10">
        <v>3</v>
      </c>
      <c r="AM3" s="10">
        <v>3</v>
      </c>
      <c r="AN3" s="10">
        <v>3</v>
      </c>
      <c r="AO3" s="10">
        <v>0</v>
      </c>
      <c r="AP3" s="10">
        <v>0</v>
      </c>
      <c r="AQ3" s="10">
        <v>0</v>
      </c>
      <c r="AR3" s="10">
        <v>0</v>
      </c>
      <c r="AS3" s="11">
        <v>0</v>
      </c>
      <c r="AT3" s="11">
        <v>1</v>
      </c>
      <c r="AU3" s="11">
        <v>2</v>
      </c>
      <c r="AV3" s="11">
        <v>2</v>
      </c>
      <c r="AW3" s="11">
        <v>2</v>
      </c>
      <c r="AX3" s="11">
        <v>2</v>
      </c>
      <c r="AY3" s="7">
        <v>2</v>
      </c>
      <c r="AZ3" s="7">
        <v>2</v>
      </c>
      <c r="BA3" s="7">
        <v>2</v>
      </c>
      <c r="BB3" s="7">
        <v>2</v>
      </c>
      <c r="BC3" s="7">
        <v>2</v>
      </c>
      <c r="BD3" s="7">
        <v>2</v>
      </c>
      <c r="BE3" s="7">
        <v>2</v>
      </c>
      <c r="BF3" s="7">
        <v>2</v>
      </c>
      <c r="BG3" s="12">
        <f>SUM(data__22[[#This Row],[N1]:[N4]],data__22[[#This Row],[N10]:[N13]],data__22[[#This Row],[N16]:[N18]])/11</f>
        <v>1.6363636363636365</v>
      </c>
      <c r="BH3" s="13">
        <f>SUM(data__22[[#This Row],[N8]:[N9]],data__22[[#This Row],[N23]:[N25]])/5</f>
        <v>1.4</v>
      </c>
      <c r="BI3" s="12">
        <f>SUM(data__22[[#This Row],[N5]:[N7]])/3</f>
        <v>2</v>
      </c>
      <c r="BJ3" s="12">
        <f>SUM(data__22[[#This Row],[N14]:[N15]],data__22[[#This Row],[N19]:[N22]],data__22[[#This Row],[N26]:[N28]])/9</f>
        <v>1.1111111111111112</v>
      </c>
      <c r="BK3" s="12">
        <f>SUM(data__22[[#This Row],[N29]:[N33]])/5</f>
        <v>2</v>
      </c>
      <c r="BL3" s="12">
        <f>SUM(data__22[[#This Row],[N34]:[N36]])/3</f>
        <v>2</v>
      </c>
    </row>
    <row r="4" spans="1:64" x14ac:dyDescent="0.3">
      <c r="A4" s="7">
        <v>21</v>
      </c>
      <c r="B4" s="7" t="s">
        <v>70</v>
      </c>
      <c r="C4" s="7" t="s">
        <v>96</v>
      </c>
      <c r="D4" s="7" t="s">
        <v>72</v>
      </c>
      <c r="E4" s="7" t="s">
        <v>108</v>
      </c>
      <c r="F4" s="7" t="s">
        <v>74</v>
      </c>
      <c r="G4" s="7" t="s">
        <v>99</v>
      </c>
      <c r="H4" s="7" t="s">
        <v>74</v>
      </c>
      <c r="I4" s="7" t="s">
        <v>76</v>
      </c>
      <c r="J4" s="7" t="s">
        <v>77</v>
      </c>
      <c r="K4" s="7" t="s">
        <v>78</v>
      </c>
      <c r="L4" s="8" t="s">
        <v>79</v>
      </c>
      <c r="M4" s="8" t="s">
        <v>102</v>
      </c>
      <c r="N4" s="8" t="s">
        <v>79</v>
      </c>
      <c r="O4" s="8" t="s">
        <v>109</v>
      </c>
      <c r="P4" s="8" t="s">
        <v>82</v>
      </c>
      <c r="Q4" s="8" t="s">
        <v>83</v>
      </c>
      <c r="R4" s="8" t="s">
        <v>79</v>
      </c>
      <c r="S4" s="8" t="s">
        <v>79</v>
      </c>
      <c r="T4" s="8" t="s">
        <v>86</v>
      </c>
      <c r="U4" s="8" t="s">
        <v>87</v>
      </c>
      <c r="V4" s="8" t="s">
        <v>112</v>
      </c>
      <c r="W4" s="9">
        <v>0</v>
      </c>
      <c r="X4" s="9">
        <v>0</v>
      </c>
      <c r="Y4" s="9">
        <v>0</v>
      </c>
      <c r="Z4" s="9">
        <v>1</v>
      </c>
      <c r="AA4" s="9">
        <v>1</v>
      </c>
      <c r="AB4" s="9">
        <v>0</v>
      </c>
      <c r="AC4" s="9">
        <v>1</v>
      </c>
      <c r="AD4" s="9">
        <v>0</v>
      </c>
      <c r="AE4" s="9">
        <v>1</v>
      </c>
      <c r="AF4" s="9">
        <v>0</v>
      </c>
      <c r="AG4" s="9">
        <v>1</v>
      </c>
      <c r="AH4" s="9">
        <v>0</v>
      </c>
      <c r="AI4" s="9">
        <v>1</v>
      </c>
      <c r="AJ4" s="9">
        <v>0</v>
      </c>
      <c r="AK4" s="9">
        <v>1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1</v>
      </c>
      <c r="AR4" s="10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7">
        <v>0</v>
      </c>
      <c r="AZ4" s="7">
        <v>0</v>
      </c>
      <c r="BA4" s="7">
        <v>0</v>
      </c>
      <c r="BB4" s="7">
        <v>0</v>
      </c>
      <c r="BC4" s="7">
        <v>1</v>
      </c>
      <c r="BD4" s="7">
        <v>0</v>
      </c>
      <c r="BE4" s="7">
        <v>1</v>
      </c>
      <c r="BF4" s="7">
        <v>0</v>
      </c>
      <c r="BG4" s="12">
        <f>SUM(data__22[[#This Row],[N1]:[N4]],data__22[[#This Row],[N10]:[N13]],data__22[[#This Row],[N16]:[N18]])/11</f>
        <v>0.36363636363636365</v>
      </c>
      <c r="BH4" s="13">
        <f>SUM(data__22[[#This Row],[N8]:[N9]],data__22[[#This Row],[N23]:[N25]])/5</f>
        <v>0.2</v>
      </c>
      <c r="BI4" s="12">
        <f>SUM(data__22[[#This Row],[N5]:[N7]])/3</f>
        <v>0.66666666666666663</v>
      </c>
      <c r="BJ4" s="12">
        <f>SUM(data__22[[#This Row],[N14]:[N15]],data__22[[#This Row],[N19]:[N22]],data__22[[#This Row],[N26]:[N28]])/9</f>
        <v>0.33333333333333331</v>
      </c>
      <c r="BK4" s="12">
        <f>SUM(data__22[[#This Row],[N29]:[N33]])/5</f>
        <v>0.2</v>
      </c>
      <c r="BL4" s="12">
        <f>SUM(data__22[[#This Row],[N34]:[N36]])/3</f>
        <v>0.33333333333333331</v>
      </c>
    </row>
    <row r="5" spans="1:64" x14ac:dyDescent="0.3">
      <c r="A5" s="7">
        <v>24</v>
      </c>
      <c r="B5" s="7" t="s">
        <v>70</v>
      </c>
      <c r="C5" s="7" t="s">
        <v>113</v>
      </c>
      <c r="D5" s="7" t="s">
        <v>97</v>
      </c>
      <c r="E5" s="7" t="s">
        <v>114</v>
      </c>
      <c r="F5" s="7" t="s">
        <v>74</v>
      </c>
      <c r="G5" s="7" t="s">
        <v>439</v>
      </c>
      <c r="H5" s="7" t="s">
        <v>74</v>
      </c>
      <c r="I5" s="7" t="s">
        <v>440</v>
      </c>
      <c r="J5" s="7" t="s">
        <v>77</v>
      </c>
      <c r="K5" s="7" t="s">
        <v>78</v>
      </c>
      <c r="L5" s="8" t="s">
        <v>79</v>
      </c>
      <c r="M5" s="8" t="s">
        <v>80</v>
      </c>
      <c r="N5" s="8" t="s">
        <v>79</v>
      </c>
      <c r="O5" s="8" t="s">
        <v>117</v>
      </c>
      <c r="P5" s="8" t="s">
        <v>79</v>
      </c>
      <c r="Q5" s="8" t="s">
        <v>118</v>
      </c>
      <c r="R5" s="8" t="s">
        <v>79</v>
      </c>
      <c r="S5" s="8" t="s">
        <v>82</v>
      </c>
      <c r="T5" s="8" t="s">
        <v>106</v>
      </c>
      <c r="U5" s="8" t="s">
        <v>120</v>
      </c>
      <c r="V5" s="8" t="s">
        <v>121</v>
      </c>
      <c r="W5" s="9">
        <v>2</v>
      </c>
      <c r="X5" s="9">
        <v>2</v>
      </c>
      <c r="Y5" s="9">
        <v>1</v>
      </c>
      <c r="Z5" s="9">
        <v>2</v>
      </c>
      <c r="AA5" s="9">
        <v>1</v>
      </c>
      <c r="AB5" s="9">
        <v>1</v>
      </c>
      <c r="AC5" s="9">
        <v>1</v>
      </c>
      <c r="AD5" s="9">
        <v>3</v>
      </c>
      <c r="AE5" s="9">
        <v>3</v>
      </c>
      <c r="AF5" s="9">
        <v>0</v>
      </c>
      <c r="AG5" s="9">
        <v>3</v>
      </c>
      <c r="AH5" s="9">
        <v>2</v>
      </c>
      <c r="AI5" s="9">
        <v>2</v>
      </c>
      <c r="AJ5" s="9">
        <v>1</v>
      </c>
      <c r="AK5" s="9">
        <v>0</v>
      </c>
      <c r="AL5" s="10">
        <v>3</v>
      </c>
      <c r="AM5" s="10">
        <v>3</v>
      </c>
      <c r="AN5" s="10">
        <v>3</v>
      </c>
      <c r="AO5" s="10">
        <v>0</v>
      </c>
      <c r="AP5" s="10">
        <v>0</v>
      </c>
      <c r="AQ5" s="10">
        <v>0</v>
      </c>
      <c r="AR5" s="10">
        <v>0</v>
      </c>
      <c r="AS5" s="11">
        <v>2</v>
      </c>
      <c r="AT5" s="11">
        <v>2</v>
      </c>
      <c r="AU5" s="11">
        <v>2</v>
      </c>
      <c r="AV5" s="11">
        <v>1</v>
      </c>
      <c r="AW5" s="11">
        <v>0</v>
      </c>
      <c r="AX5" s="11">
        <v>0</v>
      </c>
      <c r="AY5" s="7">
        <v>1</v>
      </c>
      <c r="AZ5" s="7">
        <v>1</v>
      </c>
      <c r="BA5" s="7">
        <v>2</v>
      </c>
      <c r="BB5" s="7">
        <v>2</v>
      </c>
      <c r="BC5" s="7">
        <v>1</v>
      </c>
      <c r="BD5" s="7">
        <v>0</v>
      </c>
      <c r="BE5" s="7">
        <v>0</v>
      </c>
      <c r="BF5" s="7">
        <v>0</v>
      </c>
      <c r="BG5" s="12">
        <f>SUM(data__22[[#This Row],[N1]:[N4]],data__22[[#This Row],[N10]:[N13]],data__22[[#This Row],[N16]:[N18]])/11</f>
        <v>2.0909090909090908</v>
      </c>
      <c r="BH5" s="13">
        <f>SUM(data__22[[#This Row],[N8]:[N9]],data__22[[#This Row],[N23]:[N25]])/5</f>
        <v>2.4</v>
      </c>
      <c r="BI5" s="12">
        <f>SUM(data__22[[#This Row],[N5]:[N7]])/3</f>
        <v>1</v>
      </c>
      <c r="BJ5" s="12">
        <f>SUM(data__22[[#This Row],[N14]:[N15]],data__22[[#This Row],[N19]:[N22]],data__22[[#This Row],[N26]:[N28]])/9</f>
        <v>0.22222222222222221</v>
      </c>
      <c r="BK5" s="12">
        <f>SUM(data__22[[#This Row],[N29]:[N33]])/5</f>
        <v>1.4</v>
      </c>
      <c r="BL5" s="12">
        <f>SUM(data__22[[#This Row],[N34]:[N36]])/3</f>
        <v>0</v>
      </c>
    </row>
    <row r="6" spans="1:64" x14ac:dyDescent="0.3">
      <c r="A6" s="7">
        <v>22</v>
      </c>
      <c r="B6" s="7" t="s">
        <v>70</v>
      </c>
      <c r="C6" s="7" t="s">
        <v>113</v>
      </c>
      <c r="D6" s="7" t="s">
        <v>72</v>
      </c>
      <c r="E6" s="7" t="s">
        <v>108</v>
      </c>
      <c r="F6" s="7" t="s">
        <v>74</v>
      </c>
      <c r="G6" s="7" t="s">
        <v>99</v>
      </c>
      <c r="H6" s="7" t="s">
        <v>74</v>
      </c>
      <c r="I6" s="7" t="s">
        <v>76</v>
      </c>
      <c r="J6" s="7" t="s">
        <v>77</v>
      </c>
      <c r="K6" s="7" t="s">
        <v>122</v>
      </c>
      <c r="L6" s="8" t="s">
        <v>79</v>
      </c>
      <c r="M6" s="8" t="s">
        <v>80</v>
      </c>
      <c r="N6" s="8" t="s">
        <v>82</v>
      </c>
      <c r="O6" s="8" t="s">
        <v>117</v>
      </c>
      <c r="P6" s="8" t="s">
        <v>82</v>
      </c>
      <c r="Q6" s="8" t="s">
        <v>83</v>
      </c>
      <c r="R6" s="8" t="s">
        <v>82</v>
      </c>
      <c r="S6" s="8" t="s">
        <v>82</v>
      </c>
      <c r="T6" s="8" t="s">
        <v>106</v>
      </c>
      <c r="U6" s="8" t="s">
        <v>87</v>
      </c>
      <c r="V6" s="8" t="s">
        <v>112</v>
      </c>
      <c r="W6" s="9">
        <v>2</v>
      </c>
      <c r="X6" s="9">
        <v>2</v>
      </c>
      <c r="Y6" s="9">
        <v>3</v>
      </c>
      <c r="Z6" s="9">
        <v>2</v>
      </c>
      <c r="AA6" s="9">
        <v>2</v>
      </c>
      <c r="AB6" s="9">
        <v>2</v>
      </c>
      <c r="AC6" s="9">
        <v>1</v>
      </c>
      <c r="AD6" s="9">
        <v>3</v>
      </c>
      <c r="AE6" s="9">
        <v>2</v>
      </c>
      <c r="AF6" s="9">
        <v>3</v>
      </c>
      <c r="AG6" s="9">
        <v>2</v>
      </c>
      <c r="AH6" s="9">
        <v>2</v>
      </c>
      <c r="AI6" s="9">
        <v>2</v>
      </c>
      <c r="AJ6" s="9">
        <v>2</v>
      </c>
      <c r="AK6" s="9">
        <v>1</v>
      </c>
      <c r="AL6" s="10">
        <v>3</v>
      </c>
      <c r="AM6" s="10">
        <v>2</v>
      </c>
      <c r="AN6" s="10">
        <v>3</v>
      </c>
      <c r="AO6" s="10">
        <v>0</v>
      </c>
      <c r="AP6" s="10">
        <v>0</v>
      </c>
      <c r="AQ6" s="10">
        <v>0</v>
      </c>
      <c r="AR6" s="10">
        <v>0</v>
      </c>
      <c r="AS6" s="11">
        <v>3</v>
      </c>
      <c r="AT6" s="11">
        <v>2</v>
      </c>
      <c r="AU6" s="11">
        <v>2</v>
      </c>
      <c r="AV6" s="11">
        <v>2</v>
      </c>
      <c r="AW6" s="11">
        <v>0</v>
      </c>
      <c r="AX6" s="11">
        <v>0</v>
      </c>
      <c r="AY6" s="7">
        <v>3</v>
      </c>
      <c r="AZ6" s="7">
        <v>3</v>
      </c>
      <c r="BA6" s="7">
        <v>3</v>
      </c>
      <c r="BB6" s="7">
        <v>3</v>
      </c>
      <c r="BC6" s="7">
        <v>3</v>
      </c>
      <c r="BD6" s="7">
        <v>0</v>
      </c>
      <c r="BE6" s="7">
        <v>1</v>
      </c>
      <c r="BF6" s="7">
        <v>1</v>
      </c>
      <c r="BG6" s="12">
        <f>SUM(data__22[[#This Row],[N1]:[N4]],data__22[[#This Row],[N10]:[N13]],data__22[[#This Row],[N16]:[N18]])/11</f>
        <v>2.3636363636363638</v>
      </c>
      <c r="BH6" s="13">
        <f>SUM(data__22[[#This Row],[N8]:[N9]],data__22[[#This Row],[N23]:[N25]])/5</f>
        <v>2.4</v>
      </c>
      <c r="BI6" s="12">
        <f>SUM(data__22[[#This Row],[N5]:[N7]])/3</f>
        <v>1.6666666666666667</v>
      </c>
      <c r="BJ6" s="12">
        <f>SUM(data__22[[#This Row],[N14]:[N15]],data__22[[#This Row],[N19]:[N22]],data__22[[#This Row],[N26]:[N28]])/9</f>
        <v>0.55555555555555558</v>
      </c>
      <c r="BK6" s="12">
        <f>SUM(data__22[[#This Row],[N29]:[N33]])/5</f>
        <v>3</v>
      </c>
      <c r="BL6" s="12">
        <f>SUM(data__22[[#This Row],[N34]:[N36]])/3</f>
        <v>0.66666666666666663</v>
      </c>
    </row>
    <row r="7" spans="1:64" x14ac:dyDescent="0.3">
      <c r="A7" s="7">
        <v>22</v>
      </c>
      <c r="B7" s="7" t="s">
        <v>70</v>
      </c>
      <c r="C7" s="7" t="s">
        <v>113</v>
      </c>
      <c r="D7" s="7" t="s">
        <v>97</v>
      </c>
      <c r="E7" s="7" t="s">
        <v>73</v>
      </c>
      <c r="F7" s="7" t="s">
        <v>98</v>
      </c>
      <c r="G7" s="7" t="s">
        <v>99</v>
      </c>
      <c r="H7" s="7" t="s">
        <v>98</v>
      </c>
      <c r="I7" s="7" t="s">
        <v>76</v>
      </c>
      <c r="J7" s="7" t="s">
        <v>77</v>
      </c>
      <c r="K7" s="7" t="s">
        <v>125</v>
      </c>
      <c r="L7" s="8" t="s">
        <v>79</v>
      </c>
      <c r="M7" s="8" t="s">
        <v>80</v>
      </c>
      <c r="N7" s="8" t="s">
        <v>79</v>
      </c>
      <c r="O7" s="8" t="s">
        <v>109</v>
      </c>
      <c r="P7" s="8" t="s">
        <v>79</v>
      </c>
      <c r="Q7" s="8" t="s">
        <v>103</v>
      </c>
      <c r="R7" s="8" t="s">
        <v>79</v>
      </c>
      <c r="S7" s="8" t="s">
        <v>82</v>
      </c>
      <c r="T7" s="8" t="s">
        <v>106</v>
      </c>
      <c r="U7" s="8" t="s">
        <v>87</v>
      </c>
      <c r="V7" s="8" t="s">
        <v>127</v>
      </c>
      <c r="W7" s="9">
        <v>2</v>
      </c>
      <c r="X7" s="9">
        <v>3</v>
      </c>
      <c r="Y7" s="9">
        <v>3</v>
      </c>
      <c r="Z7" s="9">
        <v>1</v>
      </c>
      <c r="AA7" s="9">
        <v>3</v>
      </c>
      <c r="AB7" s="9">
        <v>3</v>
      </c>
      <c r="AC7" s="9">
        <v>2</v>
      </c>
      <c r="AD7" s="9">
        <v>3</v>
      </c>
      <c r="AE7" s="9">
        <v>3</v>
      </c>
      <c r="AF7" s="9">
        <v>3</v>
      </c>
      <c r="AG7" s="9">
        <v>2</v>
      </c>
      <c r="AH7" s="9">
        <v>1</v>
      </c>
      <c r="AI7" s="9">
        <v>1</v>
      </c>
      <c r="AJ7" s="9">
        <v>1</v>
      </c>
      <c r="AK7" s="9">
        <v>1</v>
      </c>
      <c r="AL7" s="10">
        <v>3</v>
      </c>
      <c r="AM7" s="10">
        <v>3</v>
      </c>
      <c r="AN7" s="10">
        <v>3</v>
      </c>
      <c r="AO7" s="10">
        <v>0</v>
      </c>
      <c r="AP7" s="10">
        <v>1</v>
      </c>
      <c r="AQ7" s="10">
        <v>0</v>
      </c>
      <c r="AR7" s="10">
        <v>3</v>
      </c>
      <c r="AS7" s="11">
        <v>2</v>
      </c>
      <c r="AT7" s="11">
        <v>1</v>
      </c>
      <c r="AU7" s="11">
        <v>1</v>
      </c>
      <c r="AV7" s="11">
        <v>1</v>
      </c>
      <c r="AW7" s="11">
        <v>0</v>
      </c>
      <c r="AX7" s="11">
        <v>0</v>
      </c>
      <c r="AY7" s="7">
        <v>3</v>
      </c>
      <c r="AZ7" s="7">
        <v>3</v>
      </c>
      <c r="BA7" s="7">
        <v>3</v>
      </c>
      <c r="BB7" s="7">
        <v>3</v>
      </c>
      <c r="BC7" s="7">
        <v>3</v>
      </c>
      <c r="BD7" s="7">
        <v>1</v>
      </c>
      <c r="BE7" s="7">
        <v>0</v>
      </c>
      <c r="BF7" s="7">
        <v>3</v>
      </c>
      <c r="BG7" s="12">
        <f>SUM(data__22[[#This Row],[N1]:[N4]],data__22[[#This Row],[N10]:[N13]],data__22[[#This Row],[N16]:[N18]])/11</f>
        <v>2.2727272727272729</v>
      </c>
      <c r="BH7" s="13">
        <f>SUM(data__22[[#This Row],[N8]:[N9]],data__22[[#This Row],[N23]:[N25]])/5</f>
        <v>2</v>
      </c>
      <c r="BI7" s="12">
        <f>SUM(data__22[[#This Row],[N5]:[N7]])/3</f>
        <v>2.6666666666666665</v>
      </c>
      <c r="BJ7" s="12">
        <f>SUM(data__22[[#This Row],[N14]:[N15]],data__22[[#This Row],[N19]:[N22]],data__22[[#This Row],[N26]:[N28]])/9</f>
        <v>0.77777777777777779</v>
      </c>
      <c r="BK7" s="12">
        <f>SUM(data__22[[#This Row],[N29]:[N33]])/5</f>
        <v>3</v>
      </c>
      <c r="BL7" s="12">
        <f>SUM(data__22[[#This Row],[N34]:[N36]])/3</f>
        <v>1.3333333333333333</v>
      </c>
    </row>
    <row r="8" spans="1:64" x14ac:dyDescent="0.3">
      <c r="A8" s="7">
        <v>21</v>
      </c>
      <c r="B8" s="7" t="s">
        <v>128</v>
      </c>
      <c r="C8" s="7" t="s">
        <v>96</v>
      </c>
      <c r="D8" s="7" t="s">
        <v>72</v>
      </c>
      <c r="E8" s="7" t="s">
        <v>114</v>
      </c>
      <c r="F8" s="7" t="s">
        <v>74</v>
      </c>
      <c r="G8" s="7" t="s">
        <v>438</v>
      </c>
      <c r="H8" s="7" t="s">
        <v>74</v>
      </c>
      <c r="I8" s="7" t="s">
        <v>76</v>
      </c>
      <c r="J8" s="7" t="s">
        <v>77</v>
      </c>
      <c r="K8" s="7" t="s">
        <v>122</v>
      </c>
      <c r="L8" s="8" t="s">
        <v>79</v>
      </c>
      <c r="M8" s="8" t="s">
        <v>80</v>
      </c>
      <c r="N8" s="8" t="s">
        <v>79</v>
      </c>
      <c r="O8" s="8" t="s">
        <v>109</v>
      </c>
      <c r="P8" s="8" t="s">
        <v>79</v>
      </c>
      <c r="Q8" s="8" t="s">
        <v>83</v>
      </c>
      <c r="R8" s="8" t="s">
        <v>82</v>
      </c>
      <c r="S8" s="8" t="s">
        <v>82</v>
      </c>
      <c r="T8" s="8" t="s">
        <v>86</v>
      </c>
      <c r="U8" s="8" t="s">
        <v>120</v>
      </c>
      <c r="V8" s="8" t="s">
        <v>112</v>
      </c>
      <c r="W8" s="9">
        <v>1</v>
      </c>
      <c r="X8" s="9">
        <v>3</v>
      </c>
      <c r="Y8" s="9">
        <v>3</v>
      </c>
      <c r="Z8" s="9">
        <v>3</v>
      </c>
      <c r="AA8" s="9">
        <v>1</v>
      </c>
      <c r="AB8" s="9">
        <v>1</v>
      </c>
      <c r="AC8" s="9">
        <v>1</v>
      </c>
      <c r="AD8" s="9">
        <v>3</v>
      </c>
      <c r="AE8" s="9">
        <v>3</v>
      </c>
      <c r="AF8" s="9">
        <v>3</v>
      </c>
      <c r="AG8" s="9">
        <v>3</v>
      </c>
      <c r="AH8" s="9">
        <v>3</v>
      </c>
      <c r="AI8" s="9">
        <v>3</v>
      </c>
      <c r="AJ8" s="9">
        <v>2</v>
      </c>
      <c r="AK8" s="9">
        <v>2</v>
      </c>
      <c r="AL8" s="10">
        <v>3</v>
      </c>
      <c r="AM8" s="10">
        <v>3</v>
      </c>
      <c r="AN8" s="10">
        <v>3</v>
      </c>
      <c r="AO8" s="10">
        <v>3</v>
      </c>
      <c r="AP8" s="10">
        <v>3</v>
      </c>
      <c r="AQ8" s="10">
        <v>3</v>
      </c>
      <c r="AR8" s="10">
        <v>3</v>
      </c>
      <c r="AS8" s="11">
        <v>2</v>
      </c>
      <c r="AT8" s="11">
        <v>2</v>
      </c>
      <c r="AU8" s="11">
        <v>1</v>
      </c>
      <c r="AV8" s="11">
        <v>3</v>
      </c>
      <c r="AW8" s="11">
        <v>3</v>
      </c>
      <c r="AX8" s="11">
        <v>3</v>
      </c>
      <c r="AY8" s="7">
        <v>2</v>
      </c>
      <c r="AZ8" s="7">
        <v>2</v>
      </c>
      <c r="BA8" s="7">
        <v>2</v>
      </c>
      <c r="BB8" s="7">
        <v>2</v>
      </c>
      <c r="BC8" s="7">
        <v>1</v>
      </c>
      <c r="BD8" s="7">
        <v>2</v>
      </c>
      <c r="BE8" s="7">
        <v>2</v>
      </c>
      <c r="BF8" s="7">
        <v>2</v>
      </c>
      <c r="BG8" s="12">
        <f>SUM(data__22[[#This Row],[N1]:[N4]],data__22[[#This Row],[N10]:[N13]],data__22[[#This Row],[N16]:[N18]])/11</f>
        <v>2.8181818181818183</v>
      </c>
      <c r="BH8" s="13">
        <f>SUM(data__22[[#This Row],[N8]:[N9]],data__22[[#This Row],[N23]:[N25]])/5</f>
        <v>2.2000000000000002</v>
      </c>
      <c r="BI8" s="12">
        <f>SUM(data__22[[#This Row],[N5]:[N7]])/3</f>
        <v>1</v>
      </c>
      <c r="BJ8" s="12">
        <f>SUM(data__22[[#This Row],[N14]:[N15]],data__22[[#This Row],[N19]:[N22]],data__22[[#This Row],[N26]:[N28]])/9</f>
        <v>2.7777777777777777</v>
      </c>
      <c r="BK8" s="12">
        <f>SUM(data__22[[#This Row],[N29]:[N33]])/5</f>
        <v>1.8</v>
      </c>
      <c r="BL8" s="12">
        <f>SUM(data__22[[#This Row],[N34]:[N36]])/3</f>
        <v>2</v>
      </c>
    </row>
    <row r="9" spans="1:64" x14ac:dyDescent="0.3">
      <c r="A9" s="7">
        <v>23</v>
      </c>
      <c r="B9" s="7" t="s">
        <v>70</v>
      </c>
      <c r="C9" s="7" t="s">
        <v>71</v>
      </c>
      <c r="D9" s="7" t="s">
        <v>97</v>
      </c>
      <c r="E9" s="7" t="s">
        <v>108</v>
      </c>
      <c r="F9" s="7" t="s">
        <v>74</v>
      </c>
      <c r="G9" s="7" t="s">
        <v>439</v>
      </c>
      <c r="H9" s="7" t="s">
        <v>74</v>
      </c>
      <c r="I9" s="7" t="s">
        <v>439</v>
      </c>
      <c r="J9" s="7" t="s">
        <v>77</v>
      </c>
      <c r="K9" s="7" t="s">
        <v>131</v>
      </c>
      <c r="L9" s="8" t="s">
        <v>79</v>
      </c>
      <c r="M9" s="8" t="s">
        <v>132</v>
      </c>
      <c r="N9" s="8" t="s">
        <v>82</v>
      </c>
      <c r="O9" s="8" t="s">
        <v>133</v>
      </c>
      <c r="P9" s="8" t="s">
        <v>79</v>
      </c>
      <c r="Q9" s="8" t="s">
        <v>83</v>
      </c>
      <c r="R9" s="8" t="s">
        <v>82</v>
      </c>
      <c r="S9" s="8" t="s">
        <v>82</v>
      </c>
      <c r="T9" s="8" t="s">
        <v>106</v>
      </c>
      <c r="U9" s="8" t="s">
        <v>87</v>
      </c>
      <c r="V9" s="8" t="s">
        <v>127</v>
      </c>
      <c r="W9" s="9">
        <v>3</v>
      </c>
      <c r="X9" s="9">
        <v>3</v>
      </c>
      <c r="Y9" s="9">
        <v>3</v>
      </c>
      <c r="Z9" s="9">
        <v>3</v>
      </c>
      <c r="AA9" s="9">
        <v>0</v>
      </c>
      <c r="AB9" s="9">
        <v>1</v>
      </c>
      <c r="AC9" s="9">
        <v>0</v>
      </c>
      <c r="AD9" s="9">
        <v>2</v>
      </c>
      <c r="AE9" s="9">
        <v>2</v>
      </c>
      <c r="AF9" s="9">
        <v>2</v>
      </c>
      <c r="AG9" s="9">
        <v>2</v>
      </c>
      <c r="AH9" s="9">
        <v>2</v>
      </c>
      <c r="AI9" s="9">
        <v>2</v>
      </c>
      <c r="AJ9" s="9">
        <v>0</v>
      </c>
      <c r="AK9" s="9">
        <v>0</v>
      </c>
      <c r="AL9" s="10">
        <v>3</v>
      </c>
      <c r="AM9" s="10">
        <v>3</v>
      </c>
      <c r="AN9" s="10">
        <v>3</v>
      </c>
      <c r="AO9" s="10">
        <v>0</v>
      </c>
      <c r="AP9" s="10">
        <v>0</v>
      </c>
      <c r="AQ9" s="10">
        <v>0</v>
      </c>
      <c r="AR9" s="10">
        <v>0</v>
      </c>
      <c r="AS9" s="11">
        <v>3</v>
      </c>
      <c r="AT9" s="11">
        <v>3</v>
      </c>
      <c r="AU9" s="11">
        <v>3</v>
      </c>
      <c r="AV9" s="11">
        <v>3</v>
      </c>
      <c r="AW9" s="11">
        <v>0</v>
      </c>
      <c r="AX9" s="11">
        <v>0</v>
      </c>
      <c r="AY9" s="7">
        <v>3</v>
      </c>
      <c r="AZ9" s="7">
        <v>3</v>
      </c>
      <c r="BA9" s="7">
        <v>3</v>
      </c>
      <c r="BB9" s="7">
        <v>3</v>
      </c>
      <c r="BC9" s="7">
        <v>3</v>
      </c>
      <c r="BD9" s="7">
        <v>0</v>
      </c>
      <c r="BE9" s="7">
        <v>0</v>
      </c>
      <c r="BF9" s="7">
        <v>0</v>
      </c>
      <c r="BG9" s="12">
        <f>SUM(data__22[[#This Row],[N1]:[N4]],data__22[[#This Row],[N10]:[N13]],data__22[[#This Row],[N16]:[N18]])/11</f>
        <v>2.6363636363636362</v>
      </c>
      <c r="BH9" s="13">
        <f>SUM(data__22[[#This Row],[N8]:[N9]],data__22[[#This Row],[N23]:[N25]])/5</f>
        <v>2.6</v>
      </c>
      <c r="BI9" s="12">
        <f>SUM(data__22[[#This Row],[N5]:[N7]])/3</f>
        <v>0.33333333333333331</v>
      </c>
      <c r="BJ9" s="12">
        <f>SUM(data__22[[#This Row],[N14]:[N15]],data__22[[#This Row],[N19]:[N22]],data__22[[#This Row],[N26]:[N28]])/9</f>
        <v>0.33333333333333331</v>
      </c>
      <c r="BK9" s="12">
        <f>SUM(data__22[[#This Row],[N29]:[N33]])/5</f>
        <v>3</v>
      </c>
      <c r="BL9" s="12">
        <f>SUM(data__22[[#This Row],[N34]:[N36]])/3</f>
        <v>0</v>
      </c>
    </row>
    <row r="10" spans="1:64" x14ac:dyDescent="0.3">
      <c r="A10" s="7">
        <v>22</v>
      </c>
      <c r="B10" s="7" t="s">
        <v>70</v>
      </c>
      <c r="C10" s="7" t="s">
        <v>71</v>
      </c>
      <c r="D10" s="7" t="s">
        <v>97</v>
      </c>
      <c r="E10" s="7" t="s">
        <v>108</v>
      </c>
      <c r="F10" s="7" t="s">
        <v>74</v>
      </c>
      <c r="G10" s="7" t="s">
        <v>440</v>
      </c>
      <c r="H10" s="7" t="s">
        <v>136</v>
      </c>
      <c r="I10" s="7" t="s">
        <v>76</v>
      </c>
      <c r="J10" s="7" t="s">
        <v>77</v>
      </c>
      <c r="K10" s="7" t="s">
        <v>131</v>
      </c>
      <c r="L10" s="8" t="s">
        <v>79</v>
      </c>
      <c r="M10" s="8" t="s">
        <v>80</v>
      </c>
      <c r="N10" s="8" t="s">
        <v>79</v>
      </c>
      <c r="O10" s="8" t="s">
        <v>133</v>
      </c>
      <c r="P10" s="8" t="s">
        <v>82</v>
      </c>
      <c r="Q10" s="8" t="s">
        <v>103</v>
      </c>
      <c r="R10" s="8" t="s">
        <v>79</v>
      </c>
      <c r="S10" s="8" t="s">
        <v>82</v>
      </c>
      <c r="T10" s="8" t="s">
        <v>86</v>
      </c>
      <c r="U10" s="8" t="s">
        <v>120</v>
      </c>
      <c r="V10" s="8" t="s">
        <v>457</v>
      </c>
      <c r="W10" s="9">
        <v>3</v>
      </c>
      <c r="X10" s="9">
        <v>3</v>
      </c>
      <c r="Y10" s="9">
        <v>3</v>
      </c>
      <c r="Z10" s="9">
        <v>3</v>
      </c>
      <c r="AA10" s="9">
        <v>2</v>
      </c>
      <c r="AB10" s="9">
        <v>2</v>
      </c>
      <c r="AC10" s="9">
        <v>2</v>
      </c>
      <c r="AD10" s="9">
        <v>3</v>
      </c>
      <c r="AE10" s="9">
        <v>3</v>
      </c>
      <c r="AF10" s="9">
        <v>3</v>
      </c>
      <c r="AG10" s="9">
        <v>3</v>
      </c>
      <c r="AH10" s="9">
        <v>3</v>
      </c>
      <c r="AI10" s="9">
        <v>3</v>
      </c>
      <c r="AJ10" s="9">
        <v>2</v>
      </c>
      <c r="AK10" s="9">
        <v>1</v>
      </c>
      <c r="AL10" s="10">
        <v>3</v>
      </c>
      <c r="AM10" s="10">
        <v>3</v>
      </c>
      <c r="AN10" s="10">
        <v>3</v>
      </c>
      <c r="AO10" s="10">
        <v>0</v>
      </c>
      <c r="AP10" s="10">
        <v>0</v>
      </c>
      <c r="AQ10" s="10">
        <v>0</v>
      </c>
      <c r="AR10" s="10">
        <v>0</v>
      </c>
      <c r="AS10" s="11">
        <v>3</v>
      </c>
      <c r="AT10" s="11">
        <v>3</v>
      </c>
      <c r="AU10" s="11">
        <v>3</v>
      </c>
      <c r="AV10" s="11">
        <v>0</v>
      </c>
      <c r="AW10" s="11">
        <v>0</v>
      </c>
      <c r="AX10" s="11">
        <v>0</v>
      </c>
      <c r="AY10" s="7"/>
      <c r="AZ10" s="7"/>
      <c r="BA10" s="7"/>
      <c r="BB10" s="7"/>
      <c r="BC10" s="7"/>
      <c r="BD10" s="7"/>
      <c r="BE10" s="7"/>
      <c r="BF10" s="7"/>
      <c r="BG10" s="12">
        <f>SUM(data__22[[#This Row],[N1]:[N4]],data__22[[#This Row],[N10]:[N13]],data__22[[#This Row],[N16]:[N18]])/11</f>
        <v>3</v>
      </c>
      <c r="BH10" s="13">
        <f>SUM(data__22[[#This Row],[N8]:[N9]],data__22[[#This Row],[N23]:[N25]])/5</f>
        <v>3</v>
      </c>
      <c r="BI10" s="12">
        <f>SUM(data__22[[#This Row],[N5]:[N7]])/3</f>
        <v>2</v>
      </c>
      <c r="BJ10" s="12">
        <f>SUM(data__22[[#This Row],[N14]:[N15]],data__22[[#This Row],[N19]:[N22]],data__22[[#This Row],[N26]:[N28]])/9</f>
        <v>0.33333333333333331</v>
      </c>
      <c r="BK10" s="12">
        <f>SUM(data__22[[#This Row],[N29]:[N33]])/5</f>
        <v>0</v>
      </c>
      <c r="BL10" s="12">
        <f>SUM(data__22[[#This Row],[N34]:[N36]])/3</f>
        <v>0</v>
      </c>
    </row>
    <row r="11" spans="1:64" x14ac:dyDescent="0.3">
      <c r="A11" s="7">
        <v>23</v>
      </c>
      <c r="B11" s="7" t="s">
        <v>70</v>
      </c>
      <c r="C11" s="7" t="s">
        <v>113</v>
      </c>
      <c r="D11" s="7" t="s">
        <v>97</v>
      </c>
      <c r="E11" s="7" t="s">
        <v>114</v>
      </c>
      <c r="F11" s="7" t="s">
        <v>74</v>
      </c>
      <c r="G11" s="7" t="s">
        <v>439</v>
      </c>
      <c r="H11" s="7" t="s">
        <v>98</v>
      </c>
      <c r="I11" s="7" t="s">
        <v>76</v>
      </c>
      <c r="J11" s="7" t="s">
        <v>77</v>
      </c>
      <c r="K11" s="7" t="s">
        <v>122</v>
      </c>
      <c r="L11" s="8" t="s">
        <v>82</v>
      </c>
      <c r="M11" s="8" t="s">
        <v>80</v>
      </c>
      <c r="N11" s="8" t="s">
        <v>79</v>
      </c>
      <c r="O11" s="8" t="s">
        <v>138</v>
      </c>
      <c r="P11" s="8" t="s">
        <v>82</v>
      </c>
      <c r="Q11" s="8" t="s">
        <v>83</v>
      </c>
      <c r="R11" s="8" t="s">
        <v>79</v>
      </c>
      <c r="S11" s="8" t="s">
        <v>79</v>
      </c>
      <c r="T11" s="8" t="s">
        <v>86</v>
      </c>
      <c r="U11" s="8" t="s">
        <v>87</v>
      </c>
      <c r="V11" s="8" t="s">
        <v>112</v>
      </c>
      <c r="W11" s="9">
        <v>3</v>
      </c>
      <c r="X11" s="9">
        <v>3</v>
      </c>
      <c r="Y11" s="9">
        <v>3</v>
      </c>
      <c r="Z11" s="9">
        <v>3</v>
      </c>
      <c r="AA11" s="9">
        <v>1</v>
      </c>
      <c r="AB11" s="9">
        <v>1</v>
      </c>
      <c r="AC11" s="9">
        <v>0</v>
      </c>
      <c r="AD11" s="9">
        <v>3</v>
      </c>
      <c r="AE11" s="9">
        <v>0</v>
      </c>
      <c r="AF11" s="9">
        <v>3</v>
      </c>
      <c r="AG11" s="9">
        <v>3</v>
      </c>
      <c r="AH11" s="9">
        <v>2</v>
      </c>
      <c r="AI11" s="9">
        <v>2</v>
      </c>
      <c r="AJ11" s="9">
        <v>3</v>
      </c>
      <c r="AK11" s="9">
        <v>2</v>
      </c>
      <c r="AL11" s="10">
        <v>3</v>
      </c>
      <c r="AM11" s="10">
        <v>3</v>
      </c>
      <c r="AN11" s="10">
        <v>3</v>
      </c>
      <c r="AO11" s="10">
        <v>3</v>
      </c>
      <c r="AP11" s="10">
        <v>0</v>
      </c>
      <c r="AQ11" s="10">
        <v>0</v>
      </c>
      <c r="AR11" s="10">
        <v>0</v>
      </c>
      <c r="AS11" s="11">
        <v>3</v>
      </c>
      <c r="AT11" s="11">
        <v>3</v>
      </c>
      <c r="AU11" s="11">
        <v>0</v>
      </c>
      <c r="AV11" s="11">
        <v>0</v>
      </c>
      <c r="AW11" s="11">
        <v>0</v>
      </c>
      <c r="AX11" s="11">
        <v>1</v>
      </c>
      <c r="AY11" s="7">
        <v>3</v>
      </c>
      <c r="AZ11" s="7">
        <v>3</v>
      </c>
      <c r="BA11" s="7">
        <v>3</v>
      </c>
      <c r="BB11" s="7">
        <v>3</v>
      </c>
      <c r="BC11" s="7">
        <v>3</v>
      </c>
      <c r="BD11" s="7"/>
      <c r="BE11" s="7">
        <v>3</v>
      </c>
      <c r="BF11" s="7">
        <v>3</v>
      </c>
      <c r="BG11" s="12">
        <f>SUM(data__22[[#This Row],[N1]:[N4]],data__22[[#This Row],[N10]:[N13]],data__22[[#This Row],[N16]:[N18]])/11</f>
        <v>2.8181818181818183</v>
      </c>
      <c r="BH11" s="13">
        <f>SUM(data__22[[#This Row],[N8]:[N9]],data__22[[#This Row],[N23]:[N25]])/5</f>
        <v>1.8</v>
      </c>
      <c r="BI11" s="12">
        <f>SUM(data__22[[#This Row],[N5]:[N7]])/3</f>
        <v>0.66666666666666663</v>
      </c>
      <c r="BJ11" s="12">
        <f>SUM(data__22[[#This Row],[N14]:[N15]],data__22[[#This Row],[N19]:[N22]],data__22[[#This Row],[N26]:[N28]])/9</f>
        <v>1</v>
      </c>
      <c r="BK11" s="12">
        <f>SUM(data__22[[#This Row],[N29]:[N33]])/5</f>
        <v>3</v>
      </c>
      <c r="BL11" s="12">
        <f>SUM(data__22[[#This Row],[N34]:[N36]])/3</f>
        <v>2</v>
      </c>
    </row>
    <row r="12" spans="1:64" x14ac:dyDescent="0.3">
      <c r="A12" s="7">
        <v>22</v>
      </c>
      <c r="B12" s="7" t="s">
        <v>70</v>
      </c>
      <c r="C12" s="7" t="s">
        <v>113</v>
      </c>
      <c r="D12" s="7" t="s">
        <v>72</v>
      </c>
      <c r="E12" s="7" t="s">
        <v>114</v>
      </c>
      <c r="F12" s="7" t="s">
        <v>100</v>
      </c>
      <c r="G12" s="7" t="s">
        <v>440</v>
      </c>
      <c r="H12" s="7" t="s">
        <v>100</v>
      </c>
      <c r="I12" s="7" t="s">
        <v>76</v>
      </c>
      <c r="J12" s="7" t="s">
        <v>77</v>
      </c>
      <c r="K12" s="7" t="s">
        <v>125</v>
      </c>
      <c r="L12" s="8" t="s">
        <v>79</v>
      </c>
      <c r="M12" s="8" t="s">
        <v>80</v>
      </c>
      <c r="N12" s="8" t="s">
        <v>79</v>
      </c>
      <c r="O12" s="8" t="s">
        <v>117</v>
      </c>
      <c r="P12" s="8" t="s">
        <v>79</v>
      </c>
      <c r="Q12" s="8" t="s">
        <v>83</v>
      </c>
      <c r="R12" s="8" t="s">
        <v>82</v>
      </c>
      <c r="S12" s="8" t="s">
        <v>82</v>
      </c>
      <c r="T12" s="8" t="s">
        <v>86</v>
      </c>
      <c r="U12" s="8" t="s">
        <v>141</v>
      </c>
      <c r="V12" s="8" t="s">
        <v>112</v>
      </c>
      <c r="W12" s="9">
        <v>3</v>
      </c>
      <c r="X12" s="9">
        <v>3</v>
      </c>
      <c r="Y12" s="9">
        <v>3</v>
      </c>
      <c r="Z12" s="9">
        <v>3</v>
      </c>
      <c r="AA12" s="9">
        <v>1</v>
      </c>
      <c r="AB12" s="9">
        <v>1</v>
      </c>
      <c r="AC12" s="9">
        <v>2</v>
      </c>
      <c r="AD12" s="9">
        <v>0</v>
      </c>
      <c r="AE12" s="9">
        <v>1</v>
      </c>
      <c r="AF12" s="9">
        <v>0</v>
      </c>
      <c r="AG12" s="9">
        <v>1</v>
      </c>
      <c r="AH12" s="9">
        <v>3</v>
      </c>
      <c r="AI12" s="9">
        <v>3</v>
      </c>
      <c r="AJ12" s="9">
        <v>0</v>
      </c>
      <c r="AK12" s="9">
        <v>1</v>
      </c>
      <c r="AL12" s="10">
        <v>3</v>
      </c>
      <c r="AM12" s="10">
        <v>3</v>
      </c>
      <c r="AN12" s="10">
        <v>3</v>
      </c>
      <c r="AO12" s="10">
        <v>1</v>
      </c>
      <c r="AP12" s="10">
        <v>1</v>
      </c>
      <c r="AQ12" s="10">
        <v>0</v>
      </c>
      <c r="AR12" s="10">
        <v>0</v>
      </c>
      <c r="AS12" s="11">
        <v>1</v>
      </c>
      <c r="AT12" s="11">
        <v>0</v>
      </c>
      <c r="AU12" s="11">
        <v>0</v>
      </c>
      <c r="AV12" s="11">
        <v>1</v>
      </c>
      <c r="AW12" s="11">
        <v>0</v>
      </c>
      <c r="AX12" s="11">
        <v>0</v>
      </c>
      <c r="AY12" s="7">
        <v>3</v>
      </c>
      <c r="AZ12" s="7">
        <v>2</v>
      </c>
      <c r="BA12" s="7">
        <v>2</v>
      </c>
      <c r="BB12" s="7">
        <v>3</v>
      </c>
      <c r="BC12" s="7">
        <v>3</v>
      </c>
      <c r="BD12" s="7">
        <v>1</v>
      </c>
      <c r="BE12" s="7">
        <v>1</v>
      </c>
      <c r="BF12" s="7">
        <v>1</v>
      </c>
      <c r="BG12" s="12">
        <f>SUM(data__22[[#This Row],[N1]:[N4]],data__22[[#This Row],[N10]:[N13]],data__22[[#This Row],[N16]:[N18]])/11</f>
        <v>2.5454545454545454</v>
      </c>
      <c r="BH12" s="13">
        <f>SUM(data__22[[#This Row],[N8]:[N9]],data__22[[#This Row],[N23]:[N25]])/5</f>
        <v>0.4</v>
      </c>
      <c r="BI12" s="12">
        <f>SUM(data__22[[#This Row],[N5]:[N7]])/3</f>
        <v>1.3333333333333333</v>
      </c>
      <c r="BJ12" s="12">
        <f>SUM(data__22[[#This Row],[N14]:[N15]],data__22[[#This Row],[N19]:[N22]],data__22[[#This Row],[N26]:[N28]])/9</f>
        <v>0.44444444444444442</v>
      </c>
      <c r="BK12" s="12">
        <f>SUM(data__22[[#This Row],[N29]:[N33]])/5</f>
        <v>2.6</v>
      </c>
      <c r="BL12" s="12">
        <f>SUM(data__22[[#This Row],[N34]:[N36]])/3</f>
        <v>1</v>
      </c>
    </row>
    <row r="13" spans="1:64" x14ac:dyDescent="0.3">
      <c r="A13" s="7">
        <v>22</v>
      </c>
      <c r="B13" s="7" t="s">
        <v>70</v>
      </c>
      <c r="C13" s="7" t="s">
        <v>113</v>
      </c>
      <c r="D13" s="7" t="s">
        <v>72</v>
      </c>
      <c r="E13" s="7" t="s">
        <v>108</v>
      </c>
      <c r="F13" s="7" t="s">
        <v>136</v>
      </c>
      <c r="G13" s="7" t="s">
        <v>439</v>
      </c>
      <c r="H13" s="7" t="s">
        <v>100</v>
      </c>
      <c r="I13" s="7" t="s">
        <v>76</v>
      </c>
      <c r="J13" s="7" t="s">
        <v>77</v>
      </c>
      <c r="K13" s="7" t="s">
        <v>78</v>
      </c>
      <c r="L13" s="8" t="s">
        <v>79</v>
      </c>
      <c r="M13" s="8" t="s">
        <v>102</v>
      </c>
      <c r="N13" s="8" t="s">
        <v>79</v>
      </c>
      <c r="O13" s="8" t="s">
        <v>81</v>
      </c>
      <c r="P13" s="8" t="s">
        <v>79</v>
      </c>
      <c r="Q13" s="8" t="s">
        <v>83</v>
      </c>
      <c r="R13" s="8" t="s">
        <v>82</v>
      </c>
      <c r="S13" s="8" t="s">
        <v>82</v>
      </c>
      <c r="T13" s="8" t="s">
        <v>106</v>
      </c>
      <c r="U13" s="8" t="s">
        <v>87</v>
      </c>
      <c r="V13" s="8" t="s">
        <v>454</v>
      </c>
      <c r="W13" s="9">
        <v>2</v>
      </c>
      <c r="X13" s="9">
        <v>2</v>
      </c>
      <c r="Y13" s="9">
        <v>1</v>
      </c>
      <c r="Z13" s="9">
        <v>1</v>
      </c>
      <c r="AA13" s="9">
        <v>3</v>
      </c>
      <c r="AB13" s="9">
        <v>3</v>
      </c>
      <c r="AC13" s="9">
        <v>1</v>
      </c>
      <c r="AD13" s="9">
        <v>1</v>
      </c>
      <c r="AE13" s="9">
        <v>1</v>
      </c>
      <c r="AF13" s="9">
        <v>0</v>
      </c>
      <c r="AG13" s="9">
        <v>3</v>
      </c>
      <c r="AH13" s="9">
        <v>1</v>
      </c>
      <c r="AI13" s="9">
        <v>1</v>
      </c>
      <c r="AJ13" s="9">
        <v>1</v>
      </c>
      <c r="AK13" s="9">
        <v>1</v>
      </c>
      <c r="AL13" s="10">
        <v>3</v>
      </c>
      <c r="AM13" s="10">
        <v>3</v>
      </c>
      <c r="AN13" s="10">
        <v>1</v>
      </c>
      <c r="AO13" s="10">
        <v>0</v>
      </c>
      <c r="AP13" s="10">
        <v>3</v>
      </c>
      <c r="AQ13" s="10">
        <v>0</v>
      </c>
      <c r="AR13" s="10">
        <v>1</v>
      </c>
      <c r="AS13" s="11">
        <v>1</v>
      </c>
      <c r="AT13" s="11">
        <v>0</v>
      </c>
      <c r="AU13" s="11">
        <v>1</v>
      </c>
      <c r="AV13" s="11">
        <v>3</v>
      </c>
      <c r="AW13" s="11">
        <v>3</v>
      </c>
      <c r="AX13" s="11">
        <v>3</v>
      </c>
      <c r="AY13" s="7">
        <v>3</v>
      </c>
      <c r="AZ13" s="7">
        <v>1</v>
      </c>
      <c r="BA13" s="7">
        <v>2</v>
      </c>
      <c r="BB13" s="7">
        <v>3</v>
      </c>
      <c r="BC13" s="7">
        <v>2</v>
      </c>
      <c r="BD13" s="7">
        <v>3</v>
      </c>
      <c r="BE13" s="7">
        <v>3</v>
      </c>
      <c r="BF13" s="7">
        <v>3</v>
      </c>
      <c r="BG13" s="12">
        <f>SUM(data__22[[#This Row],[N1]:[N4]],data__22[[#This Row],[N10]:[N13]],data__22[[#This Row],[N16]:[N18]])/11</f>
        <v>1.6363636363636365</v>
      </c>
      <c r="BH13" s="13">
        <f>SUM(data__22[[#This Row],[N8]:[N9]],data__22[[#This Row],[N23]:[N25]])/5</f>
        <v>0.8</v>
      </c>
      <c r="BI13" s="12">
        <f>SUM(data__22[[#This Row],[N5]:[N7]])/3</f>
        <v>2.3333333333333335</v>
      </c>
      <c r="BJ13" s="12">
        <f>SUM(data__22[[#This Row],[N14]:[N15]],data__22[[#This Row],[N19]:[N22]],data__22[[#This Row],[N26]:[N28]])/9</f>
        <v>1.6666666666666667</v>
      </c>
      <c r="BK13" s="12">
        <f>SUM(data__22[[#This Row],[N29]:[N33]])/5</f>
        <v>2.2000000000000002</v>
      </c>
      <c r="BL13" s="12">
        <f>SUM(data__22[[#This Row],[N34]:[N36]])/3</f>
        <v>3</v>
      </c>
    </row>
    <row r="14" spans="1:64" x14ac:dyDescent="0.3">
      <c r="A14" s="7">
        <v>21</v>
      </c>
      <c r="B14" s="7" t="s">
        <v>70</v>
      </c>
      <c r="C14" s="7" t="s">
        <v>113</v>
      </c>
      <c r="D14" s="7" t="s">
        <v>72</v>
      </c>
      <c r="E14" s="7" t="s">
        <v>73</v>
      </c>
      <c r="F14" s="7" t="s">
        <v>74</v>
      </c>
      <c r="G14" s="7" t="s">
        <v>99</v>
      </c>
      <c r="H14" s="7" t="s">
        <v>74</v>
      </c>
      <c r="I14" s="7" t="s">
        <v>76</v>
      </c>
      <c r="J14" s="7" t="s">
        <v>77</v>
      </c>
      <c r="K14" s="7" t="s">
        <v>78</v>
      </c>
      <c r="L14" s="8" t="s">
        <v>82</v>
      </c>
      <c r="M14" s="8" t="s">
        <v>80</v>
      </c>
      <c r="N14" s="8" t="s">
        <v>79</v>
      </c>
      <c r="O14" s="8" t="s">
        <v>133</v>
      </c>
      <c r="P14" s="8" t="s">
        <v>82</v>
      </c>
      <c r="Q14" s="8" t="s">
        <v>83</v>
      </c>
      <c r="R14" s="8" t="s">
        <v>79</v>
      </c>
      <c r="S14" s="8" t="s">
        <v>82</v>
      </c>
      <c r="T14" s="8" t="s">
        <v>86</v>
      </c>
      <c r="U14" s="8" t="s">
        <v>141</v>
      </c>
      <c r="V14" s="8" t="s">
        <v>457</v>
      </c>
      <c r="W14" s="9">
        <v>2</v>
      </c>
      <c r="X14" s="9">
        <v>2</v>
      </c>
      <c r="Y14" s="9">
        <v>2</v>
      </c>
      <c r="Z14" s="9">
        <v>2</v>
      </c>
      <c r="AA14" s="9">
        <v>2</v>
      </c>
      <c r="AB14" s="9">
        <v>2</v>
      </c>
      <c r="AC14" s="9">
        <v>2</v>
      </c>
      <c r="AD14" s="9">
        <v>1</v>
      </c>
      <c r="AE14" s="9">
        <v>1</v>
      </c>
      <c r="AF14" s="9">
        <v>1</v>
      </c>
      <c r="AG14" s="9">
        <v>3</v>
      </c>
      <c r="AH14" s="9">
        <v>1</v>
      </c>
      <c r="AI14" s="9">
        <v>1</v>
      </c>
      <c r="AJ14" s="9">
        <v>2</v>
      </c>
      <c r="AK14" s="9">
        <v>2</v>
      </c>
      <c r="AL14" s="10">
        <v>3</v>
      </c>
      <c r="AM14" s="10">
        <v>3</v>
      </c>
      <c r="AN14" s="10">
        <v>3</v>
      </c>
      <c r="AO14" s="10">
        <v>3</v>
      </c>
      <c r="AP14" s="10">
        <v>0</v>
      </c>
      <c r="AQ14" s="10">
        <v>0</v>
      </c>
      <c r="AR14" s="10">
        <v>0</v>
      </c>
      <c r="AS14" s="11">
        <v>2</v>
      </c>
      <c r="AT14" s="11">
        <v>2</v>
      </c>
      <c r="AU14" s="11">
        <v>1</v>
      </c>
      <c r="AV14" s="11">
        <v>2</v>
      </c>
      <c r="AW14" s="11">
        <v>1</v>
      </c>
      <c r="AX14" s="11">
        <v>0</v>
      </c>
      <c r="AY14" s="7">
        <v>3</v>
      </c>
      <c r="AZ14" s="7">
        <v>2</v>
      </c>
      <c r="BA14" s="7">
        <v>1</v>
      </c>
      <c r="BB14" s="7">
        <v>3</v>
      </c>
      <c r="BC14" s="7">
        <v>2</v>
      </c>
      <c r="BD14" s="7">
        <v>1</v>
      </c>
      <c r="BE14" s="7">
        <v>1</v>
      </c>
      <c r="BF14" s="7">
        <v>3</v>
      </c>
      <c r="BG14" s="12">
        <f>SUM(data__22[[#This Row],[N1]:[N4]],data__22[[#This Row],[N10]:[N13]],data__22[[#This Row],[N16]:[N18]])/11</f>
        <v>2.0909090909090908</v>
      </c>
      <c r="BH14" s="13">
        <f>SUM(data__22[[#This Row],[N8]:[N9]],data__22[[#This Row],[N23]:[N25]])/5</f>
        <v>1.4</v>
      </c>
      <c r="BI14" s="12">
        <f>SUM(data__22[[#This Row],[N5]:[N7]])/3</f>
        <v>2</v>
      </c>
      <c r="BJ14" s="12">
        <f>SUM(data__22[[#This Row],[N14]:[N15]],data__22[[#This Row],[N19]:[N22]],data__22[[#This Row],[N26]:[N28]])/9</f>
        <v>1.1111111111111112</v>
      </c>
      <c r="BK14" s="12">
        <f>SUM(data__22[[#This Row],[N29]:[N33]])/5</f>
        <v>2.2000000000000002</v>
      </c>
      <c r="BL14" s="12">
        <f>SUM(data__22[[#This Row],[N34]:[N36]])/3</f>
        <v>1.6666666666666667</v>
      </c>
    </row>
    <row r="15" spans="1:64" x14ac:dyDescent="0.3">
      <c r="A15" s="7">
        <v>22</v>
      </c>
      <c r="B15" s="7" t="s">
        <v>70</v>
      </c>
      <c r="C15" s="7" t="s">
        <v>113</v>
      </c>
      <c r="D15" s="7" t="s">
        <v>72</v>
      </c>
      <c r="E15" s="7" t="s">
        <v>114</v>
      </c>
      <c r="F15" s="7" t="s">
        <v>136</v>
      </c>
      <c r="G15" s="7" t="s">
        <v>438</v>
      </c>
      <c r="H15" s="7" t="s">
        <v>98</v>
      </c>
      <c r="I15" s="7" t="s">
        <v>76</v>
      </c>
      <c r="J15" s="7" t="s">
        <v>77</v>
      </c>
      <c r="K15" s="7" t="s">
        <v>125</v>
      </c>
      <c r="L15" s="8" t="s">
        <v>79</v>
      </c>
      <c r="M15" s="8" t="s">
        <v>102</v>
      </c>
      <c r="N15" s="8" t="s">
        <v>79</v>
      </c>
      <c r="O15" s="8" t="s">
        <v>117</v>
      </c>
      <c r="P15" s="8" t="s">
        <v>82</v>
      </c>
      <c r="Q15" s="8" t="s">
        <v>103</v>
      </c>
      <c r="R15" s="8" t="s">
        <v>82</v>
      </c>
      <c r="S15" s="8" t="s">
        <v>82</v>
      </c>
      <c r="T15" s="8" t="s">
        <v>106</v>
      </c>
      <c r="U15" s="8" t="s">
        <v>87</v>
      </c>
      <c r="V15" s="8" t="s">
        <v>455</v>
      </c>
      <c r="W15" s="9">
        <v>3</v>
      </c>
      <c r="X15" s="9">
        <v>3</v>
      </c>
      <c r="Y15" s="9">
        <v>3</v>
      </c>
      <c r="Z15" s="9">
        <v>3</v>
      </c>
      <c r="AA15" s="9">
        <v>0</v>
      </c>
      <c r="AB15" s="9">
        <v>0</v>
      </c>
      <c r="AC15" s="9">
        <v>0</v>
      </c>
      <c r="AD15" s="9">
        <v>3</v>
      </c>
      <c r="AE15" s="9">
        <v>3</v>
      </c>
      <c r="AF15" s="9">
        <v>3</v>
      </c>
      <c r="AG15" s="9">
        <v>3</v>
      </c>
      <c r="AH15" s="9">
        <v>3</v>
      </c>
      <c r="AI15" s="9">
        <v>3</v>
      </c>
      <c r="AJ15" s="9">
        <v>0</v>
      </c>
      <c r="AK15" s="9">
        <v>3</v>
      </c>
      <c r="AL15" s="10">
        <v>3</v>
      </c>
      <c r="AM15" s="10">
        <v>3</v>
      </c>
      <c r="AN15" s="10">
        <v>3</v>
      </c>
      <c r="AO15" s="10">
        <v>0</v>
      </c>
      <c r="AP15" s="10">
        <v>0</v>
      </c>
      <c r="AQ15" s="10">
        <v>0</v>
      </c>
      <c r="AR15" s="10">
        <v>0</v>
      </c>
      <c r="AS15" s="11">
        <v>3</v>
      </c>
      <c r="AT15" s="11">
        <v>3</v>
      </c>
      <c r="AU15" s="11">
        <v>3</v>
      </c>
      <c r="AV15" s="11">
        <v>0</v>
      </c>
      <c r="AW15" s="11">
        <v>0</v>
      </c>
      <c r="AX15" s="11">
        <v>0</v>
      </c>
      <c r="AY15" s="7"/>
      <c r="AZ15" s="7"/>
      <c r="BA15" s="7"/>
      <c r="BB15" s="7"/>
      <c r="BC15" s="7"/>
      <c r="BD15" s="7"/>
      <c r="BE15" s="7"/>
      <c r="BF15" s="7"/>
      <c r="BG15" s="12">
        <f>SUM(data__22[[#This Row],[N1]:[N4]],data__22[[#This Row],[N10]:[N13]],data__22[[#This Row],[N16]:[N18]])/11</f>
        <v>3</v>
      </c>
      <c r="BH15" s="13">
        <f>SUM(data__22[[#This Row],[N8]:[N9]],data__22[[#This Row],[N23]:[N25]])/5</f>
        <v>3</v>
      </c>
      <c r="BI15" s="12">
        <f>SUM(data__22[[#This Row],[N5]:[N7]])/3</f>
        <v>0</v>
      </c>
      <c r="BJ15" s="12">
        <f>SUM(data__22[[#This Row],[N14]:[N15]],data__22[[#This Row],[N19]:[N22]],data__22[[#This Row],[N26]:[N28]])/9</f>
        <v>0.33333333333333331</v>
      </c>
      <c r="BK15" s="12">
        <f>SUM(data__22[[#This Row],[N29]:[N33]])/5</f>
        <v>0</v>
      </c>
      <c r="BL15" s="12">
        <f>SUM(data__22[[#This Row],[N34]:[N36]])/3</f>
        <v>0</v>
      </c>
    </row>
    <row r="16" spans="1:64" x14ac:dyDescent="0.3">
      <c r="A16" s="7">
        <v>21</v>
      </c>
      <c r="B16" s="7" t="s">
        <v>70</v>
      </c>
      <c r="C16" s="7" t="s">
        <v>71</v>
      </c>
      <c r="D16" s="7" t="s">
        <v>72</v>
      </c>
      <c r="E16" s="7" t="s">
        <v>114</v>
      </c>
      <c r="F16" s="7" t="s">
        <v>74</v>
      </c>
      <c r="G16" s="7" t="s">
        <v>439</v>
      </c>
      <c r="H16" s="7" t="s">
        <v>98</v>
      </c>
      <c r="I16" s="7" t="s">
        <v>76</v>
      </c>
      <c r="J16" s="7" t="s">
        <v>77</v>
      </c>
      <c r="K16" s="7" t="s">
        <v>78</v>
      </c>
      <c r="L16" s="8" t="s">
        <v>79</v>
      </c>
      <c r="M16" s="8" t="s">
        <v>102</v>
      </c>
      <c r="N16" s="8" t="s">
        <v>79</v>
      </c>
      <c r="O16" s="8" t="s">
        <v>133</v>
      </c>
      <c r="P16" s="8" t="s">
        <v>79</v>
      </c>
      <c r="Q16" s="8" t="s">
        <v>83</v>
      </c>
      <c r="R16" s="8" t="s">
        <v>79</v>
      </c>
      <c r="S16" s="8" t="s">
        <v>82</v>
      </c>
      <c r="T16" s="8" t="s">
        <v>86</v>
      </c>
      <c r="U16" s="8" t="s">
        <v>141</v>
      </c>
      <c r="V16" s="8" t="s">
        <v>112</v>
      </c>
      <c r="W16" s="9">
        <v>1</v>
      </c>
      <c r="X16" s="9">
        <v>2</v>
      </c>
      <c r="Y16" s="9">
        <v>2</v>
      </c>
      <c r="Z16" s="9">
        <v>2</v>
      </c>
      <c r="AA16" s="9">
        <v>1</v>
      </c>
      <c r="AB16" s="9">
        <v>2</v>
      </c>
      <c r="AC16" s="9">
        <v>1</v>
      </c>
      <c r="AD16" s="9">
        <v>2</v>
      </c>
      <c r="AE16" s="9">
        <v>1</v>
      </c>
      <c r="AF16" s="9">
        <v>2</v>
      </c>
      <c r="AG16" s="9">
        <v>1</v>
      </c>
      <c r="AH16" s="9">
        <v>1</v>
      </c>
      <c r="AI16" s="9">
        <v>2</v>
      </c>
      <c r="AJ16" s="9">
        <v>1</v>
      </c>
      <c r="AK16" s="9">
        <v>1</v>
      </c>
      <c r="AL16" s="10">
        <v>3</v>
      </c>
      <c r="AM16" s="10">
        <v>3</v>
      </c>
      <c r="AN16" s="10">
        <v>3</v>
      </c>
      <c r="AO16" s="10">
        <v>2</v>
      </c>
      <c r="AP16" s="10">
        <v>2</v>
      </c>
      <c r="AQ16" s="10">
        <v>3</v>
      </c>
      <c r="AR16" s="10">
        <v>2</v>
      </c>
      <c r="AS16" s="11">
        <v>2</v>
      </c>
      <c r="AT16" s="11">
        <v>2</v>
      </c>
      <c r="AU16" s="11">
        <v>2</v>
      </c>
      <c r="AV16" s="11">
        <v>1</v>
      </c>
      <c r="AW16" s="11">
        <v>2</v>
      </c>
      <c r="AX16" s="11">
        <v>3</v>
      </c>
      <c r="AY16" s="7">
        <v>2</v>
      </c>
      <c r="AZ16" s="7">
        <v>1</v>
      </c>
      <c r="BA16" s="7">
        <v>2</v>
      </c>
      <c r="BB16" s="7">
        <v>1</v>
      </c>
      <c r="BC16" s="7">
        <v>2</v>
      </c>
      <c r="BD16" s="7">
        <v>2</v>
      </c>
      <c r="BE16" s="7">
        <v>2</v>
      </c>
      <c r="BF16" s="7">
        <v>3</v>
      </c>
      <c r="BG16" s="12">
        <f>SUM(data__22[[#This Row],[N1]:[N4]],data__22[[#This Row],[N10]:[N13]],data__22[[#This Row],[N16]:[N18]])/11</f>
        <v>2</v>
      </c>
      <c r="BH16" s="13">
        <f>SUM(data__22[[#This Row],[N8]:[N9]],data__22[[#This Row],[N23]:[N25]])/5</f>
        <v>1.8</v>
      </c>
      <c r="BI16" s="12">
        <f>SUM(data__22[[#This Row],[N5]:[N7]])/3</f>
        <v>1.3333333333333333</v>
      </c>
      <c r="BJ16" s="12">
        <f>SUM(data__22[[#This Row],[N14]:[N15]],data__22[[#This Row],[N19]:[N22]],data__22[[#This Row],[N26]:[N28]])/9</f>
        <v>1.8888888888888888</v>
      </c>
      <c r="BK16" s="12">
        <f>SUM(data__22[[#This Row],[N29]:[N33]])/5</f>
        <v>1.6</v>
      </c>
      <c r="BL16" s="12">
        <f>SUM(data__22[[#This Row],[N34]:[N36]])/3</f>
        <v>2.3333333333333335</v>
      </c>
    </row>
    <row r="17" spans="1:64" x14ac:dyDescent="0.3">
      <c r="A17" s="7">
        <v>21</v>
      </c>
      <c r="B17" s="7" t="s">
        <v>70</v>
      </c>
      <c r="C17" s="7" t="s">
        <v>96</v>
      </c>
      <c r="D17" s="7" t="s">
        <v>72</v>
      </c>
      <c r="E17" s="7" t="s">
        <v>73</v>
      </c>
      <c r="F17" s="7" t="s">
        <v>74</v>
      </c>
      <c r="G17" s="7" t="s">
        <v>440</v>
      </c>
      <c r="H17" s="7" t="s">
        <v>74</v>
      </c>
      <c r="I17" s="7" t="s">
        <v>99</v>
      </c>
      <c r="J17" s="7" t="s">
        <v>77</v>
      </c>
      <c r="K17" s="7" t="s">
        <v>78</v>
      </c>
      <c r="L17" s="8" t="s">
        <v>79</v>
      </c>
      <c r="M17" s="8" t="s">
        <v>80</v>
      </c>
      <c r="N17" s="8" t="s">
        <v>79</v>
      </c>
      <c r="O17" s="8" t="s">
        <v>109</v>
      </c>
      <c r="P17" s="8" t="s">
        <v>79</v>
      </c>
      <c r="Q17" s="8" t="s">
        <v>83</v>
      </c>
      <c r="R17" s="8" t="s">
        <v>79</v>
      </c>
      <c r="S17" s="8" t="s">
        <v>82</v>
      </c>
      <c r="T17" s="8" t="s">
        <v>106</v>
      </c>
      <c r="U17" s="8" t="s">
        <v>87</v>
      </c>
      <c r="V17" s="8" t="s">
        <v>112</v>
      </c>
      <c r="W17" s="9">
        <v>1</v>
      </c>
      <c r="X17" s="9">
        <v>1</v>
      </c>
      <c r="Y17" s="9">
        <v>2</v>
      </c>
      <c r="Z17" s="9">
        <v>2</v>
      </c>
      <c r="AA17" s="9">
        <v>2</v>
      </c>
      <c r="AB17" s="9">
        <v>0</v>
      </c>
      <c r="AC17" s="9">
        <v>0</v>
      </c>
      <c r="AD17" s="9">
        <v>1</v>
      </c>
      <c r="AE17" s="9">
        <v>1</v>
      </c>
      <c r="AF17" s="9">
        <v>2</v>
      </c>
      <c r="AG17" s="9">
        <v>1</v>
      </c>
      <c r="AH17" s="9">
        <v>1</v>
      </c>
      <c r="AI17" s="9">
        <v>1</v>
      </c>
      <c r="AJ17" s="9">
        <v>1</v>
      </c>
      <c r="AK17" s="9">
        <v>1</v>
      </c>
      <c r="AL17" s="10">
        <v>3</v>
      </c>
      <c r="AM17" s="10">
        <v>3</v>
      </c>
      <c r="AN17" s="10">
        <v>2</v>
      </c>
      <c r="AO17" s="10">
        <v>2</v>
      </c>
      <c r="AP17" s="10">
        <v>0</v>
      </c>
      <c r="AQ17" s="10">
        <v>0</v>
      </c>
      <c r="AR17" s="10">
        <v>0</v>
      </c>
      <c r="AS17" s="11">
        <v>2</v>
      </c>
      <c r="AT17" s="11">
        <v>2</v>
      </c>
      <c r="AU17" s="11">
        <v>1</v>
      </c>
      <c r="AV17" s="11">
        <v>3</v>
      </c>
      <c r="AW17" s="11">
        <v>3</v>
      </c>
      <c r="AX17" s="11">
        <v>0</v>
      </c>
      <c r="AY17" s="7">
        <v>2</v>
      </c>
      <c r="AZ17" s="7">
        <v>3</v>
      </c>
      <c r="BA17" s="7">
        <v>3</v>
      </c>
      <c r="BB17" s="7">
        <v>3</v>
      </c>
      <c r="BC17" s="7">
        <v>3</v>
      </c>
      <c r="BD17" s="7">
        <v>0</v>
      </c>
      <c r="BE17" s="7">
        <v>0</v>
      </c>
      <c r="BF17" s="7">
        <v>2</v>
      </c>
      <c r="BG17" s="12">
        <f>SUM(data__22[[#This Row],[N1]:[N4]],data__22[[#This Row],[N10]:[N13]],data__22[[#This Row],[N16]:[N18]])/11</f>
        <v>1.7272727272727273</v>
      </c>
      <c r="BH17" s="13">
        <f>SUM(data__22[[#This Row],[N8]:[N9]],data__22[[#This Row],[N23]:[N25]])/5</f>
        <v>1.4</v>
      </c>
      <c r="BI17" s="12">
        <f>SUM(data__22[[#This Row],[N5]:[N7]])/3</f>
        <v>0.66666666666666663</v>
      </c>
      <c r="BJ17" s="12">
        <f>SUM(data__22[[#This Row],[N14]:[N15]],data__22[[#This Row],[N19]:[N22]],data__22[[#This Row],[N26]:[N28]])/9</f>
        <v>1.1111111111111112</v>
      </c>
      <c r="BK17" s="12">
        <f>SUM(data__22[[#This Row],[N29]:[N33]])/5</f>
        <v>2.8</v>
      </c>
      <c r="BL17" s="12">
        <f>SUM(data__22[[#This Row],[N34]:[N36]])/3</f>
        <v>0.66666666666666663</v>
      </c>
    </row>
    <row r="18" spans="1:64" x14ac:dyDescent="0.3">
      <c r="A18" s="7">
        <v>21</v>
      </c>
      <c r="B18" s="7" t="s">
        <v>70</v>
      </c>
      <c r="C18" s="7" t="s">
        <v>96</v>
      </c>
      <c r="D18" s="7" t="s">
        <v>72</v>
      </c>
      <c r="E18" s="7" t="s">
        <v>114</v>
      </c>
      <c r="F18" s="7" t="s">
        <v>74</v>
      </c>
      <c r="G18" s="7" t="s">
        <v>439</v>
      </c>
      <c r="H18" s="7" t="s">
        <v>98</v>
      </c>
      <c r="I18" s="7" t="s">
        <v>76</v>
      </c>
      <c r="J18" s="7" t="s">
        <v>77</v>
      </c>
      <c r="K18" s="7" t="s">
        <v>122</v>
      </c>
      <c r="L18" s="8" t="s">
        <v>79</v>
      </c>
      <c r="M18" s="8" t="s">
        <v>80</v>
      </c>
      <c r="N18" s="8" t="s">
        <v>79</v>
      </c>
      <c r="O18" s="8" t="s">
        <v>81</v>
      </c>
      <c r="P18" s="8" t="s">
        <v>82</v>
      </c>
      <c r="Q18" s="8" t="s">
        <v>83</v>
      </c>
      <c r="R18" s="8" t="s">
        <v>79</v>
      </c>
      <c r="S18" s="8" t="s">
        <v>82</v>
      </c>
      <c r="T18" s="8" t="s">
        <v>148</v>
      </c>
      <c r="U18" s="8" t="s">
        <v>141</v>
      </c>
      <c r="V18" s="8" t="s">
        <v>455</v>
      </c>
      <c r="W18" s="9">
        <v>1</v>
      </c>
      <c r="X18" s="9">
        <v>2</v>
      </c>
      <c r="Y18" s="9">
        <v>2</v>
      </c>
      <c r="Z18" s="9">
        <v>2</v>
      </c>
      <c r="AA18" s="9">
        <v>1</v>
      </c>
      <c r="AB18" s="9">
        <v>1</v>
      </c>
      <c r="AC18" s="9">
        <v>1</v>
      </c>
      <c r="AD18" s="9">
        <v>1</v>
      </c>
      <c r="AE18" s="9">
        <v>1</v>
      </c>
      <c r="AF18" s="9">
        <v>2</v>
      </c>
      <c r="AG18" s="9">
        <v>1</v>
      </c>
      <c r="AH18" s="9">
        <v>1</v>
      </c>
      <c r="AI18" s="9">
        <v>2</v>
      </c>
      <c r="AJ18" s="9">
        <v>2</v>
      </c>
      <c r="AK18" s="9">
        <v>2</v>
      </c>
      <c r="AL18" s="10">
        <v>3</v>
      </c>
      <c r="AM18" s="10">
        <v>3</v>
      </c>
      <c r="AN18" s="10">
        <v>3</v>
      </c>
      <c r="AO18" s="10">
        <v>1</v>
      </c>
      <c r="AP18" s="10">
        <v>1</v>
      </c>
      <c r="AQ18" s="10">
        <v>0</v>
      </c>
      <c r="AR18" s="10">
        <v>0</v>
      </c>
      <c r="AS18" s="11">
        <v>1</v>
      </c>
      <c r="AT18" s="11">
        <v>1</v>
      </c>
      <c r="AU18" s="11">
        <v>2</v>
      </c>
      <c r="AV18" s="11">
        <v>1</v>
      </c>
      <c r="AW18" s="11">
        <v>2</v>
      </c>
      <c r="AX18" s="11">
        <v>1</v>
      </c>
      <c r="AY18" s="7">
        <v>2</v>
      </c>
      <c r="AZ18" s="7">
        <v>2</v>
      </c>
      <c r="BA18" s="7">
        <v>2</v>
      </c>
      <c r="BB18" s="7">
        <v>2</v>
      </c>
      <c r="BC18" s="7">
        <v>2</v>
      </c>
      <c r="BD18" s="7">
        <v>2</v>
      </c>
      <c r="BE18" s="7">
        <v>2</v>
      </c>
      <c r="BF18" s="7">
        <v>2</v>
      </c>
      <c r="BG18" s="12">
        <f>SUM(data__22[[#This Row],[N1]:[N4]],data__22[[#This Row],[N10]:[N13]],data__22[[#This Row],[N16]:[N18]])/11</f>
        <v>2</v>
      </c>
      <c r="BH18" s="13">
        <f>SUM(data__22[[#This Row],[N8]:[N9]],data__22[[#This Row],[N23]:[N25]])/5</f>
        <v>1.2</v>
      </c>
      <c r="BI18" s="12">
        <f>SUM(data__22[[#This Row],[N5]:[N7]])/3</f>
        <v>1</v>
      </c>
      <c r="BJ18" s="12">
        <f>SUM(data__22[[#This Row],[N14]:[N15]],data__22[[#This Row],[N19]:[N22]],data__22[[#This Row],[N26]:[N28]])/9</f>
        <v>1.1111111111111112</v>
      </c>
      <c r="BK18" s="12">
        <f>SUM(data__22[[#This Row],[N29]:[N33]])/5</f>
        <v>2</v>
      </c>
      <c r="BL18" s="12">
        <f>SUM(data__22[[#This Row],[N34]:[N36]])/3</f>
        <v>2</v>
      </c>
    </row>
    <row r="19" spans="1:64" x14ac:dyDescent="0.3">
      <c r="A19" s="7">
        <v>22</v>
      </c>
      <c r="B19" s="7" t="s">
        <v>70</v>
      </c>
      <c r="C19" s="7" t="s">
        <v>96</v>
      </c>
      <c r="D19" s="7" t="s">
        <v>72</v>
      </c>
      <c r="E19" s="7" t="s">
        <v>73</v>
      </c>
      <c r="F19" s="7" t="s">
        <v>74</v>
      </c>
      <c r="G19" s="7" t="s">
        <v>440</v>
      </c>
      <c r="H19" s="7" t="s">
        <v>74</v>
      </c>
      <c r="I19" s="7" t="s">
        <v>76</v>
      </c>
      <c r="J19" s="7" t="s">
        <v>77</v>
      </c>
      <c r="K19" s="7" t="s">
        <v>122</v>
      </c>
      <c r="L19" s="8" t="s">
        <v>79</v>
      </c>
      <c r="M19" s="8" t="s">
        <v>80</v>
      </c>
      <c r="N19" s="8" t="s">
        <v>79</v>
      </c>
      <c r="O19" s="8" t="s">
        <v>117</v>
      </c>
      <c r="P19" s="8" t="s">
        <v>82</v>
      </c>
      <c r="Q19" s="8" t="s">
        <v>83</v>
      </c>
      <c r="R19" s="8" t="s">
        <v>79</v>
      </c>
      <c r="S19" s="8" t="s">
        <v>82</v>
      </c>
      <c r="T19" s="8" t="s">
        <v>86</v>
      </c>
      <c r="U19" s="8" t="s">
        <v>87</v>
      </c>
      <c r="V19" s="8" t="s">
        <v>112</v>
      </c>
      <c r="W19" s="9">
        <v>2</v>
      </c>
      <c r="X19" s="9">
        <v>2</v>
      </c>
      <c r="Y19" s="9">
        <v>2</v>
      </c>
      <c r="Z19" s="9">
        <v>2</v>
      </c>
      <c r="AA19" s="9">
        <v>2</v>
      </c>
      <c r="AB19" s="9">
        <v>2</v>
      </c>
      <c r="AC19" s="9">
        <v>2</v>
      </c>
      <c r="AD19" s="9">
        <v>2</v>
      </c>
      <c r="AE19" s="9">
        <v>2</v>
      </c>
      <c r="AF19" s="9">
        <v>2</v>
      </c>
      <c r="AG19" s="9">
        <v>2</v>
      </c>
      <c r="AH19" s="9">
        <v>2</v>
      </c>
      <c r="AI19" s="9">
        <v>2</v>
      </c>
      <c r="AJ19" s="9">
        <v>2</v>
      </c>
      <c r="AK19" s="9">
        <v>2</v>
      </c>
      <c r="AL19" s="10">
        <v>2</v>
      </c>
      <c r="AM19" s="10">
        <v>1</v>
      </c>
      <c r="AN19" s="10">
        <v>1</v>
      </c>
      <c r="AO19" s="10">
        <v>2</v>
      </c>
      <c r="AP19" s="10">
        <v>1</v>
      </c>
      <c r="AQ19" s="10">
        <v>2</v>
      </c>
      <c r="AR19" s="10">
        <v>2</v>
      </c>
      <c r="AS19" s="11">
        <v>2</v>
      </c>
      <c r="AT19" s="11">
        <v>1</v>
      </c>
      <c r="AU19" s="11">
        <v>1</v>
      </c>
      <c r="AV19" s="11">
        <v>2</v>
      </c>
      <c r="AW19" s="11">
        <v>2</v>
      </c>
      <c r="AX19" s="11">
        <v>1</v>
      </c>
      <c r="AY19" s="7">
        <v>2</v>
      </c>
      <c r="AZ19" s="7">
        <v>1</v>
      </c>
      <c r="BA19" s="7">
        <v>2</v>
      </c>
      <c r="BB19" s="7">
        <v>2</v>
      </c>
      <c r="BC19" s="7">
        <v>2</v>
      </c>
      <c r="BD19" s="7">
        <v>1</v>
      </c>
      <c r="BE19" s="7">
        <v>2</v>
      </c>
      <c r="BF19" s="7">
        <v>2</v>
      </c>
      <c r="BG19" s="12">
        <f>SUM(data__22[[#This Row],[N1]:[N4]],data__22[[#This Row],[N10]:[N13]],data__22[[#This Row],[N16]:[N18]])/11</f>
        <v>1.8181818181818181</v>
      </c>
      <c r="BH19" s="13">
        <f>SUM(data__22[[#This Row],[N8]:[N9]],data__22[[#This Row],[N23]:[N25]])/5</f>
        <v>1.6</v>
      </c>
      <c r="BI19" s="12">
        <f>SUM(data__22[[#This Row],[N5]:[N7]])/3</f>
        <v>2</v>
      </c>
      <c r="BJ19" s="12">
        <f>SUM(data__22[[#This Row],[N14]:[N15]],data__22[[#This Row],[N19]:[N22]],data__22[[#This Row],[N26]:[N28]])/9</f>
        <v>1.7777777777777777</v>
      </c>
      <c r="BK19" s="12">
        <f>SUM(data__22[[#This Row],[N29]:[N33]])/5</f>
        <v>1.8</v>
      </c>
      <c r="BL19" s="12">
        <f>SUM(data__22[[#This Row],[N34]:[N36]])/3</f>
        <v>1.6666666666666667</v>
      </c>
    </row>
    <row r="20" spans="1:64" x14ac:dyDescent="0.3">
      <c r="A20" s="7">
        <v>21</v>
      </c>
      <c r="B20" s="7" t="s">
        <v>70</v>
      </c>
      <c r="C20" s="7" t="s">
        <v>96</v>
      </c>
      <c r="D20" s="7" t="s">
        <v>149</v>
      </c>
      <c r="E20" s="7" t="s">
        <v>108</v>
      </c>
      <c r="F20" s="7" t="s">
        <v>74</v>
      </c>
      <c r="G20" s="7" t="s">
        <v>439</v>
      </c>
      <c r="H20" s="7" t="s">
        <v>74</v>
      </c>
      <c r="I20" s="7" t="s">
        <v>439</v>
      </c>
      <c r="J20" s="7" t="s">
        <v>77</v>
      </c>
      <c r="K20" s="7" t="s">
        <v>131</v>
      </c>
      <c r="L20" s="8" t="s">
        <v>79</v>
      </c>
      <c r="M20" s="8" t="s">
        <v>102</v>
      </c>
      <c r="N20" s="8" t="s">
        <v>82</v>
      </c>
      <c r="O20" s="8" t="s">
        <v>138</v>
      </c>
      <c r="P20" s="8" t="s">
        <v>82</v>
      </c>
      <c r="Q20" s="8" t="s">
        <v>103</v>
      </c>
      <c r="R20" s="8" t="s">
        <v>79</v>
      </c>
      <c r="S20" s="8" t="s">
        <v>79</v>
      </c>
      <c r="T20" s="8" t="s">
        <v>106</v>
      </c>
      <c r="U20" s="8" t="s">
        <v>87</v>
      </c>
      <c r="V20" s="8" t="s">
        <v>112</v>
      </c>
      <c r="W20" s="9">
        <v>2</v>
      </c>
      <c r="X20" s="9">
        <v>3</v>
      </c>
      <c r="Y20" s="9">
        <v>2</v>
      </c>
      <c r="Z20" s="9">
        <v>3</v>
      </c>
      <c r="AA20" s="9">
        <v>0</v>
      </c>
      <c r="AB20" s="9">
        <v>0</v>
      </c>
      <c r="AC20" s="9">
        <v>0</v>
      </c>
      <c r="AD20" s="9">
        <v>3</v>
      </c>
      <c r="AE20" s="9">
        <v>3</v>
      </c>
      <c r="AF20" s="9">
        <v>0</v>
      </c>
      <c r="AG20" s="9">
        <v>3</v>
      </c>
      <c r="AH20" s="9">
        <v>3</v>
      </c>
      <c r="AI20" s="9">
        <v>3</v>
      </c>
      <c r="AJ20" s="9">
        <v>0</v>
      </c>
      <c r="AK20" s="9">
        <v>0</v>
      </c>
      <c r="AL20" s="10">
        <v>3</v>
      </c>
      <c r="AM20" s="10">
        <v>3</v>
      </c>
      <c r="AN20" s="10">
        <v>3</v>
      </c>
      <c r="AO20" s="10">
        <v>0</v>
      </c>
      <c r="AP20" s="10">
        <v>0</v>
      </c>
      <c r="AQ20" s="10">
        <v>0</v>
      </c>
      <c r="AR20" s="10">
        <v>0</v>
      </c>
      <c r="AS20" s="11">
        <v>3</v>
      </c>
      <c r="AT20" s="11">
        <v>3</v>
      </c>
      <c r="AU20" s="11">
        <v>3</v>
      </c>
      <c r="AV20" s="11">
        <v>0</v>
      </c>
      <c r="AW20" s="11">
        <v>0</v>
      </c>
      <c r="AX20" s="11">
        <v>0</v>
      </c>
      <c r="AY20" s="7">
        <v>3</v>
      </c>
      <c r="AZ20" s="7">
        <v>2</v>
      </c>
      <c r="BA20" s="7">
        <v>3</v>
      </c>
      <c r="BB20" s="7">
        <v>3</v>
      </c>
      <c r="BC20" s="7">
        <v>3</v>
      </c>
      <c r="BD20" s="7">
        <v>3</v>
      </c>
      <c r="BE20" s="7">
        <v>1</v>
      </c>
      <c r="BF20" s="7">
        <v>1</v>
      </c>
      <c r="BG20" s="12">
        <f>SUM(data__22[[#This Row],[N1]:[N4]],data__22[[#This Row],[N10]:[N13]],data__22[[#This Row],[N16]:[N18]])/11</f>
        <v>2.5454545454545454</v>
      </c>
      <c r="BH20" s="13">
        <f>SUM(data__22[[#This Row],[N8]:[N9]],data__22[[#This Row],[N23]:[N25]])/5</f>
        <v>3</v>
      </c>
      <c r="BI20" s="12">
        <f>SUM(data__22[[#This Row],[N5]:[N7]])/3</f>
        <v>0</v>
      </c>
      <c r="BJ20" s="12">
        <f>SUM(data__22[[#This Row],[N14]:[N15]],data__22[[#This Row],[N19]:[N22]],data__22[[#This Row],[N26]:[N28]])/9</f>
        <v>0</v>
      </c>
      <c r="BK20" s="12">
        <f>SUM(data__22[[#This Row],[N29]:[N33]])/5</f>
        <v>2.8</v>
      </c>
      <c r="BL20" s="12">
        <f>SUM(data__22[[#This Row],[N34]:[N36]])/3</f>
        <v>1.6666666666666667</v>
      </c>
    </row>
    <row r="21" spans="1:64" x14ac:dyDescent="0.3">
      <c r="A21" s="7">
        <v>21</v>
      </c>
      <c r="B21" s="7" t="s">
        <v>128</v>
      </c>
      <c r="C21" s="7" t="s">
        <v>96</v>
      </c>
      <c r="D21" s="7" t="s">
        <v>72</v>
      </c>
      <c r="E21" s="7" t="s">
        <v>114</v>
      </c>
      <c r="F21" s="7" t="s">
        <v>74</v>
      </c>
      <c r="G21" s="7" t="s">
        <v>439</v>
      </c>
      <c r="H21" s="7" t="s">
        <v>136</v>
      </c>
      <c r="I21" s="7" t="s">
        <v>76</v>
      </c>
      <c r="J21" s="7" t="s">
        <v>77</v>
      </c>
      <c r="K21" s="7" t="s">
        <v>125</v>
      </c>
      <c r="L21" s="8" t="s">
        <v>79</v>
      </c>
      <c r="M21" s="8" t="s">
        <v>80</v>
      </c>
      <c r="N21" s="8" t="s">
        <v>79</v>
      </c>
      <c r="O21" s="8" t="s">
        <v>138</v>
      </c>
      <c r="P21" s="8" t="s">
        <v>82</v>
      </c>
      <c r="Q21" s="8" t="s">
        <v>83</v>
      </c>
      <c r="R21" s="8" t="s">
        <v>82</v>
      </c>
      <c r="S21" s="8" t="s">
        <v>82</v>
      </c>
      <c r="T21" s="8" t="s">
        <v>106</v>
      </c>
      <c r="U21" s="8" t="s">
        <v>87</v>
      </c>
      <c r="V21" s="8" t="s">
        <v>112</v>
      </c>
      <c r="W21" s="9">
        <v>0</v>
      </c>
      <c r="X21" s="9">
        <v>1</v>
      </c>
      <c r="Y21" s="9">
        <v>0</v>
      </c>
      <c r="Z21" s="9">
        <v>1</v>
      </c>
      <c r="AA21" s="9">
        <v>0</v>
      </c>
      <c r="AB21" s="9">
        <v>1</v>
      </c>
      <c r="AC21" s="9">
        <v>0</v>
      </c>
      <c r="AD21" s="9">
        <v>0</v>
      </c>
      <c r="AE21" s="9">
        <v>0</v>
      </c>
      <c r="AF21" s="9">
        <v>1</v>
      </c>
      <c r="AG21" s="9">
        <v>0</v>
      </c>
      <c r="AH21" s="9">
        <v>1</v>
      </c>
      <c r="AI21" s="9">
        <v>0</v>
      </c>
      <c r="AJ21" s="9">
        <v>0</v>
      </c>
      <c r="AK21" s="9">
        <v>1</v>
      </c>
      <c r="AL21" s="10">
        <v>3</v>
      </c>
      <c r="AM21" s="10">
        <v>3</v>
      </c>
      <c r="AN21" s="10">
        <v>3</v>
      </c>
      <c r="AO21" s="10">
        <v>1</v>
      </c>
      <c r="AP21" s="10">
        <v>2</v>
      </c>
      <c r="AQ21" s="10">
        <v>2</v>
      </c>
      <c r="AR21" s="10">
        <v>1</v>
      </c>
      <c r="AS21" s="11">
        <v>0</v>
      </c>
      <c r="AT21" s="11">
        <v>0</v>
      </c>
      <c r="AU21" s="11">
        <v>0</v>
      </c>
      <c r="AV21" s="11">
        <v>2</v>
      </c>
      <c r="AW21" s="11">
        <v>2</v>
      </c>
      <c r="AX21" s="11">
        <v>1</v>
      </c>
      <c r="AY21" s="7">
        <v>3</v>
      </c>
      <c r="AZ21" s="7">
        <v>2</v>
      </c>
      <c r="BA21" s="7">
        <v>3</v>
      </c>
      <c r="BB21" s="7">
        <v>2</v>
      </c>
      <c r="BC21" s="7">
        <v>3</v>
      </c>
      <c r="BD21" s="7">
        <v>1</v>
      </c>
      <c r="BE21" s="7">
        <v>3</v>
      </c>
      <c r="BF21" s="7">
        <v>3</v>
      </c>
      <c r="BG21" s="12">
        <f>SUM(data__22[[#This Row],[N1]:[N4]],data__22[[#This Row],[N10]:[N13]],data__22[[#This Row],[N16]:[N18]])/11</f>
        <v>1.1818181818181819</v>
      </c>
      <c r="BH21" s="13">
        <f>SUM(data__22[[#This Row],[N8]:[N9]],data__22[[#This Row],[N23]:[N25]])/5</f>
        <v>0</v>
      </c>
      <c r="BI21" s="12">
        <f>SUM(data__22[[#This Row],[N5]:[N7]])/3</f>
        <v>0.33333333333333331</v>
      </c>
      <c r="BJ21" s="12">
        <f>SUM(data__22[[#This Row],[N14]:[N15]],data__22[[#This Row],[N19]:[N22]],data__22[[#This Row],[N26]:[N28]])/9</f>
        <v>1.3333333333333333</v>
      </c>
      <c r="BK21" s="12">
        <f>SUM(data__22[[#This Row],[N29]:[N33]])/5</f>
        <v>2.6</v>
      </c>
      <c r="BL21" s="12">
        <f>SUM(data__22[[#This Row],[N34]:[N36]])/3</f>
        <v>2.3333333333333335</v>
      </c>
    </row>
    <row r="22" spans="1:64" x14ac:dyDescent="0.3">
      <c r="A22" s="7">
        <v>20</v>
      </c>
      <c r="B22" s="7" t="s">
        <v>70</v>
      </c>
      <c r="C22" s="7" t="s">
        <v>96</v>
      </c>
      <c r="D22" s="7" t="s">
        <v>72</v>
      </c>
      <c r="E22" s="7" t="s">
        <v>108</v>
      </c>
      <c r="F22" s="7" t="s">
        <v>100</v>
      </c>
      <c r="G22" s="7" t="s">
        <v>440</v>
      </c>
      <c r="H22" s="7" t="s">
        <v>98</v>
      </c>
      <c r="I22" s="7" t="s">
        <v>76</v>
      </c>
      <c r="J22" s="7" t="s">
        <v>77</v>
      </c>
      <c r="K22" s="7" t="s">
        <v>122</v>
      </c>
      <c r="L22" s="8" t="s">
        <v>82</v>
      </c>
      <c r="M22" s="8" t="s">
        <v>80</v>
      </c>
      <c r="N22" s="8" t="s">
        <v>79</v>
      </c>
      <c r="O22" s="8" t="s">
        <v>109</v>
      </c>
      <c r="P22" s="8" t="s">
        <v>79</v>
      </c>
      <c r="Q22" s="8" t="s">
        <v>83</v>
      </c>
      <c r="R22" s="8" t="s">
        <v>82</v>
      </c>
      <c r="S22" s="8" t="s">
        <v>79</v>
      </c>
      <c r="T22" s="8" t="s">
        <v>106</v>
      </c>
      <c r="U22" s="8" t="s">
        <v>120</v>
      </c>
      <c r="V22" s="8" t="s">
        <v>457</v>
      </c>
      <c r="W22" s="9">
        <v>3</v>
      </c>
      <c r="X22" s="9">
        <v>3</v>
      </c>
      <c r="Y22" s="9">
        <v>3</v>
      </c>
      <c r="Z22" s="9">
        <v>0</v>
      </c>
      <c r="AA22" s="9">
        <v>0</v>
      </c>
      <c r="AB22" s="9">
        <v>0</v>
      </c>
      <c r="AC22" s="9">
        <v>0</v>
      </c>
      <c r="AD22" s="9">
        <v>2</v>
      </c>
      <c r="AE22" s="9">
        <v>2</v>
      </c>
      <c r="AF22" s="9">
        <v>2</v>
      </c>
      <c r="AG22" s="9">
        <v>2</v>
      </c>
      <c r="AH22" s="9">
        <v>2</v>
      </c>
      <c r="AI22" s="9">
        <v>2</v>
      </c>
      <c r="AJ22" s="9">
        <v>2</v>
      </c>
      <c r="AK22" s="9">
        <v>0</v>
      </c>
      <c r="AL22" s="10">
        <v>2</v>
      </c>
      <c r="AM22" s="10">
        <v>2</v>
      </c>
      <c r="AN22" s="10">
        <v>2</v>
      </c>
      <c r="AO22" s="10">
        <v>2</v>
      </c>
      <c r="AP22" s="10">
        <v>2</v>
      </c>
      <c r="AQ22" s="10">
        <v>2</v>
      </c>
      <c r="AR22" s="10">
        <v>2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7">
        <v>0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12">
        <f>SUM(data__22[[#This Row],[N1]:[N4]],data__22[[#This Row],[N10]:[N13]],data__22[[#This Row],[N16]:[N18]])/11</f>
        <v>2.0909090909090908</v>
      </c>
      <c r="BH22" s="13">
        <f>SUM(data__22[[#This Row],[N8]:[N9]],data__22[[#This Row],[N23]:[N25]])/5</f>
        <v>0.8</v>
      </c>
      <c r="BI22" s="12">
        <f>SUM(data__22[[#This Row],[N5]:[N7]])/3</f>
        <v>0</v>
      </c>
      <c r="BJ22" s="12">
        <f>SUM(data__22[[#This Row],[N14]:[N15]],data__22[[#This Row],[N19]:[N22]],data__22[[#This Row],[N26]:[N28]])/9</f>
        <v>1.1111111111111112</v>
      </c>
      <c r="BK22" s="12">
        <f>SUM(data__22[[#This Row],[N29]:[N33]])/5</f>
        <v>0.8</v>
      </c>
      <c r="BL22" s="12">
        <f>SUM(data__22[[#This Row],[N34]:[N36]])/3</f>
        <v>1</v>
      </c>
    </row>
    <row r="23" spans="1:64" x14ac:dyDescent="0.3">
      <c r="A23" s="7">
        <v>21</v>
      </c>
      <c r="B23" s="7" t="s">
        <v>70</v>
      </c>
      <c r="C23" s="7" t="s">
        <v>96</v>
      </c>
      <c r="D23" s="7" t="s">
        <v>72</v>
      </c>
      <c r="E23" s="7" t="s">
        <v>108</v>
      </c>
      <c r="F23" s="7" t="s">
        <v>74</v>
      </c>
      <c r="G23" s="7" t="s">
        <v>439</v>
      </c>
      <c r="H23" s="7" t="s">
        <v>74</v>
      </c>
      <c r="I23" s="7" t="s">
        <v>439</v>
      </c>
      <c r="J23" s="7" t="s">
        <v>77</v>
      </c>
      <c r="K23" s="7" t="s">
        <v>78</v>
      </c>
      <c r="L23" s="8" t="s">
        <v>79</v>
      </c>
      <c r="M23" s="8" t="s">
        <v>80</v>
      </c>
      <c r="N23" s="8" t="s">
        <v>79</v>
      </c>
      <c r="O23" s="8" t="s">
        <v>117</v>
      </c>
      <c r="P23" s="8" t="s">
        <v>79</v>
      </c>
      <c r="Q23" s="8" t="s">
        <v>83</v>
      </c>
      <c r="R23" s="8" t="s">
        <v>82</v>
      </c>
      <c r="S23" s="8" t="s">
        <v>82</v>
      </c>
      <c r="T23" s="8" t="s">
        <v>86</v>
      </c>
      <c r="U23" s="8" t="s">
        <v>120</v>
      </c>
      <c r="V23" s="8" t="s">
        <v>127</v>
      </c>
      <c r="W23" s="9">
        <v>2</v>
      </c>
      <c r="X23" s="9">
        <v>2</v>
      </c>
      <c r="Y23" s="9">
        <v>2</v>
      </c>
      <c r="Z23" s="9">
        <v>2</v>
      </c>
      <c r="AA23" s="9">
        <v>1</v>
      </c>
      <c r="AB23" s="9">
        <v>1</v>
      </c>
      <c r="AC23" s="9">
        <v>1</v>
      </c>
      <c r="AD23" s="9">
        <v>0</v>
      </c>
      <c r="AE23" s="9">
        <v>2</v>
      </c>
      <c r="AF23" s="9">
        <v>0</v>
      </c>
      <c r="AG23" s="9">
        <v>2</v>
      </c>
      <c r="AH23" s="9">
        <v>2</v>
      </c>
      <c r="AI23" s="9">
        <v>2</v>
      </c>
      <c r="AJ23" s="9">
        <v>1</v>
      </c>
      <c r="AK23" s="9">
        <v>1</v>
      </c>
      <c r="AL23" s="10">
        <v>2</v>
      </c>
      <c r="AM23" s="10">
        <v>0</v>
      </c>
      <c r="AN23" s="10">
        <v>1</v>
      </c>
      <c r="AO23" s="10">
        <v>1</v>
      </c>
      <c r="AP23" s="10">
        <v>1</v>
      </c>
      <c r="AQ23" s="10">
        <v>0</v>
      </c>
      <c r="AR23" s="10">
        <v>0</v>
      </c>
      <c r="AS23" s="11">
        <v>0</v>
      </c>
      <c r="AT23" s="11">
        <v>0</v>
      </c>
      <c r="AU23" s="11">
        <v>0</v>
      </c>
      <c r="AV23" s="11">
        <v>1</v>
      </c>
      <c r="AW23" s="11">
        <v>2</v>
      </c>
      <c r="AX23" s="11">
        <v>0</v>
      </c>
      <c r="AY23" s="7">
        <v>2</v>
      </c>
      <c r="AZ23" s="7">
        <v>3</v>
      </c>
      <c r="BA23" s="7">
        <v>3</v>
      </c>
      <c r="BB23" s="7">
        <v>3</v>
      </c>
      <c r="BC23" s="7">
        <v>3</v>
      </c>
      <c r="BD23" s="7">
        <v>0</v>
      </c>
      <c r="BE23" s="7">
        <v>0</v>
      </c>
      <c r="BF23" s="7">
        <v>0</v>
      </c>
      <c r="BG23" s="12">
        <f>SUM(data__22[[#This Row],[N1]:[N4]],data__22[[#This Row],[N10]:[N13]],data__22[[#This Row],[N16]:[N18]])/11</f>
        <v>1.5454545454545454</v>
      </c>
      <c r="BH23" s="13">
        <f>SUM(data__22[[#This Row],[N8]:[N9]],data__22[[#This Row],[N23]:[N25]])/5</f>
        <v>0.4</v>
      </c>
      <c r="BI23" s="12">
        <f>SUM(data__22[[#This Row],[N5]:[N7]])/3</f>
        <v>1</v>
      </c>
      <c r="BJ23" s="12">
        <f>SUM(data__22[[#This Row],[N14]:[N15]],data__22[[#This Row],[N19]:[N22]],data__22[[#This Row],[N26]:[N28]])/9</f>
        <v>0.77777777777777779</v>
      </c>
      <c r="BK23" s="12">
        <f>SUM(data__22[[#This Row],[N29]:[N33]])/5</f>
        <v>2.8</v>
      </c>
      <c r="BL23" s="12">
        <f>SUM(data__22[[#This Row],[N34]:[N36]])/3</f>
        <v>0</v>
      </c>
    </row>
    <row r="24" spans="1:64" x14ac:dyDescent="0.3">
      <c r="A24" s="7">
        <v>27</v>
      </c>
      <c r="B24" s="7" t="s">
        <v>70</v>
      </c>
      <c r="C24" s="7" t="s">
        <v>153</v>
      </c>
      <c r="D24" s="7" t="s">
        <v>97</v>
      </c>
      <c r="E24" s="7" t="s">
        <v>73</v>
      </c>
      <c r="F24" s="7" t="s">
        <v>136</v>
      </c>
      <c r="G24" s="7" t="s">
        <v>440</v>
      </c>
      <c r="H24" s="7" t="s">
        <v>98</v>
      </c>
      <c r="I24" s="7" t="s">
        <v>76</v>
      </c>
      <c r="J24" s="7" t="s">
        <v>77</v>
      </c>
      <c r="K24" s="7" t="s">
        <v>78</v>
      </c>
      <c r="L24" s="8" t="s">
        <v>79</v>
      </c>
      <c r="M24" s="8" t="s">
        <v>80</v>
      </c>
      <c r="N24" s="8" t="s">
        <v>79</v>
      </c>
      <c r="O24" s="8" t="s">
        <v>109</v>
      </c>
      <c r="P24" s="8" t="s">
        <v>79</v>
      </c>
      <c r="Q24" s="8" t="s">
        <v>83</v>
      </c>
      <c r="R24" s="8" t="s">
        <v>79</v>
      </c>
      <c r="S24" s="8" t="s">
        <v>82</v>
      </c>
      <c r="T24" s="8" t="s">
        <v>148</v>
      </c>
      <c r="U24" s="8" t="s">
        <v>141</v>
      </c>
      <c r="V24" s="8" t="s">
        <v>112</v>
      </c>
      <c r="W24" s="9">
        <v>2</v>
      </c>
      <c r="X24" s="9">
        <v>3</v>
      </c>
      <c r="Y24" s="9">
        <v>2</v>
      </c>
      <c r="Z24" s="9">
        <v>3</v>
      </c>
      <c r="AA24" s="9">
        <v>3</v>
      </c>
      <c r="AB24" s="9">
        <v>3</v>
      </c>
      <c r="AC24" s="9">
        <v>2</v>
      </c>
      <c r="AD24" s="9">
        <v>0</v>
      </c>
      <c r="AE24" s="9">
        <v>0</v>
      </c>
      <c r="AF24" s="9">
        <v>3</v>
      </c>
      <c r="AG24" s="9">
        <v>3</v>
      </c>
      <c r="AH24" s="9">
        <v>0</v>
      </c>
      <c r="AI24" s="9">
        <v>1</v>
      </c>
      <c r="AJ24" s="9">
        <v>2</v>
      </c>
      <c r="AK24" s="9">
        <v>0</v>
      </c>
      <c r="AL24" s="10">
        <v>3</v>
      </c>
      <c r="AM24" s="10">
        <v>3</v>
      </c>
      <c r="AN24" s="10">
        <v>3</v>
      </c>
      <c r="AO24" s="10">
        <v>0</v>
      </c>
      <c r="AP24" s="10">
        <v>0</v>
      </c>
      <c r="AQ24" s="10">
        <v>0</v>
      </c>
      <c r="AR24" s="10">
        <v>2</v>
      </c>
      <c r="AS24" s="11">
        <v>2</v>
      </c>
      <c r="AT24" s="11">
        <v>1</v>
      </c>
      <c r="AU24" s="11">
        <v>1</v>
      </c>
      <c r="AV24" s="11">
        <v>2</v>
      </c>
      <c r="AW24" s="11">
        <v>1</v>
      </c>
      <c r="AX24" s="11">
        <v>1</v>
      </c>
      <c r="AY24" s="7">
        <v>3</v>
      </c>
      <c r="AZ24" s="7">
        <v>3</v>
      </c>
      <c r="BA24" s="7">
        <v>3</v>
      </c>
      <c r="BB24" s="7">
        <v>3</v>
      </c>
      <c r="BC24" s="7">
        <v>3</v>
      </c>
      <c r="BD24" s="7">
        <v>1</v>
      </c>
      <c r="BE24" s="7">
        <v>2</v>
      </c>
      <c r="BF24" s="7">
        <v>1</v>
      </c>
      <c r="BG24" s="12">
        <f>SUM(data__22[[#This Row],[N1]:[N4]],data__22[[#This Row],[N10]:[N13]],data__22[[#This Row],[N16]:[N18]])/11</f>
        <v>2.3636363636363638</v>
      </c>
      <c r="BH24" s="13">
        <f>SUM(data__22[[#This Row],[N8]:[N9]],data__22[[#This Row],[N23]:[N25]])/5</f>
        <v>0.8</v>
      </c>
      <c r="BI24" s="12">
        <f>SUM(data__22[[#This Row],[N5]:[N7]])/3</f>
        <v>2.6666666666666665</v>
      </c>
      <c r="BJ24" s="12">
        <f>SUM(data__22[[#This Row],[N14]:[N15]],data__22[[#This Row],[N19]:[N22]],data__22[[#This Row],[N26]:[N28]])/9</f>
        <v>0.88888888888888884</v>
      </c>
      <c r="BK24" s="12">
        <f>SUM(data__22[[#This Row],[N29]:[N33]])/5</f>
        <v>3</v>
      </c>
      <c r="BL24" s="12">
        <f>SUM(data__22[[#This Row],[N34]:[N36]])/3</f>
        <v>1.3333333333333333</v>
      </c>
    </row>
    <row r="25" spans="1:64" x14ac:dyDescent="0.3">
      <c r="A25" s="7">
        <v>23</v>
      </c>
      <c r="B25" s="7" t="s">
        <v>70</v>
      </c>
      <c r="C25" s="7" t="s">
        <v>96</v>
      </c>
      <c r="D25" s="7" t="s">
        <v>149</v>
      </c>
      <c r="E25" s="7" t="s">
        <v>73</v>
      </c>
      <c r="F25" s="7" t="s">
        <v>136</v>
      </c>
      <c r="G25" s="7" t="s">
        <v>439</v>
      </c>
      <c r="H25" s="7" t="s">
        <v>136</v>
      </c>
      <c r="I25" s="7" t="s">
        <v>76</v>
      </c>
      <c r="J25" s="7" t="s">
        <v>77</v>
      </c>
      <c r="K25" s="7" t="s">
        <v>122</v>
      </c>
      <c r="L25" s="8" t="s">
        <v>79</v>
      </c>
      <c r="M25" s="8" t="s">
        <v>80</v>
      </c>
      <c r="N25" s="8" t="s">
        <v>79</v>
      </c>
      <c r="O25" s="8" t="s">
        <v>81</v>
      </c>
      <c r="P25" s="8" t="s">
        <v>79</v>
      </c>
      <c r="Q25" s="8" t="s">
        <v>83</v>
      </c>
      <c r="R25" s="8" t="s">
        <v>79</v>
      </c>
      <c r="S25" s="8" t="s">
        <v>79</v>
      </c>
      <c r="T25" s="8" t="s">
        <v>106</v>
      </c>
      <c r="U25" s="8" t="s">
        <v>141</v>
      </c>
      <c r="V25" s="8" t="s">
        <v>112</v>
      </c>
      <c r="W25" s="9">
        <v>2</v>
      </c>
      <c r="X25" s="9">
        <v>1</v>
      </c>
      <c r="Y25" s="9">
        <v>2</v>
      </c>
      <c r="Z25" s="9">
        <v>1</v>
      </c>
      <c r="AA25" s="9">
        <v>2</v>
      </c>
      <c r="AB25" s="9">
        <v>1</v>
      </c>
      <c r="AC25" s="9">
        <v>2</v>
      </c>
      <c r="AD25" s="9">
        <v>1</v>
      </c>
      <c r="AE25" s="9">
        <v>2</v>
      </c>
      <c r="AF25" s="9">
        <v>0</v>
      </c>
      <c r="AG25" s="9">
        <v>2</v>
      </c>
      <c r="AH25" s="9">
        <v>1</v>
      </c>
      <c r="AI25" s="9">
        <v>1</v>
      </c>
      <c r="AJ25" s="9">
        <v>1</v>
      </c>
      <c r="AK25" s="9">
        <v>1</v>
      </c>
      <c r="AL25" s="10">
        <v>1</v>
      </c>
      <c r="AM25" s="10">
        <v>2</v>
      </c>
      <c r="AN25" s="10">
        <v>1</v>
      </c>
      <c r="AO25" s="10">
        <v>1</v>
      </c>
      <c r="AP25" s="10">
        <v>1</v>
      </c>
      <c r="AQ25" s="10">
        <v>1</v>
      </c>
      <c r="AR25" s="10">
        <v>1</v>
      </c>
      <c r="AS25" s="11">
        <v>1</v>
      </c>
      <c r="AT25" s="11">
        <v>1</v>
      </c>
      <c r="AU25" s="11">
        <v>1</v>
      </c>
      <c r="AV25" s="11">
        <v>1</v>
      </c>
      <c r="AW25" s="11">
        <v>1</v>
      </c>
      <c r="AX25" s="11">
        <v>1</v>
      </c>
      <c r="AY25" s="7">
        <v>1</v>
      </c>
      <c r="AZ25" s="7">
        <v>1</v>
      </c>
      <c r="BA25" s="7">
        <v>1</v>
      </c>
      <c r="BB25" s="7">
        <v>1</v>
      </c>
      <c r="BC25" s="7">
        <v>2</v>
      </c>
      <c r="BD25" s="7">
        <v>2</v>
      </c>
      <c r="BE25" s="7">
        <v>2</v>
      </c>
      <c r="BF25" s="7">
        <v>1</v>
      </c>
      <c r="BG25" s="12">
        <f>SUM(data__22[[#This Row],[N1]:[N4]],data__22[[#This Row],[N10]:[N13]],data__22[[#This Row],[N16]:[N18]])/11</f>
        <v>1.2727272727272727</v>
      </c>
      <c r="BH25" s="13">
        <f>SUM(data__22[[#This Row],[N8]:[N9]],data__22[[#This Row],[N23]:[N25]])/5</f>
        <v>1.2</v>
      </c>
      <c r="BI25" s="12">
        <f>SUM(data__22[[#This Row],[N5]:[N7]])/3</f>
        <v>1.6666666666666667</v>
      </c>
      <c r="BJ25" s="12">
        <f>SUM(data__22[[#This Row],[N14]:[N15]],data__22[[#This Row],[N19]:[N22]],data__22[[#This Row],[N26]:[N28]])/9</f>
        <v>1</v>
      </c>
      <c r="BK25" s="12">
        <f>SUM(data__22[[#This Row],[N29]:[N33]])/5</f>
        <v>1.2</v>
      </c>
      <c r="BL25" s="12">
        <f>SUM(data__22[[#This Row],[N34]:[N36]])/3</f>
        <v>1.6666666666666667</v>
      </c>
    </row>
    <row r="26" spans="1:64" x14ac:dyDescent="0.3">
      <c r="A26" s="7">
        <v>21</v>
      </c>
      <c r="B26" s="7" t="s">
        <v>70</v>
      </c>
      <c r="C26" s="7" t="s">
        <v>96</v>
      </c>
      <c r="D26" s="7" t="s">
        <v>97</v>
      </c>
      <c r="E26" s="7" t="s">
        <v>108</v>
      </c>
      <c r="F26" s="7" t="s">
        <v>74</v>
      </c>
      <c r="G26" s="7" t="s">
        <v>99</v>
      </c>
      <c r="H26" s="7" t="s">
        <v>136</v>
      </c>
      <c r="I26" s="7" t="s">
        <v>76</v>
      </c>
      <c r="J26" s="7" t="s">
        <v>101</v>
      </c>
      <c r="K26" s="7" t="s">
        <v>131</v>
      </c>
      <c r="L26" s="8" t="s">
        <v>79</v>
      </c>
      <c r="M26" s="8" t="s">
        <v>80</v>
      </c>
      <c r="N26" s="8" t="s">
        <v>79</v>
      </c>
      <c r="O26" s="8" t="s">
        <v>109</v>
      </c>
      <c r="P26" s="8" t="s">
        <v>79</v>
      </c>
      <c r="Q26" s="8" t="s">
        <v>83</v>
      </c>
      <c r="R26" s="8" t="s">
        <v>82</v>
      </c>
      <c r="S26" s="8" t="s">
        <v>82</v>
      </c>
      <c r="T26" s="8" t="s">
        <v>86</v>
      </c>
      <c r="U26" s="8" t="s">
        <v>87</v>
      </c>
      <c r="V26" s="8" t="s">
        <v>112</v>
      </c>
      <c r="W26" s="9">
        <v>1</v>
      </c>
      <c r="X26" s="9">
        <v>1</v>
      </c>
      <c r="Y26" s="9">
        <v>2</v>
      </c>
      <c r="Z26" s="9">
        <v>1</v>
      </c>
      <c r="AA26" s="9">
        <v>2</v>
      </c>
      <c r="AB26" s="9">
        <v>2</v>
      </c>
      <c r="AC26" s="9">
        <v>1</v>
      </c>
      <c r="AD26" s="9">
        <v>2</v>
      </c>
      <c r="AE26" s="9">
        <v>1</v>
      </c>
      <c r="AF26" s="9">
        <v>2</v>
      </c>
      <c r="AG26" s="9">
        <v>1</v>
      </c>
      <c r="AH26" s="9">
        <v>0</v>
      </c>
      <c r="AI26" s="9">
        <v>0</v>
      </c>
      <c r="AJ26" s="9">
        <v>1</v>
      </c>
      <c r="AK26" s="9">
        <v>1</v>
      </c>
      <c r="AL26" s="10">
        <v>1</v>
      </c>
      <c r="AM26" s="10">
        <v>1</v>
      </c>
      <c r="AN26" s="10">
        <v>2</v>
      </c>
      <c r="AO26" s="10">
        <v>0</v>
      </c>
      <c r="AP26" s="10">
        <v>1</v>
      </c>
      <c r="AQ26" s="10">
        <v>2</v>
      </c>
      <c r="AR26" s="10">
        <v>0</v>
      </c>
      <c r="AS26" s="11">
        <v>1</v>
      </c>
      <c r="AT26" s="11">
        <v>2</v>
      </c>
      <c r="AU26" s="11">
        <v>1</v>
      </c>
      <c r="AV26" s="11">
        <v>0</v>
      </c>
      <c r="AW26" s="11">
        <v>0</v>
      </c>
      <c r="AX26" s="11">
        <v>1</v>
      </c>
      <c r="AY26" s="7">
        <v>2</v>
      </c>
      <c r="AZ26" s="7">
        <v>3</v>
      </c>
      <c r="BA26" s="7">
        <v>2</v>
      </c>
      <c r="BB26" s="7">
        <v>1</v>
      </c>
      <c r="BC26" s="7">
        <v>3</v>
      </c>
      <c r="BD26" s="7">
        <v>3</v>
      </c>
      <c r="BE26" s="7">
        <v>3</v>
      </c>
      <c r="BF26" s="7">
        <v>1</v>
      </c>
      <c r="BG26" s="12">
        <f>SUM(data__22[[#This Row],[N1]:[N4]],data__22[[#This Row],[N10]:[N13]],data__22[[#This Row],[N16]:[N18]])/11</f>
        <v>1.0909090909090908</v>
      </c>
      <c r="BH26" s="13">
        <f>SUM(data__22[[#This Row],[N8]:[N9]],data__22[[#This Row],[N23]:[N25]])/5</f>
        <v>1.4</v>
      </c>
      <c r="BI26" s="12">
        <f>SUM(data__22[[#This Row],[N5]:[N7]])/3</f>
        <v>1.6666666666666667</v>
      </c>
      <c r="BJ26" s="12">
        <f>SUM(data__22[[#This Row],[N14]:[N15]],data__22[[#This Row],[N19]:[N22]],data__22[[#This Row],[N26]:[N28]])/9</f>
        <v>0.66666666666666663</v>
      </c>
      <c r="BK26" s="12">
        <f>SUM(data__22[[#This Row],[N29]:[N33]])/5</f>
        <v>2.2000000000000002</v>
      </c>
      <c r="BL26" s="12">
        <f>SUM(data__22[[#This Row],[N34]:[N36]])/3</f>
        <v>2.3333333333333335</v>
      </c>
    </row>
    <row r="27" spans="1:64" x14ac:dyDescent="0.3">
      <c r="A27" s="7">
        <v>21</v>
      </c>
      <c r="B27" s="7" t="s">
        <v>70</v>
      </c>
      <c r="C27" s="7" t="s">
        <v>96</v>
      </c>
      <c r="D27" s="7" t="s">
        <v>72</v>
      </c>
      <c r="E27" s="7" t="s">
        <v>73</v>
      </c>
      <c r="F27" s="7" t="s">
        <v>74</v>
      </c>
      <c r="G27" s="7" t="s">
        <v>439</v>
      </c>
      <c r="H27" s="7" t="s">
        <v>74</v>
      </c>
      <c r="I27" s="7" t="s">
        <v>439</v>
      </c>
      <c r="J27" s="7" t="s">
        <v>77</v>
      </c>
      <c r="K27" s="7" t="s">
        <v>78</v>
      </c>
      <c r="L27" s="8" t="s">
        <v>79</v>
      </c>
      <c r="M27" s="8" t="s">
        <v>80</v>
      </c>
      <c r="N27" s="8" t="s">
        <v>79</v>
      </c>
      <c r="O27" s="8" t="s">
        <v>109</v>
      </c>
      <c r="P27" s="8" t="s">
        <v>79</v>
      </c>
      <c r="Q27" s="8" t="s">
        <v>83</v>
      </c>
      <c r="R27" s="8" t="s">
        <v>79</v>
      </c>
      <c r="S27" s="8" t="s">
        <v>79</v>
      </c>
      <c r="T27" s="8" t="s">
        <v>106</v>
      </c>
      <c r="U27" s="8" t="s">
        <v>120</v>
      </c>
      <c r="V27" s="8" t="s">
        <v>112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12">
        <f>SUM(data__22[[#This Row],[N1]:[N4]],data__22[[#This Row],[N10]:[N13]],data__22[[#This Row],[N16]:[N18]])/11</f>
        <v>0</v>
      </c>
      <c r="BH27" s="13">
        <f>SUM(data__22[[#This Row],[N8]:[N9]],data__22[[#This Row],[N23]:[N25]])/5</f>
        <v>0</v>
      </c>
      <c r="BI27" s="12">
        <f>SUM(data__22[[#This Row],[N5]:[N7]])/3</f>
        <v>0</v>
      </c>
      <c r="BJ27" s="12">
        <f>SUM(data__22[[#This Row],[N14]:[N15]],data__22[[#This Row],[N19]:[N22]],data__22[[#This Row],[N26]:[N28]])/9</f>
        <v>0</v>
      </c>
      <c r="BK27" s="12">
        <f>SUM(data__22[[#This Row],[N29]:[N33]])/5</f>
        <v>0</v>
      </c>
      <c r="BL27" s="12">
        <f>SUM(data__22[[#This Row],[N34]:[N36]])/3</f>
        <v>0</v>
      </c>
    </row>
    <row r="28" spans="1:64" x14ac:dyDescent="0.3">
      <c r="A28" s="7">
        <v>20</v>
      </c>
      <c r="B28" s="7" t="s">
        <v>70</v>
      </c>
      <c r="C28" s="7" t="s">
        <v>96</v>
      </c>
      <c r="D28" s="7" t="s">
        <v>97</v>
      </c>
      <c r="E28" s="7" t="s">
        <v>73</v>
      </c>
      <c r="F28" s="7" t="s">
        <v>98</v>
      </c>
      <c r="G28" s="7" t="s">
        <v>440</v>
      </c>
      <c r="H28" s="7" t="s">
        <v>100</v>
      </c>
      <c r="I28" s="7" t="s">
        <v>76</v>
      </c>
      <c r="J28" s="7" t="s">
        <v>77</v>
      </c>
      <c r="K28" s="7" t="s">
        <v>125</v>
      </c>
      <c r="L28" s="8" t="s">
        <v>79</v>
      </c>
      <c r="M28" s="8" t="s">
        <v>80</v>
      </c>
      <c r="N28" s="8" t="s">
        <v>79</v>
      </c>
      <c r="O28" s="8" t="s">
        <v>138</v>
      </c>
      <c r="P28" s="8" t="s">
        <v>79</v>
      </c>
      <c r="Q28" s="8" t="s">
        <v>83</v>
      </c>
      <c r="R28" s="8" t="s">
        <v>79</v>
      </c>
      <c r="S28" s="8" t="s">
        <v>82</v>
      </c>
      <c r="T28" s="8" t="s">
        <v>86</v>
      </c>
      <c r="U28" s="8" t="s">
        <v>141</v>
      </c>
      <c r="V28" s="8" t="s">
        <v>112</v>
      </c>
      <c r="W28" s="9">
        <v>2</v>
      </c>
      <c r="X28" s="9">
        <v>2</v>
      </c>
      <c r="Y28" s="9">
        <v>2</v>
      </c>
      <c r="Z28" s="9">
        <v>1</v>
      </c>
      <c r="AA28" s="9">
        <v>1</v>
      </c>
      <c r="AB28" s="9">
        <v>1</v>
      </c>
      <c r="AC28" s="9">
        <v>1</v>
      </c>
      <c r="AD28" s="9">
        <v>2</v>
      </c>
      <c r="AE28" s="9">
        <v>2</v>
      </c>
      <c r="AF28" s="9">
        <v>1</v>
      </c>
      <c r="AG28" s="9">
        <v>2</v>
      </c>
      <c r="AH28" s="9">
        <v>2</v>
      </c>
      <c r="AI28" s="9">
        <v>3</v>
      </c>
      <c r="AJ28" s="9">
        <v>2</v>
      </c>
      <c r="AK28" s="9">
        <v>2</v>
      </c>
      <c r="AL28" s="10">
        <v>2</v>
      </c>
      <c r="AM28" s="10">
        <v>2</v>
      </c>
      <c r="AN28" s="10">
        <v>1</v>
      </c>
      <c r="AO28" s="10">
        <v>1</v>
      </c>
      <c r="AP28" s="10">
        <v>1</v>
      </c>
      <c r="AQ28" s="10">
        <v>1</v>
      </c>
      <c r="AR28" s="10">
        <v>1</v>
      </c>
      <c r="AS28" s="11">
        <v>2</v>
      </c>
      <c r="AT28" s="11">
        <v>1</v>
      </c>
      <c r="AU28" s="11">
        <v>2</v>
      </c>
      <c r="AV28" s="11">
        <v>1</v>
      </c>
      <c r="AW28" s="11">
        <v>2</v>
      </c>
      <c r="AX28" s="11">
        <v>1</v>
      </c>
      <c r="AY28" s="7">
        <v>1</v>
      </c>
      <c r="AZ28" s="7">
        <v>1</v>
      </c>
      <c r="BA28" s="7">
        <v>2</v>
      </c>
      <c r="BB28" s="7">
        <v>2</v>
      </c>
      <c r="BC28" s="7">
        <v>1</v>
      </c>
      <c r="BD28" s="7">
        <v>2</v>
      </c>
      <c r="BE28" s="7">
        <v>2</v>
      </c>
      <c r="BF28" s="7">
        <v>1</v>
      </c>
      <c r="BG28" s="12">
        <f>SUM(data__22[[#This Row],[N1]:[N4]],data__22[[#This Row],[N10]:[N13]],data__22[[#This Row],[N16]:[N18]])/11</f>
        <v>1.8181818181818181</v>
      </c>
      <c r="BH28" s="13">
        <f>SUM(data__22[[#This Row],[N8]:[N9]],data__22[[#This Row],[N23]:[N25]])/5</f>
        <v>1.8</v>
      </c>
      <c r="BI28" s="12">
        <f>SUM(data__22[[#This Row],[N5]:[N7]])/3</f>
        <v>1</v>
      </c>
      <c r="BJ28" s="12">
        <f>SUM(data__22[[#This Row],[N14]:[N15]],data__22[[#This Row],[N19]:[N22]],data__22[[#This Row],[N26]:[N28]])/9</f>
        <v>1.3333333333333333</v>
      </c>
      <c r="BK28" s="12">
        <f>SUM(data__22[[#This Row],[N29]:[N33]])/5</f>
        <v>1.4</v>
      </c>
      <c r="BL28" s="12">
        <f>SUM(data__22[[#This Row],[N34]:[N36]])/3</f>
        <v>1.6666666666666667</v>
      </c>
    </row>
    <row r="29" spans="1:64" x14ac:dyDescent="0.3">
      <c r="A29" s="7">
        <v>22</v>
      </c>
      <c r="B29" s="7" t="s">
        <v>70</v>
      </c>
      <c r="C29" s="7" t="s">
        <v>113</v>
      </c>
      <c r="D29" s="7" t="s">
        <v>72</v>
      </c>
      <c r="E29" s="7" t="s">
        <v>108</v>
      </c>
      <c r="F29" s="7" t="s">
        <v>98</v>
      </c>
      <c r="G29" s="7" t="s">
        <v>440</v>
      </c>
      <c r="H29" s="7" t="s">
        <v>98</v>
      </c>
      <c r="I29" s="7" t="s">
        <v>76</v>
      </c>
      <c r="J29" s="7" t="s">
        <v>77</v>
      </c>
      <c r="K29" s="7" t="s">
        <v>125</v>
      </c>
      <c r="L29" s="8" t="s">
        <v>79</v>
      </c>
      <c r="M29" s="8" t="s">
        <v>80</v>
      </c>
      <c r="N29" s="8" t="s">
        <v>79</v>
      </c>
      <c r="O29" s="8" t="s">
        <v>109</v>
      </c>
      <c r="P29" s="8" t="s">
        <v>79</v>
      </c>
      <c r="Q29" s="8" t="s">
        <v>83</v>
      </c>
      <c r="R29" s="8" t="s">
        <v>79</v>
      </c>
      <c r="S29" s="8" t="s">
        <v>79</v>
      </c>
      <c r="T29" s="8" t="s">
        <v>106</v>
      </c>
      <c r="U29" s="8" t="s">
        <v>141</v>
      </c>
      <c r="V29" s="8" t="s">
        <v>112</v>
      </c>
      <c r="W29" s="9">
        <v>1</v>
      </c>
      <c r="X29" s="9">
        <v>2</v>
      </c>
      <c r="Y29" s="9">
        <v>1</v>
      </c>
      <c r="Z29" s="9">
        <v>1</v>
      </c>
      <c r="AA29" s="9">
        <v>2</v>
      </c>
      <c r="AB29" s="9">
        <v>2</v>
      </c>
      <c r="AC29" s="9">
        <v>2</v>
      </c>
      <c r="AD29" s="9">
        <v>2</v>
      </c>
      <c r="AE29" s="9">
        <v>1</v>
      </c>
      <c r="AF29" s="9">
        <v>1</v>
      </c>
      <c r="AG29" s="9">
        <v>2</v>
      </c>
      <c r="AH29" s="9">
        <v>1</v>
      </c>
      <c r="AI29" s="9">
        <v>2</v>
      </c>
      <c r="AJ29" s="9">
        <v>1</v>
      </c>
      <c r="AK29" s="9">
        <v>2</v>
      </c>
      <c r="AL29" s="10">
        <v>2</v>
      </c>
      <c r="AM29" s="10">
        <v>1</v>
      </c>
      <c r="AN29" s="10">
        <v>2</v>
      </c>
      <c r="AO29" s="10">
        <v>1</v>
      </c>
      <c r="AP29" s="10">
        <v>2</v>
      </c>
      <c r="AQ29" s="10">
        <v>1</v>
      </c>
      <c r="AR29" s="10">
        <v>2</v>
      </c>
      <c r="AS29" s="11">
        <v>1</v>
      </c>
      <c r="AT29" s="11">
        <v>2</v>
      </c>
      <c r="AU29" s="11">
        <v>1</v>
      </c>
      <c r="AV29" s="11">
        <v>2</v>
      </c>
      <c r="AW29" s="11">
        <v>1</v>
      </c>
      <c r="AX29" s="11">
        <v>2</v>
      </c>
      <c r="AY29" s="7">
        <v>1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2</v>
      </c>
      <c r="BG29" s="12">
        <f>SUM(data__22[[#This Row],[N1]:[N4]],data__22[[#This Row],[N10]:[N13]],data__22[[#This Row],[N16]:[N18]])/11</f>
        <v>1.4545454545454546</v>
      </c>
      <c r="BH29" s="13">
        <f>SUM(data__22[[#This Row],[N8]:[N9]],data__22[[#This Row],[N23]:[N25]])/5</f>
        <v>1.4</v>
      </c>
      <c r="BI29" s="12">
        <f>SUM(data__22[[#This Row],[N5]:[N7]])/3</f>
        <v>2</v>
      </c>
      <c r="BJ29" s="12">
        <f>SUM(data__22[[#This Row],[N14]:[N15]],data__22[[#This Row],[N19]:[N22]],data__22[[#This Row],[N26]:[N28]])/9</f>
        <v>1.5555555555555556</v>
      </c>
      <c r="BK29" s="12">
        <f>SUM(data__22[[#This Row],[N29]:[N33]])/5</f>
        <v>1</v>
      </c>
      <c r="BL29" s="12">
        <f>SUM(data__22[[#This Row],[N34]:[N36]])/3</f>
        <v>1.3333333333333333</v>
      </c>
    </row>
    <row r="30" spans="1:64" x14ac:dyDescent="0.3">
      <c r="A30" s="7">
        <v>22</v>
      </c>
      <c r="B30" s="7" t="s">
        <v>70</v>
      </c>
      <c r="C30" s="7" t="s">
        <v>96</v>
      </c>
      <c r="D30" s="7" t="s">
        <v>97</v>
      </c>
      <c r="E30" s="7" t="s">
        <v>108</v>
      </c>
      <c r="F30" s="7" t="s">
        <v>136</v>
      </c>
      <c r="G30" s="7" t="s">
        <v>99</v>
      </c>
      <c r="H30" s="7" t="s">
        <v>136</v>
      </c>
      <c r="I30" s="7" t="s">
        <v>76</v>
      </c>
      <c r="J30" s="7" t="s">
        <v>77</v>
      </c>
      <c r="K30" s="7" t="s">
        <v>125</v>
      </c>
      <c r="L30" s="8" t="s">
        <v>79</v>
      </c>
      <c r="M30" s="8" t="s">
        <v>80</v>
      </c>
      <c r="N30" s="8" t="s">
        <v>79</v>
      </c>
      <c r="O30" s="8" t="s">
        <v>109</v>
      </c>
      <c r="P30" s="8" t="s">
        <v>82</v>
      </c>
      <c r="Q30" s="8" t="s">
        <v>83</v>
      </c>
      <c r="R30" s="8" t="s">
        <v>79</v>
      </c>
      <c r="S30" s="8" t="s">
        <v>79</v>
      </c>
      <c r="T30" s="8" t="s">
        <v>86</v>
      </c>
      <c r="U30" s="8" t="s">
        <v>141</v>
      </c>
      <c r="V30" s="8" t="s">
        <v>112</v>
      </c>
      <c r="W30" s="9">
        <v>1</v>
      </c>
      <c r="X30" s="9">
        <v>2</v>
      </c>
      <c r="Y30" s="9">
        <v>1</v>
      </c>
      <c r="Z30" s="9">
        <v>1</v>
      </c>
      <c r="AA30" s="9">
        <v>2</v>
      </c>
      <c r="AB30" s="9">
        <v>1</v>
      </c>
      <c r="AC30" s="9">
        <v>1</v>
      </c>
      <c r="AD30" s="9">
        <v>2</v>
      </c>
      <c r="AE30" s="9">
        <v>1</v>
      </c>
      <c r="AF30" s="9">
        <v>1</v>
      </c>
      <c r="AG30" s="9">
        <v>2</v>
      </c>
      <c r="AH30" s="9">
        <v>2</v>
      </c>
      <c r="AI30" s="9">
        <v>2</v>
      </c>
      <c r="AJ30" s="9">
        <v>2</v>
      </c>
      <c r="AK30" s="9">
        <v>2</v>
      </c>
      <c r="AL30" s="10">
        <v>2</v>
      </c>
      <c r="AM30" s="10">
        <v>2</v>
      </c>
      <c r="AN30" s="10">
        <v>2</v>
      </c>
      <c r="AO30" s="10">
        <v>2</v>
      </c>
      <c r="AP30" s="10">
        <v>1</v>
      </c>
      <c r="AQ30" s="10">
        <v>0</v>
      </c>
      <c r="AR30" s="10">
        <v>0</v>
      </c>
      <c r="AS30" s="11">
        <v>1</v>
      </c>
      <c r="AT30" s="11">
        <v>1</v>
      </c>
      <c r="AU30" s="11">
        <v>2</v>
      </c>
      <c r="AV30" s="11">
        <v>2</v>
      </c>
      <c r="AW30" s="11">
        <v>1</v>
      </c>
      <c r="AX30" s="11">
        <v>0</v>
      </c>
      <c r="AY30" s="7">
        <v>3</v>
      </c>
      <c r="AZ30" s="7">
        <v>3</v>
      </c>
      <c r="BA30" s="7">
        <v>3</v>
      </c>
      <c r="BB30" s="7">
        <v>3</v>
      </c>
      <c r="BC30" s="7">
        <v>2</v>
      </c>
      <c r="BD30" s="7">
        <v>2</v>
      </c>
      <c r="BE30" s="7">
        <v>2</v>
      </c>
      <c r="BF30" s="7">
        <v>2</v>
      </c>
      <c r="BG30" s="12">
        <f>SUM(data__22[[#This Row],[N1]:[N4]],data__22[[#This Row],[N10]:[N13]],data__22[[#This Row],[N16]:[N18]])/11</f>
        <v>1.6363636363636365</v>
      </c>
      <c r="BH30" s="13">
        <f>SUM(data__22[[#This Row],[N8]:[N9]],data__22[[#This Row],[N23]:[N25]])/5</f>
        <v>1.4</v>
      </c>
      <c r="BI30" s="12">
        <f>SUM(data__22[[#This Row],[N5]:[N7]])/3</f>
        <v>1.3333333333333333</v>
      </c>
      <c r="BJ30" s="12">
        <f>SUM(data__22[[#This Row],[N14]:[N15]],data__22[[#This Row],[N19]:[N22]],data__22[[#This Row],[N26]:[N28]])/9</f>
        <v>1.1111111111111112</v>
      </c>
      <c r="BK30" s="12">
        <f>SUM(data__22[[#This Row],[N29]:[N33]])/5</f>
        <v>2.8</v>
      </c>
      <c r="BL30" s="12">
        <f>SUM(data__22[[#This Row],[N34]:[N36]])/3</f>
        <v>2</v>
      </c>
    </row>
    <row r="31" spans="1:64" x14ac:dyDescent="0.3">
      <c r="A31" s="7">
        <v>21</v>
      </c>
      <c r="B31" s="7" t="s">
        <v>70</v>
      </c>
      <c r="C31" s="7" t="s">
        <v>96</v>
      </c>
      <c r="D31" s="7" t="s">
        <v>72</v>
      </c>
      <c r="E31" s="7" t="s">
        <v>108</v>
      </c>
      <c r="F31" s="7" t="s">
        <v>136</v>
      </c>
      <c r="G31" s="7" t="s">
        <v>439</v>
      </c>
      <c r="H31" s="7" t="s">
        <v>98</v>
      </c>
      <c r="I31" s="7" t="s">
        <v>76</v>
      </c>
      <c r="J31" s="7" t="s">
        <v>77</v>
      </c>
      <c r="K31" s="7" t="s">
        <v>125</v>
      </c>
      <c r="L31" s="8" t="s">
        <v>79</v>
      </c>
      <c r="M31" s="8" t="s">
        <v>80</v>
      </c>
      <c r="N31" s="8" t="s">
        <v>79</v>
      </c>
      <c r="O31" s="8" t="s">
        <v>117</v>
      </c>
      <c r="P31" s="8" t="s">
        <v>79</v>
      </c>
      <c r="Q31" s="8" t="s">
        <v>83</v>
      </c>
      <c r="R31" s="8" t="s">
        <v>79</v>
      </c>
      <c r="S31" s="8" t="s">
        <v>82</v>
      </c>
      <c r="T31" s="8" t="s">
        <v>106</v>
      </c>
      <c r="U31" s="8" t="s">
        <v>141</v>
      </c>
      <c r="V31" s="8" t="s">
        <v>112</v>
      </c>
      <c r="W31" s="9">
        <v>1</v>
      </c>
      <c r="X31" s="9">
        <v>2</v>
      </c>
      <c r="Y31" s="9">
        <v>3</v>
      </c>
      <c r="Z31" s="9">
        <v>3</v>
      </c>
      <c r="AA31" s="9">
        <v>1</v>
      </c>
      <c r="AB31" s="9">
        <v>2</v>
      </c>
      <c r="AC31" s="9">
        <v>0</v>
      </c>
      <c r="AD31" s="9">
        <v>1</v>
      </c>
      <c r="AE31" s="9">
        <v>2</v>
      </c>
      <c r="AF31" s="9">
        <v>3</v>
      </c>
      <c r="AG31" s="9">
        <v>3</v>
      </c>
      <c r="AH31" s="9">
        <v>2</v>
      </c>
      <c r="AI31" s="9">
        <v>2</v>
      </c>
      <c r="AJ31" s="9">
        <v>1</v>
      </c>
      <c r="AK31" s="9">
        <v>2</v>
      </c>
      <c r="AL31" s="10">
        <v>2</v>
      </c>
      <c r="AM31" s="10">
        <v>2</v>
      </c>
      <c r="AN31" s="10">
        <v>3</v>
      </c>
      <c r="AO31" s="10">
        <v>1</v>
      </c>
      <c r="AP31" s="10">
        <v>1</v>
      </c>
      <c r="AQ31" s="10">
        <v>1</v>
      </c>
      <c r="AR31" s="10">
        <v>1</v>
      </c>
      <c r="AS31" s="11">
        <v>2</v>
      </c>
      <c r="AT31" s="11">
        <v>2</v>
      </c>
      <c r="AU31" s="11">
        <v>3</v>
      </c>
      <c r="AV31" s="11">
        <v>1</v>
      </c>
      <c r="AW31" s="11">
        <v>1</v>
      </c>
      <c r="AX31" s="11">
        <v>1</v>
      </c>
      <c r="AY31" s="7">
        <v>1</v>
      </c>
      <c r="AZ31" s="7">
        <v>2</v>
      </c>
      <c r="BA31" s="7">
        <v>3</v>
      </c>
      <c r="BB31" s="7">
        <v>3</v>
      </c>
      <c r="BC31" s="7">
        <v>3</v>
      </c>
      <c r="BD31" s="7">
        <v>1</v>
      </c>
      <c r="BE31" s="7">
        <v>0</v>
      </c>
      <c r="BF31" s="7">
        <v>1</v>
      </c>
      <c r="BG31" s="12">
        <f>SUM(data__22[[#This Row],[N1]:[N4]],data__22[[#This Row],[N10]:[N13]],data__22[[#This Row],[N16]:[N18]])/11</f>
        <v>2.3636363636363638</v>
      </c>
      <c r="BH31" s="13">
        <f>SUM(data__22[[#This Row],[N8]:[N9]],data__22[[#This Row],[N23]:[N25]])/5</f>
        <v>2</v>
      </c>
      <c r="BI31" s="12">
        <f>SUM(data__22[[#This Row],[N5]:[N7]])/3</f>
        <v>1</v>
      </c>
      <c r="BJ31" s="12">
        <f>SUM(data__22[[#This Row],[N14]:[N15]],data__22[[#This Row],[N19]:[N22]],data__22[[#This Row],[N26]:[N28]])/9</f>
        <v>1.1111111111111112</v>
      </c>
      <c r="BK31" s="12">
        <f>SUM(data__22[[#This Row],[N29]:[N33]])/5</f>
        <v>2.4</v>
      </c>
      <c r="BL31" s="12">
        <f>SUM(data__22[[#This Row],[N34]:[N36]])/3</f>
        <v>0.66666666666666663</v>
      </c>
    </row>
    <row r="32" spans="1:64" x14ac:dyDescent="0.3">
      <c r="A32" s="7">
        <v>21</v>
      </c>
      <c r="B32" s="7" t="s">
        <v>70</v>
      </c>
      <c r="C32" s="7" t="s">
        <v>157</v>
      </c>
      <c r="D32" s="7" t="s">
        <v>97</v>
      </c>
      <c r="E32" s="7" t="s">
        <v>108</v>
      </c>
      <c r="F32" s="7" t="s">
        <v>74</v>
      </c>
      <c r="G32" s="7" t="s">
        <v>439</v>
      </c>
      <c r="H32" s="7" t="s">
        <v>74</v>
      </c>
      <c r="I32" s="7" t="s">
        <v>439</v>
      </c>
      <c r="J32" s="7" t="s">
        <v>77</v>
      </c>
      <c r="K32" s="7" t="s">
        <v>131</v>
      </c>
      <c r="L32" s="8" t="s">
        <v>79</v>
      </c>
      <c r="M32" s="8" t="s">
        <v>80</v>
      </c>
      <c r="N32" s="8" t="s">
        <v>79</v>
      </c>
      <c r="O32" s="8" t="s">
        <v>138</v>
      </c>
      <c r="P32" s="8" t="s">
        <v>79</v>
      </c>
      <c r="Q32" s="8" t="s">
        <v>83</v>
      </c>
      <c r="R32" s="8" t="s">
        <v>79</v>
      </c>
      <c r="S32" s="8" t="s">
        <v>82</v>
      </c>
      <c r="T32" s="8" t="s">
        <v>106</v>
      </c>
      <c r="U32" s="8" t="s">
        <v>141</v>
      </c>
      <c r="V32" s="8" t="s">
        <v>112</v>
      </c>
      <c r="W32" s="9">
        <v>0</v>
      </c>
      <c r="X32" s="9">
        <v>0</v>
      </c>
      <c r="Y32" s="9">
        <v>1</v>
      </c>
      <c r="Z32" s="9">
        <v>1</v>
      </c>
      <c r="AA32" s="9">
        <v>1</v>
      </c>
      <c r="AB32" s="9">
        <v>1</v>
      </c>
      <c r="AC32" s="9">
        <v>1</v>
      </c>
      <c r="AD32" s="9">
        <v>1</v>
      </c>
      <c r="AE32" s="9">
        <v>1</v>
      </c>
      <c r="AF32" s="9">
        <v>1</v>
      </c>
      <c r="AG32" s="9">
        <v>2</v>
      </c>
      <c r="AH32" s="9">
        <v>2</v>
      </c>
      <c r="AI32" s="9">
        <v>2</v>
      </c>
      <c r="AJ32" s="9">
        <v>2</v>
      </c>
      <c r="AK32" s="9">
        <v>2</v>
      </c>
      <c r="AL32" s="10">
        <v>1</v>
      </c>
      <c r="AM32" s="10">
        <v>1</v>
      </c>
      <c r="AN32" s="10">
        <v>1</v>
      </c>
      <c r="AO32" s="10">
        <v>1</v>
      </c>
      <c r="AP32" s="10">
        <v>1</v>
      </c>
      <c r="AQ32" s="10">
        <v>1</v>
      </c>
      <c r="AR32" s="10">
        <v>1</v>
      </c>
      <c r="AS32" s="11">
        <v>1</v>
      </c>
      <c r="AT32" s="11">
        <v>1</v>
      </c>
      <c r="AU32" s="11">
        <v>1</v>
      </c>
      <c r="AV32" s="11">
        <v>1</v>
      </c>
      <c r="AW32" s="11">
        <v>1</v>
      </c>
      <c r="AX32" s="11">
        <v>1</v>
      </c>
      <c r="AY32" s="7">
        <v>1</v>
      </c>
      <c r="AZ32" s="7">
        <v>1</v>
      </c>
      <c r="BA32" s="7">
        <v>1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12">
        <f>SUM(data__22[[#This Row],[N1]:[N4]],data__22[[#This Row],[N10]:[N13]],data__22[[#This Row],[N16]:[N18]])/11</f>
        <v>1.0909090909090908</v>
      </c>
      <c r="BH32" s="13">
        <f>SUM(data__22[[#This Row],[N8]:[N9]],data__22[[#This Row],[N23]:[N25]])/5</f>
        <v>1</v>
      </c>
      <c r="BI32" s="12">
        <f>SUM(data__22[[#This Row],[N5]:[N7]])/3</f>
        <v>1</v>
      </c>
      <c r="BJ32" s="12">
        <f>SUM(data__22[[#This Row],[N14]:[N15]],data__22[[#This Row],[N19]:[N22]],data__22[[#This Row],[N26]:[N28]])/9</f>
        <v>1.2222222222222223</v>
      </c>
      <c r="BK32" s="12">
        <f>SUM(data__22[[#This Row],[N29]:[N33]])/5</f>
        <v>1</v>
      </c>
      <c r="BL32" s="12">
        <f>SUM(data__22[[#This Row],[N34]:[N36]])/3</f>
        <v>1</v>
      </c>
    </row>
    <row r="33" spans="1:64" x14ac:dyDescent="0.3">
      <c r="A33" s="7">
        <v>21</v>
      </c>
      <c r="B33" s="7" t="s">
        <v>70</v>
      </c>
      <c r="C33" s="7" t="s">
        <v>157</v>
      </c>
      <c r="D33" s="7" t="s">
        <v>97</v>
      </c>
      <c r="E33" s="7" t="s">
        <v>108</v>
      </c>
      <c r="F33" s="7" t="s">
        <v>74</v>
      </c>
      <c r="G33" s="7" t="s">
        <v>439</v>
      </c>
      <c r="H33" s="7" t="s">
        <v>74</v>
      </c>
      <c r="I33" s="7" t="s">
        <v>76</v>
      </c>
      <c r="J33" s="7" t="s">
        <v>77</v>
      </c>
      <c r="K33" s="7" t="s">
        <v>131</v>
      </c>
      <c r="L33" s="8" t="s">
        <v>79</v>
      </c>
      <c r="M33" s="8" t="s">
        <v>80</v>
      </c>
      <c r="N33" s="8" t="s">
        <v>82</v>
      </c>
      <c r="O33" s="8" t="s">
        <v>138</v>
      </c>
      <c r="P33" s="8" t="s">
        <v>79</v>
      </c>
      <c r="Q33" s="8" t="s">
        <v>83</v>
      </c>
      <c r="R33" s="8" t="s">
        <v>79</v>
      </c>
      <c r="S33" s="8" t="s">
        <v>79</v>
      </c>
      <c r="T33" s="8" t="s">
        <v>106</v>
      </c>
      <c r="U33" s="8" t="s">
        <v>87</v>
      </c>
      <c r="V33" s="8" t="s">
        <v>112</v>
      </c>
      <c r="W33" s="9">
        <v>1</v>
      </c>
      <c r="X33" s="9">
        <v>3</v>
      </c>
      <c r="Y33" s="9">
        <v>3</v>
      </c>
      <c r="Z33" s="9">
        <v>3</v>
      </c>
      <c r="AA33" s="9">
        <v>3</v>
      </c>
      <c r="AB33" s="9">
        <v>0</v>
      </c>
      <c r="AC33" s="9">
        <v>0</v>
      </c>
      <c r="AD33" s="9">
        <v>2</v>
      </c>
      <c r="AE33" s="9">
        <v>2</v>
      </c>
      <c r="AF33" s="9">
        <v>0</v>
      </c>
      <c r="AG33" s="9">
        <v>3</v>
      </c>
      <c r="AH33" s="9">
        <v>3</v>
      </c>
      <c r="AI33" s="9">
        <v>3</v>
      </c>
      <c r="AJ33" s="9">
        <v>3</v>
      </c>
      <c r="AK33" s="9">
        <v>3</v>
      </c>
      <c r="AL33" s="10">
        <v>3</v>
      </c>
      <c r="AM33" s="10">
        <v>3</v>
      </c>
      <c r="AN33" s="10">
        <v>3</v>
      </c>
      <c r="AO33" s="10">
        <v>0</v>
      </c>
      <c r="AP33" s="10">
        <v>0</v>
      </c>
      <c r="AQ33" s="10">
        <v>0</v>
      </c>
      <c r="AR33" s="10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7">
        <v>3</v>
      </c>
      <c r="AZ33" s="7">
        <v>2</v>
      </c>
      <c r="BA33" s="7">
        <v>3</v>
      </c>
      <c r="BB33" s="7">
        <v>3</v>
      </c>
      <c r="BC33" s="7">
        <v>3</v>
      </c>
      <c r="BD33" s="7">
        <v>0</v>
      </c>
      <c r="BE33" s="7">
        <v>0</v>
      </c>
      <c r="BF33" s="7">
        <v>2</v>
      </c>
      <c r="BG33" s="12">
        <f>SUM(data__22[[#This Row],[N1]:[N4]],data__22[[#This Row],[N10]:[N13]],data__22[[#This Row],[N16]:[N18]])/11</f>
        <v>2.5454545454545454</v>
      </c>
      <c r="BH33" s="13">
        <f>SUM(data__22[[#This Row],[N8]:[N9]],data__22[[#This Row],[N23]:[N25]])/5</f>
        <v>0.8</v>
      </c>
      <c r="BI33" s="12">
        <f>SUM(data__22[[#This Row],[N5]:[N7]])/3</f>
        <v>1</v>
      </c>
      <c r="BJ33" s="12">
        <f>SUM(data__22[[#This Row],[N14]:[N15]],data__22[[#This Row],[N19]:[N22]],data__22[[#This Row],[N26]:[N28]])/9</f>
        <v>0.66666666666666663</v>
      </c>
      <c r="BK33" s="12">
        <f>SUM(data__22[[#This Row],[N29]:[N33]])/5</f>
        <v>2.8</v>
      </c>
      <c r="BL33" s="12">
        <f>SUM(data__22[[#This Row],[N34]:[N36]])/3</f>
        <v>0.66666666666666663</v>
      </c>
    </row>
    <row r="34" spans="1:64" x14ac:dyDescent="0.3">
      <c r="A34" s="7">
        <v>19</v>
      </c>
      <c r="B34" s="7" t="s">
        <v>70</v>
      </c>
      <c r="C34" s="7" t="s">
        <v>157</v>
      </c>
      <c r="D34" s="7" t="s">
        <v>72</v>
      </c>
      <c r="E34" s="7" t="s">
        <v>114</v>
      </c>
      <c r="F34" s="7" t="s">
        <v>98</v>
      </c>
      <c r="G34" s="7" t="s">
        <v>439</v>
      </c>
      <c r="H34" s="7" t="s">
        <v>98</v>
      </c>
      <c r="I34" s="7" t="s">
        <v>76</v>
      </c>
      <c r="J34" s="7" t="s">
        <v>77</v>
      </c>
      <c r="K34" s="7" t="s">
        <v>122</v>
      </c>
      <c r="L34" s="8" t="s">
        <v>79</v>
      </c>
      <c r="M34" s="8" t="s">
        <v>80</v>
      </c>
      <c r="N34" s="8" t="s">
        <v>82</v>
      </c>
      <c r="O34" s="8" t="s">
        <v>117</v>
      </c>
      <c r="P34" s="8" t="s">
        <v>79</v>
      </c>
      <c r="Q34" s="8" t="s">
        <v>83</v>
      </c>
      <c r="R34" s="8" t="s">
        <v>82</v>
      </c>
      <c r="S34" s="8" t="s">
        <v>82</v>
      </c>
      <c r="T34" s="8" t="s">
        <v>86</v>
      </c>
      <c r="U34" s="8" t="s">
        <v>120</v>
      </c>
      <c r="V34" s="8" t="s">
        <v>160</v>
      </c>
      <c r="W34" s="9">
        <v>2</v>
      </c>
      <c r="X34" s="9">
        <v>2</v>
      </c>
      <c r="Y34" s="9">
        <v>2</v>
      </c>
      <c r="Z34" s="9">
        <v>2</v>
      </c>
      <c r="AA34" s="9">
        <v>2</v>
      </c>
      <c r="AB34" s="9">
        <v>2</v>
      </c>
      <c r="AC34" s="9">
        <v>2</v>
      </c>
      <c r="AD34" s="9">
        <v>2</v>
      </c>
      <c r="AE34" s="9">
        <v>2</v>
      </c>
      <c r="AF34" s="9">
        <v>2</v>
      </c>
      <c r="AG34" s="9">
        <v>2</v>
      </c>
      <c r="AH34" s="9">
        <v>2</v>
      </c>
      <c r="AI34" s="9">
        <v>2</v>
      </c>
      <c r="AJ34" s="9">
        <v>2</v>
      </c>
      <c r="AK34" s="9">
        <v>2</v>
      </c>
      <c r="AL34" s="10">
        <v>3</v>
      </c>
      <c r="AM34" s="10">
        <v>3</v>
      </c>
      <c r="AN34" s="10">
        <v>3</v>
      </c>
      <c r="AO34" s="10">
        <v>3</v>
      </c>
      <c r="AP34" s="10">
        <v>3</v>
      </c>
      <c r="AQ34" s="10">
        <v>3</v>
      </c>
      <c r="AR34" s="10">
        <v>3</v>
      </c>
      <c r="AS34" s="11">
        <v>2</v>
      </c>
      <c r="AT34" s="11">
        <v>2</v>
      </c>
      <c r="AU34" s="11">
        <v>2</v>
      </c>
      <c r="AV34" s="11">
        <v>2</v>
      </c>
      <c r="AW34" s="11">
        <v>2</v>
      </c>
      <c r="AX34" s="11">
        <v>2</v>
      </c>
      <c r="AY34" s="7">
        <v>3</v>
      </c>
      <c r="AZ34" s="7">
        <v>3</v>
      </c>
      <c r="BA34" s="7">
        <v>3</v>
      </c>
      <c r="BB34" s="7">
        <v>3</v>
      </c>
      <c r="BC34" s="7">
        <v>3</v>
      </c>
      <c r="BD34" s="7">
        <v>3</v>
      </c>
      <c r="BE34" s="7">
        <v>3</v>
      </c>
      <c r="BF34" s="7">
        <v>3</v>
      </c>
      <c r="BG34" s="12">
        <f>SUM(data__22[[#This Row],[N1]:[N4]],data__22[[#This Row],[N10]:[N13]],data__22[[#This Row],[N16]:[N18]])/11</f>
        <v>2.2727272727272729</v>
      </c>
      <c r="BH34" s="13">
        <f>SUM(data__22[[#This Row],[N8]:[N9]],data__22[[#This Row],[N23]:[N25]])/5</f>
        <v>2</v>
      </c>
      <c r="BI34" s="12">
        <f>SUM(data__22[[#This Row],[N5]:[N7]])/3</f>
        <v>2</v>
      </c>
      <c r="BJ34" s="12">
        <f>SUM(data__22[[#This Row],[N14]:[N15]],data__22[[#This Row],[N19]:[N22]],data__22[[#This Row],[N26]:[N28]])/9</f>
        <v>2.4444444444444446</v>
      </c>
      <c r="BK34" s="12">
        <f>SUM(data__22[[#This Row],[N29]:[N33]])/5</f>
        <v>3</v>
      </c>
      <c r="BL34" s="12">
        <f>SUM(data__22[[#This Row],[N34]:[N36]])/3</f>
        <v>3</v>
      </c>
    </row>
    <row r="35" spans="1:64" x14ac:dyDescent="0.3">
      <c r="A35" s="7">
        <v>20</v>
      </c>
      <c r="B35" s="7" t="s">
        <v>70</v>
      </c>
      <c r="C35" s="7" t="s">
        <v>157</v>
      </c>
      <c r="D35" s="7" t="s">
        <v>97</v>
      </c>
      <c r="E35" s="7" t="s">
        <v>108</v>
      </c>
      <c r="F35" s="7" t="s">
        <v>74</v>
      </c>
      <c r="G35" s="7" t="s">
        <v>439</v>
      </c>
      <c r="H35" s="7" t="s">
        <v>74</v>
      </c>
      <c r="I35" s="7" t="s">
        <v>76</v>
      </c>
      <c r="J35" s="7" t="s">
        <v>77</v>
      </c>
      <c r="K35" s="7" t="s">
        <v>78</v>
      </c>
      <c r="L35" s="8" t="s">
        <v>79</v>
      </c>
      <c r="M35" s="8" t="s">
        <v>80</v>
      </c>
      <c r="N35" s="8" t="s">
        <v>82</v>
      </c>
      <c r="O35" s="8" t="s">
        <v>117</v>
      </c>
      <c r="P35" s="8" t="s">
        <v>82</v>
      </c>
      <c r="Q35" s="8" t="s">
        <v>103</v>
      </c>
      <c r="R35" s="8" t="s">
        <v>82</v>
      </c>
      <c r="S35" s="8" t="s">
        <v>82</v>
      </c>
      <c r="T35" s="8" t="s">
        <v>106</v>
      </c>
      <c r="U35" s="8" t="s">
        <v>141</v>
      </c>
      <c r="V35" s="8" t="s">
        <v>112</v>
      </c>
      <c r="W35" s="9">
        <v>2</v>
      </c>
      <c r="X35" s="9">
        <v>3</v>
      </c>
      <c r="Y35" s="9">
        <v>3</v>
      </c>
      <c r="Z35" s="9">
        <v>3</v>
      </c>
      <c r="AA35" s="9">
        <v>3</v>
      </c>
      <c r="AB35" s="9">
        <v>3</v>
      </c>
      <c r="AC35" s="9">
        <v>1</v>
      </c>
      <c r="AD35" s="9">
        <v>2</v>
      </c>
      <c r="AE35" s="9">
        <v>2</v>
      </c>
      <c r="AF35" s="9">
        <v>3</v>
      </c>
      <c r="AG35" s="9">
        <v>3</v>
      </c>
      <c r="AH35" s="9">
        <v>3</v>
      </c>
      <c r="AI35" s="9">
        <v>3</v>
      </c>
      <c r="AJ35" s="9">
        <v>1</v>
      </c>
      <c r="AK35" s="9">
        <v>1</v>
      </c>
      <c r="AL35" s="10">
        <v>3</v>
      </c>
      <c r="AM35" s="10">
        <v>3</v>
      </c>
      <c r="AN35" s="10">
        <v>3</v>
      </c>
      <c r="AO35" s="10">
        <v>3</v>
      </c>
      <c r="AP35" s="10">
        <v>3</v>
      </c>
      <c r="AQ35" s="10">
        <v>3</v>
      </c>
      <c r="AR35" s="10">
        <v>3</v>
      </c>
      <c r="AS35" s="11">
        <v>3</v>
      </c>
      <c r="AT35" s="11">
        <v>3</v>
      </c>
      <c r="AU35" s="11">
        <v>3</v>
      </c>
      <c r="AV35" s="11">
        <v>3</v>
      </c>
      <c r="AW35" s="11">
        <v>3</v>
      </c>
      <c r="AX35" s="11">
        <v>3</v>
      </c>
      <c r="AY35" s="7">
        <v>3</v>
      </c>
      <c r="AZ35" s="7">
        <v>3</v>
      </c>
      <c r="BA35" s="7">
        <v>3</v>
      </c>
      <c r="BB35" s="7">
        <v>3</v>
      </c>
      <c r="BC35" s="7">
        <v>3</v>
      </c>
      <c r="BD35" s="7">
        <v>3</v>
      </c>
      <c r="BE35" s="7">
        <v>3</v>
      </c>
      <c r="BF35" s="7">
        <v>3</v>
      </c>
      <c r="BG35" s="12">
        <f>SUM(data__22[[#This Row],[N1]:[N4]],data__22[[#This Row],[N10]:[N13]],data__22[[#This Row],[N16]:[N18]])/11</f>
        <v>2.9090909090909092</v>
      </c>
      <c r="BH35" s="13">
        <f>SUM(data__22[[#This Row],[N8]:[N9]],data__22[[#This Row],[N23]:[N25]])/5</f>
        <v>2.6</v>
      </c>
      <c r="BI35" s="12">
        <f>SUM(data__22[[#This Row],[N5]:[N7]])/3</f>
        <v>2.3333333333333335</v>
      </c>
      <c r="BJ35" s="12">
        <f>SUM(data__22[[#This Row],[N14]:[N15]],data__22[[#This Row],[N19]:[N22]],data__22[[#This Row],[N26]:[N28]])/9</f>
        <v>2.5555555555555554</v>
      </c>
      <c r="BK35" s="12">
        <f>SUM(data__22[[#This Row],[N29]:[N33]])/5</f>
        <v>3</v>
      </c>
      <c r="BL35" s="12">
        <f>SUM(data__22[[#This Row],[N34]:[N36]])/3</f>
        <v>3</v>
      </c>
    </row>
    <row r="36" spans="1:64" x14ac:dyDescent="0.3">
      <c r="A36" s="7">
        <v>21</v>
      </c>
      <c r="B36" s="7" t="s">
        <v>128</v>
      </c>
      <c r="C36" s="7" t="s">
        <v>157</v>
      </c>
      <c r="D36" s="7" t="s">
        <v>72</v>
      </c>
      <c r="E36" s="7" t="s">
        <v>114</v>
      </c>
      <c r="F36" s="7" t="s">
        <v>136</v>
      </c>
      <c r="G36" s="7" t="s">
        <v>440</v>
      </c>
      <c r="H36" s="7" t="s">
        <v>98</v>
      </c>
      <c r="I36" s="7" t="s">
        <v>76</v>
      </c>
      <c r="J36" s="7" t="s">
        <v>77</v>
      </c>
      <c r="K36" s="7" t="s">
        <v>125</v>
      </c>
      <c r="L36" s="8" t="s">
        <v>79</v>
      </c>
      <c r="M36" s="8" t="s">
        <v>80</v>
      </c>
      <c r="N36" s="8" t="s">
        <v>79</v>
      </c>
      <c r="O36" s="8" t="s">
        <v>81</v>
      </c>
      <c r="P36" s="8" t="s">
        <v>79</v>
      </c>
      <c r="Q36" s="8" t="s">
        <v>83</v>
      </c>
      <c r="R36" s="8" t="s">
        <v>82</v>
      </c>
      <c r="S36" s="8" t="s">
        <v>82</v>
      </c>
      <c r="T36" s="8" t="s">
        <v>106</v>
      </c>
      <c r="U36" s="8" t="s">
        <v>87</v>
      </c>
      <c r="V36" s="8" t="s">
        <v>112</v>
      </c>
      <c r="W36" s="9">
        <v>3</v>
      </c>
      <c r="X36" s="9">
        <v>3</v>
      </c>
      <c r="Y36" s="9">
        <v>3</v>
      </c>
      <c r="Z36" s="9">
        <v>3</v>
      </c>
      <c r="AA36" s="9">
        <v>2</v>
      </c>
      <c r="AB36" s="9">
        <v>2</v>
      </c>
      <c r="AC36" s="9">
        <v>2</v>
      </c>
      <c r="AD36" s="9">
        <v>3</v>
      </c>
      <c r="AE36" s="9">
        <v>3</v>
      </c>
      <c r="AF36" s="9">
        <v>3</v>
      </c>
      <c r="AG36" s="9">
        <v>3</v>
      </c>
      <c r="AH36" s="9">
        <v>3</v>
      </c>
      <c r="AI36" s="9">
        <v>3</v>
      </c>
      <c r="AJ36" s="9">
        <v>3</v>
      </c>
      <c r="AK36" s="9">
        <v>3</v>
      </c>
      <c r="AL36" s="10">
        <v>1</v>
      </c>
      <c r="AM36" s="10">
        <v>1</v>
      </c>
      <c r="AN36" s="10">
        <v>1</v>
      </c>
      <c r="AO36" s="10">
        <v>2</v>
      </c>
      <c r="AP36" s="10">
        <v>2</v>
      </c>
      <c r="AQ36" s="10">
        <v>3</v>
      </c>
      <c r="AR36" s="10">
        <v>3</v>
      </c>
      <c r="AS36" s="11">
        <v>3</v>
      </c>
      <c r="AT36" s="11">
        <v>3</v>
      </c>
      <c r="AU36" s="11">
        <v>3</v>
      </c>
      <c r="AV36" s="11">
        <v>3</v>
      </c>
      <c r="AW36" s="11">
        <v>3</v>
      </c>
      <c r="AX36" s="11">
        <v>2</v>
      </c>
      <c r="AY36" s="7">
        <v>3</v>
      </c>
      <c r="AZ36" s="7">
        <v>3</v>
      </c>
      <c r="BA36" s="7">
        <v>3</v>
      </c>
      <c r="BB36" s="7">
        <v>3</v>
      </c>
      <c r="BC36" s="7">
        <v>2</v>
      </c>
      <c r="BD36" s="7">
        <v>3</v>
      </c>
      <c r="BE36" s="7">
        <v>3</v>
      </c>
      <c r="BF36" s="7">
        <v>2</v>
      </c>
      <c r="BG36" s="12">
        <f>SUM(data__22[[#This Row],[N1]:[N4]],data__22[[#This Row],[N10]:[N13]],data__22[[#This Row],[N16]:[N18]])/11</f>
        <v>2.4545454545454546</v>
      </c>
      <c r="BH36" s="13">
        <f>SUM(data__22[[#This Row],[N8]:[N9]],data__22[[#This Row],[N23]:[N25]])/5</f>
        <v>3</v>
      </c>
      <c r="BI36" s="12">
        <f>SUM(data__22[[#This Row],[N5]:[N7]])/3</f>
        <v>2</v>
      </c>
      <c r="BJ36" s="12">
        <f>SUM(data__22[[#This Row],[N14]:[N15]],data__22[[#This Row],[N19]:[N22]],data__22[[#This Row],[N26]:[N28]])/9</f>
        <v>2.6666666666666665</v>
      </c>
      <c r="BK36" s="12">
        <f>SUM(data__22[[#This Row],[N29]:[N33]])/5</f>
        <v>2.8</v>
      </c>
      <c r="BL36" s="12">
        <f>SUM(data__22[[#This Row],[N34]:[N36]])/3</f>
        <v>2.6666666666666665</v>
      </c>
    </row>
    <row r="37" spans="1:64" x14ac:dyDescent="0.3">
      <c r="A37" s="7">
        <v>21</v>
      </c>
      <c r="B37" s="7" t="s">
        <v>70</v>
      </c>
      <c r="C37" s="7" t="s">
        <v>157</v>
      </c>
      <c r="D37" s="7" t="s">
        <v>72</v>
      </c>
      <c r="E37" s="7" t="s">
        <v>108</v>
      </c>
      <c r="F37" s="7" t="s">
        <v>136</v>
      </c>
      <c r="G37" s="7" t="s">
        <v>99</v>
      </c>
      <c r="H37" s="7" t="s">
        <v>136</v>
      </c>
      <c r="I37" s="7" t="s">
        <v>439</v>
      </c>
      <c r="J37" s="7" t="s">
        <v>77</v>
      </c>
      <c r="K37" s="7" t="s">
        <v>125</v>
      </c>
      <c r="L37" s="8" t="s">
        <v>79</v>
      </c>
      <c r="M37" s="8" t="s">
        <v>80</v>
      </c>
      <c r="N37" s="8" t="s">
        <v>79</v>
      </c>
      <c r="O37" s="8" t="s">
        <v>138</v>
      </c>
      <c r="P37" s="8" t="s">
        <v>82</v>
      </c>
      <c r="Q37" s="8" t="s">
        <v>103</v>
      </c>
      <c r="R37" s="8" t="s">
        <v>82</v>
      </c>
      <c r="S37" s="8" t="s">
        <v>82</v>
      </c>
      <c r="T37" s="8" t="s">
        <v>106</v>
      </c>
      <c r="U37" s="8" t="s">
        <v>87</v>
      </c>
      <c r="V37" s="8" t="s">
        <v>112</v>
      </c>
      <c r="W37" s="9">
        <v>1</v>
      </c>
      <c r="X37" s="9">
        <v>1</v>
      </c>
      <c r="Y37" s="9">
        <v>1</v>
      </c>
      <c r="Z37" s="9">
        <v>1</v>
      </c>
      <c r="AA37" s="9">
        <v>1</v>
      </c>
      <c r="AB37" s="9">
        <v>1</v>
      </c>
      <c r="AC37" s="9">
        <v>1</v>
      </c>
      <c r="AD37" s="9">
        <v>1</v>
      </c>
      <c r="AE37" s="9">
        <v>1</v>
      </c>
      <c r="AF37" s="9">
        <v>1</v>
      </c>
      <c r="AG37" s="9">
        <v>1</v>
      </c>
      <c r="AH37" s="9">
        <v>1</v>
      </c>
      <c r="AI37" s="9">
        <v>1</v>
      </c>
      <c r="AJ37" s="9">
        <v>1</v>
      </c>
      <c r="AK37" s="9">
        <v>1</v>
      </c>
      <c r="AL37" s="10">
        <v>1</v>
      </c>
      <c r="AM37" s="10">
        <v>1</v>
      </c>
      <c r="AN37" s="10">
        <v>1</v>
      </c>
      <c r="AO37" s="10">
        <v>1</v>
      </c>
      <c r="AP37" s="10">
        <v>1</v>
      </c>
      <c r="AQ37" s="10">
        <v>1</v>
      </c>
      <c r="AR37" s="10">
        <v>1</v>
      </c>
      <c r="AS37" s="11">
        <v>1</v>
      </c>
      <c r="AT37" s="11">
        <v>1</v>
      </c>
      <c r="AU37" s="11">
        <v>1</v>
      </c>
      <c r="AV37" s="11">
        <v>1</v>
      </c>
      <c r="AW37" s="11">
        <v>1</v>
      </c>
      <c r="AX37" s="11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12">
        <f>SUM(data__22[[#This Row],[N1]:[N4]],data__22[[#This Row],[N10]:[N13]],data__22[[#This Row],[N16]:[N18]])/11</f>
        <v>1</v>
      </c>
      <c r="BH37" s="13">
        <f>SUM(data__22[[#This Row],[N8]:[N9]],data__22[[#This Row],[N23]:[N25]])/5</f>
        <v>1</v>
      </c>
      <c r="BI37" s="12">
        <f>SUM(data__22[[#This Row],[N5]:[N7]])/3</f>
        <v>1</v>
      </c>
      <c r="BJ37" s="12">
        <f>SUM(data__22[[#This Row],[N14]:[N15]],data__22[[#This Row],[N19]:[N22]],data__22[[#This Row],[N26]:[N28]])/9</f>
        <v>1</v>
      </c>
      <c r="BK37" s="12">
        <f>SUM(data__22[[#This Row],[N29]:[N33]])/5</f>
        <v>1</v>
      </c>
      <c r="BL37" s="12">
        <f>SUM(data__22[[#This Row],[N34]:[N36]])/3</f>
        <v>1</v>
      </c>
    </row>
    <row r="38" spans="1:64" x14ac:dyDescent="0.3">
      <c r="A38" s="7">
        <v>21</v>
      </c>
      <c r="B38" s="7" t="s">
        <v>70</v>
      </c>
      <c r="C38" s="7" t="s">
        <v>157</v>
      </c>
      <c r="D38" s="7" t="s">
        <v>72</v>
      </c>
      <c r="E38" s="7" t="s">
        <v>108</v>
      </c>
      <c r="F38" s="7" t="s">
        <v>74</v>
      </c>
      <c r="G38" s="7" t="s">
        <v>439</v>
      </c>
      <c r="H38" s="7" t="s">
        <v>74</v>
      </c>
      <c r="I38" s="7" t="s">
        <v>76</v>
      </c>
      <c r="J38" s="7" t="s">
        <v>77</v>
      </c>
      <c r="K38" s="7" t="s">
        <v>131</v>
      </c>
      <c r="L38" s="8" t="s">
        <v>79</v>
      </c>
      <c r="M38" s="8" t="s">
        <v>80</v>
      </c>
      <c r="N38" s="8" t="s">
        <v>79</v>
      </c>
      <c r="O38" s="8" t="s">
        <v>109</v>
      </c>
      <c r="P38" s="8" t="s">
        <v>82</v>
      </c>
      <c r="Q38" s="8" t="s">
        <v>83</v>
      </c>
      <c r="R38" s="8" t="s">
        <v>82</v>
      </c>
      <c r="S38" s="8" t="s">
        <v>82</v>
      </c>
      <c r="T38" s="8" t="s">
        <v>106</v>
      </c>
      <c r="U38" s="8" t="s">
        <v>120</v>
      </c>
      <c r="V38" s="8" t="s">
        <v>112</v>
      </c>
      <c r="W38" s="9">
        <v>2</v>
      </c>
      <c r="X38" s="9">
        <v>3</v>
      </c>
      <c r="Y38" s="9">
        <v>2</v>
      </c>
      <c r="Z38" s="9">
        <v>3</v>
      </c>
      <c r="AA38" s="9">
        <v>2</v>
      </c>
      <c r="AB38" s="9">
        <v>2</v>
      </c>
      <c r="AC38" s="9">
        <v>2</v>
      </c>
      <c r="AD38" s="9">
        <v>2</v>
      </c>
      <c r="AE38" s="9">
        <v>2</v>
      </c>
      <c r="AF38" s="9">
        <v>1</v>
      </c>
      <c r="AG38" s="9">
        <v>3</v>
      </c>
      <c r="AH38" s="9">
        <v>1</v>
      </c>
      <c r="AI38" s="9">
        <v>3</v>
      </c>
      <c r="AJ38" s="9">
        <v>1</v>
      </c>
      <c r="AK38" s="9">
        <v>2</v>
      </c>
      <c r="AL38" s="10">
        <v>3</v>
      </c>
      <c r="AM38" s="10">
        <v>3</v>
      </c>
      <c r="AN38" s="10">
        <v>3</v>
      </c>
      <c r="AO38" s="10">
        <v>0</v>
      </c>
      <c r="AP38" s="10">
        <v>0</v>
      </c>
      <c r="AQ38" s="10">
        <v>0</v>
      </c>
      <c r="AR38" s="10">
        <v>0</v>
      </c>
      <c r="AS38" s="11">
        <v>1</v>
      </c>
      <c r="AT38" s="11">
        <v>1</v>
      </c>
      <c r="AU38" s="11">
        <v>1</v>
      </c>
      <c r="AV38" s="11">
        <v>1</v>
      </c>
      <c r="AW38" s="11">
        <v>1</v>
      </c>
      <c r="AX38" s="11">
        <v>1</v>
      </c>
      <c r="AY38" s="7">
        <v>2</v>
      </c>
      <c r="AZ38" s="7">
        <v>2</v>
      </c>
      <c r="BA38" s="7">
        <v>2</v>
      </c>
      <c r="BB38" s="7">
        <v>3</v>
      </c>
      <c r="BC38" s="7">
        <v>3</v>
      </c>
      <c r="BD38" s="7">
        <v>2</v>
      </c>
      <c r="BE38" s="7">
        <v>1</v>
      </c>
      <c r="BF38" s="7">
        <v>1</v>
      </c>
      <c r="BG38" s="12">
        <f>SUM(data__22[[#This Row],[N1]:[N4]],data__22[[#This Row],[N10]:[N13]],data__22[[#This Row],[N16]:[N18]])/11</f>
        <v>2.4545454545454546</v>
      </c>
      <c r="BH38" s="13">
        <f>SUM(data__22[[#This Row],[N8]:[N9]],data__22[[#This Row],[N23]:[N25]])/5</f>
        <v>1.4</v>
      </c>
      <c r="BI38" s="12">
        <f>SUM(data__22[[#This Row],[N5]:[N7]])/3</f>
        <v>2</v>
      </c>
      <c r="BJ38" s="12">
        <f>SUM(data__22[[#This Row],[N14]:[N15]],data__22[[#This Row],[N19]:[N22]],data__22[[#This Row],[N26]:[N28]])/9</f>
        <v>0.66666666666666663</v>
      </c>
      <c r="BK38" s="12">
        <f>SUM(data__22[[#This Row],[N29]:[N33]])/5</f>
        <v>2.4</v>
      </c>
      <c r="BL38" s="12">
        <f>SUM(data__22[[#This Row],[N34]:[N36]])/3</f>
        <v>1.3333333333333333</v>
      </c>
    </row>
    <row r="39" spans="1:64" x14ac:dyDescent="0.3">
      <c r="A39" s="7">
        <v>20</v>
      </c>
      <c r="B39" s="7" t="s">
        <v>70</v>
      </c>
      <c r="C39" s="7" t="s">
        <v>157</v>
      </c>
      <c r="D39" s="7" t="s">
        <v>72</v>
      </c>
      <c r="E39" s="7" t="s">
        <v>108</v>
      </c>
      <c r="F39" s="7" t="s">
        <v>74</v>
      </c>
      <c r="G39" s="7" t="s">
        <v>440</v>
      </c>
      <c r="H39" s="7" t="s">
        <v>74</v>
      </c>
      <c r="I39" s="7" t="s">
        <v>439</v>
      </c>
      <c r="J39" s="7" t="s">
        <v>77</v>
      </c>
      <c r="K39" s="7" t="s">
        <v>131</v>
      </c>
      <c r="L39" s="8" t="s">
        <v>79</v>
      </c>
      <c r="M39" s="8" t="s">
        <v>132</v>
      </c>
      <c r="N39" s="8" t="s">
        <v>79</v>
      </c>
      <c r="O39" s="8" t="s">
        <v>109</v>
      </c>
      <c r="P39" s="8" t="s">
        <v>82</v>
      </c>
      <c r="Q39" s="8" t="s">
        <v>118</v>
      </c>
      <c r="R39" s="8" t="s">
        <v>82</v>
      </c>
      <c r="S39" s="8" t="s">
        <v>82</v>
      </c>
      <c r="T39" s="8" t="s">
        <v>106</v>
      </c>
      <c r="U39" s="8" t="s">
        <v>141</v>
      </c>
      <c r="V39" s="8" t="s">
        <v>127</v>
      </c>
      <c r="W39" s="9">
        <v>0</v>
      </c>
      <c r="X39" s="9">
        <v>1</v>
      </c>
      <c r="Y39" s="9">
        <v>0</v>
      </c>
      <c r="Z39" s="9">
        <v>1</v>
      </c>
      <c r="AA39" s="9">
        <v>2</v>
      </c>
      <c r="AB39" s="9">
        <v>2</v>
      </c>
      <c r="AC39" s="9">
        <v>2</v>
      </c>
      <c r="AD39" s="9">
        <v>0</v>
      </c>
      <c r="AE39" s="9">
        <v>1</v>
      </c>
      <c r="AF39" s="9">
        <v>2</v>
      </c>
      <c r="AG39" s="9">
        <v>1</v>
      </c>
      <c r="AH39" s="9">
        <v>0</v>
      </c>
      <c r="AI39" s="9">
        <v>1</v>
      </c>
      <c r="AJ39" s="9">
        <v>0</v>
      </c>
      <c r="AK39" s="9">
        <v>1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1</v>
      </c>
      <c r="AR39" s="10">
        <v>0</v>
      </c>
      <c r="AS39" s="11">
        <v>1</v>
      </c>
      <c r="AT39" s="11">
        <v>1</v>
      </c>
      <c r="AU39" s="11">
        <v>1</v>
      </c>
      <c r="AV39" s="11">
        <v>0</v>
      </c>
      <c r="AW39" s="11">
        <v>1</v>
      </c>
      <c r="AX39" s="11">
        <v>0</v>
      </c>
      <c r="AY39" s="7">
        <v>1</v>
      </c>
      <c r="AZ39" s="7">
        <v>0</v>
      </c>
      <c r="BA39" s="7">
        <v>1</v>
      </c>
      <c r="BB39" s="7">
        <v>2</v>
      </c>
      <c r="BC39" s="7">
        <v>0</v>
      </c>
      <c r="BD39" s="7">
        <v>1</v>
      </c>
      <c r="BE39" s="7">
        <v>1</v>
      </c>
      <c r="BF39" s="7">
        <v>0</v>
      </c>
      <c r="BG39" s="12">
        <f>SUM(data__22[[#This Row],[N1]:[N4]],data__22[[#This Row],[N10]:[N13]],data__22[[#This Row],[N16]:[N18]])/11</f>
        <v>0.54545454545454541</v>
      </c>
      <c r="BH39" s="13">
        <f>SUM(data__22[[#This Row],[N8]:[N9]],data__22[[#This Row],[N23]:[N25]])/5</f>
        <v>0.8</v>
      </c>
      <c r="BI39" s="12">
        <f>SUM(data__22[[#This Row],[N5]:[N7]])/3</f>
        <v>2</v>
      </c>
      <c r="BJ39" s="12">
        <f>SUM(data__22[[#This Row],[N14]:[N15]],data__22[[#This Row],[N19]:[N22]],data__22[[#This Row],[N26]:[N28]])/9</f>
        <v>0.44444444444444442</v>
      </c>
      <c r="BK39" s="12">
        <f>SUM(data__22[[#This Row],[N29]:[N33]])/5</f>
        <v>0.8</v>
      </c>
      <c r="BL39" s="12">
        <f>SUM(data__22[[#This Row],[N34]:[N36]])/3</f>
        <v>0.66666666666666663</v>
      </c>
    </row>
    <row r="40" spans="1:64" x14ac:dyDescent="0.3">
      <c r="A40" s="7">
        <v>19</v>
      </c>
      <c r="B40" s="7" t="s">
        <v>70</v>
      </c>
      <c r="C40" s="7" t="s">
        <v>157</v>
      </c>
      <c r="D40" s="7" t="s">
        <v>72</v>
      </c>
      <c r="E40" s="7" t="s">
        <v>73</v>
      </c>
      <c r="F40" s="7" t="s">
        <v>74</v>
      </c>
      <c r="G40" s="7" t="s">
        <v>440</v>
      </c>
      <c r="H40" s="7" t="s">
        <v>136</v>
      </c>
      <c r="I40" s="7" t="s">
        <v>439</v>
      </c>
      <c r="J40" s="7" t="s">
        <v>77</v>
      </c>
      <c r="K40" s="7" t="s">
        <v>122</v>
      </c>
      <c r="L40" s="8" t="s">
        <v>79</v>
      </c>
      <c r="M40" s="8" t="s">
        <v>80</v>
      </c>
      <c r="N40" s="8" t="s">
        <v>79</v>
      </c>
      <c r="O40" s="8" t="s">
        <v>117</v>
      </c>
      <c r="P40" s="8" t="s">
        <v>82</v>
      </c>
      <c r="Q40" s="8" t="s">
        <v>83</v>
      </c>
      <c r="R40" s="8" t="s">
        <v>82</v>
      </c>
      <c r="S40" s="8" t="s">
        <v>79</v>
      </c>
      <c r="T40" s="8" t="s">
        <v>86</v>
      </c>
      <c r="U40" s="8" t="s">
        <v>141</v>
      </c>
      <c r="V40" s="8" t="s">
        <v>112</v>
      </c>
      <c r="W40" s="9">
        <v>2</v>
      </c>
      <c r="X40" s="9">
        <v>3</v>
      </c>
      <c r="Y40" s="9">
        <v>3</v>
      </c>
      <c r="Z40" s="9">
        <v>3</v>
      </c>
      <c r="AA40" s="9">
        <v>1</v>
      </c>
      <c r="AB40" s="9">
        <v>1</v>
      </c>
      <c r="AC40" s="9">
        <v>0</v>
      </c>
      <c r="AD40" s="9">
        <v>3</v>
      </c>
      <c r="AE40" s="9">
        <v>3</v>
      </c>
      <c r="AF40" s="9">
        <v>3</v>
      </c>
      <c r="AG40" s="9">
        <v>3</v>
      </c>
      <c r="AH40" s="9">
        <v>3</v>
      </c>
      <c r="AI40" s="9">
        <v>2</v>
      </c>
      <c r="AJ40" s="9">
        <v>1</v>
      </c>
      <c r="AK40" s="9">
        <v>1</v>
      </c>
      <c r="AL40" s="10">
        <v>3</v>
      </c>
      <c r="AM40" s="10">
        <v>3</v>
      </c>
      <c r="AN40" s="10">
        <v>3</v>
      </c>
      <c r="AO40" s="10">
        <v>0</v>
      </c>
      <c r="AP40" s="10">
        <v>0</v>
      </c>
      <c r="AQ40" s="10">
        <v>0</v>
      </c>
      <c r="AR40" s="10">
        <v>0</v>
      </c>
      <c r="AS40" s="11">
        <v>2</v>
      </c>
      <c r="AT40" s="11">
        <v>1</v>
      </c>
      <c r="AU40" s="11">
        <v>1</v>
      </c>
      <c r="AV40" s="11">
        <v>2</v>
      </c>
      <c r="AW40" s="11">
        <v>0</v>
      </c>
      <c r="AX40" s="11">
        <v>0</v>
      </c>
      <c r="AY40" s="7">
        <v>3</v>
      </c>
      <c r="AZ40" s="7">
        <v>3</v>
      </c>
      <c r="BA40" s="7">
        <v>3</v>
      </c>
      <c r="BB40" s="7">
        <v>3</v>
      </c>
      <c r="BC40" s="7">
        <v>3</v>
      </c>
      <c r="BD40" s="7">
        <v>1</v>
      </c>
      <c r="BE40" s="7">
        <v>0</v>
      </c>
      <c r="BF40" s="7">
        <v>1</v>
      </c>
      <c r="BG40" s="12">
        <f>SUM(data__22[[#This Row],[N1]:[N4]],data__22[[#This Row],[N10]:[N13]],data__22[[#This Row],[N16]:[N18]])/11</f>
        <v>2.8181818181818183</v>
      </c>
      <c r="BH40" s="13">
        <f>SUM(data__22[[#This Row],[N8]:[N9]],data__22[[#This Row],[N23]:[N25]])/5</f>
        <v>2</v>
      </c>
      <c r="BI40" s="12">
        <f>SUM(data__22[[#This Row],[N5]:[N7]])/3</f>
        <v>0.66666666666666663</v>
      </c>
      <c r="BJ40" s="12">
        <f>SUM(data__22[[#This Row],[N14]:[N15]],data__22[[#This Row],[N19]:[N22]],data__22[[#This Row],[N26]:[N28]])/9</f>
        <v>0.44444444444444442</v>
      </c>
      <c r="BK40" s="12">
        <f>SUM(data__22[[#This Row],[N29]:[N33]])/5</f>
        <v>3</v>
      </c>
      <c r="BL40" s="12">
        <f>SUM(data__22[[#This Row],[N34]:[N36]])/3</f>
        <v>0.66666666666666663</v>
      </c>
    </row>
    <row r="41" spans="1:64" x14ac:dyDescent="0.3">
      <c r="A41" s="7">
        <v>20</v>
      </c>
      <c r="B41" s="7" t="s">
        <v>162</v>
      </c>
      <c r="C41" s="7" t="s">
        <v>157</v>
      </c>
      <c r="D41" s="7" t="s">
        <v>72</v>
      </c>
      <c r="E41" s="7" t="s">
        <v>73</v>
      </c>
      <c r="F41" s="7" t="s">
        <v>74</v>
      </c>
      <c r="G41" s="7" t="s">
        <v>99</v>
      </c>
      <c r="H41" s="7" t="s">
        <v>136</v>
      </c>
      <c r="I41" s="7" t="s">
        <v>76</v>
      </c>
      <c r="J41" s="7" t="s">
        <v>101</v>
      </c>
      <c r="K41" s="7" t="s">
        <v>122</v>
      </c>
      <c r="L41" s="8" t="s">
        <v>79</v>
      </c>
      <c r="M41" s="8" t="s">
        <v>80</v>
      </c>
      <c r="N41" s="8" t="s">
        <v>79</v>
      </c>
      <c r="O41" s="8" t="s">
        <v>81</v>
      </c>
      <c r="P41" s="8" t="s">
        <v>82</v>
      </c>
      <c r="Q41" s="8" t="s">
        <v>83</v>
      </c>
      <c r="R41" s="8" t="s">
        <v>82</v>
      </c>
      <c r="S41" s="8" t="s">
        <v>82</v>
      </c>
      <c r="T41" s="8" t="s">
        <v>106</v>
      </c>
      <c r="U41" s="8" t="s">
        <v>141</v>
      </c>
      <c r="V41" s="8" t="s">
        <v>112</v>
      </c>
      <c r="W41" s="9">
        <v>3</v>
      </c>
      <c r="X41" s="9">
        <v>3</v>
      </c>
      <c r="Y41" s="9">
        <v>3</v>
      </c>
      <c r="Z41" s="9">
        <v>3</v>
      </c>
      <c r="AA41" s="9">
        <v>3</v>
      </c>
      <c r="AB41" s="9">
        <v>3</v>
      </c>
      <c r="AC41" s="9">
        <v>3</v>
      </c>
      <c r="AD41" s="9">
        <v>3</v>
      </c>
      <c r="AE41" s="9">
        <v>3</v>
      </c>
      <c r="AF41" s="9">
        <v>3</v>
      </c>
      <c r="AG41" s="9">
        <v>3</v>
      </c>
      <c r="AH41" s="9">
        <v>3</v>
      </c>
      <c r="AI41" s="9">
        <v>3</v>
      </c>
      <c r="AJ41" s="9">
        <v>3</v>
      </c>
      <c r="AK41" s="9">
        <v>3</v>
      </c>
      <c r="AL41" s="10">
        <v>3</v>
      </c>
      <c r="AM41" s="10">
        <v>3</v>
      </c>
      <c r="AN41" s="10">
        <v>3</v>
      </c>
      <c r="AO41" s="10">
        <v>3</v>
      </c>
      <c r="AP41" s="10">
        <v>3</v>
      </c>
      <c r="AQ41" s="10">
        <v>3</v>
      </c>
      <c r="AR41" s="10">
        <v>3</v>
      </c>
      <c r="AS41" s="11">
        <v>3</v>
      </c>
      <c r="AT41" s="11">
        <v>3</v>
      </c>
      <c r="AU41" s="11">
        <v>3</v>
      </c>
      <c r="AV41" s="11">
        <v>3</v>
      </c>
      <c r="AW41" s="11">
        <v>3</v>
      </c>
      <c r="AX41" s="11">
        <v>3</v>
      </c>
      <c r="AY41" s="7">
        <v>3</v>
      </c>
      <c r="AZ41" s="7">
        <v>3</v>
      </c>
      <c r="BA41" s="7">
        <v>3</v>
      </c>
      <c r="BB41" s="7">
        <v>3</v>
      </c>
      <c r="BC41" s="7">
        <v>3</v>
      </c>
      <c r="BD41" s="7">
        <v>3</v>
      </c>
      <c r="BE41" s="7">
        <v>3</v>
      </c>
      <c r="BF41" s="7">
        <v>3</v>
      </c>
      <c r="BG41" s="12">
        <f>SUM(data__22[[#This Row],[N1]:[N4]],data__22[[#This Row],[N10]:[N13]],data__22[[#This Row],[N16]:[N18]])/11</f>
        <v>3</v>
      </c>
      <c r="BH41" s="13">
        <f>SUM(data__22[[#This Row],[N8]:[N9]],data__22[[#This Row],[N23]:[N25]])/5</f>
        <v>3</v>
      </c>
      <c r="BI41" s="12">
        <f>SUM(data__22[[#This Row],[N5]:[N7]])/3</f>
        <v>3</v>
      </c>
      <c r="BJ41" s="12">
        <f>SUM(data__22[[#This Row],[N14]:[N15]],data__22[[#This Row],[N19]:[N22]],data__22[[#This Row],[N26]:[N28]])/9</f>
        <v>3</v>
      </c>
      <c r="BK41" s="12">
        <f>SUM(data__22[[#This Row],[N29]:[N33]])/5</f>
        <v>3</v>
      </c>
      <c r="BL41" s="12">
        <f>SUM(data__22[[#This Row],[N34]:[N36]])/3</f>
        <v>3</v>
      </c>
    </row>
    <row r="42" spans="1:64" x14ac:dyDescent="0.3">
      <c r="A42" s="7">
        <v>20</v>
      </c>
      <c r="B42" s="7" t="s">
        <v>70</v>
      </c>
      <c r="C42" s="7" t="s">
        <v>157</v>
      </c>
      <c r="D42" s="7" t="s">
        <v>72</v>
      </c>
      <c r="E42" s="7" t="s">
        <v>114</v>
      </c>
      <c r="F42" s="7" t="s">
        <v>100</v>
      </c>
      <c r="G42" s="7" t="s">
        <v>438</v>
      </c>
      <c r="H42" s="7" t="s">
        <v>165</v>
      </c>
      <c r="I42" s="7" t="s">
        <v>76</v>
      </c>
      <c r="J42" s="7" t="s">
        <v>101</v>
      </c>
      <c r="K42" s="7" t="s">
        <v>125</v>
      </c>
      <c r="L42" s="8" t="s">
        <v>79</v>
      </c>
      <c r="M42" s="8" t="s">
        <v>80</v>
      </c>
      <c r="N42" s="8" t="s">
        <v>79</v>
      </c>
      <c r="O42" s="8" t="s">
        <v>109</v>
      </c>
      <c r="P42" s="8" t="s">
        <v>82</v>
      </c>
      <c r="Q42" s="8" t="s">
        <v>83</v>
      </c>
      <c r="R42" s="8" t="s">
        <v>79</v>
      </c>
      <c r="S42" s="8" t="s">
        <v>79</v>
      </c>
      <c r="T42" s="8" t="s">
        <v>106</v>
      </c>
      <c r="U42" s="8" t="s">
        <v>141</v>
      </c>
      <c r="V42" s="8" t="s">
        <v>112</v>
      </c>
      <c r="W42" s="9">
        <v>1</v>
      </c>
      <c r="X42" s="9">
        <v>2</v>
      </c>
      <c r="Y42" s="9">
        <v>3</v>
      </c>
      <c r="Z42" s="9">
        <v>1</v>
      </c>
      <c r="AA42" s="9">
        <v>3</v>
      </c>
      <c r="AB42" s="9">
        <v>1</v>
      </c>
      <c r="AC42" s="9">
        <v>1</v>
      </c>
      <c r="AD42" s="9">
        <v>3</v>
      </c>
      <c r="AE42" s="9">
        <v>1</v>
      </c>
      <c r="AF42" s="9">
        <v>3</v>
      </c>
      <c r="AG42" s="9">
        <v>3</v>
      </c>
      <c r="AH42" s="9">
        <v>1</v>
      </c>
      <c r="AI42" s="9">
        <v>1</v>
      </c>
      <c r="AJ42" s="9">
        <v>1</v>
      </c>
      <c r="AK42" s="9">
        <v>1</v>
      </c>
      <c r="AL42" s="10">
        <v>1</v>
      </c>
      <c r="AM42" s="10">
        <v>1</v>
      </c>
      <c r="AN42" s="10">
        <v>1</v>
      </c>
      <c r="AO42" s="10">
        <v>1</v>
      </c>
      <c r="AP42" s="10">
        <v>1</v>
      </c>
      <c r="AQ42" s="10">
        <v>1</v>
      </c>
      <c r="AR42" s="10">
        <v>1</v>
      </c>
      <c r="AS42" s="11">
        <v>2</v>
      </c>
      <c r="AT42" s="11">
        <v>1</v>
      </c>
      <c r="AU42" s="11">
        <v>2</v>
      </c>
      <c r="AV42" s="11">
        <v>1</v>
      </c>
      <c r="AW42" s="11">
        <v>3</v>
      </c>
      <c r="AX42" s="11">
        <v>1</v>
      </c>
      <c r="AY42" s="7">
        <v>2</v>
      </c>
      <c r="AZ42" s="7">
        <v>2</v>
      </c>
      <c r="BA42" s="7">
        <v>3</v>
      </c>
      <c r="BB42" s="7">
        <v>3</v>
      </c>
      <c r="BC42" s="7">
        <v>3</v>
      </c>
      <c r="BD42" s="7">
        <v>3</v>
      </c>
      <c r="BE42" s="7">
        <v>2</v>
      </c>
      <c r="BF42" s="7">
        <v>2</v>
      </c>
      <c r="BG42" s="12">
        <f>SUM(data__22[[#This Row],[N1]:[N4]],data__22[[#This Row],[N10]:[N13]],data__22[[#This Row],[N16]:[N18]])/11</f>
        <v>1.6363636363636365</v>
      </c>
      <c r="BH42" s="13">
        <f>SUM(data__22[[#This Row],[N8]:[N9]],data__22[[#This Row],[N23]:[N25]])/5</f>
        <v>1.8</v>
      </c>
      <c r="BI42" s="12">
        <f>SUM(data__22[[#This Row],[N5]:[N7]])/3</f>
        <v>1.6666666666666667</v>
      </c>
      <c r="BJ42" s="12">
        <f>SUM(data__22[[#This Row],[N14]:[N15]],data__22[[#This Row],[N19]:[N22]],data__22[[#This Row],[N26]:[N28]])/9</f>
        <v>1.2222222222222223</v>
      </c>
      <c r="BK42" s="12">
        <f>SUM(data__22[[#This Row],[N29]:[N33]])/5</f>
        <v>2.6</v>
      </c>
      <c r="BL42" s="12">
        <f>SUM(data__22[[#This Row],[N34]:[N36]])/3</f>
        <v>2.3333333333333335</v>
      </c>
    </row>
    <row r="43" spans="1:64" x14ac:dyDescent="0.3">
      <c r="A43" s="7">
        <v>22</v>
      </c>
      <c r="B43" s="7" t="s">
        <v>70</v>
      </c>
      <c r="C43" s="7" t="s">
        <v>157</v>
      </c>
      <c r="D43" s="7" t="s">
        <v>72</v>
      </c>
      <c r="E43" s="7" t="s">
        <v>114</v>
      </c>
      <c r="F43" s="7" t="s">
        <v>98</v>
      </c>
      <c r="G43" s="7" t="s">
        <v>440</v>
      </c>
      <c r="H43" s="7" t="s">
        <v>98</v>
      </c>
      <c r="I43" s="7" t="s">
        <v>76</v>
      </c>
      <c r="J43" s="7" t="s">
        <v>77</v>
      </c>
      <c r="K43" s="7" t="s">
        <v>122</v>
      </c>
      <c r="L43" s="8" t="s">
        <v>82</v>
      </c>
      <c r="M43" s="8" t="s">
        <v>80</v>
      </c>
      <c r="N43" s="8" t="s">
        <v>79</v>
      </c>
      <c r="O43" s="8" t="s">
        <v>117</v>
      </c>
      <c r="P43" s="8" t="s">
        <v>82</v>
      </c>
      <c r="Q43" s="8" t="s">
        <v>83</v>
      </c>
      <c r="R43" s="8" t="s">
        <v>82</v>
      </c>
      <c r="S43" s="8" t="s">
        <v>82</v>
      </c>
      <c r="T43" s="8" t="s">
        <v>86</v>
      </c>
      <c r="U43" s="8" t="s">
        <v>87</v>
      </c>
      <c r="V43" s="8" t="s">
        <v>457</v>
      </c>
      <c r="W43" s="9">
        <v>3</v>
      </c>
      <c r="X43" s="9">
        <v>3</v>
      </c>
      <c r="Y43" s="9">
        <v>3</v>
      </c>
      <c r="Z43" s="9">
        <v>3</v>
      </c>
      <c r="AA43" s="9">
        <v>2</v>
      </c>
      <c r="AB43" s="9">
        <v>2</v>
      </c>
      <c r="AC43" s="9">
        <v>2</v>
      </c>
      <c r="AD43" s="9">
        <v>1</v>
      </c>
      <c r="AE43" s="9">
        <v>3</v>
      </c>
      <c r="AF43" s="9">
        <v>3</v>
      </c>
      <c r="AG43" s="9">
        <v>3</v>
      </c>
      <c r="AH43" s="9">
        <v>3</v>
      </c>
      <c r="AI43" s="9">
        <v>3</v>
      </c>
      <c r="AJ43" s="9">
        <v>3</v>
      </c>
      <c r="AK43" s="9">
        <v>2</v>
      </c>
      <c r="AL43" s="10">
        <v>3</v>
      </c>
      <c r="AM43" s="10">
        <v>3</v>
      </c>
      <c r="AN43" s="10">
        <v>3</v>
      </c>
      <c r="AO43" s="10">
        <v>3</v>
      </c>
      <c r="AP43" s="10">
        <v>0</v>
      </c>
      <c r="AQ43" s="10">
        <v>0</v>
      </c>
      <c r="AR43" s="10">
        <v>0</v>
      </c>
      <c r="AS43" s="11">
        <v>3</v>
      </c>
      <c r="AT43" s="11">
        <v>3</v>
      </c>
      <c r="AU43" s="11">
        <v>3</v>
      </c>
      <c r="AV43" s="11">
        <v>3</v>
      </c>
      <c r="AW43" s="11">
        <v>0</v>
      </c>
      <c r="AX43" s="11">
        <v>0</v>
      </c>
      <c r="AY43" s="7">
        <v>3</v>
      </c>
      <c r="AZ43" s="7">
        <v>3</v>
      </c>
      <c r="BA43" s="7">
        <v>3</v>
      </c>
      <c r="BB43" s="7">
        <v>3</v>
      </c>
      <c r="BC43" s="7">
        <v>3</v>
      </c>
      <c r="BD43" s="7">
        <v>0</v>
      </c>
      <c r="BE43" s="7">
        <v>0</v>
      </c>
      <c r="BF43" s="7">
        <v>0</v>
      </c>
      <c r="BG43" s="12">
        <f>SUM(data__22[[#This Row],[N1]:[N4]],data__22[[#This Row],[N10]:[N13]],data__22[[#This Row],[N16]:[N18]])/11</f>
        <v>3</v>
      </c>
      <c r="BH43" s="13">
        <f>SUM(data__22[[#This Row],[N8]:[N9]],data__22[[#This Row],[N23]:[N25]])/5</f>
        <v>2.6</v>
      </c>
      <c r="BI43" s="12">
        <f>SUM(data__22[[#This Row],[N5]:[N7]])/3</f>
        <v>2</v>
      </c>
      <c r="BJ43" s="12">
        <f>SUM(data__22[[#This Row],[N14]:[N15]],data__22[[#This Row],[N19]:[N22]],data__22[[#This Row],[N26]:[N28]])/9</f>
        <v>1.2222222222222223</v>
      </c>
      <c r="BK43" s="12">
        <f>SUM(data__22[[#This Row],[N29]:[N33]])/5</f>
        <v>3</v>
      </c>
      <c r="BL43" s="12">
        <f>SUM(data__22[[#This Row],[N34]:[N36]])/3</f>
        <v>0</v>
      </c>
    </row>
    <row r="44" spans="1:64" x14ac:dyDescent="0.3">
      <c r="A44" s="7">
        <v>20</v>
      </c>
      <c r="B44" s="7" t="s">
        <v>70</v>
      </c>
      <c r="C44" s="7" t="s">
        <v>157</v>
      </c>
      <c r="D44" s="7" t="s">
        <v>97</v>
      </c>
      <c r="E44" s="7" t="s">
        <v>108</v>
      </c>
      <c r="F44" s="7" t="s">
        <v>74</v>
      </c>
      <c r="G44" s="7" t="s">
        <v>166</v>
      </c>
      <c r="H44" s="7" t="s">
        <v>98</v>
      </c>
      <c r="I44" s="7" t="s">
        <v>76</v>
      </c>
      <c r="J44" s="7" t="s">
        <v>77</v>
      </c>
      <c r="K44" s="7" t="s">
        <v>125</v>
      </c>
      <c r="L44" s="8" t="s">
        <v>82</v>
      </c>
      <c r="M44" s="8" t="s">
        <v>102</v>
      </c>
      <c r="N44" s="8" t="s">
        <v>79</v>
      </c>
      <c r="O44" s="8" t="s">
        <v>109</v>
      </c>
      <c r="P44" s="8" t="s">
        <v>79</v>
      </c>
      <c r="Q44" s="8" t="s">
        <v>103</v>
      </c>
      <c r="R44" s="8" t="s">
        <v>79</v>
      </c>
      <c r="S44" s="8" t="s">
        <v>82</v>
      </c>
      <c r="T44" s="8" t="s">
        <v>86</v>
      </c>
      <c r="U44" s="8" t="s">
        <v>141</v>
      </c>
      <c r="V44" s="8" t="s">
        <v>457</v>
      </c>
      <c r="W44" s="9">
        <v>1</v>
      </c>
      <c r="X44" s="9">
        <v>3</v>
      </c>
      <c r="Y44" s="9">
        <v>3</v>
      </c>
      <c r="Z44" s="9">
        <v>2</v>
      </c>
      <c r="AA44" s="9">
        <v>3</v>
      </c>
      <c r="AB44" s="9">
        <v>3</v>
      </c>
      <c r="AC44" s="9">
        <v>2</v>
      </c>
      <c r="AD44" s="9">
        <v>3</v>
      </c>
      <c r="AE44" s="9">
        <v>2</v>
      </c>
      <c r="AF44" s="9">
        <v>3</v>
      </c>
      <c r="AG44" s="9">
        <v>3</v>
      </c>
      <c r="AH44" s="9">
        <v>3</v>
      </c>
      <c r="AI44" s="9">
        <v>3</v>
      </c>
      <c r="AJ44" s="9">
        <v>2</v>
      </c>
      <c r="AK44" s="9">
        <v>3</v>
      </c>
      <c r="AL44" s="10">
        <v>3</v>
      </c>
      <c r="AM44" s="10">
        <v>3</v>
      </c>
      <c r="AN44" s="10">
        <v>3</v>
      </c>
      <c r="AO44" s="10">
        <v>0</v>
      </c>
      <c r="AP44" s="10">
        <v>0</v>
      </c>
      <c r="AQ44" s="10">
        <v>0</v>
      </c>
      <c r="AR44" s="10">
        <v>0</v>
      </c>
      <c r="AS44" s="11">
        <v>0</v>
      </c>
      <c r="AT44" s="11">
        <v>0</v>
      </c>
      <c r="AU44" s="11">
        <v>1</v>
      </c>
      <c r="AV44" s="11">
        <v>3</v>
      </c>
      <c r="AW44" s="11">
        <v>2</v>
      </c>
      <c r="AX44" s="11">
        <v>3</v>
      </c>
      <c r="AY44" s="7">
        <v>3</v>
      </c>
      <c r="AZ44" s="7">
        <v>3</v>
      </c>
      <c r="BA44" s="7">
        <v>3</v>
      </c>
      <c r="BB44" s="7">
        <v>3</v>
      </c>
      <c r="BC44" s="7">
        <v>3</v>
      </c>
      <c r="BD44" s="7">
        <v>0</v>
      </c>
      <c r="BE44" s="7">
        <v>0</v>
      </c>
      <c r="BF44" s="7">
        <v>1</v>
      </c>
      <c r="BG44" s="12">
        <f>SUM(data__22[[#This Row],[N1]:[N4]],data__22[[#This Row],[N10]:[N13]],data__22[[#This Row],[N16]:[N18]])/11</f>
        <v>2.7272727272727271</v>
      </c>
      <c r="BH44" s="13">
        <f>SUM(data__22[[#This Row],[N8]:[N9]],data__22[[#This Row],[N23]:[N25]])/5</f>
        <v>1.2</v>
      </c>
      <c r="BI44" s="12">
        <f>SUM(data__22[[#This Row],[N5]:[N7]])/3</f>
        <v>2.6666666666666665</v>
      </c>
      <c r="BJ44" s="12">
        <f>SUM(data__22[[#This Row],[N14]:[N15]],data__22[[#This Row],[N19]:[N22]],data__22[[#This Row],[N26]:[N28]])/9</f>
        <v>1.4444444444444444</v>
      </c>
      <c r="BK44" s="12">
        <f>SUM(data__22[[#This Row],[N29]:[N33]])/5</f>
        <v>3</v>
      </c>
      <c r="BL44" s="12">
        <f>SUM(data__22[[#This Row],[N34]:[N36]])/3</f>
        <v>0.33333333333333331</v>
      </c>
    </row>
    <row r="45" spans="1:64" x14ac:dyDescent="0.3">
      <c r="A45" s="7">
        <v>21</v>
      </c>
      <c r="B45" s="7" t="s">
        <v>70</v>
      </c>
      <c r="C45" s="7" t="s">
        <v>157</v>
      </c>
      <c r="D45" s="7" t="s">
        <v>72</v>
      </c>
      <c r="E45" s="7" t="s">
        <v>73</v>
      </c>
      <c r="F45" s="7" t="s">
        <v>74</v>
      </c>
      <c r="G45" s="7" t="s">
        <v>439</v>
      </c>
      <c r="H45" s="7" t="s">
        <v>98</v>
      </c>
      <c r="I45" s="7" t="s">
        <v>76</v>
      </c>
      <c r="J45" s="7" t="s">
        <v>77</v>
      </c>
      <c r="K45" s="7" t="s">
        <v>122</v>
      </c>
      <c r="L45" s="8" t="s">
        <v>79</v>
      </c>
      <c r="M45" s="8" t="s">
        <v>80</v>
      </c>
      <c r="N45" s="8" t="s">
        <v>82</v>
      </c>
      <c r="O45" s="8" t="s">
        <v>117</v>
      </c>
      <c r="P45" s="8" t="s">
        <v>79</v>
      </c>
      <c r="Q45" s="8" t="s">
        <v>118</v>
      </c>
      <c r="R45" s="8" t="s">
        <v>82</v>
      </c>
      <c r="S45" s="8" t="s">
        <v>82</v>
      </c>
      <c r="T45" s="8" t="s">
        <v>86</v>
      </c>
      <c r="U45" s="8" t="s">
        <v>120</v>
      </c>
      <c r="V45" s="8" t="s">
        <v>112</v>
      </c>
      <c r="W45" s="9">
        <v>1</v>
      </c>
      <c r="X45" s="9">
        <v>1</v>
      </c>
      <c r="Y45" s="9">
        <v>1</v>
      </c>
      <c r="Z45" s="9">
        <v>1</v>
      </c>
      <c r="AA45" s="9">
        <v>1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1</v>
      </c>
      <c r="AK45" s="9">
        <v>1</v>
      </c>
      <c r="AL45" s="10">
        <v>1</v>
      </c>
      <c r="AM45" s="10">
        <v>0</v>
      </c>
      <c r="AN45" s="10">
        <v>1</v>
      </c>
      <c r="AO45" s="10">
        <v>1</v>
      </c>
      <c r="AP45" s="10">
        <v>0</v>
      </c>
      <c r="AQ45" s="10">
        <v>1</v>
      </c>
      <c r="AR45" s="10">
        <v>1</v>
      </c>
      <c r="AS45" s="11">
        <v>1</v>
      </c>
      <c r="AT45" s="11">
        <v>1</v>
      </c>
      <c r="AU45" s="11">
        <v>1</v>
      </c>
      <c r="AV45" s="11">
        <v>0</v>
      </c>
      <c r="AW45" s="11">
        <v>1</v>
      </c>
      <c r="AX45" s="11">
        <v>1</v>
      </c>
      <c r="AY45" s="7">
        <v>2</v>
      </c>
      <c r="AZ45" s="7">
        <v>2</v>
      </c>
      <c r="BA45" s="7">
        <v>1</v>
      </c>
      <c r="BB45" s="7">
        <v>1</v>
      </c>
      <c r="BC45" s="7">
        <v>1</v>
      </c>
      <c r="BD45" s="7">
        <v>2</v>
      </c>
      <c r="BE45" s="7">
        <v>1</v>
      </c>
      <c r="BF45" s="7">
        <v>2</v>
      </c>
      <c r="BG45" s="12">
        <f>SUM(data__22[[#This Row],[N1]:[N4]],data__22[[#This Row],[N10]:[N13]],data__22[[#This Row],[N16]:[N18]])/11</f>
        <v>0.54545454545454541</v>
      </c>
      <c r="BH45" s="13">
        <f>SUM(data__22[[#This Row],[N8]:[N9]],data__22[[#This Row],[N23]:[N25]])/5</f>
        <v>0.6</v>
      </c>
      <c r="BI45" s="12">
        <f>SUM(data__22[[#This Row],[N5]:[N7]])/3</f>
        <v>0.33333333333333331</v>
      </c>
      <c r="BJ45" s="12">
        <f>SUM(data__22[[#This Row],[N14]:[N15]],data__22[[#This Row],[N19]:[N22]],data__22[[#This Row],[N26]:[N28]])/9</f>
        <v>0.77777777777777779</v>
      </c>
      <c r="BK45" s="12">
        <f>SUM(data__22[[#This Row],[N29]:[N33]])/5</f>
        <v>1.4</v>
      </c>
      <c r="BL45" s="12">
        <f>SUM(data__22[[#This Row],[N34]:[N36]])/3</f>
        <v>1.6666666666666667</v>
      </c>
    </row>
    <row r="46" spans="1:64" x14ac:dyDescent="0.3">
      <c r="A46" s="7">
        <v>19</v>
      </c>
      <c r="B46" s="7" t="s">
        <v>70</v>
      </c>
      <c r="C46" s="7" t="s">
        <v>157</v>
      </c>
      <c r="D46" s="7" t="s">
        <v>72</v>
      </c>
      <c r="E46" s="7" t="s">
        <v>114</v>
      </c>
      <c r="F46" s="7" t="s">
        <v>74</v>
      </c>
      <c r="G46" s="7" t="s">
        <v>440</v>
      </c>
      <c r="H46" s="7" t="s">
        <v>136</v>
      </c>
      <c r="I46" s="7" t="s">
        <v>76</v>
      </c>
      <c r="J46" s="7" t="s">
        <v>77</v>
      </c>
      <c r="K46" s="7" t="s">
        <v>78</v>
      </c>
      <c r="L46" s="8" t="s">
        <v>79</v>
      </c>
      <c r="M46" s="8" t="s">
        <v>80</v>
      </c>
      <c r="N46" s="8" t="s">
        <v>79</v>
      </c>
      <c r="O46" s="8" t="s">
        <v>138</v>
      </c>
      <c r="P46" s="8" t="s">
        <v>79</v>
      </c>
      <c r="Q46" s="8" t="s">
        <v>83</v>
      </c>
      <c r="R46" s="8" t="s">
        <v>79</v>
      </c>
      <c r="S46" s="8" t="s">
        <v>82</v>
      </c>
      <c r="T46" s="8" t="s">
        <v>106</v>
      </c>
      <c r="U46" s="8" t="s">
        <v>87</v>
      </c>
      <c r="V46" s="8" t="s">
        <v>112</v>
      </c>
      <c r="W46" s="9">
        <v>3</v>
      </c>
      <c r="X46" s="9">
        <v>3</v>
      </c>
      <c r="Y46" s="9">
        <v>3</v>
      </c>
      <c r="Z46" s="9">
        <v>3</v>
      </c>
      <c r="AA46" s="9">
        <v>0</v>
      </c>
      <c r="AB46" s="9">
        <v>1</v>
      </c>
      <c r="AC46" s="9">
        <v>2</v>
      </c>
      <c r="AD46" s="9">
        <v>1</v>
      </c>
      <c r="AE46" s="9">
        <v>1</v>
      </c>
      <c r="AF46" s="9">
        <v>1</v>
      </c>
      <c r="AG46" s="9">
        <v>3</v>
      </c>
      <c r="AH46" s="9">
        <v>3</v>
      </c>
      <c r="AI46" s="9">
        <v>3</v>
      </c>
      <c r="AJ46" s="9">
        <v>3</v>
      </c>
      <c r="AK46" s="9">
        <v>3</v>
      </c>
      <c r="AL46" s="10">
        <v>3</v>
      </c>
      <c r="AM46" s="10">
        <v>3</v>
      </c>
      <c r="AN46" s="10">
        <v>3</v>
      </c>
      <c r="AO46" s="10">
        <v>0</v>
      </c>
      <c r="AP46" s="10">
        <v>0</v>
      </c>
      <c r="AQ46" s="10">
        <v>0</v>
      </c>
      <c r="AR46" s="10">
        <v>0</v>
      </c>
      <c r="AS46" s="11">
        <v>3</v>
      </c>
      <c r="AT46" s="11">
        <v>3</v>
      </c>
      <c r="AU46" s="11">
        <v>3</v>
      </c>
      <c r="AV46" s="11">
        <v>0</v>
      </c>
      <c r="AW46" s="11">
        <v>0</v>
      </c>
      <c r="AX46" s="11">
        <v>0</v>
      </c>
      <c r="AY46" s="7"/>
      <c r="AZ46" s="7"/>
      <c r="BA46" s="7"/>
      <c r="BB46" s="7"/>
      <c r="BC46" s="7"/>
      <c r="BD46" s="7"/>
      <c r="BE46" s="7"/>
      <c r="BF46" s="7"/>
      <c r="BG46" s="12">
        <f>SUM(data__22[[#This Row],[N1]:[N4]],data__22[[#This Row],[N10]:[N13]],data__22[[#This Row],[N16]:[N18]])/11</f>
        <v>2.8181818181818183</v>
      </c>
      <c r="BH46" s="13">
        <f>SUM(data__22[[#This Row],[N8]:[N9]],data__22[[#This Row],[N23]:[N25]])/5</f>
        <v>2.2000000000000002</v>
      </c>
      <c r="BI46" s="12">
        <f>SUM(data__22[[#This Row],[N5]:[N7]])/3</f>
        <v>1</v>
      </c>
      <c r="BJ46" s="12">
        <f>SUM(data__22[[#This Row],[N14]:[N15]],data__22[[#This Row],[N19]:[N22]],data__22[[#This Row],[N26]:[N28]])/9</f>
        <v>0.66666666666666663</v>
      </c>
      <c r="BK46" s="12">
        <f>SUM(data__22[[#This Row],[N29]:[N33]])/5</f>
        <v>0</v>
      </c>
      <c r="BL46" s="12">
        <f>SUM(data__22[[#This Row],[N34]:[N36]])/3</f>
        <v>0</v>
      </c>
    </row>
    <row r="47" spans="1:64" x14ac:dyDescent="0.3">
      <c r="A47" s="7">
        <v>21</v>
      </c>
      <c r="B47" s="7" t="s">
        <v>70</v>
      </c>
      <c r="C47" s="7" t="s">
        <v>157</v>
      </c>
      <c r="D47" s="7" t="s">
        <v>72</v>
      </c>
      <c r="E47" s="7" t="s">
        <v>73</v>
      </c>
      <c r="F47" s="7" t="s">
        <v>74</v>
      </c>
      <c r="G47" s="7" t="s">
        <v>439</v>
      </c>
      <c r="H47" s="7" t="s">
        <v>74</v>
      </c>
      <c r="I47" s="7" t="s">
        <v>439</v>
      </c>
      <c r="J47" s="7" t="s">
        <v>77</v>
      </c>
      <c r="K47" s="7" t="s">
        <v>131</v>
      </c>
      <c r="L47" s="8" t="s">
        <v>79</v>
      </c>
      <c r="M47" s="8" t="s">
        <v>132</v>
      </c>
      <c r="N47" s="8" t="s">
        <v>79</v>
      </c>
      <c r="O47" s="8" t="s">
        <v>117</v>
      </c>
      <c r="P47" s="8" t="s">
        <v>79</v>
      </c>
      <c r="Q47" s="8" t="s">
        <v>83</v>
      </c>
      <c r="R47" s="8" t="s">
        <v>79</v>
      </c>
      <c r="S47" s="8" t="s">
        <v>79</v>
      </c>
      <c r="T47" s="8" t="s">
        <v>106</v>
      </c>
      <c r="U47" s="8" t="s">
        <v>120</v>
      </c>
      <c r="V47" s="8" t="s">
        <v>112</v>
      </c>
      <c r="W47" s="9">
        <v>2</v>
      </c>
      <c r="X47" s="9">
        <v>3</v>
      </c>
      <c r="Y47" s="9">
        <v>2</v>
      </c>
      <c r="Z47" s="9">
        <v>3</v>
      </c>
      <c r="AA47" s="9">
        <v>1</v>
      </c>
      <c r="AB47" s="9">
        <v>2</v>
      </c>
      <c r="AC47" s="9">
        <v>0</v>
      </c>
      <c r="AD47" s="9">
        <v>2</v>
      </c>
      <c r="AE47" s="9">
        <v>2</v>
      </c>
      <c r="AF47" s="9">
        <v>2</v>
      </c>
      <c r="AG47" s="9">
        <v>1</v>
      </c>
      <c r="AH47" s="9">
        <v>1</v>
      </c>
      <c r="AI47" s="9">
        <v>1</v>
      </c>
      <c r="AJ47" s="9">
        <v>1</v>
      </c>
      <c r="AK47" s="9">
        <v>1</v>
      </c>
      <c r="AL47" s="10">
        <v>3</v>
      </c>
      <c r="AM47" s="10">
        <v>3</v>
      </c>
      <c r="AN47" s="10">
        <v>3</v>
      </c>
      <c r="AO47" s="10">
        <v>0</v>
      </c>
      <c r="AP47" s="10">
        <v>0</v>
      </c>
      <c r="AQ47" s="10">
        <v>0</v>
      </c>
      <c r="AR47" s="10">
        <v>0</v>
      </c>
      <c r="AS47" s="11">
        <v>2</v>
      </c>
      <c r="AT47" s="11">
        <v>1</v>
      </c>
      <c r="AU47" s="11">
        <v>2</v>
      </c>
      <c r="AV47" s="11">
        <v>1</v>
      </c>
      <c r="AW47" s="11">
        <v>0</v>
      </c>
      <c r="AX47" s="11">
        <v>0</v>
      </c>
      <c r="AY47" s="7">
        <v>3</v>
      </c>
      <c r="AZ47" s="7">
        <v>3</v>
      </c>
      <c r="BA47" s="7">
        <v>3</v>
      </c>
      <c r="BB47" s="7">
        <v>3</v>
      </c>
      <c r="BC47" s="7">
        <v>3</v>
      </c>
      <c r="BD47" s="7">
        <v>0</v>
      </c>
      <c r="BE47" s="7">
        <v>0</v>
      </c>
      <c r="BF47" s="7">
        <v>0</v>
      </c>
      <c r="BG47" s="12">
        <f>SUM(data__22[[#This Row],[N1]:[N4]],data__22[[#This Row],[N10]:[N13]],data__22[[#This Row],[N16]:[N18]])/11</f>
        <v>2.1818181818181817</v>
      </c>
      <c r="BH47" s="13">
        <f>SUM(data__22[[#This Row],[N8]:[N9]],data__22[[#This Row],[N23]:[N25]])/5</f>
        <v>1.8</v>
      </c>
      <c r="BI47" s="12">
        <f>SUM(data__22[[#This Row],[N5]:[N7]])/3</f>
        <v>1</v>
      </c>
      <c r="BJ47" s="12">
        <f>SUM(data__22[[#This Row],[N14]:[N15]],data__22[[#This Row],[N19]:[N22]],data__22[[#This Row],[N26]:[N28]])/9</f>
        <v>0.33333333333333331</v>
      </c>
      <c r="BK47" s="12">
        <f>SUM(data__22[[#This Row],[N29]:[N33]])/5</f>
        <v>3</v>
      </c>
      <c r="BL47" s="12">
        <f>SUM(data__22[[#This Row],[N34]:[N36]])/3</f>
        <v>0</v>
      </c>
    </row>
    <row r="48" spans="1:64" x14ac:dyDescent="0.3">
      <c r="A48" s="7">
        <v>21</v>
      </c>
      <c r="B48" s="7" t="s">
        <v>70</v>
      </c>
      <c r="C48" s="7" t="s">
        <v>96</v>
      </c>
      <c r="D48" s="7" t="s">
        <v>97</v>
      </c>
      <c r="E48" s="7" t="s">
        <v>108</v>
      </c>
      <c r="F48" s="7" t="s">
        <v>74</v>
      </c>
      <c r="G48" s="7" t="s">
        <v>439</v>
      </c>
      <c r="H48" s="7" t="s">
        <v>74</v>
      </c>
      <c r="I48" s="7" t="s">
        <v>439</v>
      </c>
      <c r="J48" s="7" t="s">
        <v>77</v>
      </c>
      <c r="K48" s="7" t="s">
        <v>78</v>
      </c>
      <c r="L48" s="8" t="s">
        <v>79</v>
      </c>
      <c r="M48" s="8" t="s">
        <v>102</v>
      </c>
      <c r="N48" s="8" t="s">
        <v>79</v>
      </c>
      <c r="O48" s="8" t="s">
        <v>109</v>
      </c>
      <c r="P48" s="8" t="s">
        <v>79</v>
      </c>
      <c r="Q48" s="8" t="s">
        <v>103</v>
      </c>
      <c r="R48" s="8" t="s">
        <v>79</v>
      </c>
      <c r="S48" s="8" t="s">
        <v>79</v>
      </c>
      <c r="T48" s="8" t="s">
        <v>86</v>
      </c>
      <c r="U48" s="8" t="s">
        <v>87</v>
      </c>
      <c r="V48" s="8" t="s">
        <v>112</v>
      </c>
      <c r="W48" s="9">
        <v>2</v>
      </c>
      <c r="X48" s="9">
        <v>2</v>
      </c>
      <c r="Y48" s="9">
        <v>3</v>
      </c>
      <c r="Z48" s="9">
        <v>3</v>
      </c>
      <c r="AA48" s="9">
        <v>3</v>
      </c>
      <c r="AB48" s="9">
        <v>3</v>
      </c>
      <c r="AC48" s="9">
        <v>3</v>
      </c>
      <c r="AD48" s="9">
        <v>3</v>
      </c>
      <c r="AE48" s="9">
        <v>3</v>
      </c>
      <c r="AF48" s="9">
        <v>3</v>
      </c>
      <c r="AG48" s="9">
        <v>3</v>
      </c>
      <c r="AH48" s="9">
        <v>3</v>
      </c>
      <c r="AI48" s="9">
        <v>3</v>
      </c>
      <c r="AJ48" s="9">
        <v>3</v>
      </c>
      <c r="AK48" s="9">
        <v>3</v>
      </c>
      <c r="AL48" s="10">
        <v>1</v>
      </c>
      <c r="AM48" s="10">
        <v>2</v>
      </c>
      <c r="AN48" s="10">
        <v>2</v>
      </c>
      <c r="AO48" s="10">
        <v>2</v>
      </c>
      <c r="AP48" s="10">
        <v>2</v>
      </c>
      <c r="AQ48" s="10">
        <v>1</v>
      </c>
      <c r="AR48" s="10">
        <v>1</v>
      </c>
      <c r="AS48" s="11">
        <v>1</v>
      </c>
      <c r="AT48" s="11">
        <v>1</v>
      </c>
      <c r="AU48" s="11">
        <v>1</v>
      </c>
      <c r="AV48" s="11">
        <v>1</v>
      </c>
      <c r="AW48" s="11">
        <v>1</v>
      </c>
      <c r="AX48" s="11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12">
        <f>SUM(data__22[[#This Row],[N1]:[N4]],data__22[[#This Row],[N10]:[N13]],data__22[[#This Row],[N16]:[N18]])/11</f>
        <v>2.4545454545454546</v>
      </c>
      <c r="BH48" s="13">
        <f>SUM(data__22[[#This Row],[N8]:[N9]],data__22[[#This Row],[N23]:[N25]])/5</f>
        <v>1.8</v>
      </c>
      <c r="BI48" s="12">
        <f>SUM(data__22[[#This Row],[N5]:[N7]])/3</f>
        <v>3</v>
      </c>
      <c r="BJ48" s="12">
        <f>SUM(data__22[[#This Row],[N14]:[N15]],data__22[[#This Row],[N19]:[N22]],data__22[[#This Row],[N26]:[N28]])/9</f>
        <v>1.6666666666666667</v>
      </c>
      <c r="BK48" s="12">
        <f>SUM(data__22[[#This Row],[N29]:[N33]])/5</f>
        <v>1</v>
      </c>
      <c r="BL48" s="12">
        <f>SUM(data__22[[#This Row],[N34]:[N36]])/3</f>
        <v>1</v>
      </c>
    </row>
    <row r="49" spans="1:64" x14ac:dyDescent="0.3">
      <c r="A49" s="7">
        <v>21</v>
      </c>
      <c r="B49" s="7" t="s">
        <v>70</v>
      </c>
      <c r="C49" s="7" t="s">
        <v>157</v>
      </c>
      <c r="D49" s="7" t="s">
        <v>97</v>
      </c>
      <c r="E49" s="7" t="s">
        <v>108</v>
      </c>
      <c r="F49" s="7" t="s">
        <v>74</v>
      </c>
      <c r="G49" s="7" t="s">
        <v>440</v>
      </c>
      <c r="H49" s="7" t="s">
        <v>74</v>
      </c>
      <c r="I49" s="7" t="s">
        <v>76</v>
      </c>
      <c r="J49" s="7" t="s">
        <v>77</v>
      </c>
      <c r="K49" s="7" t="s">
        <v>131</v>
      </c>
      <c r="L49" s="8" t="s">
        <v>79</v>
      </c>
      <c r="M49" s="8" t="s">
        <v>102</v>
      </c>
      <c r="N49" s="8" t="s">
        <v>79</v>
      </c>
      <c r="O49" s="8" t="s">
        <v>109</v>
      </c>
      <c r="P49" s="8" t="s">
        <v>79</v>
      </c>
      <c r="Q49" s="8" t="s">
        <v>83</v>
      </c>
      <c r="R49" s="8" t="s">
        <v>82</v>
      </c>
      <c r="S49" s="8" t="s">
        <v>82</v>
      </c>
      <c r="T49" s="8" t="s">
        <v>106</v>
      </c>
      <c r="U49" s="8" t="s">
        <v>87</v>
      </c>
      <c r="V49" s="8" t="s">
        <v>127</v>
      </c>
      <c r="W49" s="9">
        <v>2</v>
      </c>
      <c r="X49" s="9">
        <v>2</v>
      </c>
      <c r="Y49" s="9">
        <v>3</v>
      </c>
      <c r="Z49" s="9">
        <v>2</v>
      </c>
      <c r="AA49" s="9">
        <v>2</v>
      </c>
      <c r="AB49" s="9">
        <v>1</v>
      </c>
      <c r="AC49" s="9">
        <v>1</v>
      </c>
      <c r="AD49" s="9">
        <v>1</v>
      </c>
      <c r="AE49" s="9">
        <v>1</v>
      </c>
      <c r="AF49" s="9">
        <v>1</v>
      </c>
      <c r="AG49" s="9">
        <v>1</v>
      </c>
      <c r="AH49" s="9">
        <v>1</v>
      </c>
      <c r="AI49" s="9">
        <v>1</v>
      </c>
      <c r="AJ49" s="9">
        <v>1</v>
      </c>
      <c r="AK49" s="9">
        <v>1</v>
      </c>
      <c r="AL49" s="10">
        <v>2</v>
      </c>
      <c r="AM49" s="10">
        <v>2</v>
      </c>
      <c r="AN49" s="10">
        <v>2</v>
      </c>
      <c r="AO49" s="10">
        <v>2</v>
      </c>
      <c r="AP49" s="10">
        <v>2</v>
      </c>
      <c r="AQ49" s="10">
        <v>2</v>
      </c>
      <c r="AR49" s="10">
        <v>2</v>
      </c>
      <c r="AS49" s="11">
        <v>2</v>
      </c>
      <c r="AT49" s="11">
        <v>2</v>
      </c>
      <c r="AU49" s="11">
        <v>2</v>
      </c>
      <c r="AV49" s="11">
        <v>2</v>
      </c>
      <c r="AW49" s="11">
        <v>2</v>
      </c>
      <c r="AX49" s="11">
        <v>2</v>
      </c>
      <c r="AY49" s="7">
        <v>2</v>
      </c>
      <c r="AZ49" s="7">
        <v>2</v>
      </c>
      <c r="BA49" s="7">
        <v>2</v>
      </c>
      <c r="BB49" s="7">
        <v>0</v>
      </c>
      <c r="BC49" s="7">
        <v>2</v>
      </c>
      <c r="BD49" s="7">
        <v>2</v>
      </c>
      <c r="BE49" s="7">
        <v>2</v>
      </c>
      <c r="BF49" s="7">
        <v>2</v>
      </c>
      <c r="BG49" s="12">
        <f>SUM(data__22[[#This Row],[N1]:[N4]],data__22[[#This Row],[N10]:[N13]],data__22[[#This Row],[N16]:[N18]])/11</f>
        <v>1.7272727272727273</v>
      </c>
      <c r="BH49" s="13">
        <f>SUM(data__22[[#This Row],[N8]:[N9]],data__22[[#This Row],[N23]:[N25]])/5</f>
        <v>1.6</v>
      </c>
      <c r="BI49" s="12">
        <f>SUM(data__22[[#This Row],[N5]:[N7]])/3</f>
        <v>1.3333333333333333</v>
      </c>
      <c r="BJ49" s="12">
        <f>SUM(data__22[[#This Row],[N14]:[N15]],data__22[[#This Row],[N19]:[N22]],data__22[[#This Row],[N26]:[N28]])/9</f>
        <v>1.7777777777777777</v>
      </c>
      <c r="BK49" s="12">
        <f>SUM(data__22[[#This Row],[N29]:[N33]])/5</f>
        <v>1.6</v>
      </c>
      <c r="BL49" s="12">
        <f>SUM(data__22[[#This Row],[N34]:[N36]])/3</f>
        <v>2</v>
      </c>
    </row>
    <row r="50" spans="1:64" x14ac:dyDescent="0.3">
      <c r="A50" s="7">
        <v>22</v>
      </c>
      <c r="B50" s="7" t="s">
        <v>70</v>
      </c>
      <c r="C50" s="7" t="s">
        <v>157</v>
      </c>
      <c r="D50" s="7" t="s">
        <v>97</v>
      </c>
      <c r="E50" s="7" t="s">
        <v>73</v>
      </c>
      <c r="F50" s="7" t="s">
        <v>136</v>
      </c>
      <c r="G50" s="7" t="s">
        <v>440</v>
      </c>
      <c r="H50" s="7" t="s">
        <v>100</v>
      </c>
      <c r="I50" s="7" t="s">
        <v>76</v>
      </c>
      <c r="J50" s="7" t="s">
        <v>101</v>
      </c>
      <c r="K50" s="7" t="s">
        <v>125</v>
      </c>
      <c r="L50" s="8" t="s">
        <v>79</v>
      </c>
      <c r="M50" s="8" t="s">
        <v>80</v>
      </c>
      <c r="N50" s="8" t="s">
        <v>79</v>
      </c>
      <c r="O50" s="8" t="s">
        <v>117</v>
      </c>
      <c r="P50" s="8" t="s">
        <v>79</v>
      </c>
      <c r="Q50" s="8" t="s">
        <v>103</v>
      </c>
      <c r="R50" s="8" t="s">
        <v>79</v>
      </c>
      <c r="S50" s="8" t="s">
        <v>82</v>
      </c>
      <c r="T50" s="8" t="s">
        <v>106</v>
      </c>
      <c r="U50" s="8" t="s">
        <v>141</v>
      </c>
      <c r="V50" s="8" t="s">
        <v>112</v>
      </c>
      <c r="W50" s="9">
        <v>1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1</v>
      </c>
      <c r="AF50" s="9">
        <v>1</v>
      </c>
      <c r="AG50" s="9">
        <v>3</v>
      </c>
      <c r="AH50" s="9">
        <v>3</v>
      </c>
      <c r="AI50" s="9">
        <v>3</v>
      </c>
      <c r="AJ50" s="9">
        <v>3</v>
      </c>
      <c r="AK50" s="9">
        <v>3</v>
      </c>
      <c r="AL50" s="10">
        <v>3</v>
      </c>
      <c r="AM50" s="10">
        <v>3</v>
      </c>
      <c r="AN50" s="10">
        <v>3</v>
      </c>
      <c r="AO50" s="10">
        <v>1</v>
      </c>
      <c r="AP50" s="10">
        <v>0</v>
      </c>
      <c r="AQ50" s="10">
        <v>0</v>
      </c>
      <c r="AR50" s="10">
        <v>0</v>
      </c>
      <c r="AS50" s="11">
        <v>2</v>
      </c>
      <c r="AT50" s="11">
        <v>2</v>
      </c>
      <c r="AU50" s="11">
        <v>1</v>
      </c>
      <c r="AV50" s="11">
        <v>1</v>
      </c>
      <c r="AW50" s="11">
        <v>1</v>
      </c>
      <c r="AX50" s="11">
        <v>1</v>
      </c>
      <c r="AY50" s="7">
        <v>3</v>
      </c>
      <c r="AZ50" s="7">
        <v>3</v>
      </c>
      <c r="BA50" s="7">
        <v>3</v>
      </c>
      <c r="BB50" s="7">
        <v>3</v>
      </c>
      <c r="BC50" s="7">
        <v>3</v>
      </c>
      <c r="BD50" s="7">
        <v>0</v>
      </c>
      <c r="BE50" s="7">
        <v>0</v>
      </c>
      <c r="BF50" s="7">
        <v>0</v>
      </c>
      <c r="BG50" s="12">
        <f>SUM(data__22[[#This Row],[N1]:[N4]],data__22[[#This Row],[N10]:[N13]],data__22[[#This Row],[N16]:[N18]])/11</f>
        <v>2.0909090909090908</v>
      </c>
      <c r="BH50" s="13">
        <f>SUM(data__22[[#This Row],[N8]:[N9]],data__22[[#This Row],[N23]:[N25]])/5</f>
        <v>1.4</v>
      </c>
      <c r="BI50" s="12">
        <f>SUM(data__22[[#This Row],[N5]:[N7]])/3</f>
        <v>1</v>
      </c>
      <c r="BJ50" s="12">
        <f>SUM(data__22[[#This Row],[N14]:[N15]],data__22[[#This Row],[N19]:[N22]],data__22[[#This Row],[N26]:[N28]])/9</f>
        <v>1.1111111111111112</v>
      </c>
      <c r="BK50" s="12">
        <f>SUM(data__22[[#This Row],[N29]:[N33]])/5</f>
        <v>3</v>
      </c>
      <c r="BL50" s="12">
        <f>SUM(data__22[[#This Row],[N34]:[N36]])/3</f>
        <v>0</v>
      </c>
    </row>
    <row r="51" spans="1:64" x14ac:dyDescent="0.3">
      <c r="A51" s="7">
        <v>27</v>
      </c>
      <c r="B51" s="7" t="s">
        <v>171</v>
      </c>
      <c r="C51" s="7" t="s">
        <v>153</v>
      </c>
      <c r="D51" s="7" t="s">
        <v>72</v>
      </c>
      <c r="E51" s="7" t="s">
        <v>108</v>
      </c>
      <c r="F51" s="7" t="s">
        <v>74</v>
      </c>
      <c r="G51" s="7" t="s">
        <v>166</v>
      </c>
      <c r="H51" s="7" t="s">
        <v>74</v>
      </c>
      <c r="I51" s="7" t="s">
        <v>166</v>
      </c>
      <c r="J51" s="7" t="s">
        <v>101</v>
      </c>
      <c r="K51" s="7" t="s">
        <v>125</v>
      </c>
      <c r="L51" s="8" t="s">
        <v>79</v>
      </c>
      <c r="M51" s="8" t="s">
        <v>102</v>
      </c>
      <c r="N51" s="8" t="s">
        <v>82</v>
      </c>
      <c r="O51" s="8" t="s">
        <v>138</v>
      </c>
      <c r="P51" s="8" t="s">
        <v>79</v>
      </c>
      <c r="Q51" s="8" t="s">
        <v>83</v>
      </c>
      <c r="R51" s="8" t="s">
        <v>82</v>
      </c>
      <c r="S51" s="8" t="s">
        <v>82</v>
      </c>
      <c r="T51" s="8" t="s">
        <v>106</v>
      </c>
      <c r="U51" s="8" t="s">
        <v>120</v>
      </c>
      <c r="V51" s="8" t="s">
        <v>112</v>
      </c>
      <c r="W51" s="9">
        <v>0</v>
      </c>
      <c r="X51" s="9">
        <v>1</v>
      </c>
      <c r="Y51" s="9">
        <v>2</v>
      </c>
      <c r="Z51" s="9">
        <v>1</v>
      </c>
      <c r="AA51" s="9">
        <v>0</v>
      </c>
      <c r="AB51" s="9">
        <v>1</v>
      </c>
      <c r="AC51" s="9">
        <v>2</v>
      </c>
      <c r="AD51" s="9">
        <v>1</v>
      </c>
      <c r="AE51" s="9">
        <v>0</v>
      </c>
      <c r="AF51" s="9">
        <v>1</v>
      </c>
      <c r="AG51" s="9">
        <v>2</v>
      </c>
      <c r="AH51" s="9">
        <v>0</v>
      </c>
      <c r="AI51" s="9">
        <v>2</v>
      </c>
      <c r="AJ51" s="9">
        <v>0</v>
      </c>
      <c r="AK51" s="9">
        <v>2</v>
      </c>
      <c r="AL51" s="10">
        <v>2</v>
      </c>
      <c r="AM51" s="10">
        <v>1</v>
      </c>
      <c r="AN51" s="10">
        <v>2</v>
      </c>
      <c r="AO51" s="10">
        <v>0</v>
      </c>
      <c r="AP51" s="10">
        <v>0</v>
      </c>
      <c r="AQ51" s="10">
        <v>0</v>
      </c>
      <c r="AR51" s="10">
        <v>1</v>
      </c>
      <c r="AS51" s="11">
        <v>1</v>
      </c>
      <c r="AT51" s="11">
        <v>1</v>
      </c>
      <c r="AU51" s="11">
        <v>1</v>
      </c>
      <c r="AV51" s="11">
        <v>1</v>
      </c>
      <c r="AW51" s="11">
        <v>1</v>
      </c>
      <c r="AX51" s="11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12">
        <f>SUM(data__22[[#This Row],[N1]:[N4]],data__22[[#This Row],[N10]:[N13]],data__22[[#This Row],[N16]:[N18]])/11</f>
        <v>1.2727272727272727</v>
      </c>
      <c r="BH51" s="13">
        <f>SUM(data__22[[#This Row],[N8]:[N9]],data__22[[#This Row],[N23]:[N25]])/5</f>
        <v>0.8</v>
      </c>
      <c r="BI51" s="12">
        <f>SUM(data__22[[#This Row],[N5]:[N7]])/3</f>
        <v>1</v>
      </c>
      <c r="BJ51" s="12">
        <f>SUM(data__22[[#This Row],[N14]:[N15]],data__22[[#This Row],[N19]:[N22]],data__22[[#This Row],[N26]:[N28]])/9</f>
        <v>0.66666666666666663</v>
      </c>
      <c r="BK51" s="12">
        <f>SUM(data__22[[#This Row],[N29]:[N33]])/5</f>
        <v>1</v>
      </c>
      <c r="BL51" s="12">
        <f>SUM(data__22[[#This Row],[N34]:[N36]])/3</f>
        <v>1</v>
      </c>
    </row>
    <row r="52" spans="1:64" x14ac:dyDescent="0.3">
      <c r="A52" s="7">
        <v>20</v>
      </c>
      <c r="B52" s="7" t="s">
        <v>70</v>
      </c>
      <c r="C52" s="7" t="s">
        <v>157</v>
      </c>
      <c r="D52" s="7" t="s">
        <v>72</v>
      </c>
      <c r="E52" s="7" t="s">
        <v>114</v>
      </c>
      <c r="F52" s="7" t="s">
        <v>98</v>
      </c>
      <c r="G52" s="7" t="s">
        <v>166</v>
      </c>
      <c r="H52" s="7" t="s">
        <v>165</v>
      </c>
      <c r="I52" s="7" t="s">
        <v>76</v>
      </c>
      <c r="J52" s="7" t="s">
        <v>101</v>
      </c>
      <c r="K52" s="7" t="s">
        <v>125</v>
      </c>
      <c r="L52" s="8" t="s">
        <v>79</v>
      </c>
      <c r="M52" s="8" t="s">
        <v>80</v>
      </c>
      <c r="N52" s="8" t="s">
        <v>79</v>
      </c>
      <c r="O52" s="8" t="s">
        <v>81</v>
      </c>
      <c r="P52" s="8" t="s">
        <v>82</v>
      </c>
      <c r="Q52" s="8" t="s">
        <v>83</v>
      </c>
      <c r="R52" s="8" t="s">
        <v>82</v>
      </c>
      <c r="S52" s="8" t="s">
        <v>82</v>
      </c>
      <c r="T52" s="8" t="s">
        <v>106</v>
      </c>
      <c r="U52" s="8" t="s">
        <v>87</v>
      </c>
      <c r="V52" s="8" t="s">
        <v>112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12">
        <f>SUM(data__22[[#This Row],[N1]:[N4]],data__22[[#This Row],[N10]:[N13]],data__22[[#This Row],[N16]:[N18]])/11</f>
        <v>0</v>
      </c>
      <c r="BH52" s="13">
        <f>SUM(data__22[[#This Row],[N8]:[N9]],data__22[[#This Row],[N23]:[N25]])/5</f>
        <v>0</v>
      </c>
      <c r="BI52" s="12">
        <f>SUM(data__22[[#This Row],[N5]:[N7]])/3</f>
        <v>0</v>
      </c>
      <c r="BJ52" s="12">
        <f>SUM(data__22[[#This Row],[N14]:[N15]],data__22[[#This Row],[N19]:[N22]],data__22[[#This Row],[N26]:[N28]])/9</f>
        <v>0</v>
      </c>
      <c r="BK52" s="12">
        <f>SUM(data__22[[#This Row],[N29]:[N33]])/5</f>
        <v>0</v>
      </c>
      <c r="BL52" s="12">
        <f>SUM(data__22[[#This Row],[N34]:[N36]])/3</f>
        <v>0</v>
      </c>
    </row>
    <row r="53" spans="1:64" x14ac:dyDescent="0.3">
      <c r="A53" s="7">
        <v>23</v>
      </c>
      <c r="B53" s="7" t="s">
        <v>70</v>
      </c>
      <c r="C53" s="7" t="s">
        <v>113</v>
      </c>
      <c r="D53" s="7" t="s">
        <v>72</v>
      </c>
      <c r="E53" s="7" t="s">
        <v>108</v>
      </c>
      <c r="F53" s="7" t="s">
        <v>136</v>
      </c>
      <c r="G53" s="7" t="s">
        <v>439</v>
      </c>
      <c r="H53" s="7" t="s">
        <v>136</v>
      </c>
      <c r="I53" s="7" t="s">
        <v>76</v>
      </c>
      <c r="J53" s="7" t="s">
        <v>77</v>
      </c>
      <c r="K53" s="7" t="s">
        <v>125</v>
      </c>
      <c r="L53" s="8" t="s">
        <v>79</v>
      </c>
      <c r="M53" s="8" t="s">
        <v>132</v>
      </c>
      <c r="N53" s="8" t="s">
        <v>82</v>
      </c>
      <c r="O53" s="8" t="s">
        <v>81</v>
      </c>
      <c r="P53" s="8" t="s">
        <v>82</v>
      </c>
      <c r="Q53" s="8" t="s">
        <v>118</v>
      </c>
      <c r="R53" s="8" t="s">
        <v>82</v>
      </c>
      <c r="S53" s="8" t="s">
        <v>82</v>
      </c>
      <c r="T53" s="8" t="s">
        <v>106</v>
      </c>
      <c r="U53" s="8" t="s">
        <v>141</v>
      </c>
      <c r="V53" s="8" t="s">
        <v>455</v>
      </c>
      <c r="W53" s="9">
        <v>2</v>
      </c>
      <c r="X53" s="9">
        <v>2</v>
      </c>
      <c r="Y53" s="9">
        <v>1</v>
      </c>
      <c r="Z53" s="9">
        <v>1</v>
      </c>
      <c r="AA53" s="9">
        <v>0</v>
      </c>
      <c r="AB53" s="9">
        <v>1</v>
      </c>
      <c r="AC53" s="9">
        <v>1</v>
      </c>
      <c r="AD53" s="9">
        <v>0</v>
      </c>
      <c r="AE53" s="9">
        <v>0</v>
      </c>
      <c r="AF53" s="9">
        <v>1</v>
      </c>
      <c r="AG53" s="9">
        <v>0</v>
      </c>
      <c r="AH53" s="9">
        <v>0</v>
      </c>
      <c r="AI53" s="9">
        <v>0</v>
      </c>
      <c r="AJ53" s="9">
        <v>1</v>
      </c>
      <c r="AK53" s="9">
        <v>0</v>
      </c>
      <c r="AL53" s="10">
        <v>0</v>
      </c>
      <c r="AM53" s="10">
        <v>1</v>
      </c>
      <c r="AN53" s="10">
        <v>1</v>
      </c>
      <c r="AO53" s="10">
        <v>0</v>
      </c>
      <c r="AP53" s="10">
        <v>1</v>
      </c>
      <c r="AQ53" s="10">
        <v>0</v>
      </c>
      <c r="AR53" s="10">
        <v>1</v>
      </c>
      <c r="AS53" s="11">
        <v>0</v>
      </c>
      <c r="AT53" s="11">
        <v>1</v>
      </c>
      <c r="AU53" s="11">
        <v>0</v>
      </c>
      <c r="AV53" s="11">
        <v>1</v>
      </c>
      <c r="AW53" s="11">
        <v>1</v>
      </c>
      <c r="AX53" s="11">
        <v>0</v>
      </c>
      <c r="AY53" s="7">
        <v>0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12">
        <f>SUM(data__22[[#This Row],[N1]:[N4]],data__22[[#This Row],[N10]:[N13]],data__22[[#This Row],[N16]:[N18]])/11</f>
        <v>0.81818181818181823</v>
      </c>
      <c r="BH53" s="13">
        <f>SUM(data__22[[#This Row],[N8]:[N9]],data__22[[#This Row],[N23]:[N25]])/5</f>
        <v>0.2</v>
      </c>
      <c r="BI53" s="12">
        <f>SUM(data__22[[#This Row],[N5]:[N7]])/3</f>
        <v>0.66666666666666663</v>
      </c>
      <c r="BJ53" s="12">
        <f>SUM(data__22[[#This Row],[N14]:[N15]],data__22[[#This Row],[N19]:[N22]],data__22[[#This Row],[N26]:[N28]])/9</f>
        <v>0.55555555555555558</v>
      </c>
      <c r="BK53" s="12">
        <f>SUM(data__22[[#This Row],[N29]:[N33]])/5</f>
        <v>0.8</v>
      </c>
      <c r="BL53" s="12">
        <f>SUM(data__22[[#This Row],[N34]:[N36]])/3</f>
        <v>1</v>
      </c>
    </row>
    <row r="54" spans="1:64" x14ac:dyDescent="0.3">
      <c r="A54" s="7">
        <v>27</v>
      </c>
      <c r="B54" s="7" t="s">
        <v>70</v>
      </c>
      <c r="C54" s="7" t="s">
        <v>153</v>
      </c>
      <c r="D54" s="7" t="s">
        <v>72</v>
      </c>
      <c r="E54" s="7" t="s">
        <v>114</v>
      </c>
      <c r="F54" s="7" t="s">
        <v>136</v>
      </c>
      <c r="G54" s="7" t="s">
        <v>99</v>
      </c>
      <c r="H54" s="7" t="s">
        <v>98</v>
      </c>
      <c r="I54" s="7" t="s">
        <v>76</v>
      </c>
      <c r="J54" s="7" t="s">
        <v>101</v>
      </c>
      <c r="K54" s="7" t="s">
        <v>125</v>
      </c>
      <c r="L54" s="8" t="s">
        <v>79</v>
      </c>
      <c r="M54" s="8" t="s">
        <v>80</v>
      </c>
      <c r="N54" s="8" t="s">
        <v>79</v>
      </c>
      <c r="O54" s="8" t="s">
        <v>117</v>
      </c>
      <c r="P54" s="8" t="s">
        <v>79</v>
      </c>
      <c r="Q54" s="8" t="s">
        <v>103</v>
      </c>
      <c r="R54" s="8" t="s">
        <v>79</v>
      </c>
      <c r="S54" s="8" t="s">
        <v>82</v>
      </c>
      <c r="T54" s="8" t="s">
        <v>106</v>
      </c>
      <c r="U54" s="8" t="s">
        <v>141</v>
      </c>
      <c r="V54" s="8" t="s">
        <v>112</v>
      </c>
      <c r="W54" s="9">
        <v>1</v>
      </c>
      <c r="X54" s="9">
        <v>2</v>
      </c>
      <c r="Y54" s="9">
        <v>2</v>
      </c>
      <c r="Z54" s="9">
        <v>1</v>
      </c>
      <c r="AA54" s="9">
        <v>0</v>
      </c>
      <c r="AB54" s="9">
        <v>1</v>
      </c>
      <c r="AC54" s="9">
        <v>0</v>
      </c>
      <c r="AD54" s="9">
        <v>1</v>
      </c>
      <c r="AE54" s="9">
        <v>0</v>
      </c>
      <c r="AF54" s="9">
        <v>2</v>
      </c>
      <c r="AG54" s="9">
        <v>1</v>
      </c>
      <c r="AH54" s="9">
        <v>1</v>
      </c>
      <c r="AI54" s="9">
        <v>0</v>
      </c>
      <c r="AJ54" s="9">
        <v>2</v>
      </c>
      <c r="AK54" s="9">
        <v>2</v>
      </c>
      <c r="AL54" s="10">
        <v>3</v>
      </c>
      <c r="AM54" s="10">
        <v>3</v>
      </c>
      <c r="AN54" s="10">
        <v>2</v>
      </c>
      <c r="AO54" s="10">
        <v>2</v>
      </c>
      <c r="AP54" s="10">
        <v>1</v>
      </c>
      <c r="AQ54" s="10">
        <v>1</v>
      </c>
      <c r="AR54" s="10">
        <v>3</v>
      </c>
      <c r="AS54" s="11">
        <v>3</v>
      </c>
      <c r="AT54" s="11">
        <v>2</v>
      </c>
      <c r="AU54" s="11">
        <v>1</v>
      </c>
      <c r="AV54" s="11">
        <v>1</v>
      </c>
      <c r="AW54" s="11">
        <v>1</v>
      </c>
      <c r="AX54" s="11">
        <v>1</v>
      </c>
      <c r="AY54" s="7">
        <v>3</v>
      </c>
      <c r="AZ54" s="7">
        <v>0</v>
      </c>
      <c r="BA54" s="7">
        <v>1</v>
      </c>
      <c r="BB54" s="7">
        <v>2</v>
      </c>
      <c r="BC54" s="7">
        <v>1</v>
      </c>
      <c r="BD54" s="7">
        <v>1</v>
      </c>
      <c r="BE54" s="7">
        <v>2</v>
      </c>
      <c r="BF54" s="7">
        <v>1</v>
      </c>
      <c r="BG54" s="12">
        <f>SUM(data__22[[#This Row],[N1]:[N4]],data__22[[#This Row],[N10]:[N13]],data__22[[#This Row],[N16]:[N18]])/11</f>
        <v>1.6363636363636365</v>
      </c>
      <c r="BH54" s="13">
        <f>SUM(data__22[[#This Row],[N8]:[N9]],data__22[[#This Row],[N23]:[N25]])/5</f>
        <v>1.4</v>
      </c>
      <c r="BI54" s="12">
        <f>SUM(data__22[[#This Row],[N5]:[N7]])/3</f>
        <v>0.33333333333333331</v>
      </c>
      <c r="BJ54" s="12">
        <f>SUM(data__22[[#This Row],[N14]:[N15]],data__22[[#This Row],[N19]:[N22]],data__22[[#This Row],[N26]:[N28]])/9</f>
        <v>1.5555555555555556</v>
      </c>
      <c r="BK54" s="12">
        <f>SUM(data__22[[#This Row],[N29]:[N33]])/5</f>
        <v>1.4</v>
      </c>
      <c r="BL54" s="12">
        <f>SUM(data__22[[#This Row],[N34]:[N36]])/3</f>
        <v>1.3333333333333333</v>
      </c>
    </row>
    <row r="55" spans="1:64" x14ac:dyDescent="0.3">
      <c r="A55" s="7">
        <v>27</v>
      </c>
      <c r="B55" s="7" t="s">
        <v>70</v>
      </c>
      <c r="C55" s="7" t="s">
        <v>71</v>
      </c>
      <c r="D55" s="7" t="s">
        <v>97</v>
      </c>
      <c r="E55" s="7" t="s">
        <v>108</v>
      </c>
      <c r="F55" s="7" t="s">
        <v>98</v>
      </c>
      <c r="G55" s="7" t="s">
        <v>439</v>
      </c>
      <c r="H55" s="7" t="s">
        <v>98</v>
      </c>
      <c r="I55" s="7" t="s">
        <v>76</v>
      </c>
      <c r="J55" s="7" t="s">
        <v>77</v>
      </c>
      <c r="K55" s="7" t="s">
        <v>125</v>
      </c>
      <c r="L55" s="8" t="s">
        <v>82</v>
      </c>
      <c r="M55" s="8" t="s">
        <v>80</v>
      </c>
      <c r="N55" s="8" t="s">
        <v>82</v>
      </c>
      <c r="O55" s="8" t="s">
        <v>117</v>
      </c>
      <c r="P55" s="8" t="s">
        <v>82</v>
      </c>
      <c r="Q55" s="8" t="s">
        <v>118</v>
      </c>
      <c r="R55" s="8" t="s">
        <v>79</v>
      </c>
      <c r="S55" s="8" t="s">
        <v>82</v>
      </c>
      <c r="T55" s="8" t="s">
        <v>106</v>
      </c>
      <c r="U55" s="8" t="s">
        <v>141</v>
      </c>
      <c r="V55" s="8" t="s">
        <v>112</v>
      </c>
      <c r="W55" s="9">
        <v>2</v>
      </c>
      <c r="X55" s="9">
        <v>3</v>
      </c>
      <c r="Y55" s="9">
        <v>3</v>
      </c>
      <c r="Z55" s="9">
        <v>3</v>
      </c>
      <c r="AA55" s="9">
        <v>2</v>
      </c>
      <c r="AB55" s="9">
        <v>3</v>
      </c>
      <c r="AC55" s="9">
        <v>1</v>
      </c>
      <c r="AD55" s="9">
        <v>3</v>
      </c>
      <c r="AE55" s="9">
        <v>1</v>
      </c>
      <c r="AF55" s="9">
        <v>3</v>
      </c>
      <c r="AG55" s="9">
        <v>1</v>
      </c>
      <c r="AH55" s="9">
        <v>2</v>
      </c>
      <c r="AI55" s="9">
        <v>2</v>
      </c>
      <c r="AJ55" s="9">
        <v>2</v>
      </c>
      <c r="AK55" s="9">
        <v>1</v>
      </c>
      <c r="AL55" s="10">
        <v>3</v>
      </c>
      <c r="AM55" s="10">
        <v>3</v>
      </c>
      <c r="AN55" s="10">
        <v>3</v>
      </c>
      <c r="AO55" s="10">
        <v>1</v>
      </c>
      <c r="AP55" s="10">
        <v>2</v>
      </c>
      <c r="AQ55" s="10">
        <v>1</v>
      </c>
      <c r="AR55" s="10">
        <v>0</v>
      </c>
      <c r="AS55" s="11">
        <v>0</v>
      </c>
      <c r="AT55" s="11">
        <v>0</v>
      </c>
      <c r="AU55" s="11">
        <v>0</v>
      </c>
      <c r="AV55" s="11">
        <v>3</v>
      </c>
      <c r="AW55" s="11">
        <v>3</v>
      </c>
      <c r="AX55" s="11">
        <v>1</v>
      </c>
      <c r="AY55" s="7">
        <v>3</v>
      </c>
      <c r="AZ55" s="7">
        <v>3</v>
      </c>
      <c r="BA55" s="7">
        <v>3</v>
      </c>
      <c r="BB55" s="7">
        <v>3</v>
      </c>
      <c r="BC55" s="7">
        <v>3</v>
      </c>
      <c r="BD55" s="7">
        <v>3</v>
      </c>
      <c r="BE55" s="7">
        <v>3</v>
      </c>
      <c r="BF55" s="7">
        <v>2</v>
      </c>
      <c r="BG55" s="12">
        <f>SUM(data__22[[#This Row],[N1]:[N4]],data__22[[#This Row],[N10]:[N13]],data__22[[#This Row],[N16]:[N18]])/11</f>
        <v>2.5454545454545454</v>
      </c>
      <c r="BH55" s="13">
        <f>SUM(data__22[[#This Row],[N8]:[N9]],data__22[[#This Row],[N23]:[N25]])/5</f>
        <v>0.8</v>
      </c>
      <c r="BI55" s="12">
        <f>SUM(data__22[[#This Row],[N5]:[N7]])/3</f>
        <v>2</v>
      </c>
      <c r="BJ55" s="12">
        <f>SUM(data__22[[#This Row],[N14]:[N15]],data__22[[#This Row],[N19]:[N22]],data__22[[#This Row],[N26]:[N28]])/9</f>
        <v>1.5555555555555556</v>
      </c>
      <c r="BK55" s="12">
        <f>SUM(data__22[[#This Row],[N29]:[N33]])/5</f>
        <v>3</v>
      </c>
      <c r="BL55" s="12">
        <f>SUM(data__22[[#This Row],[N34]:[N36]])/3</f>
        <v>2.6666666666666665</v>
      </c>
    </row>
    <row r="56" spans="1:64" x14ac:dyDescent="0.3">
      <c r="A56" s="7">
        <v>22</v>
      </c>
      <c r="B56" s="7" t="s">
        <v>70</v>
      </c>
      <c r="C56" s="7" t="s">
        <v>113</v>
      </c>
      <c r="D56" s="7" t="s">
        <v>72</v>
      </c>
      <c r="E56" s="7" t="s">
        <v>114</v>
      </c>
      <c r="F56" s="7" t="s">
        <v>74</v>
      </c>
      <c r="G56" s="7" t="s">
        <v>438</v>
      </c>
      <c r="H56" s="7" t="s">
        <v>100</v>
      </c>
      <c r="I56" s="7" t="s">
        <v>76</v>
      </c>
      <c r="J56" s="7" t="s">
        <v>77</v>
      </c>
      <c r="K56" s="7" t="s">
        <v>125</v>
      </c>
      <c r="L56" s="8" t="s">
        <v>79</v>
      </c>
      <c r="M56" s="8" t="s">
        <v>80</v>
      </c>
      <c r="N56" s="8" t="s">
        <v>79</v>
      </c>
      <c r="O56" s="8" t="s">
        <v>179</v>
      </c>
      <c r="P56" s="8" t="s">
        <v>79</v>
      </c>
      <c r="Q56" s="8" t="s">
        <v>103</v>
      </c>
      <c r="R56" s="8" t="s">
        <v>79</v>
      </c>
      <c r="S56" s="8" t="s">
        <v>79</v>
      </c>
      <c r="T56" s="8" t="s">
        <v>106</v>
      </c>
      <c r="U56" s="8" t="s">
        <v>120</v>
      </c>
      <c r="V56" s="8" t="s">
        <v>112</v>
      </c>
      <c r="W56" s="9">
        <v>1</v>
      </c>
      <c r="X56" s="9">
        <v>1</v>
      </c>
      <c r="Y56" s="9">
        <v>1</v>
      </c>
      <c r="Z56" s="9">
        <v>1</v>
      </c>
      <c r="AA56" s="9">
        <v>1</v>
      </c>
      <c r="AB56" s="9">
        <v>1</v>
      </c>
      <c r="AC56" s="9">
        <v>1</v>
      </c>
      <c r="AD56" s="9">
        <v>1</v>
      </c>
      <c r="AE56" s="9">
        <v>1</v>
      </c>
      <c r="AF56" s="9">
        <v>1</v>
      </c>
      <c r="AG56" s="9">
        <v>1</v>
      </c>
      <c r="AH56" s="9">
        <v>1</v>
      </c>
      <c r="AI56" s="9">
        <v>1</v>
      </c>
      <c r="AJ56" s="9">
        <v>1</v>
      </c>
      <c r="AK56" s="9">
        <v>1</v>
      </c>
      <c r="AL56" s="10">
        <v>1</v>
      </c>
      <c r="AM56" s="10">
        <v>1</v>
      </c>
      <c r="AN56" s="10">
        <v>2</v>
      </c>
      <c r="AO56" s="10">
        <v>2</v>
      </c>
      <c r="AP56" s="10">
        <v>2</v>
      </c>
      <c r="AQ56" s="10">
        <v>2</v>
      </c>
      <c r="AR56" s="10">
        <v>2</v>
      </c>
      <c r="AS56" s="11">
        <v>1</v>
      </c>
      <c r="AT56" s="11">
        <v>1</v>
      </c>
      <c r="AU56" s="11">
        <v>1</v>
      </c>
      <c r="AV56" s="11">
        <v>1</v>
      </c>
      <c r="AW56" s="11">
        <v>1</v>
      </c>
      <c r="AX56" s="11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12">
        <f>SUM(data__22[[#This Row],[N1]:[N4]],data__22[[#This Row],[N10]:[N13]],data__22[[#This Row],[N16]:[N18]])/11</f>
        <v>1.0909090909090908</v>
      </c>
      <c r="BH56" s="13">
        <f>SUM(data__22[[#This Row],[N8]:[N9]],data__22[[#This Row],[N23]:[N25]])/5</f>
        <v>1</v>
      </c>
      <c r="BI56" s="12">
        <f>SUM(data__22[[#This Row],[N5]:[N7]])/3</f>
        <v>1</v>
      </c>
      <c r="BJ56" s="12">
        <f>SUM(data__22[[#This Row],[N14]:[N15]],data__22[[#This Row],[N19]:[N22]],data__22[[#This Row],[N26]:[N28]])/9</f>
        <v>1.4444444444444444</v>
      </c>
      <c r="BK56" s="12">
        <f>SUM(data__22[[#This Row],[N29]:[N33]])/5</f>
        <v>1</v>
      </c>
      <c r="BL56" s="12">
        <f>SUM(data__22[[#This Row],[N34]:[N36]])/3</f>
        <v>1</v>
      </c>
    </row>
    <row r="57" spans="1:64" x14ac:dyDescent="0.3">
      <c r="A57" s="7">
        <v>23</v>
      </c>
      <c r="B57" s="7" t="s">
        <v>70</v>
      </c>
      <c r="C57" s="7" t="s">
        <v>113</v>
      </c>
      <c r="D57" s="7" t="s">
        <v>72</v>
      </c>
      <c r="E57" s="7" t="s">
        <v>114</v>
      </c>
      <c r="F57" s="7" t="s">
        <v>74</v>
      </c>
      <c r="G57" s="7" t="s">
        <v>440</v>
      </c>
      <c r="H57" s="7" t="s">
        <v>136</v>
      </c>
      <c r="I57" s="7" t="s">
        <v>76</v>
      </c>
      <c r="J57" s="7" t="s">
        <v>77</v>
      </c>
      <c r="K57" s="7" t="s">
        <v>122</v>
      </c>
      <c r="L57" s="8" t="s">
        <v>79</v>
      </c>
      <c r="M57" s="8" t="s">
        <v>80</v>
      </c>
      <c r="N57" s="8" t="s">
        <v>79</v>
      </c>
      <c r="O57" s="8" t="s">
        <v>138</v>
      </c>
      <c r="P57" s="8" t="s">
        <v>79</v>
      </c>
      <c r="Q57" s="8" t="s">
        <v>103</v>
      </c>
      <c r="R57" s="8" t="s">
        <v>79</v>
      </c>
      <c r="S57" s="8" t="s">
        <v>79</v>
      </c>
      <c r="T57" s="8" t="s">
        <v>106</v>
      </c>
      <c r="U57" s="8" t="s">
        <v>87</v>
      </c>
      <c r="V57" s="8" t="s">
        <v>112</v>
      </c>
      <c r="W57" s="9">
        <v>1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  <c r="AE57" s="9">
        <v>1</v>
      </c>
      <c r="AF57" s="9">
        <v>1</v>
      </c>
      <c r="AG57" s="9">
        <v>1</v>
      </c>
      <c r="AH57" s="9">
        <v>1</v>
      </c>
      <c r="AI57" s="9">
        <v>1</v>
      </c>
      <c r="AJ57" s="9">
        <v>1</v>
      </c>
      <c r="AK57" s="9">
        <v>1</v>
      </c>
      <c r="AL57" s="10">
        <v>1</v>
      </c>
      <c r="AM57" s="10">
        <v>1</v>
      </c>
      <c r="AN57" s="10">
        <v>1</v>
      </c>
      <c r="AO57" s="10">
        <v>1</v>
      </c>
      <c r="AP57" s="10">
        <v>1</v>
      </c>
      <c r="AQ57" s="10">
        <v>1</v>
      </c>
      <c r="AR57" s="10">
        <v>1</v>
      </c>
      <c r="AS57" s="11">
        <v>1</v>
      </c>
      <c r="AT57" s="11">
        <v>1</v>
      </c>
      <c r="AU57" s="11">
        <v>1</v>
      </c>
      <c r="AV57" s="11">
        <v>1</v>
      </c>
      <c r="AW57" s="11">
        <v>1</v>
      </c>
      <c r="AX57" s="11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12">
        <f>SUM(data__22[[#This Row],[N1]:[N4]],data__22[[#This Row],[N10]:[N13]],data__22[[#This Row],[N16]:[N18]])/11</f>
        <v>1</v>
      </c>
      <c r="BH57" s="13">
        <f>SUM(data__22[[#This Row],[N8]:[N9]],data__22[[#This Row],[N23]:[N25]])/5</f>
        <v>1</v>
      </c>
      <c r="BI57" s="12">
        <f>SUM(data__22[[#This Row],[N5]:[N7]])/3</f>
        <v>1</v>
      </c>
      <c r="BJ57" s="12">
        <f>SUM(data__22[[#This Row],[N14]:[N15]],data__22[[#This Row],[N19]:[N22]],data__22[[#This Row],[N26]:[N28]])/9</f>
        <v>1</v>
      </c>
      <c r="BK57" s="12">
        <f>SUM(data__22[[#This Row],[N29]:[N33]])/5</f>
        <v>1</v>
      </c>
      <c r="BL57" s="12">
        <f>SUM(data__22[[#This Row],[N34]:[N36]])/3</f>
        <v>1</v>
      </c>
    </row>
    <row r="58" spans="1:64" x14ac:dyDescent="0.3">
      <c r="A58" s="7">
        <v>26</v>
      </c>
      <c r="B58" s="7" t="s">
        <v>70</v>
      </c>
      <c r="C58" s="7" t="s">
        <v>153</v>
      </c>
      <c r="D58" s="7" t="s">
        <v>97</v>
      </c>
      <c r="E58" s="7" t="s">
        <v>114</v>
      </c>
      <c r="F58" s="7" t="s">
        <v>74</v>
      </c>
      <c r="G58" s="7" t="s">
        <v>440</v>
      </c>
      <c r="H58" s="7" t="s">
        <v>74</v>
      </c>
      <c r="I58" s="7" t="s">
        <v>439</v>
      </c>
      <c r="J58" s="7" t="s">
        <v>77</v>
      </c>
      <c r="K58" s="7" t="s">
        <v>78</v>
      </c>
      <c r="L58" s="8" t="s">
        <v>79</v>
      </c>
      <c r="M58" s="8" t="s">
        <v>102</v>
      </c>
      <c r="N58" s="8" t="s">
        <v>79</v>
      </c>
      <c r="O58" s="8" t="s">
        <v>179</v>
      </c>
      <c r="P58" s="8" t="s">
        <v>79</v>
      </c>
      <c r="Q58" s="8" t="s">
        <v>103</v>
      </c>
      <c r="R58" s="8" t="s">
        <v>79</v>
      </c>
      <c r="S58" s="8" t="s">
        <v>79</v>
      </c>
      <c r="T58" s="8" t="s">
        <v>148</v>
      </c>
      <c r="U58" s="8" t="s">
        <v>141</v>
      </c>
      <c r="V58" s="8" t="s">
        <v>127</v>
      </c>
      <c r="W58" s="9">
        <v>2</v>
      </c>
      <c r="X58" s="9">
        <v>3</v>
      </c>
      <c r="Y58" s="9">
        <v>2</v>
      </c>
      <c r="Z58" s="9">
        <v>1</v>
      </c>
      <c r="AA58" s="9">
        <v>0</v>
      </c>
      <c r="AB58" s="9">
        <v>1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1</v>
      </c>
      <c r="AK58" s="9">
        <v>1</v>
      </c>
      <c r="AL58" s="10">
        <v>2</v>
      </c>
      <c r="AM58" s="10">
        <v>2</v>
      </c>
      <c r="AN58" s="10">
        <v>1</v>
      </c>
      <c r="AO58" s="10">
        <v>1</v>
      </c>
      <c r="AP58" s="10">
        <v>2</v>
      </c>
      <c r="AQ58" s="10">
        <v>3</v>
      </c>
      <c r="AR58" s="10">
        <v>3</v>
      </c>
      <c r="AS58" s="11">
        <v>0</v>
      </c>
      <c r="AT58" s="11">
        <v>3</v>
      </c>
      <c r="AU58" s="11">
        <v>3</v>
      </c>
      <c r="AV58" s="11">
        <v>2</v>
      </c>
      <c r="AW58" s="11">
        <v>2</v>
      </c>
      <c r="AX58" s="11">
        <v>3</v>
      </c>
      <c r="AY58" s="7">
        <v>3</v>
      </c>
      <c r="AZ58" s="7">
        <v>3</v>
      </c>
      <c r="BA58" s="7">
        <v>2</v>
      </c>
      <c r="BB58" s="7">
        <v>3</v>
      </c>
      <c r="BC58" s="7">
        <v>3</v>
      </c>
      <c r="BD58" s="7">
        <v>2</v>
      </c>
      <c r="BE58" s="7">
        <v>2</v>
      </c>
      <c r="BF58" s="7">
        <v>1</v>
      </c>
      <c r="BG58" s="12">
        <f>SUM(data__22[[#This Row],[N1]:[N4]],data__22[[#This Row],[N10]:[N13]],data__22[[#This Row],[N16]:[N18]])/11</f>
        <v>1.1818181818181819</v>
      </c>
      <c r="BH58" s="13">
        <f>SUM(data__22[[#This Row],[N8]:[N9]],data__22[[#This Row],[N23]:[N25]])/5</f>
        <v>1.2</v>
      </c>
      <c r="BI58" s="12">
        <f>SUM(data__22[[#This Row],[N5]:[N7]])/3</f>
        <v>0.33333333333333331</v>
      </c>
      <c r="BJ58" s="12">
        <f>SUM(data__22[[#This Row],[N14]:[N15]],data__22[[#This Row],[N19]:[N22]],data__22[[#This Row],[N26]:[N28]])/9</f>
        <v>2</v>
      </c>
      <c r="BK58" s="12">
        <f>SUM(data__22[[#This Row],[N29]:[N33]])/5</f>
        <v>2.8</v>
      </c>
      <c r="BL58" s="12">
        <f>SUM(data__22[[#This Row],[N34]:[N36]])/3</f>
        <v>1.6666666666666667</v>
      </c>
    </row>
    <row r="59" spans="1:64" x14ac:dyDescent="0.3">
      <c r="A59" s="7">
        <v>24</v>
      </c>
      <c r="B59" s="7" t="s">
        <v>70</v>
      </c>
      <c r="C59" s="7" t="s">
        <v>113</v>
      </c>
      <c r="D59" s="7" t="s">
        <v>97</v>
      </c>
      <c r="E59" s="7" t="s">
        <v>108</v>
      </c>
      <c r="F59" s="7" t="s">
        <v>136</v>
      </c>
      <c r="G59" s="7" t="s">
        <v>440</v>
      </c>
      <c r="H59" s="7" t="s">
        <v>165</v>
      </c>
      <c r="I59" s="7" t="s">
        <v>76</v>
      </c>
      <c r="J59" s="7" t="s">
        <v>101</v>
      </c>
      <c r="K59" s="7" t="s">
        <v>122</v>
      </c>
      <c r="L59" s="8" t="s">
        <v>79</v>
      </c>
      <c r="M59" s="8" t="s">
        <v>80</v>
      </c>
      <c r="N59" s="8" t="s">
        <v>79</v>
      </c>
      <c r="O59" s="8" t="s">
        <v>117</v>
      </c>
      <c r="P59" s="8" t="s">
        <v>79</v>
      </c>
      <c r="Q59" s="8" t="s">
        <v>103</v>
      </c>
      <c r="R59" s="8" t="s">
        <v>79</v>
      </c>
      <c r="S59" s="8" t="s">
        <v>82</v>
      </c>
      <c r="T59" s="8" t="s">
        <v>86</v>
      </c>
      <c r="U59" s="8" t="s">
        <v>87</v>
      </c>
      <c r="V59" s="8" t="s">
        <v>112</v>
      </c>
      <c r="W59" s="9">
        <v>3</v>
      </c>
      <c r="X59" s="9">
        <v>3</v>
      </c>
      <c r="Y59" s="9">
        <v>3</v>
      </c>
      <c r="Z59" s="9">
        <v>3</v>
      </c>
      <c r="AA59" s="9">
        <v>0</v>
      </c>
      <c r="AB59" s="9">
        <v>0</v>
      </c>
      <c r="AC59" s="9">
        <v>0</v>
      </c>
      <c r="AD59" s="9">
        <v>3</v>
      </c>
      <c r="AE59" s="9">
        <v>3</v>
      </c>
      <c r="AF59" s="9">
        <v>3</v>
      </c>
      <c r="AG59" s="9">
        <v>3</v>
      </c>
      <c r="AH59" s="9">
        <v>3</v>
      </c>
      <c r="AI59" s="9">
        <v>3</v>
      </c>
      <c r="AJ59" s="9">
        <v>0</v>
      </c>
      <c r="AK59" s="9">
        <v>0</v>
      </c>
      <c r="AL59" s="10">
        <v>3</v>
      </c>
      <c r="AM59" s="10">
        <v>3</v>
      </c>
      <c r="AN59" s="10">
        <v>3</v>
      </c>
      <c r="AO59" s="10">
        <v>0</v>
      </c>
      <c r="AP59" s="10">
        <v>0</v>
      </c>
      <c r="AQ59" s="10">
        <v>0</v>
      </c>
      <c r="AR59" s="10">
        <v>0</v>
      </c>
      <c r="AS59" s="11">
        <v>3</v>
      </c>
      <c r="AT59" s="11">
        <v>3</v>
      </c>
      <c r="AU59" s="11">
        <v>3</v>
      </c>
      <c r="AV59" s="11">
        <v>0</v>
      </c>
      <c r="AW59" s="11">
        <v>0</v>
      </c>
      <c r="AX59" s="11">
        <v>0</v>
      </c>
      <c r="AY59" s="7">
        <v>3</v>
      </c>
      <c r="AZ59" s="7">
        <v>3</v>
      </c>
      <c r="BA59" s="7">
        <v>3</v>
      </c>
      <c r="BB59" s="7">
        <v>3</v>
      </c>
      <c r="BC59" s="7">
        <v>3</v>
      </c>
      <c r="BD59" s="7">
        <v>0</v>
      </c>
      <c r="BE59" s="7">
        <v>0</v>
      </c>
      <c r="BF59" s="7">
        <v>0</v>
      </c>
      <c r="BG59" s="12">
        <f>SUM(data__22[[#This Row],[N1]:[N4]],data__22[[#This Row],[N10]:[N13]],data__22[[#This Row],[N16]:[N18]])/11</f>
        <v>3</v>
      </c>
      <c r="BH59" s="13">
        <f>SUM(data__22[[#This Row],[N8]:[N9]],data__22[[#This Row],[N23]:[N25]])/5</f>
        <v>3</v>
      </c>
      <c r="BI59" s="12">
        <f>SUM(data__22[[#This Row],[N5]:[N7]])/3</f>
        <v>0</v>
      </c>
      <c r="BJ59" s="12">
        <f>SUM(data__22[[#This Row],[N14]:[N15]],data__22[[#This Row],[N19]:[N22]],data__22[[#This Row],[N26]:[N28]])/9</f>
        <v>0</v>
      </c>
      <c r="BK59" s="12">
        <f>SUM(data__22[[#This Row],[N29]:[N33]])/5</f>
        <v>3</v>
      </c>
      <c r="BL59" s="12">
        <f>SUM(data__22[[#This Row],[N34]:[N36]])/3</f>
        <v>0</v>
      </c>
    </row>
    <row r="60" spans="1:64" x14ac:dyDescent="0.3">
      <c r="A60" s="7">
        <v>27</v>
      </c>
      <c r="B60" s="7" t="s">
        <v>70</v>
      </c>
      <c r="C60" s="7" t="s">
        <v>153</v>
      </c>
      <c r="D60" s="7" t="s">
        <v>97</v>
      </c>
      <c r="E60" s="7" t="s">
        <v>73</v>
      </c>
      <c r="F60" s="7" t="s">
        <v>98</v>
      </c>
      <c r="G60" s="7" t="s">
        <v>440</v>
      </c>
      <c r="H60" s="7" t="s">
        <v>136</v>
      </c>
      <c r="I60" s="7" t="s">
        <v>76</v>
      </c>
      <c r="J60" s="7" t="s">
        <v>77</v>
      </c>
      <c r="K60" s="7" t="s">
        <v>125</v>
      </c>
      <c r="L60" s="8" t="s">
        <v>82</v>
      </c>
      <c r="M60" s="8" t="s">
        <v>80</v>
      </c>
      <c r="N60" s="8" t="s">
        <v>79</v>
      </c>
      <c r="O60" s="8" t="s">
        <v>109</v>
      </c>
      <c r="P60" s="8" t="s">
        <v>79</v>
      </c>
      <c r="Q60" s="8" t="s">
        <v>83</v>
      </c>
      <c r="R60" s="8" t="s">
        <v>79</v>
      </c>
      <c r="S60" s="8" t="s">
        <v>79</v>
      </c>
      <c r="T60" s="8" t="s">
        <v>86</v>
      </c>
      <c r="U60" s="8" t="s">
        <v>141</v>
      </c>
      <c r="V60" s="8" t="s">
        <v>127</v>
      </c>
      <c r="W60" s="9">
        <v>1</v>
      </c>
      <c r="X60" s="9">
        <v>1</v>
      </c>
      <c r="Y60" s="9">
        <v>3</v>
      </c>
      <c r="Z60" s="9">
        <v>1</v>
      </c>
      <c r="AA60" s="9">
        <v>1</v>
      </c>
      <c r="AB60" s="9">
        <v>1</v>
      </c>
      <c r="AC60" s="9">
        <v>3</v>
      </c>
      <c r="AD60" s="9">
        <v>1</v>
      </c>
      <c r="AE60" s="9">
        <v>2</v>
      </c>
      <c r="AF60" s="9">
        <v>1</v>
      </c>
      <c r="AG60" s="9">
        <v>3</v>
      </c>
      <c r="AH60" s="9">
        <v>3</v>
      </c>
      <c r="AI60" s="9">
        <v>1</v>
      </c>
      <c r="AJ60" s="9">
        <v>1</v>
      </c>
      <c r="AK60" s="9">
        <v>1</v>
      </c>
      <c r="AL60" s="10">
        <v>3</v>
      </c>
      <c r="AM60" s="10">
        <v>3</v>
      </c>
      <c r="AN60" s="10">
        <v>3</v>
      </c>
      <c r="AO60" s="10">
        <v>1</v>
      </c>
      <c r="AP60" s="10">
        <v>0</v>
      </c>
      <c r="AQ60" s="10">
        <v>0</v>
      </c>
      <c r="AR60" s="10">
        <v>0</v>
      </c>
      <c r="AS60" s="11">
        <v>0</v>
      </c>
      <c r="AT60" s="11">
        <v>0</v>
      </c>
      <c r="AU60" s="11">
        <v>0</v>
      </c>
      <c r="AV60" s="11">
        <v>1</v>
      </c>
      <c r="AW60" s="11">
        <v>2</v>
      </c>
      <c r="AX60" s="11">
        <v>2</v>
      </c>
      <c r="AY60" s="7">
        <v>3</v>
      </c>
      <c r="AZ60" s="7">
        <v>3</v>
      </c>
      <c r="BA60" s="7">
        <v>3</v>
      </c>
      <c r="BB60" s="7">
        <v>3</v>
      </c>
      <c r="BC60" s="7">
        <v>3</v>
      </c>
      <c r="BD60" s="7">
        <v>0</v>
      </c>
      <c r="BE60" s="7">
        <v>1</v>
      </c>
      <c r="BF60" s="7">
        <v>2</v>
      </c>
      <c r="BG60" s="12">
        <f>SUM(data__22[[#This Row],[N1]:[N4]],data__22[[#This Row],[N10]:[N13]],data__22[[#This Row],[N16]:[N18]])/11</f>
        <v>2.0909090909090908</v>
      </c>
      <c r="BH60" s="13">
        <f>SUM(data__22[[#This Row],[N8]:[N9]],data__22[[#This Row],[N23]:[N25]])/5</f>
        <v>0.6</v>
      </c>
      <c r="BI60" s="12">
        <f>SUM(data__22[[#This Row],[N5]:[N7]])/3</f>
        <v>1.6666666666666667</v>
      </c>
      <c r="BJ60" s="12">
        <f>SUM(data__22[[#This Row],[N14]:[N15]],data__22[[#This Row],[N19]:[N22]],data__22[[#This Row],[N26]:[N28]])/9</f>
        <v>0.88888888888888884</v>
      </c>
      <c r="BK60" s="12">
        <f>SUM(data__22[[#This Row],[N29]:[N33]])/5</f>
        <v>3</v>
      </c>
      <c r="BL60" s="12">
        <f>SUM(data__22[[#This Row],[N34]:[N36]])/3</f>
        <v>1</v>
      </c>
    </row>
    <row r="61" spans="1:64" x14ac:dyDescent="0.3">
      <c r="A61" s="7">
        <v>25</v>
      </c>
      <c r="B61" s="7" t="s">
        <v>70</v>
      </c>
      <c r="C61" s="7" t="s">
        <v>153</v>
      </c>
      <c r="D61" s="7" t="s">
        <v>97</v>
      </c>
      <c r="E61" s="7" t="s">
        <v>114</v>
      </c>
      <c r="F61" s="7" t="s">
        <v>100</v>
      </c>
      <c r="G61" s="7" t="s">
        <v>440</v>
      </c>
      <c r="H61" s="7" t="s">
        <v>100</v>
      </c>
      <c r="I61" s="7" t="s">
        <v>76</v>
      </c>
      <c r="J61" s="7" t="s">
        <v>101</v>
      </c>
      <c r="K61" s="7" t="s">
        <v>125</v>
      </c>
      <c r="L61" s="8" t="s">
        <v>79</v>
      </c>
      <c r="M61" s="8" t="s">
        <v>80</v>
      </c>
      <c r="N61" s="8" t="s">
        <v>79</v>
      </c>
      <c r="O61" s="8" t="s">
        <v>109</v>
      </c>
      <c r="P61" s="8" t="s">
        <v>79</v>
      </c>
      <c r="Q61" s="8" t="s">
        <v>83</v>
      </c>
      <c r="R61" s="8" t="s">
        <v>79</v>
      </c>
      <c r="S61" s="8" t="s">
        <v>82</v>
      </c>
      <c r="T61" s="8" t="s">
        <v>86</v>
      </c>
      <c r="U61" s="8" t="s">
        <v>141</v>
      </c>
      <c r="V61" s="8" t="s">
        <v>112</v>
      </c>
      <c r="W61" s="9">
        <v>3</v>
      </c>
      <c r="X61" s="9">
        <v>3</v>
      </c>
      <c r="Y61" s="9">
        <v>3</v>
      </c>
      <c r="Z61" s="9">
        <v>3</v>
      </c>
      <c r="AA61" s="9">
        <v>2</v>
      </c>
      <c r="AB61" s="9">
        <v>2</v>
      </c>
      <c r="AC61" s="9">
        <v>2</v>
      </c>
      <c r="AD61" s="9">
        <v>3</v>
      </c>
      <c r="AE61" s="9">
        <v>3</v>
      </c>
      <c r="AF61" s="9">
        <v>2</v>
      </c>
      <c r="AG61" s="9">
        <v>3</v>
      </c>
      <c r="AH61" s="9">
        <v>2</v>
      </c>
      <c r="AI61" s="9">
        <v>3</v>
      </c>
      <c r="AJ61" s="9">
        <v>2</v>
      </c>
      <c r="AK61" s="9">
        <v>2</v>
      </c>
      <c r="AL61" s="10">
        <v>3</v>
      </c>
      <c r="AM61" s="10">
        <v>3</v>
      </c>
      <c r="AN61" s="10">
        <v>2</v>
      </c>
      <c r="AO61" s="10">
        <v>2</v>
      </c>
      <c r="AP61" s="10">
        <v>3</v>
      </c>
      <c r="AQ61" s="10">
        <v>3</v>
      </c>
      <c r="AR61" s="10">
        <v>3</v>
      </c>
      <c r="AS61" s="11">
        <v>3</v>
      </c>
      <c r="AT61" s="11">
        <v>3</v>
      </c>
      <c r="AU61" s="11">
        <v>3</v>
      </c>
      <c r="AV61" s="11">
        <v>3</v>
      </c>
      <c r="AW61" s="11">
        <v>3</v>
      </c>
      <c r="AX61" s="11">
        <v>3</v>
      </c>
      <c r="AY61" s="7">
        <v>2</v>
      </c>
      <c r="AZ61" s="7">
        <v>3</v>
      </c>
      <c r="BA61" s="7">
        <v>3</v>
      </c>
      <c r="BB61" s="7">
        <v>3</v>
      </c>
      <c r="BC61" s="7">
        <v>3</v>
      </c>
      <c r="BD61" s="7">
        <v>2</v>
      </c>
      <c r="BE61" s="7">
        <v>2</v>
      </c>
      <c r="BF61" s="7">
        <v>2</v>
      </c>
      <c r="BG61" s="12">
        <f>SUM(data__22[[#This Row],[N1]:[N4]],data__22[[#This Row],[N10]:[N13]],data__22[[#This Row],[N16]:[N18]])/11</f>
        <v>2.7272727272727271</v>
      </c>
      <c r="BH61" s="13">
        <f>SUM(data__22[[#This Row],[N8]:[N9]],data__22[[#This Row],[N23]:[N25]])/5</f>
        <v>3</v>
      </c>
      <c r="BI61" s="12">
        <f>SUM(data__22[[#This Row],[N5]:[N7]])/3</f>
        <v>2</v>
      </c>
      <c r="BJ61" s="12">
        <f>SUM(data__22[[#This Row],[N14]:[N15]],data__22[[#This Row],[N19]:[N22]],data__22[[#This Row],[N26]:[N28]])/9</f>
        <v>2.6666666666666665</v>
      </c>
      <c r="BK61" s="12">
        <f>SUM(data__22[[#This Row],[N29]:[N33]])/5</f>
        <v>2.8</v>
      </c>
      <c r="BL61" s="12">
        <f>SUM(data__22[[#This Row],[N34]:[N36]])/3</f>
        <v>2</v>
      </c>
    </row>
    <row r="62" spans="1:64" x14ac:dyDescent="0.3">
      <c r="A62" s="7">
        <v>20</v>
      </c>
      <c r="B62" s="7" t="s">
        <v>70</v>
      </c>
      <c r="C62" s="7" t="s">
        <v>157</v>
      </c>
      <c r="D62" s="7" t="s">
        <v>149</v>
      </c>
      <c r="E62" s="7" t="s">
        <v>73</v>
      </c>
      <c r="F62" s="7" t="s">
        <v>74</v>
      </c>
      <c r="G62" s="7" t="s">
        <v>440</v>
      </c>
      <c r="H62" s="7" t="s">
        <v>74</v>
      </c>
      <c r="I62" s="7" t="s">
        <v>439</v>
      </c>
      <c r="J62" s="7" t="s">
        <v>101</v>
      </c>
      <c r="K62" s="7" t="s">
        <v>122</v>
      </c>
      <c r="L62" s="8" t="s">
        <v>79</v>
      </c>
      <c r="M62" s="8" t="s">
        <v>80</v>
      </c>
      <c r="N62" s="8" t="s">
        <v>79</v>
      </c>
      <c r="O62" s="8" t="s">
        <v>109</v>
      </c>
      <c r="P62" s="8" t="s">
        <v>82</v>
      </c>
      <c r="Q62" s="8" t="s">
        <v>83</v>
      </c>
      <c r="R62" s="8" t="s">
        <v>82</v>
      </c>
      <c r="S62" s="8" t="s">
        <v>82</v>
      </c>
      <c r="T62" s="8" t="s">
        <v>86</v>
      </c>
      <c r="U62" s="8" t="s">
        <v>87</v>
      </c>
      <c r="V62" s="8" t="s">
        <v>127</v>
      </c>
      <c r="W62" s="9">
        <v>1</v>
      </c>
      <c r="X62" s="9">
        <v>1</v>
      </c>
      <c r="Y62" s="9">
        <v>1</v>
      </c>
      <c r="Z62" s="9">
        <v>1</v>
      </c>
      <c r="AA62" s="9">
        <v>1</v>
      </c>
      <c r="AB62" s="9">
        <v>1</v>
      </c>
      <c r="AC62" s="9">
        <v>1</v>
      </c>
      <c r="AD62" s="9">
        <v>1</v>
      </c>
      <c r="AE62" s="9">
        <v>1</v>
      </c>
      <c r="AF62" s="9">
        <v>2</v>
      </c>
      <c r="AG62" s="9">
        <v>2</v>
      </c>
      <c r="AH62" s="9">
        <v>2</v>
      </c>
      <c r="AI62" s="9">
        <v>1</v>
      </c>
      <c r="AJ62" s="9">
        <v>2</v>
      </c>
      <c r="AK62" s="9">
        <v>1</v>
      </c>
      <c r="AL62" s="10">
        <v>1</v>
      </c>
      <c r="AM62" s="10">
        <v>0</v>
      </c>
      <c r="AN62" s="10">
        <v>1</v>
      </c>
      <c r="AO62" s="10">
        <v>1</v>
      </c>
      <c r="AP62" s="10">
        <v>0</v>
      </c>
      <c r="AQ62" s="10">
        <v>0</v>
      </c>
      <c r="AR62" s="10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1</v>
      </c>
      <c r="BE62" s="7">
        <v>0</v>
      </c>
      <c r="BF62" s="7">
        <v>1</v>
      </c>
      <c r="BG62" s="12">
        <f>SUM(data__22[[#This Row],[N1]:[N4]],data__22[[#This Row],[N10]:[N13]],data__22[[#This Row],[N16]:[N18]])/11</f>
        <v>1.1818181818181819</v>
      </c>
      <c r="BH62" s="13">
        <f>SUM(data__22[[#This Row],[N8]:[N9]],data__22[[#This Row],[N23]:[N25]])/5</f>
        <v>0.4</v>
      </c>
      <c r="BI62" s="12">
        <f>SUM(data__22[[#This Row],[N5]:[N7]])/3</f>
        <v>1</v>
      </c>
      <c r="BJ62" s="12">
        <f>SUM(data__22[[#This Row],[N14]:[N15]],data__22[[#This Row],[N19]:[N22]],data__22[[#This Row],[N26]:[N28]])/9</f>
        <v>0.44444444444444442</v>
      </c>
      <c r="BK62" s="12">
        <f>SUM(data__22[[#This Row],[N29]:[N33]])/5</f>
        <v>0</v>
      </c>
      <c r="BL62" s="12">
        <f>SUM(data__22[[#This Row],[N34]:[N36]])/3</f>
        <v>0.66666666666666663</v>
      </c>
    </row>
    <row r="63" spans="1:64" x14ac:dyDescent="0.3">
      <c r="A63" s="7">
        <v>22</v>
      </c>
      <c r="B63" s="7" t="s">
        <v>70</v>
      </c>
      <c r="C63" s="7" t="s">
        <v>113</v>
      </c>
      <c r="D63" s="7" t="s">
        <v>72</v>
      </c>
      <c r="E63" s="7" t="s">
        <v>108</v>
      </c>
      <c r="F63" s="7" t="s">
        <v>136</v>
      </c>
      <c r="G63" s="7" t="s">
        <v>99</v>
      </c>
      <c r="H63" s="7" t="s">
        <v>136</v>
      </c>
      <c r="I63" s="7" t="s">
        <v>76</v>
      </c>
      <c r="J63" s="7" t="s">
        <v>77</v>
      </c>
      <c r="K63" s="7" t="s">
        <v>122</v>
      </c>
      <c r="L63" s="8" t="s">
        <v>79</v>
      </c>
      <c r="M63" s="8" t="s">
        <v>80</v>
      </c>
      <c r="N63" s="8" t="s">
        <v>79</v>
      </c>
      <c r="O63" s="8" t="s">
        <v>117</v>
      </c>
      <c r="P63" s="8" t="s">
        <v>79</v>
      </c>
      <c r="Q63" s="8" t="s">
        <v>83</v>
      </c>
      <c r="R63" s="8" t="s">
        <v>79</v>
      </c>
      <c r="S63" s="8" t="s">
        <v>82</v>
      </c>
      <c r="T63" s="8" t="s">
        <v>106</v>
      </c>
      <c r="U63" s="8" t="s">
        <v>87</v>
      </c>
      <c r="V63" s="8" t="s">
        <v>112</v>
      </c>
      <c r="W63" s="9">
        <v>2</v>
      </c>
      <c r="X63" s="9">
        <v>2</v>
      </c>
      <c r="Y63" s="9">
        <v>2</v>
      </c>
      <c r="Z63" s="9">
        <v>3</v>
      </c>
      <c r="AA63" s="9">
        <v>2</v>
      </c>
      <c r="AB63" s="9">
        <v>2</v>
      </c>
      <c r="AC63" s="9">
        <v>2</v>
      </c>
      <c r="AD63" s="9">
        <v>2</v>
      </c>
      <c r="AE63" s="9">
        <v>1</v>
      </c>
      <c r="AF63" s="9">
        <v>0</v>
      </c>
      <c r="AG63" s="9">
        <v>2</v>
      </c>
      <c r="AH63" s="9">
        <v>1</v>
      </c>
      <c r="AI63" s="9">
        <v>3</v>
      </c>
      <c r="AJ63" s="9">
        <v>3</v>
      </c>
      <c r="AK63" s="9">
        <v>3</v>
      </c>
      <c r="AL63" s="10">
        <v>3</v>
      </c>
      <c r="AM63" s="10">
        <v>3</v>
      </c>
      <c r="AN63" s="10">
        <v>3</v>
      </c>
      <c r="AO63" s="10">
        <v>0</v>
      </c>
      <c r="AP63" s="10">
        <v>1</v>
      </c>
      <c r="AQ63" s="10">
        <v>0</v>
      </c>
      <c r="AR63" s="10">
        <v>0</v>
      </c>
      <c r="AS63" s="11">
        <v>1</v>
      </c>
      <c r="AT63" s="11">
        <v>1</v>
      </c>
      <c r="AU63" s="11">
        <v>3</v>
      </c>
      <c r="AV63" s="11">
        <v>1</v>
      </c>
      <c r="AW63" s="11">
        <v>2</v>
      </c>
      <c r="AX63" s="11">
        <v>2</v>
      </c>
      <c r="AY63" s="7"/>
      <c r="AZ63" s="7"/>
      <c r="BA63" s="7"/>
      <c r="BB63" s="7"/>
      <c r="BC63" s="7"/>
      <c r="BD63" s="7"/>
      <c r="BE63" s="7"/>
      <c r="BF63" s="7"/>
      <c r="BG63" s="12">
        <f>SUM(data__22[[#This Row],[N1]:[N4]],data__22[[#This Row],[N10]:[N13]],data__22[[#This Row],[N16]:[N18]])/11</f>
        <v>2.1818181818181817</v>
      </c>
      <c r="BH63" s="13">
        <f>SUM(data__22[[#This Row],[N8]:[N9]],data__22[[#This Row],[N23]:[N25]])/5</f>
        <v>1.6</v>
      </c>
      <c r="BI63" s="12">
        <f>SUM(data__22[[#This Row],[N5]:[N7]])/3</f>
        <v>2</v>
      </c>
      <c r="BJ63" s="12">
        <f>SUM(data__22[[#This Row],[N14]:[N15]],data__22[[#This Row],[N19]:[N22]],data__22[[#This Row],[N26]:[N28]])/9</f>
        <v>1.3333333333333333</v>
      </c>
      <c r="BK63" s="12">
        <f>SUM(data__22[[#This Row],[N29]:[N33]])/5</f>
        <v>0</v>
      </c>
      <c r="BL63" s="12">
        <f>SUM(data__22[[#This Row],[N34]:[N36]])/3</f>
        <v>0</v>
      </c>
    </row>
    <row r="64" spans="1:64" x14ac:dyDescent="0.3">
      <c r="A64" s="7">
        <v>24</v>
      </c>
      <c r="B64" s="7" t="s">
        <v>70</v>
      </c>
      <c r="C64" s="7" t="s">
        <v>113</v>
      </c>
      <c r="D64" s="7" t="s">
        <v>72</v>
      </c>
      <c r="E64" s="7" t="s">
        <v>73</v>
      </c>
      <c r="F64" s="7" t="s">
        <v>74</v>
      </c>
      <c r="G64" s="7" t="s">
        <v>99</v>
      </c>
      <c r="H64" s="7" t="s">
        <v>98</v>
      </c>
      <c r="I64" s="7" t="s">
        <v>76</v>
      </c>
      <c r="J64" s="7" t="s">
        <v>77</v>
      </c>
      <c r="K64" s="7" t="s">
        <v>125</v>
      </c>
      <c r="L64" s="8" t="s">
        <v>79</v>
      </c>
      <c r="M64" s="8" t="s">
        <v>80</v>
      </c>
      <c r="N64" s="8" t="s">
        <v>79</v>
      </c>
      <c r="O64" s="8" t="s">
        <v>109</v>
      </c>
      <c r="P64" s="8" t="s">
        <v>79</v>
      </c>
      <c r="Q64" s="8" t="s">
        <v>83</v>
      </c>
      <c r="R64" s="8" t="s">
        <v>79</v>
      </c>
      <c r="S64" s="8" t="s">
        <v>79</v>
      </c>
      <c r="T64" s="8" t="s">
        <v>86</v>
      </c>
      <c r="U64" s="8" t="s">
        <v>87</v>
      </c>
      <c r="V64" s="8" t="s">
        <v>112</v>
      </c>
      <c r="W64" s="9">
        <v>3</v>
      </c>
      <c r="X64" s="9">
        <v>3</v>
      </c>
      <c r="Y64" s="9">
        <v>2</v>
      </c>
      <c r="Z64" s="9">
        <v>3</v>
      </c>
      <c r="AA64" s="9">
        <v>2</v>
      </c>
      <c r="AB64" s="9">
        <v>3</v>
      </c>
      <c r="AC64" s="9">
        <v>2</v>
      </c>
      <c r="AD64" s="9">
        <v>3</v>
      </c>
      <c r="AE64" s="9">
        <v>2</v>
      </c>
      <c r="AF64" s="9">
        <v>2</v>
      </c>
      <c r="AG64" s="9">
        <v>3</v>
      </c>
      <c r="AH64" s="9">
        <v>2</v>
      </c>
      <c r="AI64" s="9">
        <v>3</v>
      </c>
      <c r="AJ64" s="9">
        <v>2</v>
      </c>
      <c r="AK64" s="9">
        <v>3</v>
      </c>
      <c r="AL64" s="10">
        <v>3</v>
      </c>
      <c r="AM64" s="10">
        <v>2</v>
      </c>
      <c r="AN64" s="10">
        <v>3</v>
      </c>
      <c r="AO64" s="10">
        <v>2</v>
      </c>
      <c r="AP64" s="10">
        <v>3</v>
      </c>
      <c r="AQ64" s="10">
        <v>2</v>
      </c>
      <c r="AR64" s="10">
        <v>3</v>
      </c>
      <c r="AS64" s="11">
        <v>2</v>
      </c>
      <c r="AT64" s="11">
        <v>3</v>
      </c>
      <c r="AU64" s="11">
        <v>2</v>
      </c>
      <c r="AV64" s="11">
        <v>3</v>
      </c>
      <c r="AW64" s="11">
        <v>3</v>
      </c>
      <c r="AX64" s="11">
        <v>2</v>
      </c>
      <c r="AY64" s="7"/>
      <c r="AZ64" s="7">
        <v>3</v>
      </c>
      <c r="BA64" s="7">
        <v>3</v>
      </c>
      <c r="BB64" s="7">
        <v>3</v>
      </c>
      <c r="BC64" s="7">
        <v>3</v>
      </c>
      <c r="BD64" s="7">
        <v>3</v>
      </c>
      <c r="BE64" s="7">
        <v>2</v>
      </c>
      <c r="BF64" s="7">
        <v>2</v>
      </c>
      <c r="BG64" s="12">
        <f>SUM(data__22[[#This Row],[N1]:[N4]],data__22[[#This Row],[N10]:[N13]],data__22[[#This Row],[N16]:[N18]])/11</f>
        <v>2.6363636363636362</v>
      </c>
      <c r="BH64" s="13">
        <f>SUM(data__22[[#This Row],[N8]:[N9]],data__22[[#This Row],[N23]:[N25]])/5</f>
        <v>2.4</v>
      </c>
      <c r="BI64" s="12">
        <f>SUM(data__22[[#This Row],[N5]:[N7]])/3</f>
        <v>2.3333333333333335</v>
      </c>
      <c r="BJ64" s="12">
        <f>SUM(data__22[[#This Row],[N14]:[N15]],data__22[[#This Row],[N19]:[N22]],data__22[[#This Row],[N26]:[N28]])/9</f>
        <v>2.5555555555555554</v>
      </c>
      <c r="BK64" s="12">
        <f>SUM(data__22[[#This Row],[N29]:[N33]])/5</f>
        <v>2.4</v>
      </c>
      <c r="BL64" s="12">
        <f>SUM(data__22[[#This Row],[N34]:[N36]])/3</f>
        <v>2.3333333333333335</v>
      </c>
    </row>
    <row r="65" spans="1:64" x14ac:dyDescent="0.3">
      <c r="A65" s="7">
        <v>23</v>
      </c>
      <c r="B65" s="7" t="s">
        <v>70</v>
      </c>
      <c r="C65" s="7" t="s">
        <v>113</v>
      </c>
      <c r="D65" s="7" t="s">
        <v>72</v>
      </c>
      <c r="E65" s="7" t="s">
        <v>73</v>
      </c>
      <c r="F65" s="7" t="s">
        <v>98</v>
      </c>
      <c r="G65" s="7" t="s">
        <v>440</v>
      </c>
      <c r="H65" s="7" t="s">
        <v>98</v>
      </c>
      <c r="I65" s="7" t="s">
        <v>76</v>
      </c>
      <c r="J65" s="7" t="s">
        <v>101</v>
      </c>
      <c r="K65" s="7" t="s">
        <v>78</v>
      </c>
      <c r="L65" s="8" t="s">
        <v>79</v>
      </c>
      <c r="M65" s="8" t="s">
        <v>80</v>
      </c>
      <c r="N65" s="8" t="s">
        <v>82</v>
      </c>
      <c r="O65" s="8" t="s">
        <v>109</v>
      </c>
      <c r="P65" s="8" t="s">
        <v>79</v>
      </c>
      <c r="Q65" s="8" t="s">
        <v>118</v>
      </c>
      <c r="R65" s="8" t="s">
        <v>82</v>
      </c>
      <c r="S65" s="8" t="s">
        <v>82</v>
      </c>
      <c r="T65" s="8" t="s">
        <v>86</v>
      </c>
      <c r="U65" s="8" t="s">
        <v>141</v>
      </c>
      <c r="V65" s="8" t="s">
        <v>112</v>
      </c>
      <c r="W65" s="9">
        <v>1</v>
      </c>
      <c r="X65" s="9">
        <v>1</v>
      </c>
      <c r="Y65" s="9">
        <v>2</v>
      </c>
      <c r="Z65" s="9">
        <v>1</v>
      </c>
      <c r="AA65" s="9">
        <v>0</v>
      </c>
      <c r="AB65" s="9">
        <v>1</v>
      </c>
      <c r="AC65" s="9">
        <v>1</v>
      </c>
      <c r="AD65" s="9">
        <v>0</v>
      </c>
      <c r="AE65" s="9">
        <v>3</v>
      </c>
      <c r="AF65" s="9">
        <v>3</v>
      </c>
      <c r="AG65" s="9">
        <v>2</v>
      </c>
      <c r="AH65" s="9">
        <v>3</v>
      </c>
      <c r="AI65" s="9">
        <v>2</v>
      </c>
      <c r="AJ65" s="9">
        <v>2</v>
      </c>
      <c r="AK65" s="9">
        <v>2</v>
      </c>
      <c r="AL65" s="10">
        <v>2</v>
      </c>
      <c r="AM65" s="10">
        <v>1</v>
      </c>
      <c r="AN65" s="10">
        <v>0</v>
      </c>
      <c r="AO65" s="10">
        <v>0</v>
      </c>
      <c r="AP65" s="10">
        <v>1</v>
      </c>
      <c r="AQ65" s="10">
        <v>2</v>
      </c>
      <c r="AR65" s="10">
        <v>2</v>
      </c>
      <c r="AS65" s="11">
        <v>1</v>
      </c>
      <c r="AT65" s="11">
        <v>1</v>
      </c>
      <c r="AU65" s="11">
        <v>0</v>
      </c>
      <c r="AV65" s="11">
        <v>0</v>
      </c>
      <c r="AW65" s="11">
        <v>0</v>
      </c>
      <c r="AX65" s="11">
        <v>2</v>
      </c>
      <c r="AY65" s="7">
        <v>1</v>
      </c>
      <c r="AZ65" s="7">
        <v>2</v>
      </c>
      <c r="BA65" s="7">
        <v>2</v>
      </c>
      <c r="BB65" s="7">
        <v>0</v>
      </c>
      <c r="BC65" s="7">
        <v>0</v>
      </c>
      <c r="BD65" s="7">
        <v>1</v>
      </c>
      <c r="BE65" s="7">
        <v>0</v>
      </c>
      <c r="BF65" s="7">
        <v>1</v>
      </c>
      <c r="BG65" s="12">
        <f>SUM(data__22[[#This Row],[N1]:[N4]],data__22[[#This Row],[N10]:[N13]],data__22[[#This Row],[N16]:[N18]])/11</f>
        <v>1.6363636363636365</v>
      </c>
      <c r="BH65" s="13">
        <f>SUM(data__22[[#This Row],[N8]:[N9]],data__22[[#This Row],[N23]:[N25]])/5</f>
        <v>1</v>
      </c>
      <c r="BI65" s="12">
        <f>SUM(data__22[[#This Row],[N5]:[N7]])/3</f>
        <v>0.66666666666666663</v>
      </c>
      <c r="BJ65" s="12">
        <f>SUM(data__22[[#This Row],[N14]:[N15]],data__22[[#This Row],[N19]:[N22]],data__22[[#This Row],[N26]:[N28]])/9</f>
        <v>1.2222222222222223</v>
      </c>
      <c r="BK65" s="12">
        <f>SUM(data__22[[#This Row],[N29]:[N33]])/5</f>
        <v>1</v>
      </c>
      <c r="BL65" s="12">
        <f>SUM(data__22[[#This Row],[N34]:[N36]])/3</f>
        <v>0.66666666666666663</v>
      </c>
    </row>
    <row r="66" spans="1:64" x14ac:dyDescent="0.3">
      <c r="A66" s="7">
        <v>25</v>
      </c>
      <c r="B66" s="7" t="s">
        <v>70</v>
      </c>
      <c r="C66" s="7" t="s">
        <v>71</v>
      </c>
      <c r="D66" s="7" t="s">
        <v>149</v>
      </c>
      <c r="E66" s="7" t="s">
        <v>73</v>
      </c>
      <c r="F66" s="7" t="s">
        <v>74</v>
      </c>
      <c r="G66" s="7" t="s">
        <v>99</v>
      </c>
      <c r="H66" s="7" t="s">
        <v>74</v>
      </c>
      <c r="I66" s="7" t="s">
        <v>439</v>
      </c>
      <c r="J66" s="7" t="s">
        <v>77</v>
      </c>
      <c r="K66" s="7" t="s">
        <v>122</v>
      </c>
      <c r="L66" s="8" t="s">
        <v>79</v>
      </c>
      <c r="M66" s="8" t="s">
        <v>80</v>
      </c>
      <c r="N66" s="8" t="s">
        <v>79</v>
      </c>
      <c r="O66" s="8" t="s">
        <v>109</v>
      </c>
      <c r="P66" s="8" t="s">
        <v>82</v>
      </c>
      <c r="Q66" s="8" t="s">
        <v>83</v>
      </c>
      <c r="R66" s="8" t="s">
        <v>79</v>
      </c>
      <c r="S66" s="8" t="s">
        <v>79</v>
      </c>
      <c r="T66" s="8" t="s">
        <v>86</v>
      </c>
      <c r="U66" s="8" t="s">
        <v>141</v>
      </c>
      <c r="V66" s="8" t="s">
        <v>112</v>
      </c>
      <c r="W66" s="9">
        <v>0</v>
      </c>
      <c r="X66" s="9">
        <v>1</v>
      </c>
      <c r="Y66" s="9">
        <v>2</v>
      </c>
      <c r="Z66" s="9">
        <v>1</v>
      </c>
      <c r="AA66" s="9">
        <v>0</v>
      </c>
      <c r="AB66" s="9">
        <v>1</v>
      </c>
      <c r="AC66" s="9">
        <v>2</v>
      </c>
      <c r="AD66" s="9">
        <v>1</v>
      </c>
      <c r="AE66" s="9">
        <v>0</v>
      </c>
      <c r="AF66" s="9">
        <v>1</v>
      </c>
      <c r="AG66" s="9">
        <v>2</v>
      </c>
      <c r="AH66" s="9">
        <v>1</v>
      </c>
      <c r="AI66" s="9">
        <v>0</v>
      </c>
      <c r="AJ66" s="9">
        <v>1</v>
      </c>
      <c r="AK66" s="9">
        <v>2</v>
      </c>
      <c r="AL66" s="10">
        <v>0</v>
      </c>
      <c r="AM66" s="10">
        <v>1</v>
      </c>
      <c r="AN66" s="10">
        <v>2</v>
      </c>
      <c r="AO66" s="10">
        <v>3</v>
      </c>
      <c r="AP66" s="10">
        <v>2</v>
      </c>
      <c r="AQ66" s="10">
        <v>1</v>
      </c>
      <c r="AR66" s="10">
        <v>0</v>
      </c>
      <c r="AS66" s="11">
        <v>0</v>
      </c>
      <c r="AT66" s="11">
        <v>1</v>
      </c>
      <c r="AU66" s="11">
        <v>2</v>
      </c>
      <c r="AV66" s="11">
        <v>3</v>
      </c>
      <c r="AW66" s="11">
        <v>2</v>
      </c>
      <c r="AX66" s="11">
        <v>1</v>
      </c>
      <c r="AY66" s="7">
        <v>0</v>
      </c>
      <c r="AZ66" s="7">
        <v>1</v>
      </c>
      <c r="BA66" s="7">
        <v>2</v>
      </c>
      <c r="BB66" s="7">
        <v>3</v>
      </c>
      <c r="BC66" s="7">
        <v>2</v>
      </c>
      <c r="BD66" s="7">
        <v>1</v>
      </c>
      <c r="BE66" s="7">
        <v>0</v>
      </c>
      <c r="BF66" s="7">
        <v>1</v>
      </c>
      <c r="BG66" s="12">
        <f>SUM(data__22[[#This Row],[N1]:[N4]],data__22[[#This Row],[N10]:[N13]],data__22[[#This Row],[N16]:[N18]])/11</f>
        <v>1</v>
      </c>
      <c r="BH66" s="13">
        <f>SUM(data__22[[#This Row],[N8]:[N9]],data__22[[#This Row],[N23]:[N25]])/5</f>
        <v>0.8</v>
      </c>
      <c r="BI66" s="12">
        <f>SUM(data__22[[#This Row],[N5]:[N7]])/3</f>
        <v>1</v>
      </c>
      <c r="BJ66" s="12">
        <f>SUM(data__22[[#This Row],[N14]:[N15]],data__22[[#This Row],[N19]:[N22]],data__22[[#This Row],[N26]:[N28]])/9</f>
        <v>1.6666666666666667</v>
      </c>
      <c r="BK66" s="12">
        <f>SUM(data__22[[#This Row],[N29]:[N33]])/5</f>
        <v>1.6</v>
      </c>
      <c r="BL66" s="12">
        <f>SUM(data__22[[#This Row],[N34]:[N36]])/3</f>
        <v>0.66666666666666663</v>
      </c>
    </row>
    <row r="67" spans="1:64" x14ac:dyDescent="0.3">
      <c r="A67" s="7">
        <v>24</v>
      </c>
      <c r="B67" s="7" t="s">
        <v>70</v>
      </c>
      <c r="C67" s="7" t="s">
        <v>113</v>
      </c>
      <c r="D67" s="7" t="s">
        <v>72</v>
      </c>
      <c r="E67" s="7" t="s">
        <v>108</v>
      </c>
      <c r="F67" s="7" t="s">
        <v>74</v>
      </c>
      <c r="G67" s="7" t="s">
        <v>440</v>
      </c>
      <c r="H67" s="7" t="s">
        <v>74</v>
      </c>
      <c r="I67" s="7" t="s">
        <v>76</v>
      </c>
      <c r="J67" s="7" t="s">
        <v>101</v>
      </c>
      <c r="K67" s="7" t="s">
        <v>122</v>
      </c>
      <c r="L67" s="8" t="s">
        <v>79</v>
      </c>
      <c r="M67" s="8" t="s">
        <v>80</v>
      </c>
      <c r="N67" s="8" t="s">
        <v>79</v>
      </c>
      <c r="O67" s="8" t="s">
        <v>81</v>
      </c>
      <c r="P67" s="8" t="s">
        <v>82</v>
      </c>
      <c r="Q67" s="8" t="s">
        <v>103</v>
      </c>
      <c r="R67" s="8" t="s">
        <v>79</v>
      </c>
      <c r="S67" s="8" t="s">
        <v>82</v>
      </c>
      <c r="T67" s="8" t="s">
        <v>106</v>
      </c>
      <c r="U67" s="8" t="s">
        <v>120</v>
      </c>
      <c r="V67" s="8" t="s">
        <v>112</v>
      </c>
      <c r="W67" s="9">
        <v>0</v>
      </c>
      <c r="X67" s="9">
        <v>0</v>
      </c>
      <c r="Y67" s="9">
        <v>1</v>
      </c>
      <c r="Z67" s="9">
        <v>1</v>
      </c>
      <c r="AA67" s="9">
        <v>0</v>
      </c>
      <c r="AB67" s="9">
        <v>1</v>
      </c>
      <c r="AC67" s="9">
        <v>1</v>
      </c>
      <c r="AD67" s="9">
        <v>1</v>
      </c>
      <c r="AE67" s="9">
        <v>1</v>
      </c>
      <c r="AF67" s="9">
        <v>0</v>
      </c>
      <c r="AG67" s="9">
        <v>1</v>
      </c>
      <c r="AH67" s="9">
        <v>2</v>
      </c>
      <c r="AI67" s="9">
        <v>1</v>
      </c>
      <c r="AJ67" s="9">
        <v>1</v>
      </c>
      <c r="AK67" s="9">
        <v>1</v>
      </c>
      <c r="AL67" s="10">
        <v>1</v>
      </c>
      <c r="AM67" s="10">
        <v>2</v>
      </c>
      <c r="AN67" s="10">
        <v>1</v>
      </c>
      <c r="AO67" s="10">
        <v>2</v>
      </c>
      <c r="AP67" s="10">
        <v>1</v>
      </c>
      <c r="AQ67" s="10">
        <v>2</v>
      </c>
      <c r="AR67" s="10">
        <v>1</v>
      </c>
      <c r="AS67" s="11">
        <v>1</v>
      </c>
      <c r="AT67" s="11">
        <v>2</v>
      </c>
      <c r="AU67" s="11">
        <v>1</v>
      </c>
      <c r="AV67" s="11">
        <v>2</v>
      </c>
      <c r="AW67" s="11">
        <v>1</v>
      </c>
      <c r="AX67" s="11">
        <v>2</v>
      </c>
      <c r="AY67" s="7">
        <v>1</v>
      </c>
      <c r="AZ67" s="7">
        <v>2</v>
      </c>
      <c r="BA67" s="7">
        <v>1</v>
      </c>
      <c r="BB67" s="7">
        <v>2</v>
      </c>
      <c r="BC67" s="7">
        <v>1</v>
      </c>
      <c r="BD67" s="7">
        <v>2</v>
      </c>
      <c r="BE67" s="7">
        <v>2</v>
      </c>
      <c r="BF67" s="7">
        <v>1</v>
      </c>
      <c r="BG67" s="12">
        <f>SUM(data__22[[#This Row],[N1]:[N4]],data__22[[#This Row],[N10]:[N13]],data__22[[#This Row],[N16]:[N18]])/11</f>
        <v>0.90909090909090906</v>
      </c>
      <c r="BH67" s="13">
        <f>SUM(data__22[[#This Row],[N8]:[N9]],data__22[[#This Row],[N23]:[N25]])/5</f>
        <v>1.2</v>
      </c>
      <c r="BI67" s="12">
        <f>SUM(data__22[[#This Row],[N5]:[N7]])/3</f>
        <v>0.66666666666666663</v>
      </c>
      <c r="BJ67" s="12">
        <f>SUM(data__22[[#This Row],[N14]:[N15]],data__22[[#This Row],[N19]:[N22]],data__22[[#This Row],[N26]:[N28]])/9</f>
        <v>1.4444444444444444</v>
      </c>
      <c r="BK67" s="12">
        <f>SUM(data__22[[#This Row],[N29]:[N33]])/5</f>
        <v>1.4</v>
      </c>
      <c r="BL67" s="12">
        <f>SUM(data__22[[#This Row],[N34]:[N36]])/3</f>
        <v>1.6666666666666667</v>
      </c>
    </row>
    <row r="68" spans="1:64" x14ac:dyDescent="0.3">
      <c r="A68" s="7">
        <v>25</v>
      </c>
      <c r="B68" s="7" t="s">
        <v>70</v>
      </c>
      <c r="C68" s="7" t="s">
        <v>113</v>
      </c>
      <c r="D68" s="7" t="s">
        <v>72</v>
      </c>
      <c r="E68" s="7" t="s">
        <v>108</v>
      </c>
      <c r="F68" s="7" t="s">
        <v>74</v>
      </c>
      <c r="G68" s="7" t="s">
        <v>440</v>
      </c>
      <c r="H68" s="7" t="s">
        <v>74</v>
      </c>
      <c r="I68" s="7" t="s">
        <v>76</v>
      </c>
      <c r="J68" s="7" t="s">
        <v>77</v>
      </c>
      <c r="K68" s="7" t="s">
        <v>131</v>
      </c>
      <c r="L68" s="8" t="s">
        <v>79</v>
      </c>
      <c r="M68" s="8" t="s">
        <v>102</v>
      </c>
      <c r="N68" s="8" t="s">
        <v>79</v>
      </c>
      <c r="O68" s="8" t="s">
        <v>81</v>
      </c>
      <c r="P68" s="8" t="s">
        <v>79</v>
      </c>
      <c r="Q68" s="8" t="s">
        <v>83</v>
      </c>
      <c r="R68" s="8" t="s">
        <v>79</v>
      </c>
      <c r="S68" s="8" t="s">
        <v>79</v>
      </c>
      <c r="T68" s="8" t="s">
        <v>106</v>
      </c>
      <c r="U68" s="8" t="s">
        <v>120</v>
      </c>
      <c r="V68" s="8" t="s">
        <v>112</v>
      </c>
      <c r="W68" s="9">
        <v>2</v>
      </c>
      <c r="X68" s="9">
        <v>2</v>
      </c>
      <c r="Y68" s="9">
        <v>2</v>
      </c>
      <c r="Z68" s="9">
        <v>2</v>
      </c>
      <c r="AA68" s="9">
        <v>2</v>
      </c>
      <c r="AB68" s="9">
        <v>2</v>
      </c>
      <c r="AC68" s="9">
        <v>2</v>
      </c>
      <c r="AD68" s="9">
        <v>2</v>
      </c>
      <c r="AE68" s="9">
        <v>2</v>
      </c>
      <c r="AF68" s="9">
        <v>2</v>
      </c>
      <c r="AG68" s="9">
        <v>2</v>
      </c>
      <c r="AH68" s="9">
        <v>2</v>
      </c>
      <c r="AI68" s="9">
        <v>2</v>
      </c>
      <c r="AJ68" s="9">
        <v>2</v>
      </c>
      <c r="AK68" s="9">
        <v>2</v>
      </c>
      <c r="AL68" s="10">
        <v>2</v>
      </c>
      <c r="AM68" s="10">
        <v>2</v>
      </c>
      <c r="AN68" s="10">
        <v>2</v>
      </c>
      <c r="AO68" s="10">
        <v>2</v>
      </c>
      <c r="AP68" s="10">
        <v>2</v>
      </c>
      <c r="AQ68" s="10">
        <v>2</v>
      </c>
      <c r="AR68" s="10">
        <v>2</v>
      </c>
      <c r="AS68" s="11">
        <v>2</v>
      </c>
      <c r="AT68" s="11">
        <v>2</v>
      </c>
      <c r="AU68" s="11">
        <v>2</v>
      </c>
      <c r="AV68" s="11">
        <v>2</v>
      </c>
      <c r="AW68" s="11">
        <v>2</v>
      </c>
      <c r="AX68" s="11">
        <v>2</v>
      </c>
      <c r="AY68" s="7">
        <v>2</v>
      </c>
      <c r="AZ68" s="7">
        <v>2</v>
      </c>
      <c r="BA68" s="7">
        <v>2</v>
      </c>
      <c r="BB68" s="7">
        <v>2</v>
      </c>
      <c r="BC68" s="7">
        <v>2</v>
      </c>
      <c r="BD68" s="7">
        <v>2</v>
      </c>
      <c r="BE68" s="7">
        <v>2</v>
      </c>
      <c r="BF68" s="7">
        <v>2</v>
      </c>
      <c r="BG68" s="12">
        <f>SUM(data__22[[#This Row],[N1]:[N4]],data__22[[#This Row],[N10]:[N13]],data__22[[#This Row],[N16]:[N18]])/11</f>
        <v>2</v>
      </c>
      <c r="BH68" s="13">
        <f>SUM(data__22[[#This Row],[N8]:[N9]],data__22[[#This Row],[N23]:[N25]])/5</f>
        <v>2</v>
      </c>
      <c r="BI68" s="12">
        <f>SUM(data__22[[#This Row],[N5]:[N7]])/3</f>
        <v>2</v>
      </c>
      <c r="BJ68" s="12">
        <f>SUM(data__22[[#This Row],[N14]:[N15]],data__22[[#This Row],[N19]:[N22]],data__22[[#This Row],[N26]:[N28]])/9</f>
        <v>2</v>
      </c>
      <c r="BK68" s="12">
        <f>SUM(data__22[[#This Row],[N29]:[N33]])/5</f>
        <v>2</v>
      </c>
      <c r="BL68" s="12">
        <f>SUM(data__22[[#This Row],[N34]:[N36]])/3</f>
        <v>2</v>
      </c>
    </row>
    <row r="69" spans="1:64" x14ac:dyDescent="0.3">
      <c r="A69" s="7">
        <v>23</v>
      </c>
      <c r="B69" s="7" t="s">
        <v>70</v>
      </c>
      <c r="C69" s="7" t="s">
        <v>113</v>
      </c>
      <c r="D69" s="7" t="s">
        <v>72</v>
      </c>
      <c r="E69" s="7" t="s">
        <v>73</v>
      </c>
      <c r="F69" s="7" t="s">
        <v>74</v>
      </c>
      <c r="G69" s="7" t="s">
        <v>440</v>
      </c>
      <c r="H69" s="7" t="s">
        <v>74</v>
      </c>
      <c r="I69" s="7" t="s">
        <v>76</v>
      </c>
      <c r="J69" s="7" t="s">
        <v>101</v>
      </c>
      <c r="K69" s="7" t="s">
        <v>78</v>
      </c>
      <c r="L69" s="8" t="s">
        <v>79</v>
      </c>
      <c r="M69" s="8" t="s">
        <v>80</v>
      </c>
      <c r="N69" s="8" t="s">
        <v>79</v>
      </c>
      <c r="O69" s="8" t="s">
        <v>117</v>
      </c>
      <c r="P69" s="8" t="s">
        <v>79</v>
      </c>
      <c r="Q69" s="8" t="s">
        <v>83</v>
      </c>
      <c r="R69" s="8" t="s">
        <v>79</v>
      </c>
      <c r="S69" s="8" t="s">
        <v>79</v>
      </c>
      <c r="T69" s="8" t="s">
        <v>106</v>
      </c>
      <c r="U69" s="8" t="s">
        <v>141</v>
      </c>
      <c r="V69" s="8" t="s">
        <v>112</v>
      </c>
      <c r="W69" s="9">
        <v>2</v>
      </c>
      <c r="X69" s="9">
        <v>2</v>
      </c>
      <c r="Y69" s="9">
        <v>2</v>
      </c>
      <c r="Z69" s="9">
        <v>2</v>
      </c>
      <c r="AA69" s="9">
        <v>2</v>
      </c>
      <c r="AB69" s="9">
        <v>2</v>
      </c>
      <c r="AC69" s="9">
        <v>2</v>
      </c>
      <c r="AD69" s="9">
        <v>2</v>
      </c>
      <c r="AE69" s="9">
        <v>2</v>
      </c>
      <c r="AF69" s="9">
        <v>2</v>
      </c>
      <c r="AG69" s="9">
        <v>2</v>
      </c>
      <c r="AH69" s="9">
        <v>2</v>
      </c>
      <c r="AI69" s="9">
        <v>2</v>
      </c>
      <c r="AJ69" s="9">
        <v>2</v>
      </c>
      <c r="AK69" s="9">
        <v>2</v>
      </c>
      <c r="AL69" s="10">
        <v>2</v>
      </c>
      <c r="AM69" s="10">
        <v>2</v>
      </c>
      <c r="AN69" s="10">
        <v>2</v>
      </c>
      <c r="AO69" s="10">
        <v>2</v>
      </c>
      <c r="AP69" s="10">
        <v>2</v>
      </c>
      <c r="AQ69" s="10">
        <v>2</v>
      </c>
      <c r="AR69" s="10">
        <v>2</v>
      </c>
      <c r="AS69" s="11">
        <v>2</v>
      </c>
      <c r="AT69" s="11">
        <v>2</v>
      </c>
      <c r="AU69" s="11">
        <v>2</v>
      </c>
      <c r="AV69" s="11">
        <v>2</v>
      </c>
      <c r="AW69" s="11">
        <v>2</v>
      </c>
      <c r="AX69" s="11">
        <v>2</v>
      </c>
      <c r="AY69" s="7">
        <v>2</v>
      </c>
      <c r="AZ69" s="7">
        <v>2</v>
      </c>
      <c r="BA69" s="7">
        <v>2</v>
      </c>
      <c r="BB69" s="7">
        <v>2</v>
      </c>
      <c r="BC69" s="7">
        <v>2</v>
      </c>
      <c r="BD69" s="7">
        <v>2</v>
      </c>
      <c r="BE69" s="7">
        <v>2</v>
      </c>
      <c r="BF69" s="7">
        <v>2</v>
      </c>
      <c r="BG69" s="12">
        <f>SUM(data__22[[#This Row],[N1]:[N4]],data__22[[#This Row],[N10]:[N13]],data__22[[#This Row],[N16]:[N18]])/11</f>
        <v>2</v>
      </c>
      <c r="BH69" s="13">
        <f>SUM(data__22[[#This Row],[N8]:[N9]],data__22[[#This Row],[N23]:[N25]])/5</f>
        <v>2</v>
      </c>
      <c r="BI69" s="12">
        <f>SUM(data__22[[#This Row],[N5]:[N7]])/3</f>
        <v>2</v>
      </c>
      <c r="BJ69" s="12">
        <f>SUM(data__22[[#This Row],[N14]:[N15]],data__22[[#This Row],[N19]:[N22]],data__22[[#This Row],[N26]:[N28]])/9</f>
        <v>2</v>
      </c>
      <c r="BK69" s="12">
        <f>SUM(data__22[[#This Row],[N29]:[N33]])/5</f>
        <v>2</v>
      </c>
      <c r="BL69" s="12">
        <f>SUM(data__22[[#This Row],[N34]:[N36]])/3</f>
        <v>2</v>
      </c>
    </row>
    <row r="70" spans="1:64" x14ac:dyDescent="0.3">
      <c r="A70" s="7">
        <v>23</v>
      </c>
      <c r="B70" s="7" t="s">
        <v>70</v>
      </c>
      <c r="C70" s="7" t="s">
        <v>113</v>
      </c>
      <c r="D70" s="7" t="s">
        <v>97</v>
      </c>
      <c r="E70" s="7" t="s">
        <v>108</v>
      </c>
      <c r="F70" s="7" t="s">
        <v>74</v>
      </c>
      <c r="G70" s="7" t="s">
        <v>439</v>
      </c>
      <c r="H70" s="7" t="s">
        <v>136</v>
      </c>
      <c r="I70" s="7" t="s">
        <v>76</v>
      </c>
      <c r="J70" s="7" t="s">
        <v>101</v>
      </c>
      <c r="K70" s="7" t="s">
        <v>78</v>
      </c>
      <c r="L70" s="8" t="s">
        <v>79</v>
      </c>
      <c r="M70" s="8" t="s">
        <v>102</v>
      </c>
      <c r="N70" s="8" t="s">
        <v>79</v>
      </c>
      <c r="O70" s="8" t="s">
        <v>109</v>
      </c>
      <c r="P70" s="8" t="s">
        <v>82</v>
      </c>
      <c r="Q70" s="8" t="s">
        <v>83</v>
      </c>
      <c r="R70" s="8" t="s">
        <v>82</v>
      </c>
      <c r="S70" s="8" t="s">
        <v>79</v>
      </c>
      <c r="T70" s="8" t="s">
        <v>106</v>
      </c>
      <c r="U70" s="8" t="s">
        <v>141</v>
      </c>
      <c r="V70" s="8" t="s">
        <v>112</v>
      </c>
      <c r="W70" s="9">
        <v>0</v>
      </c>
      <c r="X70" s="9">
        <v>0</v>
      </c>
      <c r="Y70" s="9">
        <v>1</v>
      </c>
      <c r="Z70" s="9">
        <v>1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1</v>
      </c>
      <c r="AJ70" s="9">
        <v>1</v>
      </c>
      <c r="AK70" s="9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1</v>
      </c>
      <c r="AQ70" s="10">
        <v>1</v>
      </c>
      <c r="AR70" s="10">
        <v>1</v>
      </c>
      <c r="AS70" s="11">
        <v>0</v>
      </c>
      <c r="AT70" s="11">
        <v>0</v>
      </c>
      <c r="AU70" s="11">
        <v>0</v>
      </c>
      <c r="AV70" s="11">
        <v>0</v>
      </c>
      <c r="AW70" s="11">
        <v>1</v>
      </c>
      <c r="AX70" s="11">
        <v>1</v>
      </c>
      <c r="AY70" s="7">
        <v>1</v>
      </c>
      <c r="AZ70" s="7">
        <v>1</v>
      </c>
      <c r="BA70" s="7">
        <v>1</v>
      </c>
      <c r="BB70" s="7">
        <v>2</v>
      </c>
      <c r="BC70" s="7">
        <v>2</v>
      </c>
      <c r="BD70" s="7">
        <v>2</v>
      </c>
      <c r="BE70" s="7">
        <v>1</v>
      </c>
      <c r="BF70" s="7">
        <v>1</v>
      </c>
      <c r="BG70" s="12">
        <f>SUM(data__22[[#This Row],[N1]:[N4]],data__22[[#This Row],[N10]:[N13]],data__22[[#This Row],[N16]:[N18]])/11</f>
        <v>0.27272727272727271</v>
      </c>
      <c r="BH70" s="13">
        <f>SUM(data__22[[#This Row],[N8]:[N9]],data__22[[#This Row],[N23]:[N25]])/5</f>
        <v>0</v>
      </c>
      <c r="BI70" s="12">
        <f>SUM(data__22[[#This Row],[N5]:[N7]])/3</f>
        <v>0</v>
      </c>
      <c r="BJ70" s="12">
        <f>SUM(data__22[[#This Row],[N14]:[N15]],data__22[[#This Row],[N19]:[N22]],data__22[[#This Row],[N26]:[N28]])/9</f>
        <v>0.66666666666666663</v>
      </c>
      <c r="BK70" s="12">
        <f>SUM(data__22[[#This Row],[N29]:[N33]])/5</f>
        <v>1.4</v>
      </c>
      <c r="BL70" s="12">
        <f>SUM(data__22[[#This Row],[N34]:[N36]])/3</f>
        <v>1.3333333333333333</v>
      </c>
    </row>
    <row r="71" spans="1:64" x14ac:dyDescent="0.3">
      <c r="A71" s="7">
        <v>21</v>
      </c>
      <c r="B71" s="7" t="s">
        <v>70</v>
      </c>
      <c r="C71" s="7" t="s">
        <v>96</v>
      </c>
      <c r="D71" s="7" t="s">
        <v>72</v>
      </c>
      <c r="E71" s="7" t="s">
        <v>114</v>
      </c>
      <c r="F71" s="7" t="s">
        <v>98</v>
      </c>
      <c r="G71" s="7" t="s">
        <v>440</v>
      </c>
      <c r="H71" s="7" t="s">
        <v>98</v>
      </c>
      <c r="I71" s="7" t="s">
        <v>76</v>
      </c>
      <c r="J71" s="7" t="s">
        <v>101</v>
      </c>
      <c r="K71" s="7" t="s">
        <v>125</v>
      </c>
      <c r="L71" s="8" t="s">
        <v>79</v>
      </c>
      <c r="M71" s="8" t="s">
        <v>80</v>
      </c>
      <c r="N71" s="8" t="s">
        <v>79</v>
      </c>
      <c r="O71" s="8" t="s">
        <v>109</v>
      </c>
      <c r="P71" s="8" t="s">
        <v>79</v>
      </c>
      <c r="Q71" s="8" t="s">
        <v>83</v>
      </c>
      <c r="R71" s="8" t="s">
        <v>79</v>
      </c>
      <c r="S71" s="8" t="s">
        <v>79</v>
      </c>
      <c r="T71" s="8" t="s">
        <v>106</v>
      </c>
      <c r="U71" s="8" t="s">
        <v>141</v>
      </c>
      <c r="V71" s="8" t="s">
        <v>112</v>
      </c>
      <c r="W71" s="9">
        <v>3</v>
      </c>
      <c r="X71" s="9">
        <v>3</v>
      </c>
      <c r="Y71" s="9">
        <v>3</v>
      </c>
      <c r="Z71" s="9">
        <v>2</v>
      </c>
      <c r="AA71" s="9">
        <v>1</v>
      </c>
      <c r="AB71" s="9">
        <v>1</v>
      </c>
      <c r="AC71" s="9">
        <v>1</v>
      </c>
      <c r="AD71" s="9">
        <v>2</v>
      </c>
      <c r="AE71" s="9">
        <v>3</v>
      </c>
      <c r="AF71" s="9">
        <v>3</v>
      </c>
      <c r="AG71" s="9">
        <v>3</v>
      </c>
      <c r="AH71" s="9">
        <v>3</v>
      </c>
      <c r="AI71" s="9">
        <v>3</v>
      </c>
      <c r="AJ71" s="9">
        <v>3</v>
      </c>
      <c r="AK71" s="9">
        <v>3</v>
      </c>
      <c r="AL71" s="10">
        <v>2</v>
      </c>
      <c r="AM71" s="10">
        <v>2</v>
      </c>
      <c r="AN71" s="10">
        <v>1</v>
      </c>
      <c r="AO71" s="10">
        <v>2</v>
      </c>
      <c r="AP71" s="10">
        <v>2</v>
      </c>
      <c r="AQ71" s="10">
        <v>2</v>
      </c>
      <c r="AR71" s="10">
        <v>1</v>
      </c>
      <c r="AS71" s="11">
        <v>2</v>
      </c>
      <c r="AT71" s="11">
        <v>2</v>
      </c>
      <c r="AU71" s="11">
        <v>2</v>
      </c>
      <c r="AV71" s="11">
        <v>1</v>
      </c>
      <c r="AW71" s="11">
        <v>1</v>
      </c>
      <c r="AX71" s="11">
        <v>2</v>
      </c>
      <c r="AY71" s="7">
        <v>2</v>
      </c>
      <c r="AZ71" s="7">
        <v>2</v>
      </c>
      <c r="BA71" s="7">
        <v>2</v>
      </c>
      <c r="BB71" s="7">
        <v>2</v>
      </c>
      <c r="BC71" s="7">
        <v>2</v>
      </c>
      <c r="BD71" s="7">
        <v>2</v>
      </c>
      <c r="BE71" s="7">
        <v>2</v>
      </c>
      <c r="BF71" s="7">
        <v>1</v>
      </c>
      <c r="BG71" s="12">
        <f>SUM(data__22[[#This Row],[N1]:[N4]],data__22[[#This Row],[N10]:[N13]],data__22[[#This Row],[N16]:[N18]])/11</f>
        <v>2.5454545454545454</v>
      </c>
      <c r="BH71" s="13">
        <f>SUM(data__22[[#This Row],[N8]:[N9]],data__22[[#This Row],[N23]:[N25]])/5</f>
        <v>2.2000000000000002</v>
      </c>
      <c r="BI71" s="12">
        <f>SUM(data__22[[#This Row],[N5]:[N7]])/3</f>
        <v>1</v>
      </c>
      <c r="BJ71" s="12">
        <f>SUM(data__22[[#This Row],[N14]:[N15]],data__22[[#This Row],[N19]:[N22]],data__22[[#This Row],[N26]:[N28]])/9</f>
        <v>1.8888888888888888</v>
      </c>
      <c r="BK71" s="12">
        <f>SUM(data__22[[#This Row],[N29]:[N33]])/5</f>
        <v>2</v>
      </c>
      <c r="BL71" s="12">
        <f>SUM(data__22[[#This Row],[N34]:[N36]])/3</f>
        <v>1.6666666666666667</v>
      </c>
    </row>
    <row r="72" spans="1:64" x14ac:dyDescent="0.3">
      <c r="A72" s="7">
        <v>23</v>
      </c>
      <c r="B72" s="7" t="s">
        <v>70</v>
      </c>
      <c r="C72" s="7" t="s">
        <v>96</v>
      </c>
      <c r="D72" s="7" t="s">
        <v>97</v>
      </c>
      <c r="E72" s="7" t="s">
        <v>108</v>
      </c>
      <c r="F72" s="7" t="s">
        <v>98</v>
      </c>
      <c r="G72" s="7" t="s">
        <v>440</v>
      </c>
      <c r="H72" s="7" t="s">
        <v>98</v>
      </c>
      <c r="I72" s="7" t="s">
        <v>76</v>
      </c>
      <c r="J72" s="7" t="s">
        <v>77</v>
      </c>
      <c r="K72" s="7" t="s">
        <v>122</v>
      </c>
      <c r="L72" s="8" t="s">
        <v>82</v>
      </c>
      <c r="M72" s="8" t="s">
        <v>80</v>
      </c>
      <c r="N72" s="8" t="s">
        <v>82</v>
      </c>
      <c r="O72" s="8" t="s">
        <v>117</v>
      </c>
      <c r="P72" s="8" t="s">
        <v>82</v>
      </c>
      <c r="Q72" s="8" t="s">
        <v>118</v>
      </c>
      <c r="R72" s="8" t="s">
        <v>82</v>
      </c>
      <c r="S72" s="8" t="s">
        <v>82</v>
      </c>
      <c r="T72" s="8" t="s">
        <v>106</v>
      </c>
      <c r="U72" s="8" t="s">
        <v>120</v>
      </c>
      <c r="V72" s="8" t="s">
        <v>455</v>
      </c>
      <c r="W72" s="9">
        <v>0</v>
      </c>
      <c r="X72" s="9">
        <v>1</v>
      </c>
      <c r="Y72" s="9">
        <v>1</v>
      </c>
      <c r="Z72" s="9">
        <v>0</v>
      </c>
      <c r="AA72" s="9">
        <v>1</v>
      </c>
      <c r="AB72" s="9">
        <v>0</v>
      </c>
      <c r="AC72" s="9">
        <v>1</v>
      </c>
      <c r="AD72" s="9">
        <v>0</v>
      </c>
      <c r="AE72" s="9">
        <v>1</v>
      </c>
      <c r="AF72" s="9">
        <v>1</v>
      </c>
      <c r="AG72" s="9">
        <v>0</v>
      </c>
      <c r="AH72" s="9">
        <v>1</v>
      </c>
      <c r="AI72" s="9">
        <v>0</v>
      </c>
      <c r="AJ72" s="9">
        <v>0</v>
      </c>
      <c r="AK72" s="9">
        <v>1</v>
      </c>
      <c r="AL72" s="10">
        <v>0</v>
      </c>
      <c r="AM72" s="10">
        <v>1</v>
      </c>
      <c r="AN72" s="10">
        <v>1</v>
      </c>
      <c r="AO72" s="10">
        <v>0</v>
      </c>
      <c r="AP72" s="10">
        <v>1</v>
      </c>
      <c r="AQ72" s="10">
        <v>0</v>
      </c>
      <c r="AR72" s="10">
        <v>0</v>
      </c>
      <c r="AS72" s="11">
        <v>0</v>
      </c>
      <c r="AT72" s="11">
        <v>1</v>
      </c>
      <c r="AU72" s="11">
        <v>1</v>
      </c>
      <c r="AV72" s="11">
        <v>1</v>
      </c>
      <c r="AW72" s="11">
        <v>1</v>
      </c>
      <c r="AX72" s="11">
        <v>0</v>
      </c>
      <c r="AY72" s="7">
        <v>0</v>
      </c>
      <c r="AZ72" s="7">
        <v>1</v>
      </c>
      <c r="BA72" s="7">
        <v>1</v>
      </c>
      <c r="BB72" s="7">
        <v>1</v>
      </c>
      <c r="BC72" s="7">
        <v>0</v>
      </c>
      <c r="BD72" s="7">
        <v>0</v>
      </c>
      <c r="BE72" s="7">
        <v>1</v>
      </c>
      <c r="BF72" s="7"/>
      <c r="BG72" s="12">
        <f>SUM(data__22[[#This Row],[N1]:[N4]],data__22[[#This Row],[N10]:[N13]],data__22[[#This Row],[N16]:[N18]])/11</f>
        <v>0.54545454545454541</v>
      </c>
      <c r="BH72" s="13">
        <f>SUM(data__22[[#This Row],[N8]:[N9]],data__22[[#This Row],[N23]:[N25]])/5</f>
        <v>0.6</v>
      </c>
      <c r="BI72" s="12">
        <f>SUM(data__22[[#This Row],[N5]:[N7]])/3</f>
        <v>0.66666666666666663</v>
      </c>
      <c r="BJ72" s="12">
        <f>SUM(data__22[[#This Row],[N14]:[N15]],data__22[[#This Row],[N19]:[N22]],data__22[[#This Row],[N26]:[N28]])/9</f>
        <v>0.44444444444444442</v>
      </c>
      <c r="BK72" s="12">
        <f>SUM(data__22[[#This Row],[N29]:[N33]])/5</f>
        <v>0.6</v>
      </c>
      <c r="BL72" s="12">
        <f>SUM(data__22[[#This Row],[N34]:[N36]])/3</f>
        <v>0.33333333333333331</v>
      </c>
    </row>
    <row r="73" spans="1:64" x14ac:dyDescent="0.3">
      <c r="A73" s="7">
        <v>22</v>
      </c>
      <c r="B73" s="7" t="s">
        <v>70</v>
      </c>
      <c r="C73" s="7" t="s">
        <v>96</v>
      </c>
      <c r="D73" s="7" t="s">
        <v>97</v>
      </c>
      <c r="E73" s="7" t="s">
        <v>108</v>
      </c>
      <c r="F73" s="7" t="s">
        <v>74</v>
      </c>
      <c r="G73" s="7" t="s">
        <v>439</v>
      </c>
      <c r="H73" s="7" t="s">
        <v>74</v>
      </c>
      <c r="I73" s="7" t="s">
        <v>76</v>
      </c>
      <c r="J73" s="7" t="s">
        <v>77</v>
      </c>
      <c r="K73" s="7" t="s">
        <v>125</v>
      </c>
      <c r="L73" s="8" t="s">
        <v>79</v>
      </c>
      <c r="M73" s="8" t="s">
        <v>80</v>
      </c>
      <c r="N73" s="8" t="s">
        <v>79</v>
      </c>
      <c r="O73" s="8" t="s">
        <v>81</v>
      </c>
      <c r="P73" s="8" t="s">
        <v>82</v>
      </c>
      <c r="Q73" s="8" t="s">
        <v>103</v>
      </c>
      <c r="R73" s="8" t="s">
        <v>79</v>
      </c>
      <c r="S73" s="8" t="s">
        <v>79</v>
      </c>
      <c r="T73" s="8" t="s">
        <v>86</v>
      </c>
      <c r="U73" s="8" t="s">
        <v>87</v>
      </c>
      <c r="V73" s="8" t="s">
        <v>112</v>
      </c>
      <c r="W73" s="9">
        <v>1</v>
      </c>
      <c r="X73" s="9">
        <v>1</v>
      </c>
      <c r="Y73" s="9">
        <v>1</v>
      </c>
      <c r="Z73" s="9">
        <v>1</v>
      </c>
      <c r="AA73" s="9">
        <v>1</v>
      </c>
      <c r="AB73" s="9">
        <v>1</v>
      </c>
      <c r="AC73" s="9">
        <v>1</v>
      </c>
      <c r="AD73" s="9">
        <v>1</v>
      </c>
      <c r="AE73" s="9">
        <v>1</v>
      </c>
      <c r="AF73" s="9">
        <v>1</v>
      </c>
      <c r="AG73" s="9">
        <v>1</v>
      </c>
      <c r="AH73" s="9">
        <v>1</v>
      </c>
      <c r="AI73" s="9">
        <v>1</v>
      </c>
      <c r="AJ73" s="9">
        <v>1</v>
      </c>
      <c r="AK73" s="9">
        <v>1</v>
      </c>
      <c r="AL73" s="10">
        <v>1</v>
      </c>
      <c r="AM73" s="10">
        <v>1</v>
      </c>
      <c r="AN73" s="10">
        <v>1</v>
      </c>
      <c r="AO73" s="10">
        <v>1</v>
      </c>
      <c r="AP73" s="10">
        <v>1</v>
      </c>
      <c r="AQ73" s="10">
        <v>1</v>
      </c>
      <c r="AR73" s="10">
        <v>1</v>
      </c>
      <c r="AS73" s="11">
        <v>1</v>
      </c>
      <c r="AT73" s="11">
        <v>1</v>
      </c>
      <c r="AU73" s="11">
        <v>1</v>
      </c>
      <c r="AV73" s="11">
        <v>1</v>
      </c>
      <c r="AW73" s="11">
        <v>1</v>
      </c>
      <c r="AX73" s="11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12">
        <f>SUM(data__22[[#This Row],[N1]:[N4]],data__22[[#This Row],[N10]:[N13]],data__22[[#This Row],[N16]:[N18]])/11</f>
        <v>1</v>
      </c>
      <c r="BH73" s="13">
        <f>SUM(data__22[[#This Row],[N8]:[N9]],data__22[[#This Row],[N23]:[N25]])/5</f>
        <v>1</v>
      </c>
      <c r="BI73" s="12">
        <f>SUM(data__22[[#This Row],[N5]:[N7]])/3</f>
        <v>1</v>
      </c>
      <c r="BJ73" s="12">
        <f>SUM(data__22[[#This Row],[N14]:[N15]],data__22[[#This Row],[N19]:[N22]],data__22[[#This Row],[N26]:[N28]])/9</f>
        <v>1</v>
      </c>
      <c r="BK73" s="12">
        <f>SUM(data__22[[#This Row],[N29]:[N33]])/5</f>
        <v>1</v>
      </c>
      <c r="BL73" s="12">
        <f>SUM(data__22[[#This Row],[N34]:[N36]])/3</f>
        <v>1</v>
      </c>
    </row>
    <row r="74" spans="1:64" x14ac:dyDescent="0.3">
      <c r="A74" s="7">
        <v>22</v>
      </c>
      <c r="B74" s="7" t="s">
        <v>70</v>
      </c>
      <c r="C74" s="7" t="s">
        <v>157</v>
      </c>
      <c r="D74" s="7" t="s">
        <v>72</v>
      </c>
      <c r="E74" s="7" t="s">
        <v>114</v>
      </c>
      <c r="F74" s="7" t="s">
        <v>74</v>
      </c>
      <c r="G74" s="7" t="s">
        <v>439</v>
      </c>
      <c r="H74" s="7" t="s">
        <v>136</v>
      </c>
      <c r="I74" s="7" t="s">
        <v>439</v>
      </c>
      <c r="J74" s="7" t="s">
        <v>77</v>
      </c>
      <c r="K74" s="7" t="s">
        <v>125</v>
      </c>
      <c r="L74" s="8" t="s">
        <v>79</v>
      </c>
      <c r="M74" s="8" t="s">
        <v>80</v>
      </c>
      <c r="N74" s="8" t="s">
        <v>79</v>
      </c>
      <c r="O74" s="8" t="s">
        <v>109</v>
      </c>
      <c r="P74" s="8" t="s">
        <v>79</v>
      </c>
      <c r="Q74" s="8" t="s">
        <v>103</v>
      </c>
      <c r="R74" s="8" t="s">
        <v>79</v>
      </c>
      <c r="S74" s="8" t="s">
        <v>79</v>
      </c>
      <c r="T74" s="8" t="s">
        <v>86</v>
      </c>
      <c r="U74" s="8" t="s">
        <v>87</v>
      </c>
      <c r="V74" s="8" t="s">
        <v>127</v>
      </c>
      <c r="W74" s="9">
        <v>3</v>
      </c>
      <c r="X74" s="9">
        <v>2</v>
      </c>
      <c r="Y74" s="9">
        <v>1</v>
      </c>
      <c r="Z74" s="9">
        <v>3</v>
      </c>
      <c r="AA74" s="9">
        <v>3</v>
      </c>
      <c r="AB74" s="9">
        <v>3</v>
      </c>
      <c r="AC74" s="9">
        <v>2</v>
      </c>
      <c r="AD74" s="9">
        <v>2</v>
      </c>
      <c r="AE74" s="9">
        <v>2</v>
      </c>
      <c r="AF74" s="9">
        <v>1</v>
      </c>
      <c r="AG74" s="9">
        <v>3</v>
      </c>
      <c r="AH74" s="9">
        <v>3</v>
      </c>
      <c r="AI74" s="9">
        <v>3</v>
      </c>
      <c r="AJ74" s="9">
        <v>1</v>
      </c>
      <c r="AK74" s="9">
        <v>3</v>
      </c>
      <c r="AL74" s="10">
        <v>3</v>
      </c>
      <c r="AM74" s="10">
        <v>3</v>
      </c>
      <c r="AN74" s="10">
        <v>3</v>
      </c>
      <c r="AO74" s="10">
        <v>2</v>
      </c>
      <c r="AP74" s="10">
        <v>2</v>
      </c>
      <c r="AQ74" s="10">
        <v>0</v>
      </c>
      <c r="AR74" s="10">
        <v>0</v>
      </c>
      <c r="AS74" s="11">
        <v>2</v>
      </c>
      <c r="AT74" s="11">
        <v>3</v>
      </c>
      <c r="AU74" s="11">
        <v>2</v>
      </c>
      <c r="AV74" s="11">
        <v>2</v>
      </c>
      <c r="AW74" s="11">
        <v>1</v>
      </c>
      <c r="AX74" s="11">
        <v>0</v>
      </c>
      <c r="AY74" s="7">
        <v>2</v>
      </c>
      <c r="AZ74" s="7">
        <v>0</v>
      </c>
      <c r="BA74" s="7">
        <v>3</v>
      </c>
      <c r="BB74" s="7">
        <v>3</v>
      </c>
      <c r="BC74" s="7">
        <v>3</v>
      </c>
      <c r="BD74" s="7">
        <v>1</v>
      </c>
      <c r="BE74" s="7">
        <v>0</v>
      </c>
      <c r="BF74" s="7">
        <v>0</v>
      </c>
      <c r="BG74" s="12">
        <f>SUM(data__22[[#This Row],[N1]:[N4]],data__22[[#This Row],[N10]:[N13]],data__22[[#This Row],[N16]:[N18]])/11</f>
        <v>2.5454545454545454</v>
      </c>
      <c r="BH74" s="13">
        <f>SUM(data__22[[#This Row],[N8]:[N9]],data__22[[#This Row],[N23]:[N25]])/5</f>
        <v>2.2000000000000002</v>
      </c>
      <c r="BI74" s="12">
        <f>SUM(data__22[[#This Row],[N5]:[N7]])/3</f>
        <v>2.6666666666666665</v>
      </c>
      <c r="BJ74" s="12">
        <f>SUM(data__22[[#This Row],[N14]:[N15]],data__22[[#This Row],[N19]:[N22]],data__22[[#This Row],[N26]:[N28]])/9</f>
        <v>1.2222222222222223</v>
      </c>
      <c r="BK74" s="12">
        <f>SUM(data__22[[#This Row],[N29]:[N33]])/5</f>
        <v>2.2000000000000002</v>
      </c>
      <c r="BL74" s="12">
        <f>SUM(data__22[[#This Row],[N34]:[N36]])/3</f>
        <v>0.33333333333333331</v>
      </c>
    </row>
    <row r="75" spans="1:64" x14ac:dyDescent="0.3">
      <c r="A75" s="7">
        <v>21</v>
      </c>
      <c r="B75" s="7" t="s">
        <v>70</v>
      </c>
      <c r="C75" s="7" t="s">
        <v>157</v>
      </c>
      <c r="D75" s="7" t="s">
        <v>97</v>
      </c>
      <c r="E75" s="7" t="s">
        <v>114</v>
      </c>
      <c r="F75" s="7" t="s">
        <v>136</v>
      </c>
      <c r="G75" s="7" t="s">
        <v>439</v>
      </c>
      <c r="H75" s="7" t="s">
        <v>136</v>
      </c>
      <c r="I75" s="7" t="s">
        <v>76</v>
      </c>
      <c r="J75" s="7" t="s">
        <v>77</v>
      </c>
      <c r="K75" s="7" t="s">
        <v>122</v>
      </c>
      <c r="L75" s="8" t="s">
        <v>79</v>
      </c>
      <c r="M75" s="8" t="s">
        <v>80</v>
      </c>
      <c r="N75" s="8" t="s">
        <v>79</v>
      </c>
      <c r="O75" s="8" t="s">
        <v>81</v>
      </c>
      <c r="P75" s="8" t="s">
        <v>82</v>
      </c>
      <c r="Q75" s="8" t="s">
        <v>103</v>
      </c>
      <c r="R75" s="8" t="s">
        <v>82</v>
      </c>
      <c r="S75" s="8" t="s">
        <v>82</v>
      </c>
      <c r="T75" s="8" t="s">
        <v>106</v>
      </c>
      <c r="U75" s="8" t="s">
        <v>87</v>
      </c>
      <c r="V75" s="8" t="s">
        <v>112</v>
      </c>
      <c r="W75" s="9">
        <v>3</v>
      </c>
      <c r="X75" s="9">
        <v>3</v>
      </c>
      <c r="Y75" s="9">
        <v>3</v>
      </c>
      <c r="Z75" s="9">
        <v>3</v>
      </c>
      <c r="AA75" s="9">
        <v>3</v>
      </c>
      <c r="AB75" s="9">
        <v>3</v>
      </c>
      <c r="AC75" s="9">
        <v>1</v>
      </c>
      <c r="AD75" s="9">
        <v>3</v>
      </c>
      <c r="AE75" s="9">
        <v>3</v>
      </c>
      <c r="AF75" s="9">
        <v>3</v>
      </c>
      <c r="AG75" s="9">
        <v>3</v>
      </c>
      <c r="AH75" s="9">
        <v>3</v>
      </c>
      <c r="AI75" s="9">
        <v>3</v>
      </c>
      <c r="AJ75" s="9">
        <v>1</v>
      </c>
      <c r="AK75" s="9">
        <v>1</v>
      </c>
      <c r="AL75" s="10">
        <v>3</v>
      </c>
      <c r="AM75" s="10">
        <v>3</v>
      </c>
      <c r="AN75" s="10">
        <v>3</v>
      </c>
      <c r="AO75" s="10">
        <v>0</v>
      </c>
      <c r="AP75" s="10">
        <v>0</v>
      </c>
      <c r="AQ75" s="10">
        <v>0</v>
      </c>
      <c r="AR75" s="10">
        <v>0</v>
      </c>
      <c r="AS75" s="11">
        <v>3</v>
      </c>
      <c r="AT75" s="11">
        <v>2</v>
      </c>
      <c r="AU75" s="11">
        <v>2</v>
      </c>
      <c r="AV75" s="11">
        <v>1</v>
      </c>
      <c r="AW75" s="11">
        <v>1</v>
      </c>
      <c r="AX75" s="11">
        <v>0</v>
      </c>
      <c r="AY75" s="7">
        <v>3</v>
      </c>
      <c r="AZ75" s="7">
        <v>3</v>
      </c>
      <c r="BA75" s="7">
        <v>3</v>
      </c>
      <c r="BB75" s="7">
        <v>3</v>
      </c>
      <c r="BC75" s="7">
        <v>3</v>
      </c>
      <c r="BD75" s="7">
        <v>3</v>
      </c>
      <c r="BE75" s="7">
        <v>0</v>
      </c>
      <c r="BF75" s="7">
        <v>2</v>
      </c>
      <c r="BG75" s="12">
        <f>SUM(data__22[[#This Row],[N1]:[N4]],data__22[[#This Row],[N10]:[N13]],data__22[[#This Row],[N16]:[N18]])/11</f>
        <v>3</v>
      </c>
      <c r="BH75" s="13">
        <f>SUM(data__22[[#This Row],[N8]:[N9]],data__22[[#This Row],[N23]:[N25]])/5</f>
        <v>2.6</v>
      </c>
      <c r="BI75" s="12">
        <f>SUM(data__22[[#This Row],[N5]:[N7]])/3</f>
        <v>2.3333333333333335</v>
      </c>
      <c r="BJ75" s="12">
        <f>SUM(data__22[[#This Row],[N14]:[N15]],data__22[[#This Row],[N19]:[N22]],data__22[[#This Row],[N26]:[N28]])/9</f>
        <v>0.44444444444444442</v>
      </c>
      <c r="BK75" s="12">
        <f>SUM(data__22[[#This Row],[N29]:[N33]])/5</f>
        <v>3</v>
      </c>
      <c r="BL75" s="12">
        <f>SUM(data__22[[#This Row],[N34]:[N36]])/3</f>
        <v>1.6666666666666667</v>
      </c>
    </row>
    <row r="76" spans="1:64" x14ac:dyDescent="0.3">
      <c r="A76" s="7">
        <v>23</v>
      </c>
      <c r="B76" s="7" t="s">
        <v>70</v>
      </c>
      <c r="C76" s="7" t="s">
        <v>113</v>
      </c>
      <c r="D76" s="7" t="s">
        <v>149</v>
      </c>
      <c r="E76" s="7" t="s">
        <v>73</v>
      </c>
      <c r="F76" s="7" t="s">
        <v>98</v>
      </c>
      <c r="G76" s="7" t="s">
        <v>440</v>
      </c>
      <c r="H76" s="7" t="s">
        <v>98</v>
      </c>
      <c r="I76" s="7" t="s">
        <v>76</v>
      </c>
      <c r="J76" s="7" t="s">
        <v>77</v>
      </c>
      <c r="K76" s="7" t="s">
        <v>78</v>
      </c>
      <c r="L76" s="8" t="s">
        <v>79</v>
      </c>
      <c r="M76" s="8" t="s">
        <v>80</v>
      </c>
      <c r="N76" s="8" t="s">
        <v>79</v>
      </c>
      <c r="O76" s="8" t="s">
        <v>138</v>
      </c>
      <c r="P76" s="8" t="s">
        <v>79</v>
      </c>
      <c r="Q76" s="8" t="s">
        <v>103</v>
      </c>
      <c r="R76" s="8" t="s">
        <v>79</v>
      </c>
      <c r="S76" s="8" t="s">
        <v>79</v>
      </c>
      <c r="T76" s="8" t="s">
        <v>86</v>
      </c>
      <c r="U76" s="8" t="s">
        <v>141</v>
      </c>
      <c r="V76" s="8" t="s">
        <v>455</v>
      </c>
      <c r="W76" s="9">
        <v>1</v>
      </c>
      <c r="X76" s="9">
        <v>2</v>
      </c>
      <c r="Y76" s="9">
        <v>1</v>
      </c>
      <c r="Z76" s="9">
        <v>1</v>
      </c>
      <c r="AA76" s="9">
        <v>1</v>
      </c>
      <c r="AB76" s="9">
        <v>2</v>
      </c>
      <c r="AC76" s="9">
        <v>2</v>
      </c>
      <c r="AD76" s="9">
        <v>1</v>
      </c>
      <c r="AE76" s="9">
        <v>2</v>
      </c>
      <c r="AF76" s="9">
        <v>2</v>
      </c>
      <c r="AG76" s="9">
        <v>2</v>
      </c>
      <c r="AH76" s="9">
        <v>1</v>
      </c>
      <c r="AI76" s="9">
        <v>2</v>
      </c>
      <c r="AJ76" s="9">
        <v>1</v>
      </c>
      <c r="AK76" s="9">
        <v>2</v>
      </c>
      <c r="AL76" s="10">
        <v>1</v>
      </c>
      <c r="AM76" s="10">
        <v>1</v>
      </c>
      <c r="AN76" s="10">
        <v>1</v>
      </c>
      <c r="AO76" s="10">
        <v>1</v>
      </c>
      <c r="AP76" s="10">
        <v>2</v>
      </c>
      <c r="AQ76" s="10">
        <v>2</v>
      </c>
      <c r="AR76" s="10">
        <v>1</v>
      </c>
      <c r="AS76" s="11">
        <v>1</v>
      </c>
      <c r="AT76" s="11">
        <v>2</v>
      </c>
      <c r="AU76" s="11">
        <v>2</v>
      </c>
      <c r="AV76" s="11">
        <v>1</v>
      </c>
      <c r="AW76" s="11">
        <v>1</v>
      </c>
      <c r="AX76" s="11">
        <v>1</v>
      </c>
      <c r="AY76" s="7">
        <v>3</v>
      </c>
      <c r="AZ76" s="7">
        <v>2</v>
      </c>
      <c r="BA76" s="7">
        <v>2</v>
      </c>
      <c r="BB76" s="7">
        <v>2</v>
      </c>
      <c r="BC76" s="7">
        <v>2</v>
      </c>
      <c r="BD76" s="7">
        <v>2</v>
      </c>
      <c r="BE76" s="7">
        <v>2</v>
      </c>
      <c r="BF76" s="7">
        <v>2</v>
      </c>
      <c r="BG76" s="12">
        <f>SUM(data__22[[#This Row],[N1]:[N4]],data__22[[#This Row],[N10]:[N13]],data__22[[#This Row],[N16]:[N18]])/11</f>
        <v>1.3636363636363635</v>
      </c>
      <c r="BH76" s="13">
        <f>SUM(data__22[[#This Row],[N8]:[N9]],data__22[[#This Row],[N23]:[N25]])/5</f>
        <v>1.6</v>
      </c>
      <c r="BI76" s="12">
        <f>SUM(data__22[[#This Row],[N5]:[N7]])/3</f>
        <v>1.6666666666666667</v>
      </c>
      <c r="BJ76" s="12">
        <f>SUM(data__22[[#This Row],[N14]:[N15]],data__22[[#This Row],[N19]:[N22]],data__22[[#This Row],[N26]:[N28]])/9</f>
        <v>1.3333333333333333</v>
      </c>
      <c r="BK76" s="12">
        <f>SUM(data__22[[#This Row],[N29]:[N33]])/5</f>
        <v>2.2000000000000002</v>
      </c>
      <c r="BL76" s="12">
        <f>SUM(data__22[[#This Row],[N34]:[N36]])/3</f>
        <v>2</v>
      </c>
    </row>
    <row r="77" spans="1:64" x14ac:dyDescent="0.3">
      <c r="A77" s="7">
        <v>19</v>
      </c>
      <c r="B77" s="7" t="s">
        <v>70</v>
      </c>
      <c r="C77" s="7" t="s">
        <v>157</v>
      </c>
      <c r="D77" s="7" t="s">
        <v>97</v>
      </c>
      <c r="E77" s="7" t="s">
        <v>114</v>
      </c>
      <c r="F77" s="7" t="s">
        <v>74</v>
      </c>
      <c r="G77" s="7" t="s">
        <v>440</v>
      </c>
      <c r="H77" s="7" t="s">
        <v>74</v>
      </c>
      <c r="I77" s="7" t="s">
        <v>76</v>
      </c>
      <c r="J77" s="7" t="s">
        <v>77</v>
      </c>
      <c r="K77" s="7" t="s">
        <v>125</v>
      </c>
      <c r="L77" s="8" t="s">
        <v>79</v>
      </c>
      <c r="M77" s="8" t="s">
        <v>80</v>
      </c>
      <c r="N77" s="8" t="s">
        <v>79</v>
      </c>
      <c r="O77" s="8" t="s">
        <v>81</v>
      </c>
      <c r="P77" s="8" t="s">
        <v>82</v>
      </c>
      <c r="Q77" s="8" t="s">
        <v>83</v>
      </c>
      <c r="R77" s="8" t="s">
        <v>82</v>
      </c>
      <c r="S77" s="8" t="s">
        <v>82</v>
      </c>
      <c r="T77" s="8" t="s">
        <v>106</v>
      </c>
      <c r="U77" s="8" t="s">
        <v>87</v>
      </c>
      <c r="V77" s="8" t="s">
        <v>112</v>
      </c>
      <c r="W77" s="9">
        <v>2</v>
      </c>
      <c r="X77" s="9">
        <v>2</v>
      </c>
      <c r="Y77" s="9">
        <v>2</v>
      </c>
      <c r="Z77" s="9">
        <v>2</v>
      </c>
      <c r="AA77" s="9">
        <v>3</v>
      </c>
      <c r="AB77" s="9">
        <v>3</v>
      </c>
      <c r="AC77" s="9">
        <v>0</v>
      </c>
      <c r="AD77" s="9">
        <v>2</v>
      </c>
      <c r="AE77" s="9">
        <v>2</v>
      </c>
      <c r="AF77" s="9">
        <v>2</v>
      </c>
      <c r="AG77" s="9">
        <v>3</v>
      </c>
      <c r="AH77" s="9">
        <v>2</v>
      </c>
      <c r="AI77" s="9">
        <v>2</v>
      </c>
      <c r="AJ77" s="9">
        <v>0</v>
      </c>
      <c r="AK77" s="9">
        <v>0</v>
      </c>
      <c r="AL77" s="10">
        <v>2</v>
      </c>
      <c r="AM77" s="10">
        <v>2</v>
      </c>
      <c r="AN77" s="10">
        <v>2</v>
      </c>
      <c r="AO77" s="10">
        <v>0</v>
      </c>
      <c r="AP77" s="10">
        <v>0</v>
      </c>
      <c r="AQ77" s="10">
        <v>0</v>
      </c>
      <c r="AR77" s="10">
        <v>0</v>
      </c>
      <c r="AS77" s="11">
        <v>1</v>
      </c>
      <c r="AT77" s="11">
        <v>1</v>
      </c>
      <c r="AU77" s="11">
        <v>1</v>
      </c>
      <c r="AV77" s="11">
        <v>1</v>
      </c>
      <c r="AW77" s="11">
        <v>0</v>
      </c>
      <c r="AX77" s="11">
        <v>0</v>
      </c>
      <c r="AY77" s="7"/>
      <c r="AZ77" s="7"/>
      <c r="BA77" s="7"/>
      <c r="BB77" s="7"/>
      <c r="BC77" s="7"/>
      <c r="BD77" s="7"/>
      <c r="BE77" s="7"/>
      <c r="BF77" s="7"/>
      <c r="BG77" s="12">
        <f>SUM(data__22[[#This Row],[N1]:[N4]],data__22[[#This Row],[N10]:[N13]],data__22[[#This Row],[N16]:[N18]])/11</f>
        <v>2.0909090909090908</v>
      </c>
      <c r="BH77" s="13">
        <f>SUM(data__22[[#This Row],[N8]:[N9]],data__22[[#This Row],[N23]:[N25]])/5</f>
        <v>1.4</v>
      </c>
      <c r="BI77" s="12">
        <f>SUM(data__22[[#This Row],[N5]:[N7]])/3</f>
        <v>2</v>
      </c>
      <c r="BJ77" s="12">
        <f>SUM(data__22[[#This Row],[N14]:[N15]],data__22[[#This Row],[N19]:[N22]],data__22[[#This Row],[N26]:[N28]])/9</f>
        <v>0.1111111111111111</v>
      </c>
      <c r="BK77" s="12">
        <f>SUM(data__22[[#This Row],[N29]:[N33]])/5</f>
        <v>0</v>
      </c>
      <c r="BL77" s="12">
        <f>SUM(data__22[[#This Row],[N34]:[N36]])/3</f>
        <v>0</v>
      </c>
    </row>
    <row r="78" spans="1:64" x14ac:dyDescent="0.3">
      <c r="A78" s="7">
        <v>22</v>
      </c>
      <c r="B78" s="7" t="s">
        <v>70</v>
      </c>
      <c r="C78" s="7" t="s">
        <v>113</v>
      </c>
      <c r="D78" s="7" t="s">
        <v>72</v>
      </c>
      <c r="E78" s="7" t="s">
        <v>114</v>
      </c>
      <c r="F78" s="7" t="s">
        <v>74</v>
      </c>
      <c r="G78" s="7" t="s">
        <v>439</v>
      </c>
      <c r="H78" s="7" t="s">
        <v>74</v>
      </c>
      <c r="I78" s="7" t="s">
        <v>76</v>
      </c>
      <c r="J78" s="7" t="s">
        <v>77</v>
      </c>
      <c r="K78" s="7" t="s">
        <v>122</v>
      </c>
      <c r="L78" s="8" t="s">
        <v>79</v>
      </c>
      <c r="M78" s="8" t="s">
        <v>80</v>
      </c>
      <c r="N78" s="8" t="s">
        <v>79</v>
      </c>
      <c r="O78" s="8" t="s">
        <v>138</v>
      </c>
      <c r="P78" s="8" t="s">
        <v>82</v>
      </c>
      <c r="Q78" s="8" t="s">
        <v>103</v>
      </c>
      <c r="R78" s="8" t="s">
        <v>79</v>
      </c>
      <c r="S78" s="8" t="s">
        <v>79</v>
      </c>
      <c r="T78" s="8" t="s">
        <v>86</v>
      </c>
      <c r="U78" s="8" t="s">
        <v>141</v>
      </c>
      <c r="V78" s="8" t="s">
        <v>112</v>
      </c>
      <c r="W78" s="9">
        <v>3</v>
      </c>
      <c r="X78" s="9">
        <v>1</v>
      </c>
      <c r="Y78" s="9">
        <v>2</v>
      </c>
      <c r="Z78" s="9">
        <v>2</v>
      </c>
      <c r="AA78" s="9">
        <v>2</v>
      </c>
      <c r="AB78" s="9">
        <v>1</v>
      </c>
      <c r="AC78" s="9">
        <v>1</v>
      </c>
      <c r="AD78" s="9">
        <v>2</v>
      </c>
      <c r="AE78" s="9">
        <v>1</v>
      </c>
      <c r="AF78" s="9">
        <v>3</v>
      </c>
      <c r="AG78" s="9">
        <v>3</v>
      </c>
      <c r="AH78" s="9">
        <v>3</v>
      </c>
      <c r="AI78" s="9">
        <v>2</v>
      </c>
      <c r="AJ78" s="9">
        <v>1</v>
      </c>
      <c r="AK78" s="9">
        <v>1</v>
      </c>
      <c r="AL78" s="10">
        <v>3</v>
      </c>
      <c r="AM78" s="10">
        <v>3</v>
      </c>
      <c r="AN78" s="10">
        <v>2</v>
      </c>
      <c r="AO78" s="10">
        <v>1</v>
      </c>
      <c r="AP78" s="10">
        <v>1</v>
      </c>
      <c r="AQ78" s="10">
        <v>1</v>
      </c>
      <c r="AR78" s="10">
        <v>1</v>
      </c>
      <c r="AS78" s="11">
        <v>2</v>
      </c>
      <c r="AT78" s="11">
        <v>2</v>
      </c>
      <c r="AU78" s="11">
        <v>2</v>
      </c>
      <c r="AV78" s="11">
        <v>1</v>
      </c>
      <c r="AW78" s="11">
        <v>1</v>
      </c>
      <c r="AX78" s="11">
        <v>1</v>
      </c>
      <c r="AY78" s="7">
        <v>3</v>
      </c>
      <c r="AZ78" s="7">
        <v>3</v>
      </c>
      <c r="BA78" s="7">
        <v>3</v>
      </c>
      <c r="BB78" s="7">
        <v>3</v>
      </c>
      <c r="BC78" s="7">
        <v>3</v>
      </c>
      <c r="BD78" s="7">
        <v>1</v>
      </c>
      <c r="BE78" s="7">
        <v>0</v>
      </c>
      <c r="BF78" s="7">
        <v>1</v>
      </c>
      <c r="BG78" s="12">
        <f>SUM(data__22[[#This Row],[N1]:[N4]],data__22[[#This Row],[N10]:[N13]],data__22[[#This Row],[N16]:[N18]])/11</f>
        <v>2.4545454545454546</v>
      </c>
      <c r="BH78" s="13">
        <f>SUM(data__22[[#This Row],[N8]:[N9]],data__22[[#This Row],[N23]:[N25]])/5</f>
        <v>1.8</v>
      </c>
      <c r="BI78" s="12">
        <f>SUM(data__22[[#This Row],[N5]:[N7]])/3</f>
        <v>1.3333333333333333</v>
      </c>
      <c r="BJ78" s="12">
        <f>SUM(data__22[[#This Row],[N14]:[N15]],data__22[[#This Row],[N19]:[N22]],data__22[[#This Row],[N26]:[N28]])/9</f>
        <v>1</v>
      </c>
      <c r="BK78" s="12">
        <f>SUM(data__22[[#This Row],[N29]:[N33]])/5</f>
        <v>3</v>
      </c>
      <c r="BL78" s="12">
        <f>SUM(data__22[[#This Row],[N34]:[N36]])/3</f>
        <v>0.66666666666666663</v>
      </c>
    </row>
    <row r="79" spans="1:64" x14ac:dyDescent="0.3">
      <c r="A79" s="7">
        <v>21</v>
      </c>
      <c r="B79" s="7" t="s">
        <v>128</v>
      </c>
      <c r="C79" s="7" t="s">
        <v>96</v>
      </c>
      <c r="D79" s="7" t="s">
        <v>72</v>
      </c>
      <c r="E79" s="7" t="s">
        <v>108</v>
      </c>
      <c r="F79" s="7" t="s">
        <v>74</v>
      </c>
      <c r="G79" s="7" t="s">
        <v>439</v>
      </c>
      <c r="H79" s="7" t="s">
        <v>74</v>
      </c>
      <c r="I79" s="7" t="s">
        <v>439</v>
      </c>
      <c r="J79" s="7" t="s">
        <v>77</v>
      </c>
      <c r="K79" s="7" t="s">
        <v>131</v>
      </c>
      <c r="L79" s="8" t="s">
        <v>79</v>
      </c>
      <c r="M79" s="8" t="s">
        <v>80</v>
      </c>
      <c r="N79" s="8" t="s">
        <v>79</v>
      </c>
      <c r="O79" s="8" t="s">
        <v>117</v>
      </c>
      <c r="P79" s="8" t="s">
        <v>82</v>
      </c>
      <c r="Q79" s="8" t="s">
        <v>103</v>
      </c>
      <c r="R79" s="8" t="s">
        <v>82</v>
      </c>
      <c r="S79" s="8" t="s">
        <v>82</v>
      </c>
      <c r="T79" s="8" t="s">
        <v>106</v>
      </c>
      <c r="U79" s="8" t="s">
        <v>141</v>
      </c>
      <c r="V79" s="8" t="s">
        <v>112</v>
      </c>
      <c r="W79" s="9">
        <v>0</v>
      </c>
      <c r="X79" s="9">
        <v>3</v>
      </c>
      <c r="Y79" s="9">
        <v>1</v>
      </c>
      <c r="Z79" s="9">
        <v>2</v>
      </c>
      <c r="AA79" s="9">
        <v>1</v>
      </c>
      <c r="AB79" s="9">
        <v>2</v>
      </c>
      <c r="AC79" s="9">
        <v>2</v>
      </c>
      <c r="AD79" s="9">
        <v>3</v>
      </c>
      <c r="AE79" s="9">
        <v>1</v>
      </c>
      <c r="AF79" s="9">
        <v>0</v>
      </c>
      <c r="AG79" s="9">
        <v>0</v>
      </c>
      <c r="AH79" s="9">
        <v>0</v>
      </c>
      <c r="AI79" s="9">
        <v>0</v>
      </c>
      <c r="AJ79" s="9">
        <v>1</v>
      </c>
      <c r="AK79" s="9">
        <v>3</v>
      </c>
      <c r="AL79" s="10">
        <v>3</v>
      </c>
      <c r="AM79" s="10">
        <v>3</v>
      </c>
      <c r="AN79" s="10">
        <v>3</v>
      </c>
      <c r="AO79" s="10">
        <v>0</v>
      </c>
      <c r="AP79" s="10">
        <v>0</v>
      </c>
      <c r="AQ79" s="10">
        <v>0</v>
      </c>
      <c r="AR79" s="10">
        <v>1</v>
      </c>
      <c r="AS79" s="11">
        <v>1</v>
      </c>
      <c r="AT79" s="11">
        <v>1</v>
      </c>
      <c r="AU79" s="11">
        <v>0</v>
      </c>
      <c r="AV79" s="11">
        <v>3</v>
      </c>
      <c r="AW79" s="11">
        <v>2</v>
      </c>
      <c r="AX79" s="11">
        <v>0</v>
      </c>
      <c r="AY79" s="7">
        <v>3</v>
      </c>
      <c r="AZ79" s="7">
        <v>3</v>
      </c>
      <c r="BA79" s="7">
        <v>3</v>
      </c>
      <c r="BB79" s="7">
        <v>3</v>
      </c>
      <c r="BC79" s="7">
        <v>3</v>
      </c>
      <c r="BD79" s="7">
        <v>0</v>
      </c>
      <c r="BE79" s="7">
        <v>2</v>
      </c>
      <c r="BF79" s="7">
        <v>0</v>
      </c>
      <c r="BG79" s="12">
        <f>SUM(data__22[[#This Row],[N1]:[N4]],data__22[[#This Row],[N10]:[N13]],data__22[[#This Row],[N16]:[N18]])/11</f>
        <v>1.3636363636363635</v>
      </c>
      <c r="BH79" s="13">
        <f>SUM(data__22[[#This Row],[N8]:[N9]],data__22[[#This Row],[N23]:[N25]])/5</f>
        <v>1.2</v>
      </c>
      <c r="BI79" s="12">
        <f>SUM(data__22[[#This Row],[N5]:[N7]])/3</f>
        <v>1.6666666666666667</v>
      </c>
      <c r="BJ79" s="12">
        <f>SUM(data__22[[#This Row],[N14]:[N15]],data__22[[#This Row],[N19]:[N22]],data__22[[#This Row],[N26]:[N28]])/9</f>
        <v>1.1111111111111112</v>
      </c>
      <c r="BK79" s="12">
        <f>SUM(data__22[[#This Row],[N29]:[N33]])/5</f>
        <v>3</v>
      </c>
      <c r="BL79" s="12">
        <f>SUM(data__22[[#This Row],[N34]:[N36]])/3</f>
        <v>0.66666666666666663</v>
      </c>
    </row>
    <row r="80" spans="1:64" x14ac:dyDescent="0.3">
      <c r="A80" s="7">
        <v>22</v>
      </c>
      <c r="B80" s="7" t="s">
        <v>70</v>
      </c>
      <c r="C80" s="7" t="s">
        <v>96</v>
      </c>
      <c r="D80" s="7" t="s">
        <v>72</v>
      </c>
      <c r="E80" s="7" t="s">
        <v>108</v>
      </c>
      <c r="F80" s="7" t="s">
        <v>74</v>
      </c>
      <c r="G80" s="7" t="s">
        <v>99</v>
      </c>
      <c r="H80" s="7" t="s">
        <v>74</v>
      </c>
      <c r="I80" s="7" t="s">
        <v>76</v>
      </c>
      <c r="J80" s="7" t="s">
        <v>77</v>
      </c>
      <c r="K80" s="7" t="s">
        <v>78</v>
      </c>
      <c r="L80" s="8" t="s">
        <v>79</v>
      </c>
      <c r="M80" s="8" t="s">
        <v>102</v>
      </c>
      <c r="N80" s="8" t="s">
        <v>82</v>
      </c>
      <c r="O80" s="8" t="s">
        <v>138</v>
      </c>
      <c r="P80" s="8" t="s">
        <v>79</v>
      </c>
      <c r="Q80" s="8" t="s">
        <v>83</v>
      </c>
      <c r="R80" s="8" t="s">
        <v>79</v>
      </c>
      <c r="S80" s="8" t="s">
        <v>82</v>
      </c>
      <c r="T80" s="8" t="s">
        <v>86</v>
      </c>
      <c r="U80" s="8" t="s">
        <v>141</v>
      </c>
      <c r="V80" s="8" t="s">
        <v>112</v>
      </c>
      <c r="W80" s="9">
        <v>2</v>
      </c>
      <c r="X80" s="9">
        <v>3</v>
      </c>
      <c r="Y80" s="9">
        <v>2</v>
      </c>
      <c r="Z80" s="9">
        <v>1</v>
      </c>
      <c r="AA80" s="9">
        <v>2</v>
      </c>
      <c r="AB80" s="9">
        <v>1</v>
      </c>
      <c r="AC80" s="9">
        <v>2</v>
      </c>
      <c r="AD80" s="9">
        <v>1</v>
      </c>
      <c r="AE80" s="9">
        <v>2</v>
      </c>
      <c r="AF80" s="9">
        <v>1</v>
      </c>
      <c r="AG80" s="9">
        <v>2</v>
      </c>
      <c r="AH80" s="9">
        <v>1</v>
      </c>
      <c r="AI80" s="9">
        <v>2</v>
      </c>
      <c r="AJ80" s="9">
        <v>1</v>
      </c>
      <c r="AK80" s="9">
        <v>2</v>
      </c>
      <c r="AL80" s="10">
        <v>1</v>
      </c>
      <c r="AM80" s="10">
        <v>2</v>
      </c>
      <c r="AN80" s="10">
        <v>1</v>
      </c>
      <c r="AO80" s="10">
        <v>2</v>
      </c>
      <c r="AP80" s="10">
        <v>1</v>
      </c>
      <c r="AQ80" s="10">
        <v>1</v>
      </c>
      <c r="AR80" s="10">
        <v>2</v>
      </c>
      <c r="AS80" s="11">
        <v>2</v>
      </c>
      <c r="AT80" s="11">
        <v>1</v>
      </c>
      <c r="AU80" s="11">
        <v>2</v>
      </c>
      <c r="AV80" s="11">
        <v>1</v>
      </c>
      <c r="AW80" s="11">
        <v>2</v>
      </c>
      <c r="AX80" s="11">
        <v>1</v>
      </c>
      <c r="AY80" s="7">
        <v>2</v>
      </c>
      <c r="AZ80" s="7">
        <v>1</v>
      </c>
      <c r="BA80" s="7">
        <v>2</v>
      </c>
      <c r="BB80" s="7">
        <v>2</v>
      </c>
      <c r="BC80" s="7">
        <v>2</v>
      </c>
      <c r="BD80" s="7">
        <v>1</v>
      </c>
      <c r="BE80" s="7">
        <v>2</v>
      </c>
      <c r="BF80" s="7">
        <v>2</v>
      </c>
      <c r="BG80" s="12">
        <f>SUM(data__22[[#This Row],[N1]:[N4]],data__22[[#This Row],[N10]:[N13]],data__22[[#This Row],[N16]:[N18]])/11</f>
        <v>1.6363636363636365</v>
      </c>
      <c r="BH80" s="13">
        <f>SUM(data__22[[#This Row],[N8]:[N9]],data__22[[#This Row],[N23]:[N25]])/5</f>
        <v>1.6</v>
      </c>
      <c r="BI80" s="12">
        <f>SUM(data__22[[#This Row],[N5]:[N7]])/3</f>
        <v>1.6666666666666667</v>
      </c>
      <c r="BJ80" s="12">
        <f>SUM(data__22[[#This Row],[N14]:[N15]],data__22[[#This Row],[N19]:[N22]],data__22[[#This Row],[N26]:[N28]])/9</f>
        <v>1.4444444444444444</v>
      </c>
      <c r="BK80" s="12">
        <f>SUM(data__22[[#This Row],[N29]:[N33]])/5</f>
        <v>1.8</v>
      </c>
      <c r="BL80" s="12">
        <f>SUM(data__22[[#This Row],[N34]:[N36]])/3</f>
        <v>1.6666666666666667</v>
      </c>
    </row>
    <row r="81" spans="1:64" x14ac:dyDescent="0.3">
      <c r="A81" s="7">
        <v>19</v>
      </c>
      <c r="B81" s="7" t="s">
        <v>70</v>
      </c>
      <c r="C81" s="7" t="s">
        <v>157</v>
      </c>
      <c r="D81" s="7" t="s">
        <v>97</v>
      </c>
      <c r="E81" s="7" t="s">
        <v>114</v>
      </c>
      <c r="F81" s="7" t="s">
        <v>136</v>
      </c>
      <c r="G81" s="7" t="s">
        <v>440</v>
      </c>
      <c r="H81" s="7" t="s">
        <v>98</v>
      </c>
      <c r="I81" s="7" t="s">
        <v>76</v>
      </c>
      <c r="J81" s="7" t="s">
        <v>77</v>
      </c>
      <c r="K81" s="7" t="s">
        <v>125</v>
      </c>
      <c r="L81" s="8" t="s">
        <v>82</v>
      </c>
      <c r="M81" s="8" t="s">
        <v>80</v>
      </c>
      <c r="N81" s="8" t="s">
        <v>79</v>
      </c>
      <c r="O81" s="8" t="s">
        <v>81</v>
      </c>
      <c r="P81" s="8" t="s">
        <v>79</v>
      </c>
      <c r="Q81" s="8" t="s">
        <v>103</v>
      </c>
      <c r="R81" s="8" t="s">
        <v>79</v>
      </c>
      <c r="S81" s="8" t="s">
        <v>82</v>
      </c>
      <c r="T81" s="8" t="s">
        <v>86</v>
      </c>
      <c r="U81" s="8" t="s">
        <v>141</v>
      </c>
      <c r="V81" s="8" t="s">
        <v>112</v>
      </c>
      <c r="W81" s="9">
        <v>1</v>
      </c>
      <c r="X81" s="9">
        <v>0</v>
      </c>
      <c r="Y81" s="9">
        <v>1</v>
      </c>
      <c r="Z81" s="9">
        <v>0</v>
      </c>
      <c r="AA81" s="9">
        <v>1</v>
      </c>
      <c r="AB81" s="9">
        <v>1</v>
      </c>
      <c r="AC81" s="9">
        <v>2</v>
      </c>
      <c r="AD81" s="9">
        <v>0</v>
      </c>
      <c r="AE81" s="9">
        <v>1</v>
      </c>
      <c r="AF81" s="9">
        <v>1</v>
      </c>
      <c r="AG81" s="9">
        <v>0</v>
      </c>
      <c r="AH81" s="9">
        <v>1</v>
      </c>
      <c r="AI81" s="9">
        <v>1</v>
      </c>
      <c r="AJ81" s="9">
        <v>0</v>
      </c>
      <c r="AK81" s="9">
        <v>0</v>
      </c>
      <c r="AL81" s="10">
        <v>1</v>
      </c>
      <c r="AM81" s="10">
        <v>0</v>
      </c>
      <c r="AN81" s="10">
        <v>1</v>
      </c>
      <c r="AO81" s="10">
        <v>1</v>
      </c>
      <c r="AP81" s="10">
        <v>0</v>
      </c>
      <c r="AQ81" s="10">
        <v>0</v>
      </c>
      <c r="AR81" s="10">
        <v>1</v>
      </c>
      <c r="AS81" s="11">
        <v>1</v>
      </c>
      <c r="AT81" s="11">
        <v>1</v>
      </c>
      <c r="AU81" s="11">
        <v>1</v>
      </c>
      <c r="AV81" s="11">
        <v>1</v>
      </c>
      <c r="AW81" s="11">
        <v>1</v>
      </c>
      <c r="AX81" s="11">
        <v>1</v>
      </c>
      <c r="AY81" s="7">
        <v>1</v>
      </c>
      <c r="AZ81" s="7">
        <v>1</v>
      </c>
      <c r="BA81" s="7">
        <v>0</v>
      </c>
      <c r="BB81" s="7">
        <v>0</v>
      </c>
      <c r="BC81" s="7">
        <v>1</v>
      </c>
      <c r="BD81" s="7">
        <v>0</v>
      </c>
      <c r="BE81" s="7">
        <v>1</v>
      </c>
      <c r="BF81" s="7">
        <v>0</v>
      </c>
      <c r="BG81" s="12">
        <f>SUM(data__22[[#This Row],[N1]:[N4]],data__22[[#This Row],[N10]:[N13]],data__22[[#This Row],[N16]:[N18]])/11</f>
        <v>0.63636363636363635</v>
      </c>
      <c r="BH81" s="13">
        <f>SUM(data__22[[#This Row],[N8]:[N9]],data__22[[#This Row],[N23]:[N25]])/5</f>
        <v>0.8</v>
      </c>
      <c r="BI81" s="12">
        <f>SUM(data__22[[#This Row],[N5]:[N7]])/3</f>
        <v>1.3333333333333333</v>
      </c>
      <c r="BJ81" s="12">
        <f>SUM(data__22[[#This Row],[N14]:[N15]],data__22[[#This Row],[N19]:[N22]],data__22[[#This Row],[N26]:[N28]])/9</f>
        <v>0.55555555555555558</v>
      </c>
      <c r="BK81" s="12">
        <f>SUM(data__22[[#This Row],[N29]:[N33]])/5</f>
        <v>0.6</v>
      </c>
      <c r="BL81" s="12">
        <f>SUM(data__22[[#This Row],[N34]:[N36]])/3</f>
        <v>0.33333333333333331</v>
      </c>
    </row>
    <row r="82" spans="1:64" x14ac:dyDescent="0.3">
      <c r="A82" s="7">
        <v>19</v>
      </c>
      <c r="B82" s="7" t="s">
        <v>70</v>
      </c>
      <c r="C82" s="7" t="s">
        <v>157</v>
      </c>
      <c r="D82" s="7" t="s">
        <v>97</v>
      </c>
      <c r="E82" s="7" t="s">
        <v>114</v>
      </c>
      <c r="F82" s="7" t="s">
        <v>136</v>
      </c>
      <c r="G82" s="7" t="s">
        <v>440</v>
      </c>
      <c r="H82" s="7" t="s">
        <v>136</v>
      </c>
      <c r="I82" s="7" t="s">
        <v>76</v>
      </c>
      <c r="J82" s="7" t="s">
        <v>77</v>
      </c>
      <c r="K82" s="7" t="s">
        <v>125</v>
      </c>
      <c r="L82" s="8" t="s">
        <v>82</v>
      </c>
      <c r="M82" s="8" t="s">
        <v>80</v>
      </c>
      <c r="N82" s="8" t="s">
        <v>79</v>
      </c>
      <c r="O82" s="8" t="s">
        <v>81</v>
      </c>
      <c r="P82" s="8" t="s">
        <v>79</v>
      </c>
      <c r="Q82" s="8" t="s">
        <v>103</v>
      </c>
      <c r="R82" s="8" t="s">
        <v>79</v>
      </c>
      <c r="S82" s="8" t="s">
        <v>82</v>
      </c>
      <c r="T82" s="8" t="s">
        <v>86</v>
      </c>
      <c r="U82" s="8" t="s">
        <v>141</v>
      </c>
      <c r="V82" s="8" t="s">
        <v>112</v>
      </c>
      <c r="W82" s="9">
        <v>1</v>
      </c>
      <c r="X82" s="9">
        <v>2</v>
      </c>
      <c r="Y82" s="9">
        <v>1</v>
      </c>
      <c r="Z82" s="9">
        <v>3</v>
      </c>
      <c r="AA82" s="9">
        <v>2</v>
      </c>
      <c r="AB82" s="9">
        <v>2</v>
      </c>
      <c r="AC82" s="9">
        <v>3</v>
      </c>
      <c r="AD82" s="9">
        <v>1</v>
      </c>
      <c r="AE82" s="9">
        <v>3</v>
      </c>
      <c r="AF82" s="9">
        <v>2</v>
      </c>
      <c r="AG82" s="9">
        <v>1</v>
      </c>
      <c r="AH82" s="9">
        <v>3</v>
      </c>
      <c r="AI82" s="9">
        <v>2</v>
      </c>
      <c r="AJ82" s="9">
        <v>1</v>
      </c>
      <c r="AK82" s="9">
        <v>3</v>
      </c>
      <c r="AL82" s="10">
        <v>3</v>
      </c>
      <c r="AM82" s="10">
        <v>1</v>
      </c>
      <c r="AN82" s="10">
        <v>2</v>
      </c>
      <c r="AO82" s="10">
        <v>1</v>
      </c>
      <c r="AP82" s="10">
        <v>3</v>
      </c>
      <c r="AQ82" s="10">
        <v>2</v>
      </c>
      <c r="AR82" s="10">
        <v>1</v>
      </c>
      <c r="AS82" s="11">
        <v>2</v>
      </c>
      <c r="AT82" s="11">
        <v>0</v>
      </c>
      <c r="AU82" s="11">
        <v>1</v>
      </c>
      <c r="AV82" s="11">
        <v>0</v>
      </c>
      <c r="AW82" s="11">
        <v>2</v>
      </c>
      <c r="AX82" s="11">
        <v>1</v>
      </c>
      <c r="AY82" s="7">
        <v>1</v>
      </c>
      <c r="AZ82" s="7">
        <v>0</v>
      </c>
      <c r="BA82" s="7">
        <v>2</v>
      </c>
      <c r="BB82" s="7">
        <v>1</v>
      </c>
      <c r="BC82" s="7">
        <v>0</v>
      </c>
      <c r="BD82" s="7">
        <v>2</v>
      </c>
      <c r="BE82" s="7">
        <v>1</v>
      </c>
      <c r="BF82" s="7">
        <v>1</v>
      </c>
      <c r="BG82" s="12">
        <f>SUM(data__22[[#This Row],[N1]:[N4]],data__22[[#This Row],[N10]:[N13]],data__22[[#This Row],[N16]:[N18]])/11</f>
        <v>1.9090909090909092</v>
      </c>
      <c r="BH82" s="13">
        <f>SUM(data__22[[#This Row],[N8]:[N9]],data__22[[#This Row],[N23]:[N25]])/5</f>
        <v>1.4</v>
      </c>
      <c r="BI82" s="12">
        <f>SUM(data__22[[#This Row],[N5]:[N7]])/3</f>
        <v>2.3333333333333335</v>
      </c>
      <c r="BJ82" s="12">
        <f>SUM(data__22[[#This Row],[N14]:[N15]],data__22[[#This Row],[N19]:[N22]],data__22[[#This Row],[N26]:[N28]])/9</f>
        <v>1.5555555555555556</v>
      </c>
      <c r="BK82" s="12">
        <f>SUM(data__22[[#This Row],[N29]:[N33]])/5</f>
        <v>0.8</v>
      </c>
      <c r="BL82" s="12">
        <f>SUM(data__22[[#This Row],[N34]:[N36]])/3</f>
        <v>1.3333333333333333</v>
      </c>
    </row>
    <row r="83" spans="1:64" x14ac:dyDescent="0.3">
      <c r="A83" s="7">
        <v>25</v>
      </c>
      <c r="B83" s="7" t="s">
        <v>70</v>
      </c>
      <c r="C83" s="7" t="s">
        <v>113</v>
      </c>
      <c r="D83" s="7" t="s">
        <v>72</v>
      </c>
      <c r="E83" s="7" t="s">
        <v>114</v>
      </c>
      <c r="F83" s="7" t="s">
        <v>74</v>
      </c>
      <c r="G83" s="7" t="s">
        <v>439</v>
      </c>
      <c r="H83" s="7" t="s">
        <v>74</v>
      </c>
      <c r="I83" s="7" t="s">
        <v>76</v>
      </c>
      <c r="J83" s="7" t="s">
        <v>101</v>
      </c>
      <c r="K83" s="7" t="s">
        <v>125</v>
      </c>
      <c r="L83" s="8" t="s">
        <v>79</v>
      </c>
      <c r="M83" s="8" t="s">
        <v>80</v>
      </c>
      <c r="N83" s="8" t="s">
        <v>79</v>
      </c>
      <c r="O83" s="8" t="s">
        <v>138</v>
      </c>
      <c r="P83" s="8" t="s">
        <v>79</v>
      </c>
      <c r="Q83" s="8" t="s">
        <v>83</v>
      </c>
      <c r="R83" s="8" t="s">
        <v>79</v>
      </c>
      <c r="S83" s="8" t="s">
        <v>82</v>
      </c>
      <c r="T83" s="8" t="s">
        <v>86</v>
      </c>
      <c r="U83" s="8" t="s">
        <v>141</v>
      </c>
      <c r="V83" s="8" t="s">
        <v>112</v>
      </c>
      <c r="W83" s="9">
        <v>1</v>
      </c>
      <c r="X83" s="9">
        <v>1</v>
      </c>
      <c r="Y83" s="9">
        <v>1</v>
      </c>
      <c r="Z83" s="9">
        <v>1</v>
      </c>
      <c r="AA83" s="9">
        <v>1</v>
      </c>
      <c r="AB83" s="9">
        <v>1</v>
      </c>
      <c r="AC83" s="9">
        <v>1</v>
      </c>
      <c r="AD83" s="9">
        <v>1</v>
      </c>
      <c r="AE83" s="9">
        <v>1</v>
      </c>
      <c r="AF83" s="9">
        <v>1</v>
      </c>
      <c r="AG83" s="9">
        <v>1</v>
      </c>
      <c r="AH83" s="9">
        <v>1</v>
      </c>
      <c r="AI83" s="9">
        <v>1</v>
      </c>
      <c r="AJ83" s="9">
        <v>1</v>
      </c>
      <c r="AK83" s="9">
        <v>1</v>
      </c>
      <c r="AL83" s="10">
        <v>1</v>
      </c>
      <c r="AM83" s="10">
        <v>1</v>
      </c>
      <c r="AN83" s="10">
        <v>1</v>
      </c>
      <c r="AO83" s="10">
        <v>1</v>
      </c>
      <c r="AP83" s="10">
        <v>1</v>
      </c>
      <c r="AQ83" s="10">
        <v>1</v>
      </c>
      <c r="AR83" s="10">
        <v>1</v>
      </c>
      <c r="AS83" s="11">
        <v>1</v>
      </c>
      <c r="AT83" s="11">
        <v>2</v>
      </c>
      <c r="AU83" s="11">
        <v>2</v>
      </c>
      <c r="AV83" s="11">
        <v>2</v>
      </c>
      <c r="AW83" s="11">
        <v>2</v>
      </c>
      <c r="AX83" s="11">
        <v>2</v>
      </c>
      <c r="AY83" s="7">
        <v>2</v>
      </c>
      <c r="AZ83" s="7">
        <v>2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7">
        <v>1</v>
      </c>
      <c r="BG83" s="12">
        <f>SUM(data__22[[#This Row],[N1]:[N4]],data__22[[#This Row],[N10]:[N13]],data__22[[#This Row],[N16]:[N18]])/11</f>
        <v>1</v>
      </c>
      <c r="BH83" s="13">
        <f>SUM(data__22[[#This Row],[N8]:[N9]],data__22[[#This Row],[N23]:[N25]])/5</f>
        <v>1.4</v>
      </c>
      <c r="BI83" s="12">
        <f>SUM(data__22[[#This Row],[N5]:[N7]])/3</f>
        <v>1</v>
      </c>
      <c r="BJ83" s="12">
        <f>SUM(data__22[[#This Row],[N14]:[N15]],data__22[[#This Row],[N19]:[N22]],data__22[[#This Row],[N26]:[N28]])/9</f>
        <v>1.3333333333333333</v>
      </c>
      <c r="BK83" s="12">
        <f>SUM(data__22[[#This Row],[N29]:[N33]])/5</f>
        <v>1.4</v>
      </c>
      <c r="BL83" s="12">
        <f>SUM(data__22[[#This Row],[N34]:[N36]])/3</f>
        <v>1</v>
      </c>
    </row>
    <row r="84" spans="1:64" x14ac:dyDescent="0.3">
      <c r="A84" s="7">
        <v>21</v>
      </c>
      <c r="B84" s="7" t="s">
        <v>70</v>
      </c>
      <c r="C84" s="7" t="s">
        <v>113</v>
      </c>
      <c r="D84" s="7" t="s">
        <v>97</v>
      </c>
      <c r="E84" s="7" t="s">
        <v>73</v>
      </c>
      <c r="F84" s="7" t="s">
        <v>98</v>
      </c>
      <c r="G84" s="7" t="s">
        <v>440</v>
      </c>
      <c r="H84" s="7" t="s">
        <v>98</v>
      </c>
      <c r="I84" s="7" t="s">
        <v>76</v>
      </c>
      <c r="J84" s="7" t="s">
        <v>77</v>
      </c>
      <c r="K84" s="7" t="s">
        <v>125</v>
      </c>
      <c r="L84" s="8" t="s">
        <v>82</v>
      </c>
      <c r="M84" s="8" t="s">
        <v>80</v>
      </c>
      <c r="N84" s="8" t="s">
        <v>79</v>
      </c>
      <c r="O84" s="8" t="s">
        <v>117</v>
      </c>
      <c r="P84" s="8" t="s">
        <v>82</v>
      </c>
      <c r="Q84" s="8" t="s">
        <v>83</v>
      </c>
      <c r="R84" s="8" t="s">
        <v>82</v>
      </c>
      <c r="S84" s="8" t="s">
        <v>82</v>
      </c>
      <c r="T84" s="8" t="s">
        <v>106</v>
      </c>
      <c r="U84" s="8" t="s">
        <v>87</v>
      </c>
      <c r="V84" s="8" t="s">
        <v>112</v>
      </c>
      <c r="W84" s="9">
        <v>1</v>
      </c>
      <c r="X84" s="9">
        <v>3</v>
      </c>
      <c r="Y84" s="9">
        <v>3</v>
      </c>
      <c r="Z84" s="9">
        <v>3</v>
      </c>
      <c r="AA84" s="9">
        <v>1</v>
      </c>
      <c r="AB84" s="9">
        <v>1</v>
      </c>
      <c r="AC84" s="9">
        <v>1</v>
      </c>
      <c r="AD84" s="9">
        <v>1</v>
      </c>
      <c r="AE84" s="9">
        <v>1</v>
      </c>
      <c r="AF84" s="9">
        <v>0</v>
      </c>
      <c r="AG84" s="9">
        <v>3</v>
      </c>
      <c r="AH84" s="9">
        <v>3</v>
      </c>
      <c r="AI84" s="9">
        <v>3</v>
      </c>
      <c r="AJ84" s="9">
        <v>3</v>
      </c>
      <c r="AK84" s="9">
        <v>3</v>
      </c>
      <c r="AL84" s="10">
        <v>3</v>
      </c>
      <c r="AM84" s="10">
        <v>3</v>
      </c>
      <c r="AN84" s="10">
        <v>3</v>
      </c>
      <c r="AO84" s="10">
        <v>3</v>
      </c>
      <c r="AP84" s="10">
        <v>0</v>
      </c>
      <c r="AQ84" s="10">
        <v>0</v>
      </c>
      <c r="AR84" s="10">
        <v>0</v>
      </c>
      <c r="AS84" s="11">
        <v>3</v>
      </c>
      <c r="AT84" s="11">
        <v>3</v>
      </c>
      <c r="AU84" s="11">
        <v>3</v>
      </c>
      <c r="AV84" s="11">
        <v>1</v>
      </c>
      <c r="AW84" s="11">
        <v>0</v>
      </c>
      <c r="AX84" s="11">
        <v>0</v>
      </c>
      <c r="AY84" s="7">
        <v>3</v>
      </c>
      <c r="AZ84" s="7">
        <v>3</v>
      </c>
      <c r="BA84" s="7">
        <v>3</v>
      </c>
      <c r="BB84" s="7">
        <v>3</v>
      </c>
      <c r="BC84" s="7">
        <v>3</v>
      </c>
      <c r="BD84" s="7">
        <v>3</v>
      </c>
      <c r="BE84" s="7">
        <v>1</v>
      </c>
      <c r="BF84" s="7">
        <v>1</v>
      </c>
      <c r="BG84" s="12">
        <f>SUM(data__22[[#This Row],[N1]:[N4]],data__22[[#This Row],[N10]:[N13]],data__22[[#This Row],[N16]:[N18]])/11</f>
        <v>2.5454545454545454</v>
      </c>
      <c r="BH84" s="13">
        <f>SUM(data__22[[#This Row],[N8]:[N9]],data__22[[#This Row],[N23]:[N25]])/5</f>
        <v>2.2000000000000002</v>
      </c>
      <c r="BI84" s="12">
        <f>SUM(data__22[[#This Row],[N5]:[N7]])/3</f>
        <v>1</v>
      </c>
      <c r="BJ84" s="12">
        <f>SUM(data__22[[#This Row],[N14]:[N15]],data__22[[#This Row],[N19]:[N22]],data__22[[#This Row],[N26]:[N28]])/9</f>
        <v>1.1111111111111112</v>
      </c>
      <c r="BK84" s="12">
        <f>SUM(data__22[[#This Row],[N29]:[N33]])/5</f>
        <v>3</v>
      </c>
      <c r="BL84" s="12">
        <f>SUM(data__22[[#This Row],[N34]:[N36]])/3</f>
        <v>1.6666666666666667</v>
      </c>
    </row>
    <row r="85" spans="1:64" x14ac:dyDescent="0.3">
      <c r="A85" s="7">
        <v>20</v>
      </c>
      <c r="B85" s="7" t="s">
        <v>70</v>
      </c>
      <c r="C85" s="7" t="s">
        <v>96</v>
      </c>
      <c r="D85" s="7" t="s">
        <v>72</v>
      </c>
      <c r="E85" s="7" t="s">
        <v>114</v>
      </c>
      <c r="F85" s="7" t="s">
        <v>74</v>
      </c>
      <c r="G85" s="7" t="s">
        <v>439</v>
      </c>
      <c r="H85" s="7" t="s">
        <v>98</v>
      </c>
      <c r="I85" s="7" t="s">
        <v>76</v>
      </c>
      <c r="J85" s="7" t="s">
        <v>77</v>
      </c>
      <c r="K85" s="7" t="s">
        <v>125</v>
      </c>
      <c r="L85" s="8" t="s">
        <v>82</v>
      </c>
      <c r="M85" s="8" t="s">
        <v>80</v>
      </c>
      <c r="N85" s="8" t="s">
        <v>79</v>
      </c>
      <c r="O85" s="8" t="s">
        <v>109</v>
      </c>
      <c r="P85" s="8" t="s">
        <v>79</v>
      </c>
      <c r="Q85" s="8" t="s">
        <v>83</v>
      </c>
      <c r="R85" s="8" t="s">
        <v>79</v>
      </c>
      <c r="S85" s="8" t="s">
        <v>79</v>
      </c>
      <c r="T85" s="8" t="s">
        <v>86</v>
      </c>
      <c r="U85" s="8" t="s">
        <v>141</v>
      </c>
      <c r="V85" s="8" t="s">
        <v>260</v>
      </c>
      <c r="W85" s="9">
        <v>1</v>
      </c>
      <c r="X85" s="9">
        <v>2</v>
      </c>
      <c r="Y85" s="9">
        <v>1</v>
      </c>
      <c r="Z85" s="9">
        <v>3</v>
      </c>
      <c r="AA85" s="9">
        <v>2</v>
      </c>
      <c r="AB85" s="9">
        <v>2</v>
      </c>
      <c r="AC85" s="9">
        <v>0</v>
      </c>
      <c r="AD85" s="9">
        <v>3</v>
      </c>
      <c r="AE85" s="9">
        <v>3</v>
      </c>
      <c r="AF85" s="9">
        <v>2</v>
      </c>
      <c r="AG85" s="9">
        <v>3</v>
      </c>
      <c r="AH85" s="9">
        <v>3</v>
      </c>
      <c r="AI85" s="9">
        <v>3</v>
      </c>
      <c r="AJ85" s="9">
        <v>3</v>
      </c>
      <c r="AK85" s="9">
        <v>3</v>
      </c>
      <c r="AL85" s="10">
        <v>1</v>
      </c>
      <c r="AM85" s="10">
        <v>2</v>
      </c>
      <c r="AN85" s="10">
        <v>3</v>
      </c>
      <c r="AO85" s="10">
        <v>3</v>
      </c>
      <c r="AP85" s="10">
        <v>2</v>
      </c>
      <c r="AQ85" s="10">
        <v>2</v>
      </c>
      <c r="AR85" s="10">
        <v>2</v>
      </c>
      <c r="AS85" s="11">
        <v>2</v>
      </c>
      <c r="AT85" s="11">
        <v>2</v>
      </c>
      <c r="AU85" s="11">
        <v>1</v>
      </c>
      <c r="AV85" s="11">
        <v>1</v>
      </c>
      <c r="AW85" s="11">
        <v>2</v>
      </c>
      <c r="AX85" s="11">
        <v>1</v>
      </c>
      <c r="AY85" s="7">
        <v>2</v>
      </c>
      <c r="AZ85" s="7">
        <v>1</v>
      </c>
      <c r="BA85" s="7">
        <v>3</v>
      </c>
      <c r="BB85" s="7">
        <v>3</v>
      </c>
      <c r="BC85" s="7">
        <v>3</v>
      </c>
      <c r="BD85" s="7">
        <v>1</v>
      </c>
      <c r="BE85" s="7">
        <v>2</v>
      </c>
      <c r="BF85" s="7">
        <v>2</v>
      </c>
      <c r="BG85" s="12">
        <f>SUM(data__22[[#This Row],[N1]:[N4]],data__22[[#This Row],[N10]:[N13]],data__22[[#This Row],[N16]:[N18]])/11</f>
        <v>2.1818181818181817</v>
      </c>
      <c r="BH85" s="13">
        <f>SUM(data__22[[#This Row],[N8]:[N9]],data__22[[#This Row],[N23]:[N25]])/5</f>
        <v>2.2000000000000002</v>
      </c>
      <c r="BI85" s="12">
        <f>SUM(data__22[[#This Row],[N5]:[N7]])/3</f>
        <v>1.3333333333333333</v>
      </c>
      <c r="BJ85" s="12">
        <f>SUM(data__22[[#This Row],[N14]:[N15]],data__22[[#This Row],[N19]:[N22]],data__22[[#This Row],[N26]:[N28]])/9</f>
        <v>2.1111111111111112</v>
      </c>
      <c r="BK85" s="12">
        <f>SUM(data__22[[#This Row],[N29]:[N33]])/5</f>
        <v>2.4</v>
      </c>
      <c r="BL85" s="12">
        <f>SUM(data__22[[#This Row],[N34]:[N36]])/3</f>
        <v>1.6666666666666667</v>
      </c>
    </row>
    <row r="86" spans="1:64" x14ac:dyDescent="0.3">
      <c r="A86" s="7">
        <v>23</v>
      </c>
      <c r="B86" s="7" t="s">
        <v>70</v>
      </c>
      <c r="C86" s="7" t="s">
        <v>113</v>
      </c>
      <c r="D86" s="7" t="s">
        <v>97</v>
      </c>
      <c r="E86" s="7" t="s">
        <v>108</v>
      </c>
      <c r="F86" s="7" t="s">
        <v>136</v>
      </c>
      <c r="G86" s="7" t="s">
        <v>99</v>
      </c>
      <c r="H86" s="7" t="s">
        <v>98</v>
      </c>
      <c r="I86" s="7" t="s">
        <v>76</v>
      </c>
      <c r="J86" s="7" t="s">
        <v>77</v>
      </c>
      <c r="K86" s="7" t="s">
        <v>125</v>
      </c>
      <c r="L86" s="8" t="s">
        <v>82</v>
      </c>
      <c r="M86" s="8" t="s">
        <v>102</v>
      </c>
      <c r="N86" s="8" t="s">
        <v>82</v>
      </c>
      <c r="O86" s="8" t="s">
        <v>81</v>
      </c>
      <c r="P86" s="8" t="s">
        <v>82</v>
      </c>
      <c r="Q86" s="8" t="s">
        <v>83</v>
      </c>
      <c r="R86" s="8" t="s">
        <v>82</v>
      </c>
      <c r="S86" s="8" t="s">
        <v>82</v>
      </c>
      <c r="T86" s="8" t="s">
        <v>106</v>
      </c>
      <c r="U86" s="8" t="s">
        <v>141</v>
      </c>
      <c r="V86" s="8" t="s">
        <v>457</v>
      </c>
      <c r="W86" s="9">
        <v>1</v>
      </c>
      <c r="X86" s="9">
        <v>1</v>
      </c>
      <c r="Y86" s="9">
        <v>2</v>
      </c>
      <c r="Z86" s="9">
        <v>1</v>
      </c>
      <c r="AA86" s="9">
        <v>1</v>
      </c>
      <c r="AB86" s="9">
        <v>2</v>
      </c>
      <c r="AC86" s="9">
        <v>2</v>
      </c>
      <c r="AD86" s="9">
        <v>2</v>
      </c>
      <c r="AE86" s="9">
        <v>2</v>
      </c>
      <c r="AF86" s="9">
        <v>0</v>
      </c>
      <c r="AG86" s="9">
        <v>3</v>
      </c>
      <c r="AH86" s="9">
        <v>3</v>
      </c>
      <c r="AI86" s="9">
        <v>2</v>
      </c>
      <c r="AJ86" s="9">
        <v>2</v>
      </c>
      <c r="AK86" s="9">
        <v>1</v>
      </c>
      <c r="AL86" s="10">
        <v>3</v>
      </c>
      <c r="AM86" s="10">
        <v>3</v>
      </c>
      <c r="AN86" s="10">
        <v>3</v>
      </c>
      <c r="AO86" s="10">
        <v>0</v>
      </c>
      <c r="AP86" s="10">
        <v>0</v>
      </c>
      <c r="AQ86" s="10">
        <v>0</v>
      </c>
      <c r="AR86" s="10">
        <v>2</v>
      </c>
      <c r="AS86" s="11">
        <v>1</v>
      </c>
      <c r="AT86" s="11">
        <v>0</v>
      </c>
      <c r="AU86" s="11">
        <v>1</v>
      </c>
      <c r="AV86" s="11">
        <v>2</v>
      </c>
      <c r="AW86" s="11">
        <v>1</v>
      </c>
      <c r="AX86" s="11">
        <v>1</v>
      </c>
      <c r="AY86" s="7">
        <v>2</v>
      </c>
      <c r="AZ86" s="7">
        <v>2</v>
      </c>
      <c r="BA86" s="7">
        <v>2</v>
      </c>
      <c r="BB86" s="7">
        <v>2</v>
      </c>
      <c r="BC86" s="7">
        <v>2</v>
      </c>
      <c r="BD86" s="7">
        <v>0</v>
      </c>
      <c r="BE86" s="7">
        <v>1</v>
      </c>
      <c r="BF86" s="7">
        <v>1</v>
      </c>
      <c r="BG86" s="12">
        <f>SUM(data__22[[#This Row],[N1]:[N4]],data__22[[#This Row],[N10]:[N13]],data__22[[#This Row],[N16]:[N18]])/11</f>
        <v>2</v>
      </c>
      <c r="BH86" s="13">
        <f>SUM(data__22[[#This Row],[N8]:[N9]],data__22[[#This Row],[N23]:[N25]])/5</f>
        <v>1.2</v>
      </c>
      <c r="BI86" s="12">
        <f>SUM(data__22[[#This Row],[N5]:[N7]])/3</f>
        <v>1.6666666666666667</v>
      </c>
      <c r="BJ86" s="12">
        <f>SUM(data__22[[#This Row],[N14]:[N15]],data__22[[#This Row],[N19]:[N22]],data__22[[#This Row],[N26]:[N28]])/9</f>
        <v>1</v>
      </c>
      <c r="BK86" s="12">
        <f>SUM(data__22[[#This Row],[N29]:[N33]])/5</f>
        <v>2</v>
      </c>
      <c r="BL86" s="12">
        <f>SUM(data__22[[#This Row],[N34]:[N36]])/3</f>
        <v>0.66666666666666663</v>
      </c>
    </row>
    <row r="87" spans="1:64" x14ac:dyDescent="0.3">
      <c r="A87" s="7">
        <v>21</v>
      </c>
      <c r="B87" s="7" t="s">
        <v>70</v>
      </c>
      <c r="C87" s="7" t="s">
        <v>96</v>
      </c>
      <c r="D87" s="7" t="s">
        <v>72</v>
      </c>
      <c r="E87" s="7" t="s">
        <v>108</v>
      </c>
      <c r="F87" s="7" t="s">
        <v>98</v>
      </c>
      <c r="G87" s="7" t="s">
        <v>440</v>
      </c>
      <c r="H87" s="7" t="s">
        <v>98</v>
      </c>
      <c r="I87" s="7" t="s">
        <v>76</v>
      </c>
      <c r="J87" s="7" t="s">
        <v>77</v>
      </c>
      <c r="K87" s="7" t="s">
        <v>122</v>
      </c>
      <c r="L87" s="8" t="s">
        <v>79</v>
      </c>
      <c r="M87" s="8" t="s">
        <v>80</v>
      </c>
      <c r="N87" s="8" t="s">
        <v>82</v>
      </c>
      <c r="O87" s="8" t="s">
        <v>138</v>
      </c>
      <c r="P87" s="8" t="s">
        <v>82</v>
      </c>
      <c r="Q87" s="8" t="s">
        <v>83</v>
      </c>
      <c r="R87" s="8" t="s">
        <v>79</v>
      </c>
      <c r="S87" s="8" t="s">
        <v>79</v>
      </c>
      <c r="T87" s="8" t="s">
        <v>86</v>
      </c>
      <c r="U87" s="8" t="s">
        <v>87</v>
      </c>
      <c r="V87" s="8" t="s">
        <v>127</v>
      </c>
      <c r="W87" s="9">
        <v>1</v>
      </c>
      <c r="X87" s="9">
        <v>1</v>
      </c>
      <c r="Y87" s="9">
        <v>1</v>
      </c>
      <c r="Z87" s="9">
        <v>1</v>
      </c>
      <c r="AA87" s="9">
        <v>1</v>
      </c>
      <c r="AB87" s="9">
        <v>1</v>
      </c>
      <c r="AC87" s="9">
        <v>1</v>
      </c>
      <c r="AD87" s="9">
        <v>1</v>
      </c>
      <c r="AE87" s="9">
        <v>1</v>
      </c>
      <c r="AF87" s="9">
        <v>1</v>
      </c>
      <c r="AG87" s="9">
        <v>1</v>
      </c>
      <c r="AH87" s="9">
        <v>1</v>
      </c>
      <c r="AI87" s="9">
        <v>1</v>
      </c>
      <c r="AJ87" s="9">
        <v>1</v>
      </c>
      <c r="AK87" s="9">
        <v>1</v>
      </c>
      <c r="AL87" s="10">
        <v>1</v>
      </c>
      <c r="AM87" s="10">
        <v>1</v>
      </c>
      <c r="AN87" s="10">
        <v>1</v>
      </c>
      <c r="AO87" s="10">
        <v>1</v>
      </c>
      <c r="AP87" s="10">
        <v>1</v>
      </c>
      <c r="AQ87" s="10">
        <v>1</v>
      </c>
      <c r="AR87" s="10">
        <v>1</v>
      </c>
      <c r="AS87" s="11">
        <v>1</v>
      </c>
      <c r="AT87" s="11">
        <v>1</v>
      </c>
      <c r="AU87" s="11">
        <v>1</v>
      </c>
      <c r="AV87" s="11">
        <v>1</v>
      </c>
      <c r="AW87" s="11">
        <v>1</v>
      </c>
      <c r="AX87" s="11">
        <v>1</v>
      </c>
      <c r="AY87" s="7">
        <v>1</v>
      </c>
      <c r="AZ87" s="7">
        <v>1</v>
      </c>
      <c r="BA87" s="7">
        <v>1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12">
        <f>SUM(data__22[[#This Row],[N1]:[N4]],data__22[[#This Row],[N10]:[N13]],data__22[[#This Row],[N16]:[N18]])/11</f>
        <v>1</v>
      </c>
      <c r="BH87" s="13">
        <f>SUM(data__22[[#This Row],[N8]:[N9]],data__22[[#This Row],[N23]:[N25]])/5</f>
        <v>1</v>
      </c>
      <c r="BI87" s="12">
        <f>SUM(data__22[[#This Row],[N5]:[N7]])/3</f>
        <v>1</v>
      </c>
      <c r="BJ87" s="12">
        <f>SUM(data__22[[#This Row],[N14]:[N15]],data__22[[#This Row],[N19]:[N22]],data__22[[#This Row],[N26]:[N28]])/9</f>
        <v>1</v>
      </c>
      <c r="BK87" s="12">
        <f>SUM(data__22[[#This Row],[N29]:[N33]])/5</f>
        <v>1</v>
      </c>
      <c r="BL87" s="12">
        <f>SUM(data__22[[#This Row],[N34]:[N36]])/3</f>
        <v>1</v>
      </c>
    </row>
    <row r="88" spans="1:64" x14ac:dyDescent="0.3">
      <c r="A88" s="7">
        <v>21</v>
      </c>
      <c r="B88" s="7" t="s">
        <v>70</v>
      </c>
      <c r="C88" s="7" t="s">
        <v>96</v>
      </c>
      <c r="D88" s="7" t="s">
        <v>149</v>
      </c>
      <c r="E88" s="7" t="s">
        <v>114</v>
      </c>
      <c r="F88" s="7" t="s">
        <v>74</v>
      </c>
      <c r="G88" s="7" t="s">
        <v>439</v>
      </c>
      <c r="H88" s="7" t="s">
        <v>98</v>
      </c>
      <c r="I88" s="7" t="s">
        <v>76</v>
      </c>
      <c r="J88" s="7" t="s">
        <v>77</v>
      </c>
      <c r="K88" s="7" t="s">
        <v>122</v>
      </c>
      <c r="L88" s="8" t="s">
        <v>82</v>
      </c>
      <c r="M88" s="8" t="s">
        <v>80</v>
      </c>
      <c r="N88" s="8" t="s">
        <v>82</v>
      </c>
      <c r="O88" s="8" t="s">
        <v>117</v>
      </c>
      <c r="P88" s="8" t="s">
        <v>79</v>
      </c>
      <c r="Q88" s="8" t="s">
        <v>83</v>
      </c>
      <c r="R88" s="8" t="s">
        <v>79</v>
      </c>
      <c r="S88" s="8" t="s">
        <v>82</v>
      </c>
      <c r="T88" s="8" t="s">
        <v>148</v>
      </c>
      <c r="U88" s="8" t="s">
        <v>141</v>
      </c>
      <c r="V88" s="8" t="s">
        <v>112</v>
      </c>
      <c r="W88" s="9">
        <v>2</v>
      </c>
      <c r="X88" s="9">
        <v>3</v>
      </c>
      <c r="Y88" s="9">
        <v>1</v>
      </c>
      <c r="Z88" s="9">
        <v>2</v>
      </c>
      <c r="AA88" s="9">
        <v>1</v>
      </c>
      <c r="AB88" s="9">
        <v>2</v>
      </c>
      <c r="AC88" s="9">
        <v>2</v>
      </c>
      <c r="AD88" s="9">
        <v>3</v>
      </c>
      <c r="AE88" s="9">
        <v>3</v>
      </c>
      <c r="AF88" s="9">
        <v>3</v>
      </c>
      <c r="AG88" s="9">
        <v>3</v>
      </c>
      <c r="AH88" s="9">
        <v>3</v>
      </c>
      <c r="AI88" s="9">
        <v>3</v>
      </c>
      <c r="AJ88" s="9">
        <v>3</v>
      </c>
      <c r="AK88" s="9">
        <v>1</v>
      </c>
      <c r="AL88" s="10">
        <v>2</v>
      </c>
      <c r="AM88" s="10">
        <v>2</v>
      </c>
      <c r="AN88" s="10">
        <v>2</v>
      </c>
      <c r="AO88" s="10">
        <v>2</v>
      </c>
      <c r="AP88" s="10">
        <v>1</v>
      </c>
      <c r="AQ88" s="10">
        <v>1</v>
      </c>
      <c r="AR88" s="10">
        <v>1</v>
      </c>
      <c r="AS88" s="11">
        <v>3</v>
      </c>
      <c r="AT88" s="11">
        <v>3</v>
      </c>
      <c r="AU88" s="11">
        <v>3</v>
      </c>
      <c r="AV88" s="11">
        <v>3</v>
      </c>
      <c r="AW88" s="11">
        <v>3</v>
      </c>
      <c r="AX88" s="11">
        <v>3</v>
      </c>
      <c r="AY88" s="7">
        <v>3</v>
      </c>
      <c r="AZ88" s="7">
        <v>3</v>
      </c>
      <c r="BA88" s="7">
        <v>3</v>
      </c>
      <c r="BB88" s="7">
        <v>3</v>
      </c>
      <c r="BC88" s="7">
        <v>3</v>
      </c>
      <c r="BD88" s="7">
        <v>3</v>
      </c>
      <c r="BE88" s="7">
        <v>3</v>
      </c>
      <c r="BF88" s="7">
        <v>3</v>
      </c>
      <c r="BG88" s="12">
        <f>SUM(data__22[[#This Row],[N1]:[N4]],data__22[[#This Row],[N10]:[N13]],data__22[[#This Row],[N16]:[N18]])/11</f>
        <v>2.3636363636363638</v>
      </c>
      <c r="BH88" s="13">
        <f>SUM(data__22[[#This Row],[N8]:[N9]],data__22[[#This Row],[N23]:[N25]])/5</f>
        <v>3</v>
      </c>
      <c r="BI88" s="12">
        <f>SUM(data__22[[#This Row],[N5]:[N7]])/3</f>
        <v>1.6666666666666667</v>
      </c>
      <c r="BJ88" s="12">
        <f>SUM(data__22[[#This Row],[N14]:[N15]],data__22[[#This Row],[N19]:[N22]],data__22[[#This Row],[N26]:[N28]])/9</f>
        <v>2</v>
      </c>
      <c r="BK88" s="12">
        <f>SUM(data__22[[#This Row],[N29]:[N33]])/5</f>
        <v>3</v>
      </c>
      <c r="BL88" s="12">
        <f>SUM(data__22[[#This Row],[N34]:[N36]])/3</f>
        <v>3</v>
      </c>
    </row>
    <row r="89" spans="1:64" x14ac:dyDescent="0.3">
      <c r="A89" s="7">
        <v>21</v>
      </c>
      <c r="B89" s="7" t="s">
        <v>70</v>
      </c>
      <c r="C89" s="7" t="s">
        <v>96</v>
      </c>
      <c r="D89" s="7" t="s">
        <v>72</v>
      </c>
      <c r="E89" s="7" t="s">
        <v>73</v>
      </c>
      <c r="F89" s="7" t="s">
        <v>74</v>
      </c>
      <c r="G89" s="7" t="s">
        <v>439</v>
      </c>
      <c r="H89" s="7" t="s">
        <v>74</v>
      </c>
      <c r="I89" s="7" t="s">
        <v>439</v>
      </c>
      <c r="J89" s="7" t="s">
        <v>77</v>
      </c>
      <c r="K89" s="7" t="s">
        <v>78</v>
      </c>
      <c r="L89" s="8" t="s">
        <v>79</v>
      </c>
      <c r="M89" s="8" t="s">
        <v>80</v>
      </c>
      <c r="N89" s="8" t="s">
        <v>79</v>
      </c>
      <c r="O89" s="8" t="s">
        <v>81</v>
      </c>
      <c r="P89" s="8" t="s">
        <v>79</v>
      </c>
      <c r="Q89" s="8" t="s">
        <v>83</v>
      </c>
      <c r="R89" s="8" t="s">
        <v>79</v>
      </c>
      <c r="S89" s="8" t="s">
        <v>79</v>
      </c>
      <c r="T89" s="8" t="s">
        <v>106</v>
      </c>
      <c r="U89" s="8" t="s">
        <v>141</v>
      </c>
      <c r="V89" s="8" t="s">
        <v>112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12">
        <f>SUM(data__22[[#This Row],[N1]:[N4]],data__22[[#This Row],[N10]:[N13]],data__22[[#This Row],[N16]:[N18]])/11</f>
        <v>0</v>
      </c>
      <c r="BH89" s="13">
        <f>SUM(data__22[[#This Row],[N8]:[N9]],data__22[[#This Row],[N23]:[N25]])/5</f>
        <v>0</v>
      </c>
      <c r="BI89" s="12">
        <f>SUM(data__22[[#This Row],[N5]:[N7]])/3</f>
        <v>0</v>
      </c>
      <c r="BJ89" s="12">
        <f>SUM(data__22[[#This Row],[N14]:[N15]],data__22[[#This Row],[N19]:[N22]],data__22[[#This Row],[N26]:[N28]])/9</f>
        <v>0</v>
      </c>
      <c r="BK89" s="12">
        <f>SUM(data__22[[#This Row],[N29]:[N33]])/5</f>
        <v>0</v>
      </c>
      <c r="BL89" s="12">
        <f>SUM(data__22[[#This Row],[N34]:[N36]])/3</f>
        <v>0</v>
      </c>
    </row>
    <row r="90" spans="1:64" x14ac:dyDescent="0.3">
      <c r="A90" s="7">
        <v>22</v>
      </c>
      <c r="B90" s="7" t="s">
        <v>70</v>
      </c>
      <c r="C90" s="7" t="s">
        <v>96</v>
      </c>
      <c r="D90" s="7" t="s">
        <v>97</v>
      </c>
      <c r="E90" s="7" t="s">
        <v>108</v>
      </c>
      <c r="F90" s="7" t="s">
        <v>74</v>
      </c>
      <c r="G90" s="7" t="s">
        <v>439</v>
      </c>
      <c r="H90" s="7" t="s">
        <v>74</v>
      </c>
      <c r="I90" s="7" t="s">
        <v>439</v>
      </c>
      <c r="J90" s="7" t="s">
        <v>77</v>
      </c>
      <c r="K90" s="7" t="s">
        <v>78</v>
      </c>
      <c r="L90" s="8" t="s">
        <v>79</v>
      </c>
      <c r="M90" s="8" t="s">
        <v>80</v>
      </c>
      <c r="N90" s="8" t="s">
        <v>82</v>
      </c>
      <c r="O90" s="8" t="s">
        <v>81</v>
      </c>
      <c r="P90" s="8" t="s">
        <v>79</v>
      </c>
      <c r="Q90" s="8" t="s">
        <v>83</v>
      </c>
      <c r="R90" s="8" t="s">
        <v>79</v>
      </c>
      <c r="S90" s="8" t="s">
        <v>79</v>
      </c>
      <c r="T90" s="8" t="s">
        <v>106</v>
      </c>
      <c r="U90" s="8" t="s">
        <v>141</v>
      </c>
      <c r="V90" s="8" t="s">
        <v>112</v>
      </c>
      <c r="W90" s="9">
        <v>2</v>
      </c>
      <c r="X90" s="9">
        <v>2</v>
      </c>
      <c r="Y90" s="9">
        <v>2</v>
      </c>
      <c r="Z90" s="9">
        <v>1</v>
      </c>
      <c r="AA90" s="9">
        <v>1</v>
      </c>
      <c r="AB90" s="9">
        <v>1</v>
      </c>
      <c r="AC90" s="9">
        <v>1</v>
      </c>
      <c r="AD90" s="9">
        <v>1</v>
      </c>
      <c r="AE90" s="9">
        <v>1</v>
      </c>
      <c r="AF90" s="9">
        <v>1</v>
      </c>
      <c r="AG90" s="9">
        <v>1</v>
      </c>
      <c r="AH90" s="9">
        <v>1</v>
      </c>
      <c r="AI90" s="9">
        <v>1</v>
      </c>
      <c r="AJ90" s="9">
        <v>1</v>
      </c>
      <c r="AK90" s="9">
        <v>1</v>
      </c>
      <c r="AL90" s="10">
        <v>1</v>
      </c>
      <c r="AM90" s="10">
        <v>1</v>
      </c>
      <c r="AN90" s="10">
        <v>2</v>
      </c>
      <c r="AO90" s="10">
        <v>2</v>
      </c>
      <c r="AP90" s="10">
        <v>1</v>
      </c>
      <c r="AQ90" s="10">
        <v>1</v>
      </c>
      <c r="AR90" s="10">
        <v>1</v>
      </c>
      <c r="AS90" s="11">
        <v>1</v>
      </c>
      <c r="AT90" s="11">
        <v>1</v>
      </c>
      <c r="AU90" s="11">
        <v>1</v>
      </c>
      <c r="AV90" s="11">
        <v>2</v>
      </c>
      <c r="AW90" s="11">
        <v>2</v>
      </c>
      <c r="AX90" s="11">
        <v>1</v>
      </c>
      <c r="AY90" s="7">
        <v>1</v>
      </c>
      <c r="AZ90" s="7">
        <v>2</v>
      </c>
      <c r="BA90" s="7">
        <v>2</v>
      </c>
      <c r="BB90" s="7">
        <v>2</v>
      </c>
      <c r="BC90" s="7">
        <v>1</v>
      </c>
      <c r="BD90" s="7">
        <v>1</v>
      </c>
      <c r="BE90" s="7">
        <v>1</v>
      </c>
      <c r="BF90" s="7">
        <v>1</v>
      </c>
      <c r="BG90" s="12">
        <f>SUM(data__22[[#This Row],[N1]:[N4]],data__22[[#This Row],[N10]:[N13]],data__22[[#This Row],[N16]:[N18]])/11</f>
        <v>1.3636363636363635</v>
      </c>
      <c r="BH90" s="13">
        <f>SUM(data__22[[#This Row],[N8]:[N9]],data__22[[#This Row],[N23]:[N25]])/5</f>
        <v>1</v>
      </c>
      <c r="BI90" s="12">
        <f>SUM(data__22[[#This Row],[N5]:[N7]])/3</f>
        <v>1</v>
      </c>
      <c r="BJ90" s="12">
        <f>SUM(data__22[[#This Row],[N14]:[N15]],data__22[[#This Row],[N19]:[N22]],data__22[[#This Row],[N26]:[N28]])/9</f>
        <v>1.3333333333333333</v>
      </c>
      <c r="BK90" s="12">
        <f>SUM(data__22[[#This Row],[N29]:[N33]])/5</f>
        <v>1.6</v>
      </c>
      <c r="BL90" s="12">
        <f>SUM(data__22[[#This Row],[N34]:[N36]])/3</f>
        <v>1</v>
      </c>
    </row>
    <row r="91" spans="1:64" x14ac:dyDescent="0.3">
      <c r="A91" s="7">
        <v>21</v>
      </c>
      <c r="B91" s="7" t="s">
        <v>70</v>
      </c>
      <c r="C91" s="7" t="s">
        <v>96</v>
      </c>
      <c r="D91" s="7" t="s">
        <v>149</v>
      </c>
      <c r="E91" s="7" t="s">
        <v>108</v>
      </c>
      <c r="F91" s="7" t="s">
        <v>74</v>
      </c>
      <c r="G91" s="7" t="s">
        <v>439</v>
      </c>
      <c r="H91" s="7" t="s">
        <v>74</v>
      </c>
      <c r="I91" s="7" t="s">
        <v>439</v>
      </c>
      <c r="J91" s="7" t="s">
        <v>77</v>
      </c>
      <c r="K91" s="7" t="s">
        <v>131</v>
      </c>
      <c r="L91" s="8" t="s">
        <v>79</v>
      </c>
      <c r="M91" s="8" t="s">
        <v>102</v>
      </c>
      <c r="N91" s="8" t="s">
        <v>82</v>
      </c>
      <c r="O91" s="8" t="s">
        <v>117</v>
      </c>
      <c r="P91" s="8" t="s">
        <v>79</v>
      </c>
      <c r="Q91" s="8" t="s">
        <v>103</v>
      </c>
      <c r="R91" s="8" t="s">
        <v>79</v>
      </c>
      <c r="S91" s="8" t="s">
        <v>79</v>
      </c>
      <c r="T91" s="8" t="s">
        <v>86</v>
      </c>
      <c r="U91" s="8" t="s">
        <v>87</v>
      </c>
      <c r="V91" s="8" t="s">
        <v>112</v>
      </c>
      <c r="W91" s="9">
        <v>3</v>
      </c>
      <c r="X91" s="9">
        <v>3</v>
      </c>
      <c r="Y91" s="9">
        <v>3</v>
      </c>
      <c r="Z91" s="9">
        <v>3</v>
      </c>
      <c r="AA91" s="9">
        <v>1</v>
      </c>
      <c r="AB91" s="9">
        <v>1</v>
      </c>
      <c r="AC91" s="9">
        <v>1</v>
      </c>
      <c r="AD91" s="9">
        <v>1</v>
      </c>
      <c r="AE91" s="9">
        <v>1</v>
      </c>
      <c r="AF91" s="9">
        <v>1</v>
      </c>
      <c r="AG91" s="9">
        <v>1</v>
      </c>
      <c r="AH91" s="9">
        <v>1</v>
      </c>
      <c r="AI91" s="9">
        <v>1</v>
      </c>
      <c r="AJ91" s="9">
        <v>1</v>
      </c>
      <c r="AK91" s="9">
        <v>1</v>
      </c>
      <c r="AL91" s="10">
        <v>3</v>
      </c>
      <c r="AM91" s="10">
        <v>3</v>
      </c>
      <c r="AN91" s="10">
        <v>3</v>
      </c>
      <c r="AO91" s="10">
        <v>3</v>
      </c>
      <c r="AP91" s="10">
        <v>3</v>
      </c>
      <c r="AQ91" s="10">
        <v>3</v>
      </c>
      <c r="AR91" s="10">
        <v>3</v>
      </c>
      <c r="AS91" s="11">
        <v>2</v>
      </c>
      <c r="AT91" s="11">
        <v>2</v>
      </c>
      <c r="AU91" s="11">
        <v>2</v>
      </c>
      <c r="AV91" s="11">
        <v>2</v>
      </c>
      <c r="AW91" s="11">
        <v>2</v>
      </c>
      <c r="AX91" s="11">
        <v>2</v>
      </c>
      <c r="AY91" s="7">
        <v>2</v>
      </c>
      <c r="AZ91" s="7">
        <v>2</v>
      </c>
      <c r="BA91" s="7">
        <v>2</v>
      </c>
      <c r="BB91" s="7">
        <v>2</v>
      </c>
      <c r="BC91" s="7">
        <v>2</v>
      </c>
      <c r="BD91" s="7">
        <v>2</v>
      </c>
      <c r="BE91" s="7">
        <v>2</v>
      </c>
      <c r="BF91" s="7">
        <v>2</v>
      </c>
      <c r="BG91" s="12">
        <f>SUM(data__22[[#This Row],[N1]:[N4]],data__22[[#This Row],[N10]:[N13]],data__22[[#This Row],[N16]:[N18]])/11</f>
        <v>2.2727272727272729</v>
      </c>
      <c r="BH91" s="13">
        <f>SUM(data__22[[#This Row],[N8]:[N9]],data__22[[#This Row],[N23]:[N25]])/5</f>
        <v>1.6</v>
      </c>
      <c r="BI91" s="12">
        <f>SUM(data__22[[#This Row],[N5]:[N7]])/3</f>
        <v>1</v>
      </c>
      <c r="BJ91" s="12">
        <f>SUM(data__22[[#This Row],[N14]:[N15]],data__22[[#This Row],[N19]:[N22]],data__22[[#This Row],[N26]:[N28]])/9</f>
        <v>2.2222222222222223</v>
      </c>
      <c r="BK91" s="12">
        <f>SUM(data__22[[#This Row],[N29]:[N33]])/5</f>
        <v>2</v>
      </c>
      <c r="BL91" s="12">
        <f>SUM(data__22[[#This Row],[N34]:[N36]])/3</f>
        <v>2</v>
      </c>
    </row>
    <row r="92" spans="1:64" x14ac:dyDescent="0.3">
      <c r="A92" s="7">
        <v>21</v>
      </c>
      <c r="B92" s="7" t="s">
        <v>70</v>
      </c>
      <c r="C92" s="7" t="s">
        <v>96</v>
      </c>
      <c r="D92" s="7" t="s">
        <v>149</v>
      </c>
      <c r="E92" s="7" t="s">
        <v>114</v>
      </c>
      <c r="F92" s="7" t="s">
        <v>74</v>
      </c>
      <c r="G92" s="7" t="s">
        <v>440</v>
      </c>
      <c r="H92" s="7" t="s">
        <v>74</v>
      </c>
      <c r="I92" s="7" t="s">
        <v>439</v>
      </c>
      <c r="J92" s="7" t="s">
        <v>77</v>
      </c>
      <c r="K92" s="7" t="s">
        <v>122</v>
      </c>
      <c r="L92" s="8" t="s">
        <v>79</v>
      </c>
      <c r="M92" s="8" t="s">
        <v>80</v>
      </c>
      <c r="N92" s="8" t="s">
        <v>79</v>
      </c>
      <c r="O92" s="8" t="s">
        <v>179</v>
      </c>
      <c r="P92" s="8" t="s">
        <v>79</v>
      </c>
      <c r="Q92" s="8" t="s">
        <v>83</v>
      </c>
      <c r="R92" s="8" t="s">
        <v>79</v>
      </c>
      <c r="S92" s="8" t="s">
        <v>79</v>
      </c>
      <c r="T92" s="8" t="s">
        <v>86</v>
      </c>
      <c r="U92" s="8" t="s">
        <v>141</v>
      </c>
      <c r="V92" s="8" t="s">
        <v>112</v>
      </c>
      <c r="W92" s="9">
        <v>3</v>
      </c>
      <c r="X92" s="9">
        <v>1</v>
      </c>
      <c r="Y92" s="9">
        <v>3</v>
      </c>
      <c r="Z92" s="9">
        <v>1</v>
      </c>
      <c r="AA92" s="9">
        <v>1</v>
      </c>
      <c r="AB92" s="9">
        <v>1</v>
      </c>
      <c r="AC92" s="9">
        <v>1</v>
      </c>
      <c r="AD92" s="9">
        <v>3</v>
      </c>
      <c r="AE92" s="9">
        <v>1</v>
      </c>
      <c r="AF92" s="9">
        <v>1</v>
      </c>
      <c r="AG92" s="9">
        <v>3</v>
      </c>
      <c r="AH92" s="9">
        <v>2</v>
      </c>
      <c r="AI92" s="9">
        <v>2</v>
      </c>
      <c r="AJ92" s="9">
        <v>2</v>
      </c>
      <c r="AK92" s="9">
        <v>2</v>
      </c>
      <c r="AL92" s="10">
        <v>3</v>
      </c>
      <c r="AM92" s="10">
        <v>2</v>
      </c>
      <c r="AN92" s="10">
        <v>2</v>
      </c>
      <c r="AO92" s="10">
        <v>2</v>
      </c>
      <c r="AP92" s="10">
        <v>2</v>
      </c>
      <c r="AQ92" s="10">
        <v>2</v>
      </c>
      <c r="AR92" s="10">
        <v>2</v>
      </c>
      <c r="AS92" s="11">
        <v>1</v>
      </c>
      <c r="AT92" s="11">
        <v>1</v>
      </c>
      <c r="AU92" s="11">
        <v>1</v>
      </c>
      <c r="AV92" s="11">
        <v>1</v>
      </c>
      <c r="AW92" s="11">
        <v>1</v>
      </c>
      <c r="AX92" s="11">
        <v>1</v>
      </c>
      <c r="AY92" s="7">
        <v>3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12">
        <f>SUM(data__22[[#This Row],[N1]:[N4]],data__22[[#This Row],[N10]:[N13]],data__22[[#This Row],[N16]:[N18]])/11</f>
        <v>2.0909090909090908</v>
      </c>
      <c r="BH92" s="13">
        <f>SUM(data__22[[#This Row],[N8]:[N9]],data__22[[#This Row],[N23]:[N25]])/5</f>
        <v>1.4</v>
      </c>
      <c r="BI92" s="12">
        <f>SUM(data__22[[#This Row],[N5]:[N7]])/3</f>
        <v>1</v>
      </c>
      <c r="BJ92" s="12">
        <f>SUM(data__22[[#This Row],[N14]:[N15]],data__22[[#This Row],[N19]:[N22]],data__22[[#This Row],[N26]:[N28]])/9</f>
        <v>1.6666666666666667</v>
      </c>
      <c r="BK92" s="12">
        <f>SUM(data__22[[#This Row],[N29]:[N33]])/5</f>
        <v>1.4</v>
      </c>
      <c r="BL92" s="12">
        <f>SUM(data__22[[#This Row],[N34]:[N36]])/3</f>
        <v>1</v>
      </c>
    </row>
    <row r="93" spans="1:64" x14ac:dyDescent="0.3">
      <c r="A93" s="7">
        <v>24</v>
      </c>
      <c r="B93" s="7" t="s">
        <v>70</v>
      </c>
      <c r="C93" s="7" t="s">
        <v>96</v>
      </c>
      <c r="D93" s="7" t="s">
        <v>97</v>
      </c>
      <c r="E93" s="7" t="s">
        <v>108</v>
      </c>
      <c r="F93" s="7" t="s">
        <v>74</v>
      </c>
      <c r="G93" s="7" t="s">
        <v>438</v>
      </c>
      <c r="H93" s="7" t="s">
        <v>74</v>
      </c>
      <c r="I93" s="7" t="s">
        <v>76</v>
      </c>
      <c r="J93" s="7" t="s">
        <v>77</v>
      </c>
      <c r="K93" s="7" t="s">
        <v>122</v>
      </c>
      <c r="L93" s="8" t="s">
        <v>79</v>
      </c>
      <c r="M93" s="8" t="s">
        <v>132</v>
      </c>
      <c r="N93" s="8" t="s">
        <v>79</v>
      </c>
      <c r="O93" s="8" t="s">
        <v>109</v>
      </c>
      <c r="P93" s="8" t="s">
        <v>82</v>
      </c>
      <c r="Q93" s="8" t="s">
        <v>103</v>
      </c>
      <c r="R93" s="8" t="s">
        <v>79</v>
      </c>
      <c r="S93" s="8" t="s">
        <v>82</v>
      </c>
      <c r="T93" s="8" t="s">
        <v>106</v>
      </c>
      <c r="U93" s="8" t="s">
        <v>120</v>
      </c>
      <c r="V93" s="8" t="s">
        <v>112</v>
      </c>
      <c r="W93" s="9">
        <v>1</v>
      </c>
      <c r="X93" s="9">
        <v>1</v>
      </c>
      <c r="Y93" s="9">
        <v>3</v>
      </c>
      <c r="Z93" s="9">
        <v>3</v>
      </c>
      <c r="AA93" s="9">
        <v>1</v>
      </c>
      <c r="AB93" s="9">
        <v>1</v>
      </c>
      <c r="AC93" s="9">
        <v>1</v>
      </c>
      <c r="AD93" s="9">
        <v>1</v>
      </c>
      <c r="AE93" s="9">
        <v>3</v>
      </c>
      <c r="AF93" s="9">
        <v>3</v>
      </c>
      <c r="AG93" s="9">
        <v>3</v>
      </c>
      <c r="AH93" s="9">
        <v>3</v>
      </c>
      <c r="AI93" s="9">
        <v>3</v>
      </c>
      <c r="AJ93" s="9">
        <v>3</v>
      </c>
      <c r="AK93" s="9">
        <v>3</v>
      </c>
      <c r="AL93" s="10">
        <v>3</v>
      </c>
      <c r="AM93" s="10">
        <v>3</v>
      </c>
      <c r="AN93" s="10">
        <v>3</v>
      </c>
      <c r="AO93" s="10">
        <v>3</v>
      </c>
      <c r="AP93" s="10">
        <v>2</v>
      </c>
      <c r="AQ93" s="10">
        <v>3</v>
      </c>
      <c r="AR93" s="10">
        <v>3</v>
      </c>
      <c r="AS93" s="11">
        <v>3</v>
      </c>
      <c r="AT93" s="11">
        <v>2</v>
      </c>
      <c r="AU93" s="11">
        <v>2</v>
      </c>
      <c r="AV93" s="11">
        <v>2</v>
      </c>
      <c r="AW93" s="11">
        <v>2</v>
      </c>
      <c r="AX93" s="11">
        <v>1</v>
      </c>
      <c r="AY93" s="7">
        <v>2</v>
      </c>
      <c r="AZ93" s="7">
        <v>2</v>
      </c>
      <c r="BA93" s="7">
        <v>2</v>
      </c>
      <c r="BB93" s="7">
        <v>2</v>
      </c>
      <c r="BC93" s="7">
        <v>2</v>
      </c>
      <c r="BD93" s="7">
        <v>2</v>
      </c>
      <c r="BE93" s="7">
        <v>2</v>
      </c>
      <c r="BF93" s="7">
        <v>1</v>
      </c>
      <c r="BG93" s="12">
        <f>SUM(data__22[[#This Row],[N1]:[N4]],data__22[[#This Row],[N10]:[N13]],data__22[[#This Row],[N16]:[N18]])/11</f>
        <v>2.6363636363636362</v>
      </c>
      <c r="BH93" s="13">
        <f>SUM(data__22[[#This Row],[N8]:[N9]],data__22[[#This Row],[N23]:[N25]])/5</f>
        <v>2.2000000000000002</v>
      </c>
      <c r="BI93" s="12">
        <f>SUM(data__22[[#This Row],[N5]:[N7]])/3</f>
        <v>1</v>
      </c>
      <c r="BJ93" s="12">
        <f>SUM(data__22[[#This Row],[N14]:[N15]],data__22[[#This Row],[N19]:[N22]],data__22[[#This Row],[N26]:[N28]])/9</f>
        <v>2.4444444444444446</v>
      </c>
      <c r="BK93" s="12">
        <f>SUM(data__22[[#This Row],[N29]:[N33]])/5</f>
        <v>2</v>
      </c>
      <c r="BL93" s="12">
        <f>SUM(data__22[[#This Row],[N34]:[N36]])/3</f>
        <v>1.6666666666666667</v>
      </c>
    </row>
    <row r="94" spans="1:64" x14ac:dyDescent="0.3">
      <c r="A94" s="7">
        <v>22</v>
      </c>
      <c r="B94" s="7" t="s">
        <v>70</v>
      </c>
      <c r="C94" s="7" t="s">
        <v>96</v>
      </c>
      <c r="D94" s="7" t="s">
        <v>97</v>
      </c>
      <c r="E94" s="7" t="s">
        <v>108</v>
      </c>
      <c r="F94" s="7" t="s">
        <v>74</v>
      </c>
      <c r="G94" s="7" t="s">
        <v>440</v>
      </c>
      <c r="H94" s="7" t="s">
        <v>136</v>
      </c>
      <c r="I94" s="7" t="s">
        <v>76</v>
      </c>
      <c r="J94" s="7" t="s">
        <v>77</v>
      </c>
      <c r="K94" s="7" t="s">
        <v>122</v>
      </c>
      <c r="L94" s="8" t="s">
        <v>82</v>
      </c>
      <c r="M94" s="8" t="s">
        <v>80</v>
      </c>
      <c r="N94" s="8" t="s">
        <v>82</v>
      </c>
      <c r="O94" s="8" t="s">
        <v>109</v>
      </c>
      <c r="P94" s="8" t="s">
        <v>82</v>
      </c>
      <c r="Q94" s="8" t="s">
        <v>103</v>
      </c>
      <c r="R94" s="8" t="s">
        <v>79</v>
      </c>
      <c r="S94" s="8" t="s">
        <v>82</v>
      </c>
      <c r="T94" s="8" t="s">
        <v>148</v>
      </c>
      <c r="U94" s="8" t="s">
        <v>141</v>
      </c>
      <c r="V94" s="8" t="s">
        <v>112</v>
      </c>
      <c r="W94" s="9">
        <v>1</v>
      </c>
      <c r="X94" s="9">
        <v>3</v>
      </c>
      <c r="Y94" s="9">
        <v>3</v>
      </c>
      <c r="Z94" s="9">
        <v>3</v>
      </c>
      <c r="AA94" s="9">
        <v>1</v>
      </c>
      <c r="AB94" s="9">
        <v>2</v>
      </c>
      <c r="AC94" s="9">
        <v>2</v>
      </c>
      <c r="AD94" s="9">
        <v>3</v>
      </c>
      <c r="AE94" s="9">
        <v>3</v>
      </c>
      <c r="AF94" s="9">
        <v>0</v>
      </c>
      <c r="AG94" s="9">
        <v>3</v>
      </c>
      <c r="AH94" s="9">
        <v>3</v>
      </c>
      <c r="AI94" s="9">
        <v>2</v>
      </c>
      <c r="AJ94" s="9">
        <v>2</v>
      </c>
      <c r="AK94" s="9">
        <v>0</v>
      </c>
      <c r="AL94" s="10">
        <v>3</v>
      </c>
      <c r="AM94" s="10">
        <v>3</v>
      </c>
      <c r="AN94" s="10">
        <v>3</v>
      </c>
      <c r="AO94" s="10">
        <v>0</v>
      </c>
      <c r="AP94" s="10">
        <v>0</v>
      </c>
      <c r="AQ94" s="10">
        <v>0</v>
      </c>
      <c r="AR94" s="10">
        <v>0</v>
      </c>
      <c r="AS94" s="11">
        <v>3</v>
      </c>
      <c r="AT94" s="11">
        <v>1</v>
      </c>
      <c r="AU94" s="11">
        <v>1</v>
      </c>
      <c r="AV94" s="11">
        <v>1</v>
      </c>
      <c r="AW94" s="11">
        <v>0</v>
      </c>
      <c r="AX94" s="11">
        <v>1</v>
      </c>
      <c r="AY94" s="7">
        <v>3</v>
      </c>
      <c r="AZ94" s="7">
        <v>3</v>
      </c>
      <c r="BA94" s="7">
        <v>3</v>
      </c>
      <c r="BB94" s="7">
        <v>3</v>
      </c>
      <c r="BC94" s="7">
        <v>1</v>
      </c>
      <c r="BD94" s="7">
        <v>0</v>
      </c>
      <c r="BE94" s="7">
        <v>1</v>
      </c>
      <c r="BF94" s="7">
        <v>0</v>
      </c>
      <c r="BG94" s="12">
        <f>SUM(data__22[[#This Row],[N1]:[N4]],data__22[[#This Row],[N10]:[N13]],data__22[[#This Row],[N16]:[N18]])/11</f>
        <v>2.4545454545454546</v>
      </c>
      <c r="BH94" s="13">
        <f>SUM(data__22[[#This Row],[N8]:[N9]],data__22[[#This Row],[N23]:[N25]])/5</f>
        <v>2.2000000000000002</v>
      </c>
      <c r="BI94" s="12">
        <f>SUM(data__22[[#This Row],[N5]:[N7]])/3</f>
        <v>1.6666666666666667</v>
      </c>
      <c r="BJ94" s="12">
        <f>SUM(data__22[[#This Row],[N14]:[N15]],data__22[[#This Row],[N19]:[N22]],data__22[[#This Row],[N26]:[N28]])/9</f>
        <v>0.44444444444444442</v>
      </c>
      <c r="BK94" s="12">
        <f>SUM(data__22[[#This Row],[N29]:[N33]])/5</f>
        <v>2.6</v>
      </c>
      <c r="BL94" s="12">
        <f>SUM(data__22[[#This Row],[N34]:[N36]])/3</f>
        <v>0.33333333333333331</v>
      </c>
    </row>
    <row r="95" spans="1:64" x14ac:dyDescent="0.3">
      <c r="A95" s="7">
        <v>22</v>
      </c>
      <c r="B95" s="7" t="s">
        <v>70</v>
      </c>
      <c r="C95" s="7" t="s">
        <v>157</v>
      </c>
      <c r="D95" s="7" t="s">
        <v>97</v>
      </c>
      <c r="E95" s="7" t="s">
        <v>108</v>
      </c>
      <c r="F95" s="7" t="s">
        <v>74</v>
      </c>
      <c r="G95" s="7" t="s">
        <v>438</v>
      </c>
      <c r="H95" s="7" t="s">
        <v>74</v>
      </c>
      <c r="I95" s="7" t="s">
        <v>99</v>
      </c>
      <c r="J95" s="7" t="s">
        <v>77</v>
      </c>
      <c r="K95" s="7" t="s">
        <v>125</v>
      </c>
      <c r="L95" s="8" t="s">
        <v>79</v>
      </c>
      <c r="M95" s="8" t="s">
        <v>80</v>
      </c>
      <c r="N95" s="8" t="s">
        <v>79</v>
      </c>
      <c r="O95" s="8" t="s">
        <v>138</v>
      </c>
      <c r="P95" s="8" t="s">
        <v>82</v>
      </c>
      <c r="Q95" s="8" t="s">
        <v>83</v>
      </c>
      <c r="R95" s="8" t="s">
        <v>79</v>
      </c>
      <c r="S95" s="8" t="s">
        <v>82</v>
      </c>
      <c r="T95" s="8" t="s">
        <v>86</v>
      </c>
      <c r="U95" s="8" t="s">
        <v>141</v>
      </c>
      <c r="V95" s="8" t="s">
        <v>112</v>
      </c>
      <c r="W95" s="9">
        <v>1</v>
      </c>
      <c r="X95" s="9">
        <v>1</v>
      </c>
      <c r="Y95" s="9">
        <v>3</v>
      </c>
      <c r="Z95" s="9">
        <v>2</v>
      </c>
      <c r="AA95" s="9">
        <v>1</v>
      </c>
      <c r="AB95" s="9">
        <v>1</v>
      </c>
      <c r="AC95" s="9">
        <v>3</v>
      </c>
      <c r="AD95" s="9">
        <v>3</v>
      </c>
      <c r="AE95" s="9">
        <v>3</v>
      </c>
      <c r="AF95" s="9">
        <v>3</v>
      </c>
      <c r="AG95" s="9">
        <v>3</v>
      </c>
      <c r="AH95" s="9">
        <v>3</v>
      </c>
      <c r="AI95" s="9">
        <v>3</v>
      </c>
      <c r="AJ95" s="9">
        <v>3</v>
      </c>
      <c r="AK95" s="9">
        <v>3</v>
      </c>
      <c r="AL95" s="10">
        <v>3</v>
      </c>
      <c r="AM95" s="10">
        <v>3</v>
      </c>
      <c r="AN95" s="10">
        <v>3</v>
      </c>
      <c r="AO95" s="10">
        <v>0</v>
      </c>
      <c r="AP95" s="10">
        <v>1</v>
      </c>
      <c r="AQ95" s="10">
        <v>0</v>
      </c>
      <c r="AR95" s="10">
        <v>0</v>
      </c>
      <c r="AS95" s="11">
        <v>1</v>
      </c>
      <c r="AT95" s="11">
        <v>0</v>
      </c>
      <c r="AU95" s="11">
        <v>0</v>
      </c>
      <c r="AV95" s="11">
        <v>3</v>
      </c>
      <c r="AW95" s="11">
        <v>0</v>
      </c>
      <c r="AX95" s="11">
        <v>0</v>
      </c>
      <c r="AY95" s="7">
        <v>3</v>
      </c>
      <c r="AZ95" s="7">
        <v>3</v>
      </c>
      <c r="BA95" s="7">
        <v>3</v>
      </c>
      <c r="BB95" s="7">
        <v>3</v>
      </c>
      <c r="BC95" s="7">
        <v>3</v>
      </c>
      <c r="BD95" s="7">
        <v>1</v>
      </c>
      <c r="BE95" s="7">
        <v>1</v>
      </c>
      <c r="BF95" s="7">
        <v>1</v>
      </c>
      <c r="BG95" s="12">
        <f>SUM(data__22[[#This Row],[N1]:[N4]],data__22[[#This Row],[N10]:[N13]],data__22[[#This Row],[N16]:[N18]])/11</f>
        <v>2.5454545454545454</v>
      </c>
      <c r="BH95" s="13">
        <f>SUM(data__22[[#This Row],[N8]:[N9]],data__22[[#This Row],[N23]:[N25]])/5</f>
        <v>1.4</v>
      </c>
      <c r="BI95" s="12">
        <f>SUM(data__22[[#This Row],[N5]:[N7]])/3</f>
        <v>1.6666666666666667</v>
      </c>
      <c r="BJ95" s="12">
        <f>SUM(data__22[[#This Row],[N14]:[N15]],data__22[[#This Row],[N19]:[N22]],data__22[[#This Row],[N26]:[N28]])/9</f>
        <v>1.1111111111111112</v>
      </c>
      <c r="BK95" s="12">
        <f>SUM(data__22[[#This Row],[N29]:[N33]])/5</f>
        <v>3</v>
      </c>
      <c r="BL95" s="12">
        <f>SUM(data__22[[#This Row],[N34]:[N36]])/3</f>
        <v>1</v>
      </c>
    </row>
    <row r="96" spans="1:64" x14ac:dyDescent="0.3">
      <c r="A96" s="7">
        <v>22</v>
      </c>
      <c r="B96" s="7" t="s">
        <v>70</v>
      </c>
      <c r="C96" s="7" t="s">
        <v>157</v>
      </c>
      <c r="D96" s="7" t="s">
        <v>72</v>
      </c>
      <c r="E96" s="7" t="s">
        <v>73</v>
      </c>
      <c r="F96" s="7" t="s">
        <v>98</v>
      </c>
      <c r="G96" s="7" t="s">
        <v>439</v>
      </c>
      <c r="H96" s="7" t="s">
        <v>98</v>
      </c>
      <c r="I96" s="7" t="s">
        <v>76</v>
      </c>
      <c r="J96" s="7" t="s">
        <v>77</v>
      </c>
      <c r="K96" s="7" t="s">
        <v>125</v>
      </c>
      <c r="L96" s="8" t="s">
        <v>82</v>
      </c>
      <c r="M96" s="8" t="s">
        <v>80</v>
      </c>
      <c r="N96" s="8" t="s">
        <v>82</v>
      </c>
      <c r="O96" s="8" t="s">
        <v>81</v>
      </c>
      <c r="P96" s="8" t="s">
        <v>82</v>
      </c>
      <c r="Q96" s="8" t="s">
        <v>83</v>
      </c>
      <c r="R96" s="8" t="s">
        <v>79</v>
      </c>
      <c r="S96" s="8" t="s">
        <v>82</v>
      </c>
      <c r="T96" s="8" t="s">
        <v>86</v>
      </c>
      <c r="U96" s="8" t="s">
        <v>141</v>
      </c>
      <c r="V96" s="8" t="s">
        <v>457</v>
      </c>
      <c r="W96" s="9">
        <v>2</v>
      </c>
      <c r="X96" s="9">
        <v>2</v>
      </c>
      <c r="Y96" s="9">
        <v>2</v>
      </c>
      <c r="Z96" s="9">
        <v>1</v>
      </c>
      <c r="AA96" s="9">
        <v>1</v>
      </c>
      <c r="AB96" s="9">
        <v>1</v>
      </c>
      <c r="AC96" s="9">
        <v>1</v>
      </c>
      <c r="AD96" s="9">
        <v>1</v>
      </c>
      <c r="AE96" s="9">
        <v>1</v>
      </c>
      <c r="AF96" s="9">
        <v>1</v>
      </c>
      <c r="AG96" s="9">
        <v>1</v>
      </c>
      <c r="AH96" s="9">
        <v>1</v>
      </c>
      <c r="AI96" s="9">
        <v>1</v>
      </c>
      <c r="AJ96" s="9">
        <v>1</v>
      </c>
      <c r="AK96" s="9">
        <v>1</v>
      </c>
      <c r="AL96" s="10">
        <v>1</v>
      </c>
      <c r="AM96" s="10">
        <v>1</v>
      </c>
      <c r="AN96" s="10">
        <v>1</v>
      </c>
      <c r="AO96" s="10">
        <v>1</v>
      </c>
      <c r="AP96" s="10">
        <v>1</v>
      </c>
      <c r="AQ96" s="10">
        <v>0</v>
      </c>
      <c r="AR96" s="10">
        <v>2</v>
      </c>
      <c r="AS96" s="11">
        <v>1</v>
      </c>
      <c r="AT96" s="11">
        <v>1</v>
      </c>
      <c r="AU96" s="11">
        <v>1</v>
      </c>
      <c r="AV96" s="11">
        <v>1</v>
      </c>
      <c r="AW96" s="11">
        <v>1</v>
      </c>
      <c r="AX96" s="11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12">
        <f>SUM(data__22[[#This Row],[N1]:[N4]],data__22[[#This Row],[N10]:[N13]],data__22[[#This Row],[N16]:[N18]])/11</f>
        <v>1.2727272727272727</v>
      </c>
      <c r="BH96" s="13">
        <f>SUM(data__22[[#This Row],[N8]:[N9]],data__22[[#This Row],[N23]:[N25]])/5</f>
        <v>1</v>
      </c>
      <c r="BI96" s="12">
        <f>SUM(data__22[[#This Row],[N5]:[N7]])/3</f>
        <v>1</v>
      </c>
      <c r="BJ96" s="12">
        <f>SUM(data__22[[#This Row],[N14]:[N15]],data__22[[#This Row],[N19]:[N22]],data__22[[#This Row],[N26]:[N28]])/9</f>
        <v>1</v>
      </c>
      <c r="BK96" s="12">
        <f>SUM(data__22[[#This Row],[N29]:[N33]])/5</f>
        <v>1</v>
      </c>
      <c r="BL96" s="12">
        <f>SUM(data__22[[#This Row],[N34]:[N36]])/3</f>
        <v>1</v>
      </c>
    </row>
    <row r="97" spans="1:64" x14ac:dyDescent="0.3">
      <c r="A97" s="7">
        <v>23</v>
      </c>
      <c r="B97" s="7" t="s">
        <v>70</v>
      </c>
      <c r="C97" s="7" t="s">
        <v>96</v>
      </c>
      <c r="D97" s="7" t="s">
        <v>149</v>
      </c>
      <c r="E97" s="7" t="s">
        <v>73</v>
      </c>
      <c r="F97" s="7" t="s">
        <v>136</v>
      </c>
      <c r="G97" s="7" t="s">
        <v>439</v>
      </c>
      <c r="H97" s="7" t="s">
        <v>136</v>
      </c>
      <c r="I97" s="7" t="s">
        <v>76</v>
      </c>
      <c r="J97" s="7" t="s">
        <v>77</v>
      </c>
      <c r="K97" s="7" t="s">
        <v>122</v>
      </c>
      <c r="L97" s="8" t="s">
        <v>79</v>
      </c>
      <c r="M97" s="8" t="s">
        <v>80</v>
      </c>
      <c r="N97" s="8" t="s">
        <v>79</v>
      </c>
      <c r="O97" s="8" t="s">
        <v>109</v>
      </c>
      <c r="P97" s="8" t="s">
        <v>82</v>
      </c>
      <c r="Q97" s="8" t="s">
        <v>118</v>
      </c>
      <c r="R97" s="8" t="s">
        <v>79</v>
      </c>
      <c r="S97" s="8" t="s">
        <v>79</v>
      </c>
      <c r="T97" s="8" t="s">
        <v>106</v>
      </c>
      <c r="U97" s="8" t="s">
        <v>87</v>
      </c>
      <c r="V97" s="8" t="s">
        <v>160</v>
      </c>
      <c r="W97" s="9">
        <v>2</v>
      </c>
      <c r="X97" s="9">
        <v>2</v>
      </c>
      <c r="Y97" s="9">
        <v>2</v>
      </c>
      <c r="Z97" s="9">
        <v>1</v>
      </c>
      <c r="AA97" s="9">
        <v>2</v>
      </c>
      <c r="AB97" s="9">
        <v>1</v>
      </c>
      <c r="AC97" s="9">
        <v>2</v>
      </c>
      <c r="AD97" s="9">
        <v>1</v>
      </c>
      <c r="AE97" s="9">
        <v>2</v>
      </c>
      <c r="AF97" s="9">
        <v>1</v>
      </c>
      <c r="AG97" s="9">
        <v>1</v>
      </c>
      <c r="AH97" s="9">
        <v>2</v>
      </c>
      <c r="AI97" s="9">
        <v>1</v>
      </c>
      <c r="AJ97" s="9">
        <v>2</v>
      </c>
      <c r="AK97" s="9">
        <v>1</v>
      </c>
      <c r="AL97" s="10">
        <v>0</v>
      </c>
      <c r="AM97" s="10">
        <v>2</v>
      </c>
      <c r="AN97" s="10">
        <v>2</v>
      </c>
      <c r="AO97" s="10">
        <v>1</v>
      </c>
      <c r="AP97" s="10">
        <v>0</v>
      </c>
      <c r="AQ97" s="10">
        <v>2</v>
      </c>
      <c r="AR97" s="10">
        <v>1</v>
      </c>
      <c r="AS97" s="11">
        <v>0</v>
      </c>
      <c r="AT97" s="11">
        <v>1</v>
      </c>
      <c r="AU97" s="11">
        <v>1</v>
      </c>
      <c r="AV97" s="11">
        <v>2</v>
      </c>
      <c r="AW97" s="11">
        <v>2</v>
      </c>
      <c r="AX97" s="11">
        <v>0</v>
      </c>
      <c r="AY97" s="7">
        <v>0</v>
      </c>
      <c r="AZ97" s="7">
        <v>2</v>
      </c>
      <c r="BA97" s="7">
        <v>0</v>
      </c>
      <c r="BB97" s="7">
        <v>1</v>
      </c>
      <c r="BC97" s="7">
        <v>2</v>
      </c>
      <c r="BD97" s="7">
        <v>0</v>
      </c>
      <c r="BE97" s="7">
        <v>0</v>
      </c>
      <c r="BF97" s="7">
        <v>2</v>
      </c>
      <c r="BG97" s="12">
        <f>SUM(data__22[[#This Row],[N1]:[N4]],data__22[[#This Row],[N10]:[N13]],data__22[[#This Row],[N16]:[N18]])/11</f>
        <v>1.4545454545454546</v>
      </c>
      <c r="BH97" s="13">
        <f>SUM(data__22[[#This Row],[N8]:[N9]],data__22[[#This Row],[N23]:[N25]])/5</f>
        <v>1</v>
      </c>
      <c r="BI97" s="12">
        <f>SUM(data__22[[#This Row],[N5]:[N7]])/3</f>
        <v>1.6666666666666667</v>
      </c>
      <c r="BJ97" s="12">
        <f>SUM(data__22[[#This Row],[N14]:[N15]],data__22[[#This Row],[N19]:[N22]],data__22[[#This Row],[N26]:[N28]])/9</f>
        <v>1.2222222222222223</v>
      </c>
      <c r="BK97" s="12">
        <f>SUM(data__22[[#This Row],[N29]:[N33]])/5</f>
        <v>1</v>
      </c>
      <c r="BL97" s="12">
        <f>SUM(data__22[[#This Row],[N34]:[N36]])/3</f>
        <v>0.66666666666666663</v>
      </c>
    </row>
    <row r="98" spans="1:64" x14ac:dyDescent="0.3">
      <c r="A98" s="7">
        <v>17</v>
      </c>
      <c r="B98" s="7" t="s">
        <v>70</v>
      </c>
      <c r="C98" s="7" t="s">
        <v>157</v>
      </c>
      <c r="D98" s="7" t="s">
        <v>97</v>
      </c>
      <c r="E98" s="7" t="s">
        <v>108</v>
      </c>
      <c r="F98" s="7" t="s">
        <v>74</v>
      </c>
      <c r="G98" s="7" t="s">
        <v>439</v>
      </c>
      <c r="H98" s="7" t="s">
        <v>74</v>
      </c>
      <c r="I98" s="7" t="s">
        <v>76</v>
      </c>
      <c r="J98" s="7" t="s">
        <v>77</v>
      </c>
      <c r="K98" s="7" t="s">
        <v>122</v>
      </c>
      <c r="L98" s="8" t="s">
        <v>79</v>
      </c>
      <c r="M98" s="8" t="s">
        <v>80</v>
      </c>
      <c r="N98" s="8" t="s">
        <v>79</v>
      </c>
      <c r="O98" s="8" t="s">
        <v>81</v>
      </c>
      <c r="P98" s="8" t="s">
        <v>79</v>
      </c>
      <c r="Q98" s="8" t="s">
        <v>83</v>
      </c>
      <c r="R98" s="8" t="s">
        <v>79</v>
      </c>
      <c r="S98" s="8" t="s">
        <v>82</v>
      </c>
      <c r="T98" s="8" t="s">
        <v>86</v>
      </c>
      <c r="U98" s="8" t="s">
        <v>87</v>
      </c>
      <c r="V98" s="8" t="s">
        <v>160</v>
      </c>
      <c r="W98" s="9">
        <v>1</v>
      </c>
      <c r="X98" s="9">
        <v>1</v>
      </c>
      <c r="Y98" s="9">
        <v>2</v>
      </c>
      <c r="Z98" s="9">
        <v>2</v>
      </c>
      <c r="AA98" s="9">
        <v>3</v>
      </c>
      <c r="AB98" s="9">
        <v>3</v>
      </c>
      <c r="AC98" s="9">
        <v>2</v>
      </c>
      <c r="AD98" s="9">
        <v>3</v>
      </c>
      <c r="AE98" s="9">
        <v>3</v>
      </c>
      <c r="AF98" s="9">
        <v>0</v>
      </c>
      <c r="AG98" s="9">
        <v>3</v>
      </c>
      <c r="AH98" s="9">
        <v>3</v>
      </c>
      <c r="AI98" s="9">
        <v>3</v>
      </c>
      <c r="AJ98" s="9">
        <v>2</v>
      </c>
      <c r="AK98" s="9">
        <v>2</v>
      </c>
      <c r="AL98" s="10">
        <v>3</v>
      </c>
      <c r="AM98" s="10">
        <v>3</v>
      </c>
      <c r="AN98" s="10">
        <v>3</v>
      </c>
      <c r="AO98" s="10">
        <v>1</v>
      </c>
      <c r="AP98" s="10">
        <v>1</v>
      </c>
      <c r="AQ98" s="10">
        <v>0</v>
      </c>
      <c r="AR98" s="10">
        <v>2</v>
      </c>
      <c r="AS98" s="11">
        <v>1</v>
      </c>
      <c r="AT98" s="11">
        <v>0</v>
      </c>
      <c r="AU98" s="11">
        <v>0</v>
      </c>
      <c r="AV98" s="11">
        <v>1</v>
      </c>
      <c r="AW98" s="11">
        <v>3</v>
      </c>
      <c r="AX98" s="11">
        <v>3</v>
      </c>
      <c r="AY98" s="7">
        <v>1</v>
      </c>
      <c r="AZ98" s="7">
        <v>2</v>
      </c>
      <c r="BA98" s="7">
        <v>0</v>
      </c>
      <c r="BB98" s="7">
        <v>1</v>
      </c>
      <c r="BC98" s="7">
        <v>3</v>
      </c>
      <c r="BD98" s="7">
        <v>3</v>
      </c>
      <c r="BE98" s="7">
        <v>3</v>
      </c>
      <c r="BF98" s="7">
        <v>3</v>
      </c>
      <c r="BG98" s="12">
        <f>SUM(data__22[[#This Row],[N1]:[N4]],data__22[[#This Row],[N10]:[N13]],data__22[[#This Row],[N16]:[N18]])/11</f>
        <v>2.1818181818181817</v>
      </c>
      <c r="BH98" s="13">
        <f>SUM(data__22[[#This Row],[N8]:[N9]],data__22[[#This Row],[N23]:[N25]])/5</f>
        <v>1.4</v>
      </c>
      <c r="BI98" s="12">
        <f>SUM(data__22[[#This Row],[N5]:[N7]])/3</f>
        <v>2.6666666666666665</v>
      </c>
      <c r="BJ98" s="12">
        <f>SUM(data__22[[#This Row],[N14]:[N15]],data__22[[#This Row],[N19]:[N22]],data__22[[#This Row],[N26]:[N28]])/9</f>
        <v>1.6666666666666667</v>
      </c>
      <c r="BK98" s="12">
        <f>SUM(data__22[[#This Row],[N29]:[N33]])/5</f>
        <v>1.4</v>
      </c>
      <c r="BL98" s="12">
        <f>SUM(data__22[[#This Row],[N34]:[N36]])/3</f>
        <v>3</v>
      </c>
    </row>
    <row r="99" spans="1:64" x14ac:dyDescent="0.3">
      <c r="A99" s="7">
        <v>24</v>
      </c>
      <c r="B99" s="7" t="s">
        <v>70</v>
      </c>
      <c r="C99" s="7" t="s">
        <v>157</v>
      </c>
      <c r="D99" s="7" t="s">
        <v>97</v>
      </c>
      <c r="E99" s="7" t="s">
        <v>108</v>
      </c>
      <c r="F99" s="7" t="s">
        <v>74</v>
      </c>
      <c r="G99" s="7" t="s">
        <v>440</v>
      </c>
      <c r="H99" s="7" t="s">
        <v>74</v>
      </c>
      <c r="I99" s="7" t="s">
        <v>76</v>
      </c>
      <c r="J99" s="7" t="s">
        <v>77</v>
      </c>
      <c r="K99" s="7" t="s">
        <v>125</v>
      </c>
      <c r="L99" s="8" t="s">
        <v>79</v>
      </c>
      <c r="M99" s="8" t="s">
        <v>201</v>
      </c>
      <c r="N99" s="8" t="s">
        <v>79</v>
      </c>
      <c r="O99" s="8" t="s">
        <v>81</v>
      </c>
      <c r="P99" s="8" t="s">
        <v>82</v>
      </c>
      <c r="Q99" s="8" t="s">
        <v>103</v>
      </c>
      <c r="R99" s="8" t="s">
        <v>79</v>
      </c>
      <c r="S99" s="8" t="s">
        <v>79</v>
      </c>
      <c r="T99" s="8" t="s">
        <v>86</v>
      </c>
      <c r="U99" s="8" t="s">
        <v>141</v>
      </c>
      <c r="V99" s="8" t="s">
        <v>127</v>
      </c>
      <c r="W99" s="9">
        <v>1</v>
      </c>
      <c r="X99" s="9">
        <v>1</v>
      </c>
      <c r="Y99" s="9">
        <v>1</v>
      </c>
      <c r="Z99" s="9">
        <v>1</v>
      </c>
      <c r="AA99" s="9">
        <v>1</v>
      </c>
      <c r="AB99" s="9">
        <v>1</v>
      </c>
      <c r="AC99" s="9">
        <v>1</v>
      </c>
      <c r="AD99" s="9">
        <v>1</v>
      </c>
      <c r="AE99" s="9">
        <v>1</v>
      </c>
      <c r="AF99" s="9">
        <v>1</v>
      </c>
      <c r="AG99" s="9">
        <v>1</v>
      </c>
      <c r="AH99" s="9">
        <v>1</v>
      </c>
      <c r="AI99" s="9">
        <v>1</v>
      </c>
      <c r="AJ99" s="9">
        <v>1</v>
      </c>
      <c r="AK99" s="9">
        <v>1</v>
      </c>
      <c r="AL99" s="10">
        <v>1</v>
      </c>
      <c r="AM99" s="10">
        <v>1</v>
      </c>
      <c r="AN99" s="10">
        <v>1</v>
      </c>
      <c r="AO99" s="10">
        <v>1</v>
      </c>
      <c r="AP99" s="10">
        <v>1</v>
      </c>
      <c r="AQ99" s="10">
        <v>1</v>
      </c>
      <c r="AR99" s="10">
        <v>1</v>
      </c>
      <c r="AS99" s="11">
        <v>1</v>
      </c>
      <c r="AT99" s="11">
        <v>1</v>
      </c>
      <c r="AU99" s="11">
        <v>1</v>
      </c>
      <c r="AV99" s="11">
        <v>1</v>
      </c>
      <c r="AW99" s="11">
        <v>1</v>
      </c>
      <c r="AX99" s="11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12">
        <f>SUM(data__22[[#This Row],[N1]:[N4]],data__22[[#This Row],[N10]:[N13]],data__22[[#This Row],[N16]:[N18]])/11</f>
        <v>1</v>
      </c>
      <c r="BH99" s="13">
        <f>SUM(data__22[[#This Row],[N8]:[N9]],data__22[[#This Row],[N23]:[N25]])/5</f>
        <v>1</v>
      </c>
      <c r="BI99" s="12">
        <f>SUM(data__22[[#This Row],[N5]:[N7]])/3</f>
        <v>1</v>
      </c>
      <c r="BJ99" s="12">
        <f>SUM(data__22[[#This Row],[N14]:[N15]],data__22[[#This Row],[N19]:[N22]],data__22[[#This Row],[N26]:[N28]])/9</f>
        <v>1</v>
      </c>
      <c r="BK99" s="12">
        <f>SUM(data__22[[#This Row],[N29]:[N33]])/5</f>
        <v>1</v>
      </c>
      <c r="BL99" s="12">
        <f>SUM(data__22[[#This Row],[N34]:[N36]])/3</f>
        <v>1</v>
      </c>
    </row>
    <row r="100" spans="1:64" x14ac:dyDescent="0.3">
      <c r="A100" s="7">
        <v>20</v>
      </c>
      <c r="B100" s="7" t="s">
        <v>70</v>
      </c>
      <c r="C100" s="7" t="s">
        <v>157</v>
      </c>
      <c r="D100" s="7" t="s">
        <v>97</v>
      </c>
      <c r="E100" s="7" t="s">
        <v>108</v>
      </c>
      <c r="F100" s="7" t="s">
        <v>74</v>
      </c>
      <c r="G100" s="7" t="s">
        <v>439</v>
      </c>
      <c r="H100" s="7" t="s">
        <v>74</v>
      </c>
      <c r="I100" s="7" t="s">
        <v>76</v>
      </c>
      <c r="J100" s="7" t="s">
        <v>77</v>
      </c>
      <c r="K100" s="7" t="s">
        <v>131</v>
      </c>
      <c r="L100" s="8" t="s">
        <v>79</v>
      </c>
      <c r="M100" s="8" t="s">
        <v>80</v>
      </c>
      <c r="N100" s="8" t="s">
        <v>79</v>
      </c>
      <c r="O100" s="8" t="s">
        <v>81</v>
      </c>
      <c r="P100" s="8" t="s">
        <v>79</v>
      </c>
      <c r="Q100" s="8" t="s">
        <v>83</v>
      </c>
      <c r="R100" s="8" t="s">
        <v>82</v>
      </c>
      <c r="S100" s="8" t="s">
        <v>82</v>
      </c>
      <c r="T100" s="8" t="s">
        <v>106</v>
      </c>
      <c r="U100" s="8" t="s">
        <v>87</v>
      </c>
      <c r="V100" s="8" t="s">
        <v>112</v>
      </c>
      <c r="W100" s="9">
        <v>3</v>
      </c>
      <c r="X100" s="9">
        <v>3</v>
      </c>
      <c r="Y100" s="9">
        <v>3</v>
      </c>
      <c r="Z100" s="9">
        <v>3</v>
      </c>
      <c r="AA100" s="9">
        <v>1</v>
      </c>
      <c r="AB100" s="9">
        <v>1</v>
      </c>
      <c r="AC100" s="9">
        <v>1</v>
      </c>
      <c r="AD100" s="9">
        <v>3</v>
      </c>
      <c r="AE100" s="9">
        <v>1</v>
      </c>
      <c r="AF100" s="9">
        <v>3</v>
      </c>
      <c r="AG100" s="9">
        <v>3</v>
      </c>
      <c r="AH100" s="9">
        <v>3</v>
      </c>
      <c r="AI100" s="9">
        <v>3</v>
      </c>
      <c r="AJ100" s="9">
        <v>1</v>
      </c>
      <c r="AK100" s="9">
        <v>0</v>
      </c>
      <c r="AL100" s="10">
        <v>3</v>
      </c>
      <c r="AM100" s="10">
        <v>3</v>
      </c>
      <c r="AN100" s="10">
        <v>3</v>
      </c>
      <c r="AO100" s="10">
        <v>3</v>
      </c>
      <c r="AP100" s="10">
        <v>0</v>
      </c>
      <c r="AQ100" s="10">
        <v>0</v>
      </c>
      <c r="AR100" s="10">
        <v>0</v>
      </c>
      <c r="AS100" s="11">
        <v>2</v>
      </c>
      <c r="AT100" s="11">
        <v>2</v>
      </c>
      <c r="AU100" s="11">
        <v>1</v>
      </c>
      <c r="AV100" s="11">
        <v>2</v>
      </c>
      <c r="AW100" s="11">
        <v>3</v>
      </c>
      <c r="AX100" s="11">
        <v>3</v>
      </c>
      <c r="AY100" s="7">
        <v>3</v>
      </c>
      <c r="AZ100" s="7">
        <v>3</v>
      </c>
      <c r="BA100" s="7">
        <v>3</v>
      </c>
      <c r="BB100" s="7">
        <v>3</v>
      </c>
      <c r="BC100" s="7">
        <v>3</v>
      </c>
      <c r="BD100" s="7">
        <v>1</v>
      </c>
      <c r="BE100" s="7">
        <v>1</v>
      </c>
      <c r="BF100" s="7">
        <v>1</v>
      </c>
      <c r="BG100" s="12">
        <f>SUM(data__22[[#This Row],[N1]:[N4]],data__22[[#This Row],[N10]:[N13]],data__22[[#This Row],[N16]:[N18]])/11</f>
        <v>3</v>
      </c>
      <c r="BH100" s="13">
        <f>SUM(data__22[[#This Row],[N8]:[N9]],data__22[[#This Row],[N23]:[N25]])/5</f>
        <v>1.8</v>
      </c>
      <c r="BI100" s="12">
        <f>SUM(data__22[[#This Row],[N5]:[N7]])/3</f>
        <v>1</v>
      </c>
      <c r="BJ100" s="12">
        <f>SUM(data__22[[#This Row],[N14]:[N15]],data__22[[#This Row],[N19]:[N22]],data__22[[#This Row],[N26]:[N28]])/9</f>
        <v>1.3333333333333333</v>
      </c>
      <c r="BK100" s="12">
        <f>SUM(data__22[[#This Row],[N29]:[N33]])/5</f>
        <v>3</v>
      </c>
      <c r="BL100" s="12">
        <f>SUM(data__22[[#This Row],[N34]:[N36]])/3</f>
        <v>1</v>
      </c>
    </row>
    <row r="101" spans="1:64" x14ac:dyDescent="0.3">
      <c r="A101" s="7">
        <v>21</v>
      </c>
      <c r="B101" s="7" t="s">
        <v>70</v>
      </c>
      <c r="C101" s="7" t="s">
        <v>96</v>
      </c>
      <c r="D101" s="7" t="s">
        <v>72</v>
      </c>
      <c r="E101" s="7" t="s">
        <v>73</v>
      </c>
      <c r="F101" s="7" t="s">
        <v>74</v>
      </c>
      <c r="G101" s="7" t="s">
        <v>440</v>
      </c>
      <c r="H101" s="7" t="s">
        <v>74</v>
      </c>
      <c r="I101" s="7" t="s">
        <v>99</v>
      </c>
      <c r="J101" s="7" t="s">
        <v>77</v>
      </c>
      <c r="K101" s="7" t="s">
        <v>78</v>
      </c>
      <c r="L101" s="8" t="s">
        <v>79</v>
      </c>
      <c r="M101" s="8" t="s">
        <v>80</v>
      </c>
      <c r="N101" s="8" t="s">
        <v>79</v>
      </c>
      <c r="O101" s="8" t="s">
        <v>81</v>
      </c>
      <c r="P101" s="8" t="s">
        <v>79</v>
      </c>
      <c r="Q101" s="8" t="s">
        <v>83</v>
      </c>
      <c r="R101" s="8" t="s">
        <v>82</v>
      </c>
      <c r="S101" s="8" t="s">
        <v>82</v>
      </c>
      <c r="T101" s="8" t="s">
        <v>106</v>
      </c>
      <c r="U101" s="8" t="s">
        <v>87</v>
      </c>
      <c r="V101" s="8" t="s">
        <v>112</v>
      </c>
      <c r="W101" s="9">
        <v>1</v>
      </c>
      <c r="X101" s="9">
        <v>1</v>
      </c>
      <c r="Y101" s="9">
        <v>1</v>
      </c>
      <c r="Z101" s="9">
        <v>1</v>
      </c>
      <c r="AA101" s="9">
        <v>1</v>
      </c>
      <c r="AB101" s="9">
        <v>1</v>
      </c>
      <c r="AC101" s="9">
        <v>1</v>
      </c>
      <c r="AD101" s="9">
        <v>1</v>
      </c>
      <c r="AE101" s="9">
        <v>1</v>
      </c>
      <c r="AF101" s="9">
        <v>1</v>
      </c>
      <c r="AG101" s="9">
        <v>1</v>
      </c>
      <c r="AH101" s="9">
        <v>1</v>
      </c>
      <c r="AI101" s="9">
        <v>1</v>
      </c>
      <c r="AJ101" s="9">
        <v>1</v>
      </c>
      <c r="AK101" s="9">
        <v>1</v>
      </c>
      <c r="AL101" s="10">
        <v>3</v>
      </c>
      <c r="AM101" s="10">
        <v>3</v>
      </c>
      <c r="AN101" s="10">
        <v>3</v>
      </c>
      <c r="AO101" s="10">
        <v>1</v>
      </c>
      <c r="AP101" s="10">
        <v>1</v>
      </c>
      <c r="AQ101" s="10">
        <v>1</v>
      </c>
      <c r="AR101" s="10">
        <v>1</v>
      </c>
      <c r="AS101" s="11">
        <v>3</v>
      </c>
      <c r="AT101" s="11">
        <v>3</v>
      </c>
      <c r="AU101" s="11">
        <v>3</v>
      </c>
      <c r="AV101" s="11">
        <v>3</v>
      </c>
      <c r="AW101" s="11">
        <v>3</v>
      </c>
      <c r="AX101" s="11">
        <v>3</v>
      </c>
      <c r="AY101" s="7">
        <v>2</v>
      </c>
      <c r="AZ101" s="7">
        <v>2</v>
      </c>
      <c r="BA101" s="7">
        <v>1</v>
      </c>
      <c r="BB101" s="7">
        <v>2</v>
      </c>
      <c r="BC101" s="7">
        <v>2</v>
      </c>
      <c r="BD101" s="7">
        <v>1</v>
      </c>
      <c r="BE101" s="7">
        <v>2</v>
      </c>
      <c r="BF101" s="7">
        <v>1</v>
      </c>
      <c r="BG101" s="12">
        <f>SUM(data__22[[#This Row],[N1]:[N4]],data__22[[#This Row],[N10]:[N13]],data__22[[#This Row],[N16]:[N18]])/11</f>
        <v>1.5454545454545454</v>
      </c>
      <c r="BH101" s="13">
        <f>SUM(data__22[[#This Row],[N8]:[N9]],data__22[[#This Row],[N23]:[N25]])/5</f>
        <v>2.2000000000000002</v>
      </c>
      <c r="BI101" s="12">
        <f>SUM(data__22[[#This Row],[N5]:[N7]])/3</f>
        <v>1</v>
      </c>
      <c r="BJ101" s="12">
        <f>SUM(data__22[[#This Row],[N14]:[N15]],data__22[[#This Row],[N19]:[N22]],data__22[[#This Row],[N26]:[N28]])/9</f>
        <v>1.6666666666666667</v>
      </c>
      <c r="BK101" s="12">
        <f>SUM(data__22[[#This Row],[N29]:[N33]])/5</f>
        <v>1.8</v>
      </c>
      <c r="BL101" s="12">
        <f>SUM(data__22[[#This Row],[N34]:[N36]])/3</f>
        <v>1.3333333333333333</v>
      </c>
    </row>
    <row r="102" spans="1:64" x14ac:dyDescent="0.3">
      <c r="A102" s="7">
        <v>21</v>
      </c>
      <c r="B102" s="7" t="s">
        <v>70</v>
      </c>
      <c r="C102" s="7" t="s">
        <v>157</v>
      </c>
      <c r="D102" s="7" t="s">
        <v>97</v>
      </c>
      <c r="E102" s="7" t="s">
        <v>108</v>
      </c>
      <c r="F102" s="7" t="s">
        <v>74</v>
      </c>
      <c r="G102" s="7" t="s">
        <v>440</v>
      </c>
      <c r="H102" s="7" t="s">
        <v>98</v>
      </c>
      <c r="I102" s="7" t="s">
        <v>76</v>
      </c>
      <c r="J102" s="7" t="s">
        <v>77</v>
      </c>
      <c r="K102" s="7" t="s">
        <v>131</v>
      </c>
      <c r="L102" s="8" t="s">
        <v>79</v>
      </c>
      <c r="M102" s="8" t="s">
        <v>80</v>
      </c>
      <c r="N102" s="8" t="s">
        <v>79</v>
      </c>
      <c r="O102" s="8" t="s">
        <v>109</v>
      </c>
      <c r="P102" s="8" t="s">
        <v>79</v>
      </c>
      <c r="Q102" s="8" t="s">
        <v>83</v>
      </c>
      <c r="R102" s="8" t="s">
        <v>79</v>
      </c>
      <c r="S102" s="8" t="s">
        <v>79</v>
      </c>
      <c r="T102" s="8" t="s">
        <v>86</v>
      </c>
      <c r="U102" s="8" t="s">
        <v>87</v>
      </c>
      <c r="V102" s="8" t="s">
        <v>455</v>
      </c>
      <c r="W102" s="9">
        <v>1</v>
      </c>
      <c r="X102" s="9">
        <v>1</v>
      </c>
      <c r="Y102" s="9">
        <v>1</v>
      </c>
      <c r="Z102" s="9">
        <v>1</v>
      </c>
      <c r="AA102" s="9">
        <v>1</v>
      </c>
      <c r="AB102" s="9">
        <v>1</v>
      </c>
      <c r="AC102" s="9">
        <v>1</v>
      </c>
      <c r="AD102" s="9">
        <v>1</v>
      </c>
      <c r="AE102" s="9">
        <v>1</v>
      </c>
      <c r="AF102" s="9">
        <v>1</v>
      </c>
      <c r="AG102" s="9">
        <v>1</v>
      </c>
      <c r="AH102" s="9">
        <v>1</v>
      </c>
      <c r="AI102" s="9">
        <v>1</v>
      </c>
      <c r="AJ102" s="9">
        <v>1</v>
      </c>
      <c r="AK102" s="9">
        <v>1</v>
      </c>
      <c r="AL102" s="10">
        <v>1</v>
      </c>
      <c r="AM102" s="10">
        <v>1</v>
      </c>
      <c r="AN102" s="10">
        <v>1</v>
      </c>
      <c r="AO102" s="10">
        <v>1</v>
      </c>
      <c r="AP102" s="10">
        <v>1</v>
      </c>
      <c r="AQ102" s="10">
        <v>1</v>
      </c>
      <c r="AR102" s="10">
        <v>1</v>
      </c>
      <c r="AS102" s="11">
        <v>1</v>
      </c>
      <c r="AT102" s="11">
        <v>1</v>
      </c>
      <c r="AU102" s="11">
        <v>1</v>
      </c>
      <c r="AV102" s="11">
        <v>1</v>
      </c>
      <c r="AW102" s="11">
        <v>1</v>
      </c>
      <c r="AX102" s="11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12">
        <f>SUM(data__22[[#This Row],[N1]:[N4]],data__22[[#This Row],[N10]:[N13]],data__22[[#This Row],[N16]:[N18]])/11</f>
        <v>1</v>
      </c>
      <c r="BH102" s="13">
        <f>SUM(data__22[[#This Row],[N8]:[N9]],data__22[[#This Row],[N23]:[N25]])/5</f>
        <v>1</v>
      </c>
      <c r="BI102" s="12">
        <f>SUM(data__22[[#This Row],[N5]:[N7]])/3</f>
        <v>1</v>
      </c>
      <c r="BJ102" s="12">
        <f>SUM(data__22[[#This Row],[N14]:[N15]],data__22[[#This Row],[N19]:[N22]],data__22[[#This Row],[N26]:[N28]])/9</f>
        <v>1</v>
      </c>
      <c r="BK102" s="12">
        <f>SUM(data__22[[#This Row],[N29]:[N33]])/5</f>
        <v>1</v>
      </c>
      <c r="BL102" s="12">
        <f>SUM(data__22[[#This Row],[N34]:[N36]])/3</f>
        <v>1</v>
      </c>
    </row>
    <row r="103" spans="1:64" x14ac:dyDescent="0.3">
      <c r="A103" s="7">
        <v>21</v>
      </c>
      <c r="B103" s="7" t="s">
        <v>70</v>
      </c>
      <c r="C103" s="7" t="s">
        <v>96</v>
      </c>
      <c r="D103" s="7" t="s">
        <v>72</v>
      </c>
      <c r="E103" s="7" t="s">
        <v>73</v>
      </c>
      <c r="F103" s="7" t="s">
        <v>136</v>
      </c>
      <c r="G103" s="7" t="s">
        <v>439</v>
      </c>
      <c r="H103" s="7" t="s">
        <v>136</v>
      </c>
      <c r="I103" s="7" t="s">
        <v>76</v>
      </c>
      <c r="J103" s="7" t="s">
        <v>77</v>
      </c>
      <c r="K103" s="7" t="s">
        <v>78</v>
      </c>
      <c r="L103" s="8" t="s">
        <v>79</v>
      </c>
      <c r="M103" s="8" t="s">
        <v>80</v>
      </c>
      <c r="N103" s="8" t="s">
        <v>79</v>
      </c>
      <c r="O103" s="8" t="s">
        <v>138</v>
      </c>
      <c r="P103" s="8" t="s">
        <v>79</v>
      </c>
      <c r="Q103" s="8" t="s">
        <v>83</v>
      </c>
      <c r="R103" s="8" t="s">
        <v>82</v>
      </c>
      <c r="S103" s="8" t="s">
        <v>82</v>
      </c>
      <c r="T103" s="8" t="s">
        <v>86</v>
      </c>
      <c r="U103" s="8" t="s">
        <v>87</v>
      </c>
      <c r="V103" s="8" t="s">
        <v>455</v>
      </c>
      <c r="W103" s="9">
        <v>1</v>
      </c>
      <c r="X103" s="9">
        <v>0</v>
      </c>
      <c r="Y103" s="9">
        <v>1</v>
      </c>
      <c r="Z103" s="9">
        <v>0</v>
      </c>
      <c r="AA103" s="9">
        <v>2</v>
      </c>
      <c r="AB103" s="9">
        <v>2</v>
      </c>
      <c r="AC103" s="9">
        <v>2</v>
      </c>
      <c r="AD103" s="9">
        <v>0</v>
      </c>
      <c r="AE103" s="9">
        <v>0</v>
      </c>
      <c r="AF103" s="9">
        <v>1</v>
      </c>
      <c r="AG103" s="9">
        <v>1</v>
      </c>
      <c r="AH103" s="9">
        <v>0</v>
      </c>
      <c r="AI103" s="9">
        <v>2</v>
      </c>
      <c r="AJ103" s="9">
        <v>2</v>
      </c>
      <c r="AK103" s="9">
        <v>2</v>
      </c>
      <c r="AL103" s="10">
        <v>1</v>
      </c>
      <c r="AM103" s="10">
        <v>1</v>
      </c>
      <c r="AN103" s="10">
        <v>1</v>
      </c>
      <c r="AO103" s="10">
        <v>1</v>
      </c>
      <c r="AP103" s="10">
        <v>1</v>
      </c>
      <c r="AQ103" s="10">
        <v>2</v>
      </c>
      <c r="AR103" s="10">
        <v>2</v>
      </c>
      <c r="AS103" s="11">
        <v>2</v>
      </c>
      <c r="AT103" s="11">
        <v>2</v>
      </c>
      <c r="AU103" s="11">
        <v>2</v>
      </c>
      <c r="AV103" s="11">
        <v>2</v>
      </c>
      <c r="AW103" s="11">
        <v>2</v>
      </c>
      <c r="AX103" s="11">
        <v>2</v>
      </c>
      <c r="AY103" s="7">
        <v>3</v>
      </c>
      <c r="AZ103" s="7"/>
      <c r="BA103" s="7">
        <v>3</v>
      </c>
      <c r="BB103" s="7">
        <v>3</v>
      </c>
      <c r="BC103" s="7">
        <v>3</v>
      </c>
      <c r="BD103" s="7">
        <v>3</v>
      </c>
      <c r="BE103" s="7">
        <v>3</v>
      </c>
      <c r="BF103" s="7">
        <v>3</v>
      </c>
      <c r="BG103" s="12">
        <f>SUM(data__22[[#This Row],[N1]:[N4]],data__22[[#This Row],[N10]:[N13]],data__22[[#This Row],[N16]:[N18]])/11</f>
        <v>0.81818181818181823</v>
      </c>
      <c r="BH103" s="13">
        <f>SUM(data__22[[#This Row],[N8]:[N9]],data__22[[#This Row],[N23]:[N25]])/5</f>
        <v>1.2</v>
      </c>
      <c r="BI103" s="12">
        <f>SUM(data__22[[#This Row],[N5]:[N7]])/3</f>
        <v>2</v>
      </c>
      <c r="BJ103" s="12">
        <f>SUM(data__22[[#This Row],[N14]:[N15]],data__22[[#This Row],[N19]:[N22]],data__22[[#This Row],[N26]:[N28]])/9</f>
        <v>1.7777777777777777</v>
      </c>
      <c r="BK103" s="12">
        <f>SUM(data__22[[#This Row],[N29]:[N33]])/5</f>
        <v>2.4</v>
      </c>
      <c r="BL103" s="12">
        <f>SUM(data__22[[#This Row],[N34]:[N36]])/3</f>
        <v>3</v>
      </c>
    </row>
    <row r="104" spans="1:64" x14ac:dyDescent="0.3">
      <c r="A104" s="7">
        <v>21</v>
      </c>
      <c r="B104" s="7" t="s">
        <v>70</v>
      </c>
      <c r="C104" s="7" t="s">
        <v>96</v>
      </c>
      <c r="D104" s="7" t="s">
        <v>149</v>
      </c>
      <c r="E104" s="7" t="s">
        <v>108</v>
      </c>
      <c r="F104" s="7" t="s">
        <v>74</v>
      </c>
      <c r="G104" s="7" t="s">
        <v>166</v>
      </c>
      <c r="H104" s="7" t="s">
        <v>74</v>
      </c>
      <c r="I104" s="7" t="s">
        <v>439</v>
      </c>
      <c r="J104" s="7" t="s">
        <v>77</v>
      </c>
      <c r="K104" s="7" t="s">
        <v>131</v>
      </c>
      <c r="L104" s="8" t="s">
        <v>79</v>
      </c>
      <c r="M104" s="8" t="s">
        <v>102</v>
      </c>
      <c r="N104" s="8" t="s">
        <v>79</v>
      </c>
      <c r="O104" s="8" t="s">
        <v>138</v>
      </c>
      <c r="P104" s="8" t="s">
        <v>82</v>
      </c>
      <c r="Q104" s="8" t="s">
        <v>103</v>
      </c>
      <c r="R104" s="8" t="s">
        <v>79</v>
      </c>
      <c r="S104" s="8" t="s">
        <v>79</v>
      </c>
      <c r="T104" s="8" t="s">
        <v>86</v>
      </c>
      <c r="U104" s="8" t="s">
        <v>87</v>
      </c>
      <c r="V104" s="8" t="s">
        <v>112</v>
      </c>
      <c r="W104" s="9">
        <v>3</v>
      </c>
      <c r="X104" s="9">
        <v>3</v>
      </c>
      <c r="Y104" s="9">
        <v>3</v>
      </c>
      <c r="Z104" s="9">
        <v>3</v>
      </c>
      <c r="AA104" s="9">
        <v>0</v>
      </c>
      <c r="AB104" s="9">
        <v>0</v>
      </c>
      <c r="AC104" s="9">
        <v>0</v>
      </c>
      <c r="AD104" s="9">
        <v>3</v>
      </c>
      <c r="AE104" s="9">
        <v>3</v>
      </c>
      <c r="AF104" s="9">
        <v>3</v>
      </c>
      <c r="AG104" s="9">
        <v>3</v>
      </c>
      <c r="AH104" s="9">
        <v>3</v>
      </c>
      <c r="AI104" s="9">
        <v>3</v>
      </c>
      <c r="AJ104" s="9">
        <v>3</v>
      </c>
      <c r="AK104" s="9">
        <v>3</v>
      </c>
      <c r="AL104" s="10">
        <v>3</v>
      </c>
      <c r="AM104" s="10">
        <v>3</v>
      </c>
      <c r="AN104" s="10">
        <v>3</v>
      </c>
      <c r="AO104" s="10">
        <v>3</v>
      </c>
      <c r="AP104" s="10">
        <v>0</v>
      </c>
      <c r="AQ104" s="10">
        <v>0</v>
      </c>
      <c r="AR104" s="10">
        <v>0</v>
      </c>
      <c r="AS104" s="11">
        <v>3</v>
      </c>
      <c r="AT104" s="11">
        <v>3</v>
      </c>
      <c r="AU104" s="11">
        <v>3</v>
      </c>
      <c r="AV104" s="11">
        <v>0</v>
      </c>
      <c r="AW104" s="11">
        <v>0</v>
      </c>
      <c r="AX104" s="11">
        <v>0</v>
      </c>
      <c r="AY104" s="7">
        <v>2</v>
      </c>
      <c r="AZ104" s="7">
        <v>2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12">
        <f>SUM(data__22[[#This Row],[N1]:[N4]],data__22[[#This Row],[N10]:[N13]],data__22[[#This Row],[N16]:[N18]])/11</f>
        <v>3</v>
      </c>
      <c r="BH104" s="13">
        <f>SUM(data__22[[#This Row],[N8]:[N9]],data__22[[#This Row],[N23]:[N25]])/5</f>
        <v>3</v>
      </c>
      <c r="BI104" s="12">
        <f>SUM(data__22[[#This Row],[N5]:[N7]])/3</f>
        <v>0</v>
      </c>
      <c r="BJ104" s="12">
        <f>SUM(data__22[[#This Row],[N14]:[N15]],data__22[[#This Row],[N19]:[N22]],data__22[[#This Row],[N26]:[N28]])/9</f>
        <v>1</v>
      </c>
      <c r="BK104" s="12">
        <f>SUM(data__22[[#This Row],[N29]:[N33]])/5</f>
        <v>1.4</v>
      </c>
      <c r="BL104" s="12">
        <f>SUM(data__22[[#This Row],[N34]:[N36]])/3</f>
        <v>1</v>
      </c>
    </row>
    <row r="105" spans="1:64" x14ac:dyDescent="0.3">
      <c r="A105" s="7">
        <v>22</v>
      </c>
      <c r="B105" s="7" t="s">
        <v>70</v>
      </c>
      <c r="C105" s="7" t="s">
        <v>96</v>
      </c>
      <c r="D105" s="7" t="s">
        <v>72</v>
      </c>
      <c r="E105" s="7" t="s">
        <v>73</v>
      </c>
      <c r="F105" s="7" t="s">
        <v>74</v>
      </c>
      <c r="G105" s="7" t="s">
        <v>440</v>
      </c>
      <c r="H105" s="7" t="s">
        <v>74</v>
      </c>
      <c r="I105" s="7" t="s">
        <v>76</v>
      </c>
      <c r="J105" s="7" t="s">
        <v>77</v>
      </c>
      <c r="K105" s="7" t="s">
        <v>78</v>
      </c>
      <c r="L105" s="8" t="s">
        <v>79</v>
      </c>
      <c r="M105" s="8" t="s">
        <v>80</v>
      </c>
      <c r="N105" s="8" t="s">
        <v>79</v>
      </c>
      <c r="O105" s="8" t="s">
        <v>117</v>
      </c>
      <c r="P105" s="8" t="s">
        <v>82</v>
      </c>
      <c r="Q105" s="8" t="s">
        <v>83</v>
      </c>
      <c r="R105" s="8" t="s">
        <v>79</v>
      </c>
      <c r="S105" s="8" t="s">
        <v>82</v>
      </c>
      <c r="T105" s="8" t="s">
        <v>86</v>
      </c>
      <c r="U105" s="8" t="s">
        <v>87</v>
      </c>
      <c r="V105" s="8" t="s">
        <v>112</v>
      </c>
      <c r="W105" s="9">
        <v>1</v>
      </c>
      <c r="X105" s="9">
        <v>1</v>
      </c>
      <c r="Y105" s="9">
        <v>2</v>
      </c>
      <c r="Z105" s="9">
        <v>1</v>
      </c>
      <c r="AA105" s="9">
        <v>1</v>
      </c>
      <c r="AB105" s="9">
        <v>1</v>
      </c>
      <c r="AC105" s="9">
        <v>2</v>
      </c>
      <c r="AD105" s="9">
        <v>1</v>
      </c>
      <c r="AE105" s="9">
        <v>2</v>
      </c>
      <c r="AF105" s="9">
        <v>1</v>
      </c>
      <c r="AG105" s="9">
        <v>1</v>
      </c>
      <c r="AH105" s="9">
        <v>1</v>
      </c>
      <c r="AI105" s="9">
        <v>2</v>
      </c>
      <c r="AJ105" s="9">
        <v>2</v>
      </c>
      <c r="AK105" s="9">
        <v>1</v>
      </c>
      <c r="AL105" s="10">
        <v>1</v>
      </c>
      <c r="AM105" s="10">
        <v>1</v>
      </c>
      <c r="AN105" s="10">
        <v>1</v>
      </c>
      <c r="AO105" s="10">
        <v>1</v>
      </c>
      <c r="AP105" s="10">
        <v>1</v>
      </c>
      <c r="AQ105" s="10">
        <v>1</v>
      </c>
      <c r="AR105" s="10">
        <v>2</v>
      </c>
      <c r="AS105" s="11">
        <v>1</v>
      </c>
      <c r="AT105" s="11">
        <v>2</v>
      </c>
      <c r="AU105" s="11">
        <v>1</v>
      </c>
      <c r="AV105" s="11">
        <v>1</v>
      </c>
      <c r="AW105" s="11">
        <v>2</v>
      </c>
      <c r="AX105" s="11">
        <v>2</v>
      </c>
      <c r="AY105" s="7">
        <v>1</v>
      </c>
      <c r="AZ105" s="7">
        <v>1</v>
      </c>
      <c r="BA105" s="7">
        <v>1</v>
      </c>
      <c r="BB105" s="7">
        <v>2</v>
      </c>
      <c r="BC105" s="7">
        <v>2</v>
      </c>
      <c r="BD105" s="7">
        <v>1</v>
      </c>
      <c r="BE105" s="7">
        <v>1</v>
      </c>
      <c r="BF105" s="7">
        <v>1</v>
      </c>
      <c r="BG105" s="12">
        <f>SUM(data__22[[#This Row],[N1]:[N4]],data__22[[#This Row],[N10]:[N13]],data__22[[#This Row],[N16]:[N18]])/11</f>
        <v>1.1818181818181819</v>
      </c>
      <c r="BH105" s="13">
        <f>SUM(data__22[[#This Row],[N8]:[N9]],data__22[[#This Row],[N23]:[N25]])/5</f>
        <v>1.4</v>
      </c>
      <c r="BI105" s="12">
        <f>SUM(data__22[[#This Row],[N5]:[N7]])/3</f>
        <v>1.3333333333333333</v>
      </c>
      <c r="BJ105" s="12">
        <f>SUM(data__22[[#This Row],[N14]:[N15]],data__22[[#This Row],[N19]:[N22]],data__22[[#This Row],[N26]:[N28]])/9</f>
        <v>1.4444444444444444</v>
      </c>
      <c r="BK105" s="12">
        <f>SUM(data__22[[#This Row],[N29]:[N33]])/5</f>
        <v>1.4</v>
      </c>
      <c r="BL105" s="12">
        <f>SUM(data__22[[#This Row],[N34]:[N36]])/3</f>
        <v>1</v>
      </c>
    </row>
    <row r="106" spans="1:64" x14ac:dyDescent="0.3">
      <c r="A106" s="7">
        <v>22</v>
      </c>
      <c r="B106" s="7" t="s">
        <v>70</v>
      </c>
      <c r="C106" s="7" t="s">
        <v>113</v>
      </c>
      <c r="D106" s="7" t="s">
        <v>97</v>
      </c>
      <c r="E106" s="7" t="s">
        <v>108</v>
      </c>
      <c r="F106" s="7" t="s">
        <v>74</v>
      </c>
      <c r="G106" s="7" t="s">
        <v>440</v>
      </c>
      <c r="H106" s="7" t="s">
        <v>74</v>
      </c>
      <c r="I106" s="7" t="s">
        <v>76</v>
      </c>
      <c r="J106" s="7" t="s">
        <v>77</v>
      </c>
      <c r="K106" s="7" t="s">
        <v>131</v>
      </c>
      <c r="L106" s="8" t="s">
        <v>79</v>
      </c>
      <c r="M106" s="8" t="s">
        <v>80</v>
      </c>
      <c r="N106" s="8" t="s">
        <v>82</v>
      </c>
      <c r="O106" s="8" t="s">
        <v>117</v>
      </c>
      <c r="P106" s="8" t="s">
        <v>82</v>
      </c>
      <c r="Q106" s="8" t="s">
        <v>118</v>
      </c>
      <c r="R106" s="8" t="s">
        <v>82</v>
      </c>
      <c r="S106" s="8" t="s">
        <v>82</v>
      </c>
      <c r="T106" s="8" t="s">
        <v>207</v>
      </c>
      <c r="U106" s="8" t="s">
        <v>141</v>
      </c>
      <c r="V106" s="8" t="s">
        <v>455</v>
      </c>
      <c r="W106" s="9">
        <v>2</v>
      </c>
      <c r="X106" s="9">
        <v>3</v>
      </c>
      <c r="Y106" s="9">
        <v>3</v>
      </c>
      <c r="Z106" s="9">
        <v>3</v>
      </c>
      <c r="AA106" s="9">
        <v>3</v>
      </c>
      <c r="AB106" s="9">
        <v>2</v>
      </c>
      <c r="AC106" s="9">
        <v>2</v>
      </c>
      <c r="AD106" s="9">
        <v>2</v>
      </c>
      <c r="AE106" s="9">
        <v>3</v>
      </c>
      <c r="AF106" s="9">
        <v>1</v>
      </c>
      <c r="AG106" s="9">
        <v>3</v>
      </c>
      <c r="AH106" s="9">
        <v>3</v>
      </c>
      <c r="AI106" s="9">
        <v>3</v>
      </c>
      <c r="AJ106" s="9">
        <v>3</v>
      </c>
      <c r="AK106" s="9">
        <v>3</v>
      </c>
      <c r="AL106" s="10">
        <v>3</v>
      </c>
      <c r="AM106" s="10">
        <v>3</v>
      </c>
      <c r="AN106" s="10">
        <v>3</v>
      </c>
      <c r="AO106" s="10">
        <v>3</v>
      </c>
      <c r="AP106" s="10">
        <v>3</v>
      </c>
      <c r="AQ106" s="10">
        <v>3</v>
      </c>
      <c r="AR106" s="10">
        <v>3</v>
      </c>
      <c r="AS106" s="11">
        <v>2</v>
      </c>
      <c r="AT106" s="11">
        <v>2</v>
      </c>
      <c r="AU106" s="11">
        <v>2</v>
      </c>
      <c r="AV106" s="11">
        <v>2</v>
      </c>
      <c r="AW106" s="11">
        <v>2</v>
      </c>
      <c r="AX106" s="11">
        <v>2</v>
      </c>
      <c r="AY106" s="7">
        <v>3</v>
      </c>
      <c r="AZ106" s="7">
        <v>0</v>
      </c>
      <c r="BA106" s="7">
        <v>3</v>
      </c>
      <c r="BB106" s="7">
        <v>3</v>
      </c>
      <c r="BC106" s="7">
        <v>3</v>
      </c>
      <c r="BD106" s="7">
        <v>3</v>
      </c>
      <c r="BE106" s="7">
        <v>3</v>
      </c>
      <c r="BF106" s="7">
        <v>3</v>
      </c>
      <c r="BG106" s="12">
        <f>SUM(data__22[[#This Row],[N1]:[N4]],data__22[[#This Row],[N10]:[N13]],data__22[[#This Row],[N16]:[N18]])/11</f>
        <v>2.7272727272727271</v>
      </c>
      <c r="BH106" s="13">
        <f>SUM(data__22[[#This Row],[N8]:[N9]],data__22[[#This Row],[N23]:[N25]])/5</f>
        <v>2.2000000000000002</v>
      </c>
      <c r="BI106" s="12">
        <f>SUM(data__22[[#This Row],[N5]:[N7]])/3</f>
        <v>2.3333333333333335</v>
      </c>
      <c r="BJ106" s="12">
        <f>SUM(data__22[[#This Row],[N14]:[N15]],data__22[[#This Row],[N19]:[N22]],data__22[[#This Row],[N26]:[N28]])/9</f>
        <v>2.6666666666666665</v>
      </c>
      <c r="BK106" s="12">
        <f>SUM(data__22[[#This Row],[N29]:[N33]])/5</f>
        <v>2.4</v>
      </c>
      <c r="BL106" s="12">
        <f>SUM(data__22[[#This Row],[N34]:[N36]])/3</f>
        <v>3</v>
      </c>
    </row>
    <row r="107" spans="1:64" x14ac:dyDescent="0.3">
      <c r="A107" s="7">
        <v>20</v>
      </c>
      <c r="B107" s="7" t="s">
        <v>70</v>
      </c>
      <c r="C107" s="7" t="s">
        <v>96</v>
      </c>
      <c r="D107" s="7" t="s">
        <v>97</v>
      </c>
      <c r="E107" s="7" t="s">
        <v>73</v>
      </c>
      <c r="F107" s="7" t="s">
        <v>98</v>
      </c>
      <c r="G107" s="7" t="s">
        <v>440</v>
      </c>
      <c r="H107" s="7" t="s">
        <v>165</v>
      </c>
      <c r="I107" s="7" t="s">
        <v>76</v>
      </c>
      <c r="J107" s="7" t="s">
        <v>101</v>
      </c>
      <c r="K107" s="7" t="s">
        <v>122</v>
      </c>
      <c r="L107" s="8" t="s">
        <v>79</v>
      </c>
      <c r="M107" s="8" t="s">
        <v>132</v>
      </c>
      <c r="N107" s="8" t="s">
        <v>79</v>
      </c>
      <c r="O107" s="8" t="s">
        <v>81</v>
      </c>
      <c r="P107" s="8" t="s">
        <v>79</v>
      </c>
      <c r="Q107" s="8" t="s">
        <v>83</v>
      </c>
      <c r="R107" s="8" t="s">
        <v>79</v>
      </c>
      <c r="S107" s="8" t="s">
        <v>79</v>
      </c>
      <c r="T107" s="8" t="s">
        <v>106</v>
      </c>
      <c r="U107" s="8" t="s">
        <v>120</v>
      </c>
      <c r="V107" s="8" t="s">
        <v>112</v>
      </c>
      <c r="W107" s="9">
        <v>1</v>
      </c>
      <c r="X107" s="9">
        <v>1</v>
      </c>
      <c r="Y107" s="9">
        <v>1</v>
      </c>
      <c r="Z107" s="9">
        <v>1</v>
      </c>
      <c r="AA107" s="9">
        <v>1</v>
      </c>
      <c r="AB107" s="9">
        <v>1</v>
      </c>
      <c r="AC107" s="9">
        <v>1</v>
      </c>
      <c r="AD107" s="9">
        <v>1</v>
      </c>
      <c r="AE107" s="9">
        <v>1</v>
      </c>
      <c r="AF107" s="9">
        <v>1</v>
      </c>
      <c r="AG107" s="9">
        <v>1</v>
      </c>
      <c r="AH107" s="9">
        <v>0</v>
      </c>
      <c r="AI107" s="9">
        <v>1</v>
      </c>
      <c r="AJ107" s="9">
        <v>0</v>
      </c>
      <c r="AK107" s="9">
        <v>1</v>
      </c>
      <c r="AL107" s="10">
        <v>1</v>
      </c>
      <c r="AM107" s="10">
        <v>1</v>
      </c>
      <c r="AN107" s="10">
        <v>1</v>
      </c>
      <c r="AO107" s="10">
        <v>1</v>
      </c>
      <c r="AP107" s="10">
        <v>1</v>
      </c>
      <c r="AQ107" s="10">
        <v>1</v>
      </c>
      <c r="AR107" s="10">
        <v>1</v>
      </c>
      <c r="AS107" s="11">
        <v>1</v>
      </c>
      <c r="AT107" s="11">
        <v>1</v>
      </c>
      <c r="AU107" s="11">
        <v>1</v>
      </c>
      <c r="AV107" s="11">
        <v>1</v>
      </c>
      <c r="AW107" s="11">
        <v>1</v>
      </c>
      <c r="AX107" s="11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12">
        <f>SUM(data__22[[#This Row],[N1]:[N4]],data__22[[#This Row],[N10]:[N13]],data__22[[#This Row],[N16]:[N18]])/11</f>
        <v>0.90909090909090906</v>
      </c>
      <c r="BH107" s="13">
        <f>SUM(data__22[[#This Row],[N8]:[N9]],data__22[[#This Row],[N23]:[N25]])/5</f>
        <v>1</v>
      </c>
      <c r="BI107" s="12">
        <f>SUM(data__22[[#This Row],[N5]:[N7]])/3</f>
        <v>1</v>
      </c>
      <c r="BJ107" s="12">
        <f>SUM(data__22[[#This Row],[N14]:[N15]],data__22[[#This Row],[N19]:[N22]],data__22[[#This Row],[N26]:[N28]])/9</f>
        <v>0.88888888888888884</v>
      </c>
      <c r="BK107" s="12">
        <f>SUM(data__22[[#This Row],[N29]:[N33]])/5</f>
        <v>1</v>
      </c>
      <c r="BL107" s="12">
        <f>SUM(data__22[[#This Row],[N34]:[N36]])/3</f>
        <v>1</v>
      </c>
    </row>
    <row r="108" spans="1:64" x14ac:dyDescent="0.3">
      <c r="A108" s="7">
        <v>20</v>
      </c>
      <c r="B108" s="7" t="s">
        <v>70</v>
      </c>
      <c r="C108" s="7" t="s">
        <v>96</v>
      </c>
      <c r="D108" s="7" t="s">
        <v>72</v>
      </c>
      <c r="E108" s="7" t="s">
        <v>108</v>
      </c>
      <c r="F108" s="7" t="s">
        <v>74</v>
      </c>
      <c r="G108" s="7" t="s">
        <v>99</v>
      </c>
      <c r="H108" s="7" t="s">
        <v>74</v>
      </c>
      <c r="I108" s="7" t="s">
        <v>76</v>
      </c>
      <c r="J108" s="7" t="s">
        <v>77</v>
      </c>
      <c r="K108" s="7" t="s">
        <v>125</v>
      </c>
      <c r="L108" s="8" t="s">
        <v>79</v>
      </c>
      <c r="M108" s="8" t="s">
        <v>102</v>
      </c>
      <c r="N108" s="8" t="s">
        <v>79</v>
      </c>
      <c r="O108" s="8" t="s">
        <v>117</v>
      </c>
      <c r="P108" s="8" t="s">
        <v>79</v>
      </c>
      <c r="Q108" s="8" t="s">
        <v>103</v>
      </c>
      <c r="R108" s="8" t="s">
        <v>79</v>
      </c>
      <c r="S108" s="8" t="s">
        <v>79</v>
      </c>
      <c r="T108" s="8" t="s">
        <v>86</v>
      </c>
      <c r="U108" s="8" t="s">
        <v>141</v>
      </c>
      <c r="V108" s="8" t="s">
        <v>237</v>
      </c>
      <c r="W108" s="9">
        <v>3</v>
      </c>
      <c r="X108" s="9">
        <v>3</v>
      </c>
      <c r="Y108" s="9">
        <v>3</v>
      </c>
      <c r="Z108" s="9">
        <v>1</v>
      </c>
      <c r="AA108" s="9">
        <v>2</v>
      </c>
      <c r="AB108" s="9">
        <v>3</v>
      </c>
      <c r="AC108" s="9">
        <v>3</v>
      </c>
      <c r="AD108" s="9">
        <v>3</v>
      </c>
      <c r="AE108" s="9">
        <v>3</v>
      </c>
      <c r="AF108" s="9">
        <v>3</v>
      </c>
      <c r="AG108" s="9">
        <v>3</v>
      </c>
      <c r="AH108" s="9">
        <v>3</v>
      </c>
      <c r="AI108" s="9">
        <v>3</v>
      </c>
      <c r="AJ108" s="9">
        <v>1</v>
      </c>
      <c r="AK108" s="9">
        <v>2</v>
      </c>
      <c r="AL108" s="10">
        <v>3</v>
      </c>
      <c r="AM108" s="10">
        <v>3</v>
      </c>
      <c r="AN108" s="10">
        <v>3</v>
      </c>
      <c r="AO108" s="10">
        <v>3</v>
      </c>
      <c r="AP108" s="10">
        <v>3</v>
      </c>
      <c r="AQ108" s="10">
        <v>1</v>
      </c>
      <c r="AR108" s="10">
        <v>1</v>
      </c>
      <c r="AS108" s="11">
        <v>3</v>
      </c>
      <c r="AT108" s="11">
        <v>3</v>
      </c>
      <c r="AU108" s="11">
        <v>3</v>
      </c>
      <c r="AV108" s="11">
        <v>3</v>
      </c>
      <c r="AW108" s="11">
        <v>3</v>
      </c>
      <c r="AX108" s="11">
        <v>0</v>
      </c>
      <c r="AY108" s="7">
        <v>3</v>
      </c>
      <c r="AZ108" s="7">
        <v>3</v>
      </c>
      <c r="BA108" s="7">
        <v>3</v>
      </c>
      <c r="BB108" s="7">
        <v>3</v>
      </c>
      <c r="BC108" s="7">
        <v>3</v>
      </c>
      <c r="BD108" s="7">
        <v>1</v>
      </c>
      <c r="BE108" s="7">
        <v>3</v>
      </c>
      <c r="BF108" s="7">
        <v>2</v>
      </c>
      <c r="BG108" s="12">
        <f>SUM(data__22[[#This Row],[N1]:[N4]],data__22[[#This Row],[N10]:[N13]],data__22[[#This Row],[N16]:[N18]])/11</f>
        <v>2.8181818181818183</v>
      </c>
      <c r="BH108" s="13">
        <f>SUM(data__22[[#This Row],[N8]:[N9]],data__22[[#This Row],[N23]:[N25]])/5</f>
        <v>3</v>
      </c>
      <c r="BI108" s="12">
        <f>SUM(data__22[[#This Row],[N5]:[N7]])/3</f>
        <v>2.6666666666666665</v>
      </c>
      <c r="BJ108" s="12">
        <f>SUM(data__22[[#This Row],[N14]:[N15]],data__22[[#This Row],[N19]:[N22]],data__22[[#This Row],[N26]:[N28]])/9</f>
        <v>1.8888888888888888</v>
      </c>
      <c r="BK108" s="12">
        <f>SUM(data__22[[#This Row],[N29]:[N33]])/5</f>
        <v>3</v>
      </c>
      <c r="BL108" s="12">
        <f>SUM(data__22[[#This Row],[N34]:[N36]])/3</f>
        <v>2</v>
      </c>
    </row>
    <row r="109" spans="1:64" x14ac:dyDescent="0.3">
      <c r="A109" s="7">
        <v>23</v>
      </c>
      <c r="B109" s="7" t="s">
        <v>70</v>
      </c>
      <c r="C109" s="7" t="s">
        <v>113</v>
      </c>
      <c r="D109" s="7" t="s">
        <v>97</v>
      </c>
      <c r="E109" s="7" t="s">
        <v>73</v>
      </c>
      <c r="F109" s="7" t="s">
        <v>136</v>
      </c>
      <c r="G109" s="7" t="s">
        <v>438</v>
      </c>
      <c r="H109" s="7" t="s">
        <v>100</v>
      </c>
      <c r="I109" s="7" t="s">
        <v>76</v>
      </c>
      <c r="J109" s="7" t="s">
        <v>101</v>
      </c>
      <c r="K109" s="7" t="s">
        <v>122</v>
      </c>
      <c r="L109" s="8" t="s">
        <v>82</v>
      </c>
      <c r="M109" s="8" t="s">
        <v>80</v>
      </c>
      <c r="N109" s="8" t="s">
        <v>82</v>
      </c>
      <c r="O109" s="8" t="s">
        <v>109</v>
      </c>
      <c r="P109" s="8" t="s">
        <v>82</v>
      </c>
      <c r="Q109" s="8" t="s">
        <v>118</v>
      </c>
      <c r="R109" s="8" t="s">
        <v>82</v>
      </c>
      <c r="S109" s="8" t="s">
        <v>82</v>
      </c>
      <c r="T109" s="8" t="s">
        <v>86</v>
      </c>
      <c r="U109" s="8" t="s">
        <v>141</v>
      </c>
      <c r="V109" s="8" t="s">
        <v>112</v>
      </c>
      <c r="W109" s="9">
        <v>1</v>
      </c>
      <c r="X109" s="9">
        <v>0</v>
      </c>
      <c r="Y109" s="9">
        <v>1</v>
      </c>
      <c r="Z109" s="9">
        <v>1</v>
      </c>
      <c r="AA109" s="9">
        <v>1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1</v>
      </c>
      <c r="AJ109" s="9">
        <v>1</v>
      </c>
      <c r="AK109" s="9">
        <v>1</v>
      </c>
      <c r="AL109" s="10">
        <v>1</v>
      </c>
      <c r="AM109" s="10">
        <v>0</v>
      </c>
      <c r="AN109" s="10">
        <v>2</v>
      </c>
      <c r="AO109" s="10">
        <v>1</v>
      </c>
      <c r="AP109" s="10">
        <v>1</v>
      </c>
      <c r="AQ109" s="10">
        <v>1</v>
      </c>
      <c r="AR109" s="10">
        <v>1</v>
      </c>
      <c r="AS109" s="11">
        <v>1</v>
      </c>
      <c r="AT109" s="11">
        <v>1</v>
      </c>
      <c r="AU109" s="11">
        <v>1</v>
      </c>
      <c r="AV109" s="11">
        <v>1</v>
      </c>
      <c r="AW109" s="11">
        <v>1</v>
      </c>
      <c r="AX109" s="11">
        <v>1</v>
      </c>
      <c r="AY109" s="7">
        <v>0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12">
        <f>SUM(data__22[[#This Row],[N1]:[N4]],data__22[[#This Row],[N10]:[N13]],data__22[[#This Row],[N16]:[N18]])/11</f>
        <v>0.63636363636363635</v>
      </c>
      <c r="BH109" s="13">
        <f>SUM(data__22[[#This Row],[N8]:[N9]],data__22[[#This Row],[N23]:[N25]])/5</f>
        <v>0.6</v>
      </c>
      <c r="BI109" s="12">
        <f>SUM(data__22[[#This Row],[N5]:[N7]])/3</f>
        <v>0.33333333333333331</v>
      </c>
      <c r="BJ109" s="12">
        <f>SUM(data__22[[#This Row],[N14]:[N15]],data__22[[#This Row],[N19]:[N22]],data__22[[#This Row],[N26]:[N28]])/9</f>
        <v>1</v>
      </c>
      <c r="BK109" s="12">
        <f>SUM(data__22[[#This Row],[N29]:[N33]])/5</f>
        <v>0.8</v>
      </c>
      <c r="BL109" s="12">
        <f>SUM(data__22[[#This Row],[N34]:[N36]])/3</f>
        <v>1</v>
      </c>
    </row>
    <row r="110" spans="1:64" x14ac:dyDescent="0.3">
      <c r="A110" s="7">
        <v>22</v>
      </c>
      <c r="B110" s="7" t="s">
        <v>70</v>
      </c>
      <c r="C110" s="7" t="s">
        <v>96</v>
      </c>
      <c r="D110" s="7" t="s">
        <v>72</v>
      </c>
      <c r="E110" s="7" t="s">
        <v>114</v>
      </c>
      <c r="F110" s="7" t="s">
        <v>136</v>
      </c>
      <c r="G110" s="7" t="s">
        <v>439</v>
      </c>
      <c r="H110" s="7" t="s">
        <v>98</v>
      </c>
      <c r="I110" s="7" t="s">
        <v>76</v>
      </c>
      <c r="J110" s="7" t="s">
        <v>101</v>
      </c>
      <c r="K110" s="7" t="s">
        <v>122</v>
      </c>
      <c r="L110" s="8" t="s">
        <v>79</v>
      </c>
      <c r="M110" s="8" t="s">
        <v>102</v>
      </c>
      <c r="N110" s="8" t="s">
        <v>79</v>
      </c>
      <c r="O110" s="8" t="s">
        <v>81</v>
      </c>
      <c r="P110" s="8" t="s">
        <v>79</v>
      </c>
      <c r="Q110" s="8" t="s">
        <v>83</v>
      </c>
      <c r="R110" s="8" t="s">
        <v>79</v>
      </c>
      <c r="S110" s="8" t="s">
        <v>79</v>
      </c>
      <c r="T110" s="8" t="s">
        <v>86</v>
      </c>
      <c r="U110" s="8" t="s">
        <v>141</v>
      </c>
      <c r="V110" s="8" t="s">
        <v>112</v>
      </c>
      <c r="W110" s="9">
        <v>1</v>
      </c>
      <c r="X110" s="9">
        <v>1</v>
      </c>
      <c r="Y110" s="9">
        <v>1</v>
      </c>
      <c r="Z110" s="9">
        <v>1</v>
      </c>
      <c r="AA110" s="9">
        <v>1</v>
      </c>
      <c r="AB110" s="9">
        <v>1</v>
      </c>
      <c r="AC110" s="9">
        <v>1</v>
      </c>
      <c r="AD110" s="9">
        <v>1</v>
      </c>
      <c r="AE110" s="9">
        <v>1</v>
      </c>
      <c r="AF110" s="9">
        <v>1</v>
      </c>
      <c r="AG110" s="9">
        <v>1</v>
      </c>
      <c r="AH110" s="9">
        <v>1</v>
      </c>
      <c r="AI110" s="9">
        <v>1</v>
      </c>
      <c r="AJ110" s="9">
        <v>1</v>
      </c>
      <c r="AK110" s="9">
        <v>1</v>
      </c>
      <c r="AL110" s="10">
        <v>1</v>
      </c>
      <c r="AM110" s="10">
        <v>1</v>
      </c>
      <c r="AN110" s="10">
        <v>1</v>
      </c>
      <c r="AO110" s="10">
        <v>1</v>
      </c>
      <c r="AP110" s="10">
        <v>1</v>
      </c>
      <c r="AQ110" s="10">
        <v>1</v>
      </c>
      <c r="AR110" s="10">
        <v>1</v>
      </c>
      <c r="AS110" s="11">
        <v>1</v>
      </c>
      <c r="AT110" s="11">
        <v>1</v>
      </c>
      <c r="AU110" s="11">
        <v>1</v>
      </c>
      <c r="AV110" s="11">
        <v>1</v>
      </c>
      <c r="AW110" s="11">
        <v>1</v>
      </c>
      <c r="AX110" s="11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12">
        <f>SUM(data__22[[#This Row],[N1]:[N4]],data__22[[#This Row],[N10]:[N13]],data__22[[#This Row],[N16]:[N18]])/11</f>
        <v>1</v>
      </c>
      <c r="BH110" s="13">
        <f>SUM(data__22[[#This Row],[N8]:[N9]],data__22[[#This Row],[N23]:[N25]])/5</f>
        <v>1</v>
      </c>
      <c r="BI110" s="12">
        <f>SUM(data__22[[#This Row],[N5]:[N7]])/3</f>
        <v>1</v>
      </c>
      <c r="BJ110" s="12">
        <f>SUM(data__22[[#This Row],[N14]:[N15]],data__22[[#This Row],[N19]:[N22]],data__22[[#This Row],[N26]:[N28]])/9</f>
        <v>1</v>
      </c>
      <c r="BK110" s="12">
        <f>SUM(data__22[[#This Row],[N29]:[N33]])/5</f>
        <v>1</v>
      </c>
      <c r="BL110" s="12">
        <f>SUM(data__22[[#This Row],[N34]:[N36]])/3</f>
        <v>1</v>
      </c>
    </row>
    <row r="111" spans="1:64" x14ac:dyDescent="0.3">
      <c r="A111" s="7">
        <v>21</v>
      </c>
      <c r="B111" s="7" t="s">
        <v>70</v>
      </c>
      <c r="C111" s="7" t="s">
        <v>96</v>
      </c>
      <c r="D111" s="7" t="s">
        <v>72</v>
      </c>
      <c r="E111" s="7" t="s">
        <v>114</v>
      </c>
      <c r="F111" s="7" t="s">
        <v>136</v>
      </c>
      <c r="G111" s="7" t="s">
        <v>439</v>
      </c>
      <c r="H111" s="7" t="s">
        <v>98</v>
      </c>
      <c r="I111" s="7" t="s">
        <v>76</v>
      </c>
      <c r="J111" s="7" t="s">
        <v>77</v>
      </c>
      <c r="K111" s="7" t="s">
        <v>125</v>
      </c>
      <c r="L111" s="8" t="s">
        <v>79</v>
      </c>
      <c r="M111" s="8" t="s">
        <v>132</v>
      </c>
      <c r="N111" s="8" t="s">
        <v>79</v>
      </c>
      <c r="O111" s="8" t="s">
        <v>117</v>
      </c>
      <c r="P111" s="8" t="s">
        <v>82</v>
      </c>
      <c r="Q111" s="8" t="s">
        <v>83</v>
      </c>
      <c r="R111" s="8" t="s">
        <v>82</v>
      </c>
      <c r="S111" s="8" t="s">
        <v>82</v>
      </c>
      <c r="T111" s="8" t="s">
        <v>148</v>
      </c>
      <c r="U111" s="8" t="s">
        <v>120</v>
      </c>
      <c r="V111" s="8" t="s">
        <v>112</v>
      </c>
      <c r="W111" s="9">
        <v>2</v>
      </c>
      <c r="X111" s="9">
        <v>2</v>
      </c>
      <c r="Y111" s="9">
        <v>2</v>
      </c>
      <c r="Z111" s="9">
        <v>1</v>
      </c>
      <c r="AA111" s="9">
        <v>1</v>
      </c>
      <c r="AB111" s="9">
        <v>1</v>
      </c>
      <c r="AC111" s="9">
        <v>2</v>
      </c>
      <c r="AD111" s="9">
        <v>1</v>
      </c>
      <c r="AE111" s="9">
        <v>1</v>
      </c>
      <c r="AF111" s="9">
        <v>1</v>
      </c>
      <c r="AG111" s="9">
        <v>2</v>
      </c>
      <c r="AH111" s="9">
        <v>1</v>
      </c>
      <c r="AI111" s="9">
        <v>2</v>
      </c>
      <c r="AJ111" s="9">
        <v>1</v>
      </c>
      <c r="AK111" s="9">
        <v>1</v>
      </c>
      <c r="AL111" s="10">
        <v>2</v>
      </c>
      <c r="AM111" s="10">
        <v>2</v>
      </c>
      <c r="AN111" s="10">
        <v>1</v>
      </c>
      <c r="AO111" s="10">
        <v>2</v>
      </c>
      <c r="AP111" s="10">
        <v>1</v>
      </c>
      <c r="AQ111" s="10">
        <v>2</v>
      </c>
      <c r="AR111" s="10">
        <v>2</v>
      </c>
      <c r="AS111" s="11">
        <v>3</v>
      </c>
      <c r="AT111" s="11">
        <v>2</v>
      </c>
      <c r="AU111" s="11">
        <v>1</v>
      </c>
      <c r="AV111" s="11">
        <v>2</v>
      </c>
      <c r="AW111" s="11">
        <v>2</v>
      </c>
      <c r="AX111" s="11">
        <v>2</v>
      </c>
      <c r="AY111" s="7">
        <v>2</v>
      </c>
      <c r="AZ111" s="7">
        <v>2</v>
      </c>
      <c r="BA111" s="7">
        <v>3</v>
      </c>
      <c r="BB111" s="7">
        <v>3</v>
      </c>
      <c r="BC111" s="7">
        <v>2</v>
      </c>
      <c r="BD111" s="7">
        <v>3</v>
      </c>
      <c r="BE111" s="7">
        <v>3</v>
      </c>
      <c r="BF111" s="7">
        <v>2</v>
      </c>
      <c r="BG111" s="12">
        <f>SUM(data__22[[#This Row],[N1]:[N4]],data__22[[#This Row],[N10]:[N13]],data__22[[#This Row],[N16]:[N18]])/11</f>
        <v>1.6363636363636365</v>
      </c>
      <c r="BH111" s="13">
        <f>SUM(data__22[[#This Row],[N8]:[N9]],data__22[[#This Row],[N23]:[N25]])/5</f>
        <v>1.6</v>
      </c>
      <c r="BI111" s="12">
        <f>SUM(data__22[[#This Row],[N5]:[N7]])/3</f>
        <v>1.3333333333333333</v>
      </c>
      <c r="BJ111" s="12">
        <f>SUM(data__22[[#This Row],[N14]:[N15]],data__22[[#This Row],[N19]:[N22]],data__22[[#This Row],[N26]:[N28]])/9</f>
        <v>1.6666666666666667</v>
      </c>
      <c r="BK111" s="12">
        <f>SUM(data__22[[#This Row],[N29]:[N33]])/5</f>
        <v>2.4</v>
      </c>
      <c r="BL111" s="12">
        <f>SUM(data__22[[#This Row],[N34]:[N36]])/3</f>
        <v>2.6666666666666665</v>
      </c>
    </row>
    <row r="112" spans="1:64" x14ac:dyDescent="0.3">
      <c r="A112" s="7">
        <v>22</v>
      </c>
      <c r="B112" s="7" t="s">
        <v>70</v>
      </c>
      <c r="C112" s="7" t="s">
        <v>113</v>
      </c>
      <c r="D112" s="7" t="s">
        <v>72</v>
      </c>
      <c r="E112" s="7" t="s">
        <v>108</v>
      </c>
      <c r="F112" s="7" t="s">
        <v>98</v>
      </c>
      <c r="G112" s="7" t="s">
        <v>439</v>
      </c>
      <c r="H112" s="7" t="s">
        <v>98</v>
      </c>
      <c r="I112" s="7" t="s">
        <v>76</v>
      </c>
      <c r="J112" s="7" t="s">
        <v>77</v>
      </c>
      <c r="K112" s="7" t="s">
        <v>131</v>
      </c>
      <c r="L112" s="8" t="s">
        <v>79</v>
      </c>
      <c r="M112" s="8" t="s">
        <v>80</v>
      </c>
      <c r="N112" s="8" t="s">
        <v>79</v>
      </c>
      <c r="O112" s="8" t="s">
        <v>117</v>
      </c>
      <c r="P112" s="8" t="s">
        <v>79</v>
      </c>
      <c r="Q112" s="8" t="s">
        <v>83</v>
      </c>
      <c r="R112" s="8" t="s">
        <v>79</v>
      </c>
      <c r="S112" s="8" t="s">
        <v>79</v>
      </c>
      <c r="T112" s="8" t="s">
        <v>86</v>
      </c>
      <c r="U112" s="8" t="s">
        <v>141</v>
      </c>
      <c r="V112" s="8" t="s">
        <v>112</v>
      </c>
      <c r="W112" s="9">
        <v>1</v>
      </c>
      <c r="X112" s="9">
        <v>2</v>
      </c>
      <c r="Y112" s="9">
        <v>2</v>
      </c>
      <c r="Z112" s="9">
        <v>3</v>
      </c>
      <c r="AA112" s="9">
        <v>2</v>
      </c>
      <c r="AB112" s="9">
        <v>1</v>
      </c>
      <c r="AC112" s="9">
        <v>2</v>
      </c>
      <c r="AD112" s="9">
        <v>3</v>
      </c>
      <c r="AE112" s="9">
        <v>2</v>
      </c>
      <c r="AF112" s="9">
        <v>2</v>
      </c>
      <c r="AG112" s="9">
        <v>2</v>
      </c>
      <c r="AH112" s="9">
        <v>2</v>
      </c>
      <c r="AI112" s="9">
        <v>1</v>
      </c>
      <c r="AJ112" s="9">
        <v>2</v>
      </c>
      <c r="AK112" s="9">
        <v>2</v>
      </c>
      <c r="AL112" s="10">
        <v>1</v>
      </c>
      <c r="AM112" s="10">
        <v>2</v>
      </c>
      <c r="AN112" s="10">
        <v>1</v>
      </c>
      <c r="AO112" s="10">
        <v>2</v>
      </c>
      <c r="AP112" s="10">
        <v>2</v>
      </c>
      <c r="AQ112" s="10">
        <v>1</v>
      </c>
      <c r="AR112" s="10">
        <v>1</v>
      </c>
      <c r="AS112" s="11">
        <v>1</v>
      </c>
      <c r="AT112" s="11">
        <v>1</v>
      </c>
      <c r="AU112" s="11">
        <v>2</v>
      </c>
      <c r="AV112" s="11">
        <v>2</v>
      </c>
      <c r="AW112" s="11">
        <v>2</v>
      </c>
      <c r="AX112" s="11">
        <v>1</v>
      </c>
      <c r="AY112" s="7">
        <v>1</v>
      </c>
      <c r="AZ112" s="7">
        <v>2</v>
      </c>
      <c r="BA112" s="7">
        <v>2</v>
      </c>
      <c r="BB112" s="7">
        <v>3</v>
      </c>
      <c r="BC112" s="7">
        <v>2</v>
      </c>
      <c r="BD112" s="7">
        <v>2</v>
      </c>
      <c r="BE112" s="7">
        <v>3</v>
      </c>
      <c r="BF112" s="7">
        <v>2</v>
      </c>
      <c r="BG112" s="12">
        <f>SUM(data__22[[#This Row],[N1]:[N4]],data__22[[#This Row],[N10]:[N13]],data__22[[#This Row],[N16]:[N18]])/11</f>
        <v>1.7272727272727273</v>
      </c>
      <c r="BH112" s="13">
        <f>SUM(data__22[[#This Row],[N8]:[N9]],data__22[[#This Row],[N23]:[N25]])/5</f>
        <v>1.8</v>
      </c>
      <c r="BI112" s="12">
        <f>SUM(data__22[[#This Row],[N5]:[N7]])/3</f>
        <v>1.6666666666666667</v>
      </c>
      <c r="BJ112" s="12">
        <f>SUM(data__22[[#This Row],[N14]:[N15]],data__22[[#This Row],[N19]:[N22]],data__22[[#This Row],[N26]:[N28]])/9</f>
        <v>1.6666666666666667</v>
      </c>
      <c r="BK112" s="12">
        <f>SUM(data__22[[#This Row],[N29]:[N33]])/5</f>
        <v>2</v>
      </c>
      <c r="BL112" s="12">
        <f>SUM(data__22[[#This Row],[N34]:[N36]])/3</f>
        <v>2.3333333333333335</v>
      </c>
    </row>
    <row r="113" spans="1:64" x14ac:dyDescent="0.3">
      <c r="A113" s="7">
        <v>23</v>
      </c>
      <c r="B113" s="7" t="s">
        <v>70</v>
      </c>
      <c r="C113" s="7" t="s">
        <v>71</v>
      </c>
      <c r="D113" s="7" t="s">
        <v>97</v>
      </c>
      <c r="E113" s="7" t="s">
        <v>108</v>
      </c>
      <c r="F113" s="7" t="s">
        <v>74</v>
      </c>
      <c r="G113" s="7" t="s">
        <v>440</v>
      </c>
      <c r="H113" s="7" t="s">
        <v>74</v>
      </c>
      <c r="I113" s="7" t="s">
        <v>76</v>
      </c>
      <c r="J113" s="7" t="s">
        <v>77</v>
      </c>
      <c r="K113" s="7" t="s">
        <v>131</v>
      </c>
      <c r="L113" s="8" t="s">
        <v>79</v>
      </c>
      <c r="M113" s="8" t="s">
        <v>80</v>
      </c>
      <c r="N113" s="8" t="s">
        <v>79</v>
      </c>
      <c r="O113" s="8" t="s">
        <v>81</v>
      </c>
      <c r="P113" s="8" t="s">
        <v>82</v>
      </c>
      <c r="Q113" s="8" t="s">
        <v>83</v>
      </c>
      <c r="R113" s="8" t="s">
        <v>79</v>
      </c>
      <c r="S113" s="8" t="s">
        <v>79</v>
      </c>
      <c r="T113" s="8" t="s">
        <v>213</v>
      </c>
      <c r="U113" s="8" t="s">
        <v>141</v>
      </c>
      <c r="V113" s="8" t="s">
        <v>457</v>
      </c>
      <c r="W113" s="9">
        <v>3</v>
      </c>
      <c r="X113" s="9">
        <v>2</v>
      </c>
      <c r="Y113" s="9">
        <v>3</v>
      </c>
      <c r="Z113" s="9">
        <v>3</v>
      </c>
      <c r="AA113" s="9">
        <v>3</v>
      </c>
      <c r="AB113" s="9">
        <v>3</v>
      </c>
      <c r="AC113" s="9">
        <v>3</v>
      </c>
      <c r="AD113" s="9">
        <v>3</v>
      </c>
      <c r="AE113" s="9">
        <v>3</v>
      </c>
      <c r="AF113" s="9">
        <v>3</v>
      </c>
      <c r="AG113" s="9">
        <v>2</v>
      </c>
      <c r="AH113" s="9">
        <v>2</v>
      </c>
      <c r="AI113" s="9">
        <v>2</v>
      </c>
      <c r="AJ113" s="9">
        <v>3</v>
      </c>
      <c r="AK113" s="9">
        <v>3</v>
      </c>
      <c r="AL113" s="10">
        <v>3</v>
      </c>
      <c r="AM113" s="10">
        <v>3</v>
      </c>
      <c r="AN113" s="10">
        <v>3</v>
      </c>
      <c r="AO113" s="10">
        <v>3</v>
      </c>
      <c r="AP113" s="10">
        <v>3</v>
      </c>
      <c r="AQ113" s="10">
        <v>3</v>
      </c>
      <c r="AR113" s="10">
        <v>3</v>
      </c>
      <c r="AS113" s="11">
        <v>1</v>
      </c>
      <c r="AT113" s="11">
        <v>0</v>
      </c>
      <c r="AU113" s="11">
        <v>2</v>
      </c>
      <c r="AV113" s="11">
        <v>1</v>
      </c>
      <c r="AW113" s="11">
        <v>3</v>
      </c>
      <c r="AX113" s="11">
        <v>3</v>
      </c>
      <c r="AY113" s="7">
        <v>2</v>
      </c>
      <c r="AZ113" s="7">
        <v>2</v>
      </c>
      <c r="BA113" s="7">
        <v>2</v>
      </c>
      <c r="BB113" s="7">
        <v>3</v>
      </c>
      <c r="BC113" s="7">
        <v>3</v>
      </c>
      <c r="BD113" s="7">
        <v>3</v>
      </c>
      <c r="BE113" s="7">
        <v>3</v>
      </c>
      <c r="BF113" s="7">
        <v>3</v>
      </c>
      <c r="BG113" s="12">
        <f>SUM(data__22[[#This Row],[N1]:[N4]],data__22[[#This Row],[N10]:[N13]],data__22[[#This Row],[N16]:[N18]])/11</f>
        <v>2.6363636363636362</v>
      </c>
      <c r="BH113" s="13">
        <f>SUM(data__22[[#This Row],[N8]:[N9]],data__22[[#This Row],[N23]:[N25]])/5</f>
        <v>1.8</v>
      </c>
      <c r="BI113" s="12">
        <f>SUM(data__22[[#This Row],[N5]:[N7]])/3</f>
        <v>3</v>
      </c>
      <c r="BJ113" s="12">
        <f>SUM(data__22[[#This Row],[N14]:[N15]],data__22[[#This Row],[N19]:[N22]],data__22[[#This Row],[N26]:[N28]])/9</f>
        <v>2.7777777777777777</v>
      </c>
      <c r="BK113" s="12">
        <f>SUM(data__22[[#This Row],[N29]:[N33]])/5</f>
        <v>2.4</v>
      </c>
      <c r="BL113" s="12">
        <f>SUM(data__22[[#This Row],[N34]:[N36]])/3</f>
        <v>3</v>
      </c>
    </row>
    <row r="114" spans="1:64" x14ac:dyDescent="0.3">
      <c r="A114" s="7">
        <v>22</v>
      </c>
      <c r="B114" s="7" t="s">
        <v>70</v>
      </c>
      <c r="C114" s="7" t="s">
        <v>113</v>
      </c>
      <c r="D114" s="7" t="s">
        <v>97</v>
      </c>
      <c r="E114" s="7" t="s">
        <v>73</v>
      </c>
      <c r="F114" s="7" t="s">
        <v>74</v>
      </c>
      <c r="G114" s="7" t="s">
        <v>440</v>
      </c>
      <c r="H114" s="7" t="s">
        <v>136</v>
      </c>
      <c r="I114" s="7" t="s">
        <v>76</v>
      </c>
      <c r="J114" s="7" t="s">
        <v>77</v>
      </c>
      <c r="K114" s="7" t="s">
        <v>131</v>
      </c>
      <c r="L114" s="8" t="s">
        <v>79</v>
      </c>
      <c r="M114" s="8" t="s">
        <v>80</v>
      </c>
      <c r="N114" s="8" t="s">
        <v>79</v>
      </c>
      <c r="O114" s="8" t="s">
        <v>81</v>
      </c>
      <c r="P114" s="8" t="s">
        <v>82</v>
      </c>
      <c r="Q114" s="8" t="s">
        <v>83</v>
      </c>
      <c r="R114" s="8" t="s">
        <v>79</v>
      </c>
      <c r="S114" s="8" t="s">
        <v>82</v>
      </c>
      <c r="T114" s="8" t="s">
        <v>106</v>
      </c>
      <c r="U114" s="8" t="s">
        <v>87</v>
      </c>
      <c r="V114" s="8" t="s">
        <v>112</v>
      </c>
      <c r="W114" s="9">
        <v>3</v>
      </c>
      <c r="X114" s="9">
        <v>3</v>
      </c>
      <c r="Y114" s="9">
        <v>2</v>
      </c>
      <c r="Z114" s="9">
        <v>3</v>
      </c>
      <c r="AA114" s="9">
        <v>3</v>
      </c>
      <c r="AB114" s="9">
        <v>2</v>
      </c>
      <c r="AC114" s="9">
        <v>2</v>
      </c>
      <c r="AD114" s="9">
        <v>2</v>
      </c>
      <c r="AE114" s="9">
        <v>2</v>
      </c>
      <c r="AF114" s="9">
        <v>0</v>
      </c>
      <c r="AG114" s="9">
        <v>2</v>
      </c>
      <c r="AH114" s="9">
        <v>3</v>
      </c>
      <c r="AI114" s="9">
        <v>2</v>
      </c>
      <c r="AJ114" s="9">
        <v>3</v>
      </c>
      <c r="AK114" s="9">
        <v>3</v>
      </c>
      <c r="AL114" s="10">
        <v>3</v>
      </c>
      <c r="AM114" s="10">
        <v>3</v>
      </c>
      <c r="AN114" s="10">
        <v>3</v>
      </c>
      <c r="AO114" s="10">
        <v>3</v>
      </c>
      <c r="AP114" s="10">
        <v>3</v>
      </c>
      <c r="AQ114" s="10">
        <v>0</v>
      </c>
      <c r="AR114" s="10">
        <v>0</v>
      </c>
      <c r="AS114" s="11">
        <v>1</v>
      </c>
      <c r="AT114" s="11">
        <v>0</v>
      </c>
      <c r="AU114" s="11">
        <v>1</v>
      </c>
      <c r="AV114" s="11">
        <v>1</v>
      </c>
      <c r="AW114" s="11">
        <v>1</v>
      </c>
      <c r="AX114" s="11">
        <v>1</v>
      </c>
      <c r="AY114" s="7">
        <v>2</v>
      </c>
      <c r="AZ114" s="7">
        <v>1</v>
      </c>
      <c r="BA114" s="7">
        <v>3</v>
      </c>
      <c r="BB114" s="7">
        <v>3</v>
      </c>
      <c r="BC114" s="7">
        <v>3</v>
      </c>
      <c r="BD114" s="7">
        <v>3</v>
      </c>
      <c r="BE114" s="7">
        <v>1</v>
      </c>
      <c r="BF114" s="7">
        <v>1</v>
      </c>
      <c r="BG114" s="12">
        <f>SUM(data__22[[#This Row],[N1]:[N4]],data__22[[#This Row],[N10]:[N13]],data__22[[#This Row],[N16]:[N18]])/11</f>
        <v>2.4545454545454546</v>
      </c>
      <c r="BH114" s="13">
        <f>SUM(data__22[[#This Row],[N8]:[N9]],data__22[[#This Row],[N23]:[N25]])/5</f>
        <v>1.2</v>
      </c>
      <c r="BI114" s="12">
        <f>SUM(data__22[[#This Row],[N5]:[N7]])/3</f>
        <v>2.3333333333333335</v>
      </c>
      <c r="BJ114" s="12">
        <f>SUM(data__22[[#This Row],[N14]:[N15]],data__22[[#This Row],[N19]:[N22]],data__22[[#This Row],[N26]:[N28]])/9</f>
        <v>1.6666666666666667</v>
      </c>
      <c r="BK114" s="12">
        <f>SUM(data__22[[#This Row],[N29]:[N33]])/5</f>
        <v>2.4</v>
      </c>
      <c r="BL114" s="12">
        <f>SUM(data__22[[#This Row],[N34]:[N36]])/3</f>
        <v>1.6666666666666667</v>
      </c>
    </row>
    <row r="115" spans="1:64" x14ac:dyDescent="0.3">
      <c r="A115" s="7">
        <v>20</v>
      </c>
      <c r="B115" s="7" t="s">
        <v>70</v>
      </c>
      <c r="C115" s="7" t="s">
        <v>96</v>
      </c>
      <c r="D115" s="7" t="s">
        <v>97</v>
      </c>
      <c r="E115" s="7" t="s">
        <v>73</v>
      </c>
      <c r="F115" s="7" t="s">
        <v>100</v>
      </c>
      <c r="G115" s="7" t="s">
        <v>440</v>
      </c>
      <c r="H115" s="7" t="s">
        <v>100</v>
      </c>
      <c r="I115" s="7" t="s">
        <v>76</v>
      </c>
      <c r="J115" s="7" t="s">
        <v>77</v>
      </c>
      <c r="K115" s="7" t="s">
        <v>122</v>
      </c>
      <c r="L115" s="8" t="s">
        <v>79</v>
      </c>
      <c r="M115" s="8" t="s">
        <v>102</v>
      </c>
      <c r="N115" s="8" t="s">
        <v>79</v>
      </c>
      <c r="O115" s="8" t="s">
        <v>138</v>
      </c>
      <c r="P115" s="8" t="s">
        <v>79</v>
      </c>
      <c r="Q115" s="8" t="s">
        <v>83</v>
      </c>
      <c r="R115" s="8" t="s">
        <v>82</v>
      </c>
      <c r="S115" s="8" t="s">
        <v>79</v>
      </c>
      <c r="T115" s="8" t="s">
        <v>86</v>
      </c>
      <c r="U115" s="8" t="s">
        <v>141</v>
      </c>
      <c r="V115" s="8" t="s">
        <v>112</v>
      </c>
      <c r="W115" s="9">
        <v>2</v>
      </c>
      <c r="X115" s="9">
        <v>1</v>
      </c>
      <c r="Y115" s="9">
        <v>2</v>
      </c>
      <c r="Z115" s="9">
        <v>1</v>
      </c>
      <c r="AA115" s="9">
        <v>2</v>
      </c>
      <c r="AB115" s="9">
        <v>1</v>
      </c>
      <c r="AC115" s="9">
        <v>2</v>
      </c>
      <c r="AD115" s="9">
        <v>1</v>
      </c>
      <c r="AE115" s="9">
        <v>1</v>
      </c>
      <c r="AF115" s="9">
        <v>1</v>
      </c>
      <c r="AG115" s="9">
        <v>2</v>
      </c>
      <c r="AH115" s="9">
        <v>1</v>
      </c>
      <c r="AI115" s="9">
        <v>1</v>
      </c>
      <c r="AJ115" s="9">
        <v>1</v>
      </c>
      <c r="AK115" s="9">
        <v>1</v>
      </c>
      <c r="AL115" s="10">
        <v>2</v>
      </c>
      <c r="AM115" s="10">
        <v>1</v>
      </c>
      <c r="AN115" s="10">
        <v>1</v>
      </c>
      <c r="AO115" s="10">
        <v>1</v>
      </c>
      <c r="AP115" s="10">
        <v>1</v>
      </c>
      <c r="AQ115" s="10">
        <v>2</v>
      </c>
      <c r="AR115" s="10">
        <v>1</v>
      </c>
      <c r="AS115" s="11">
        <v>1</v>
      </c>
      <c r="AT115" s="11">
        <v>1</v>
      </c>
      <c r="AU115" s="11">
        <v>2</v>
      </c>
      <c r="AV115" s="11">
        <v>1</v>
      </c>
      <c r="AW115" s="11">
        <v>1</v>
      </c>
      <c r="AX115" s="11">
        <v>2</v>
      </c>
      <c r="AY115" s="7">
        <v>1</v>
      </c>
      <c r="AZ115" s="7">
        <v>2</v>
      </c>
      <c r="BA115" s="7">
        <v>1</v>
      </c>
      <c r="BB115" s="7">
        <v>2</v>
      </c>
      <c r="BC115" s="7">
        <v>1</v>
      </c>
      <c r="BD115" s="7">
        <v>1</v>
      </c>
      <c r="BE115" s="7">
        <v>1</v>
      </c>
      <c r="BF115" s="7">
        <v>2</v>
      </c>
      <c r="BG115" s="12">
        <f>SUM(data__22[[#This Row],[N1]:[N4]],data__22[[#This Row],[N10]:[N13]],data__22[[#This Row],[N16]:[N18]])/11</f>
        <v>1.3636363636363635</v>
      </c>
      <c r="BH115" s="13">
        <f>SUM(data__22[[#This Row],[N8]:[N9]],data__22[[#This Row],[N23]:[N25]])/5</f>
        <v>1.2</v>
      </c>
      <c r="BI115" s="12">
        <f>SUM(data__22[[#This Row],[N5]:[N7]])/3</f>
        <v>1.6666666666666667</v>
      </c>
      <c r="BJ115" s="12">
        <f>SUM(data__22[[#This Row],[N14]:[N15]],data__22[[#This Row],[N19]:[N22]],data__22[[#This Row],[N26]:[N28]])/9</f>
        <v>1.2222222222222223</v>
      </c>
      <c r="BK115" s="12">
        <f>SUM(data__22[[#This Row],[N29]:[N33]])/5</f>
        <v>1.4</v>
      </c>
      <c r="BL115" s="12">
        <f>SUM(data__22[[#This Row],[N34]:[N36]])/3</f>
        <v>1.3333333333333333</v>
      </c>
    </row>
    <row r="116" spans="1:64" x14ac:dyDescent="0.3">
      <c r="A116" s="7">
        <v>23</v>
      </c>
      <c r="B116" s="7" t="s">
        <v>70</v>
      </c>
      <c r="C116" s="7" t="s">
        <v>96</v>
      </c>
      <c r="D116" s="7" t="s">
        <v>72</v>
      </c>
      <c r="E116" s="7" t="s">
        <v>73</v>
      </c>
      <c r="F116" s="7" t="s">
        <v>98</v>
      </c>
      <c r="G116" s="7" t="s">
        <v>439</v>
      </c>
      <c r="H116" s="7" t="s">
        <v>98</v>
      </c>
      <c r="I116" s="7" t="s">
        <v>76</v>
      </c>
      <c r="J116" s="7" t="s">
        <v>77</v>
      </c>
      <c r="K116" s="7" t="s">
        <v>122</v>
      </c>
      <c r="L116" s="8" t="s">
        <v>82</v>
      </c>
      <c r="M116" s="8" t="s">
        <v>102</v>
      </c>
      <c r="N116" s="8" t="s">
        <v>79</v>
      </c>
      <c r="O116" s="8" t="s">
        <v>81</v>
      </c>
      <c r="P116" s="8" t="s">
        <v>82</v>
      </c>
      <c r="Q116" s="8" t="s">
        <v>83</v>
      </c>
      <c r="R116" s="8" t="s">
        <v>82</v>
      </c>
      <c r="S116" s="8" t="s">
        <v>82</v>
      </c>
      <c r="T116" s="8" t="s">
        <v>106</v>
      </c>
      <c r="U116" s="8" t="s">
        <v>87</v>
      </c>
      <c r="V116" s="8" t="s">
        <v>457</v>
      </c>
      <c r="W116" s="9">
        <v>1</v>
      </c>
      <c r="X116" s="9">
        <v>1</v>
      </c>
      <c r="Y116" s="9">
        <v>1</v>
      </c>
      <c r="Z116" s="9">
        <v>1</v>
      </c>
      <c r="AA116" s="9">
        <v>1</v>
      </c>
      <c r="AB116" s="9">
        <v>1</v>
      </c>
      <c r="AC116" s="9">
        <v>1</v>
      </c>
      <c r="AD116" s="9">
        <v>1</v>
      </c>
      <c r="AE116" s="9">
        <v>1</v>
      </c>
      <c r="AF116" s="9">
        <v>1</v>
      </c>
      <c r="AG116" s="9">
        <v>1</v>
      </c>
      <c r="AH116" s="9">
        <v>1</v>
      </c>
      <c r="AI116" s="9">
        <v>1</v>
      </c>
      <c r="AJ116" s="9">
        <v>1</v>
      </c>
      <c r="AK116" s="9">
        <v>1</v>
      </c>
      <c r="AL116" s="10">
        <v>1</v>
      </c>
      <c r="AM116" s="10">
        <v>1</v>
      </c>
      <c r="AN116" s="10">
        <v>1</v>
      </c>
      <c r="AO116" s="10">
        <v>1</v>
      </c>
      <c r="AP116" s="10">
        <v>1</v>
      </c>
      <c r="AQ116" s="10">
        <v>1</v>
      </c>
      <c r="AR116" s="10">
        <v>1</v>
      </c>
      <c r="AS116" s="11">
        <v>1</v>
      </c>
      <c r="AT116" s="11">
        <v>1</v>
      </c>
      <c r="AU116" s="11">
        <v>1</v>
      </c>
      <c r="AV116" s="11">
        <v>1</v>
      </c>
      <c r="AW116" s="11">
        <v>1</v>
      </c>
      <c r="AX116" s="11">
        <v>1</v>
      </c>
      <c r="AY116" s="7">
        <v>1</v>
      </c>
      <c r="AZ116" s="7">
        <v>1</v>
      </c>
      <c r="BA116" s="7">
        <v>1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12">
        <f>SUM(data__22[[#This Row],[N1]:[N4]],data__22[[#This Row],[N10]:[N13]],data__22[[#This Row],[N16]:[N18]])/11</f>
        <v>1</v>
      </c>
      <c r="BH116" s="13">
        <f>SUM(data__22[[#This Row],[N8]:[N9]],data__22[[#This Row],[N23]:[N25]])/5</f>
        <v>1</v>
      </c>
      <c r="BI116" s="12">
        <f>SUM(data__22[[#This Row],[N5]:[N7]])/3</f>
        <v>1</v>
      </c>
      <c r="BJ116" s="12">
        <f>SUM(data__22[[#This Row],[N14]:[N15]],data__22[[#This Row],[N19]:[N22]],data__22[[#This Row],[N26]:[N28]])/9</f>
        <v>1</v>
      </c>
      <c r="BK116" s="12">
        <f>SUM(data__22[[#This Row],[N29]:[N33]])/5</f>
        <v>1</v>
      </c>
      <c r="BL116" s="12">
        <f>SUM(data__22[[#This Row],[N34]:[N36]])/3</f>
        <v>1</v>
      </c>
    </row>
    <row r="117" spans="1:64" x14ac:dyDescent="0.3">
      <c r="A117" s="7">
        <v>22</v>
      </c>
      <c r="B117" s="7" t="s">
        <v>70</v>
      </c>
      <c r="C117" s="7" t="s">
        <v>96</v>
      </c>
      <c r="D117" s="7" t="s">
        <v>72</v>
      </c>
      <c r="E117" s="7" t="s">
        <v>73</v>
      </c>
      <c r="F117" s="7" t="s">
        <v>74</v>
      </c>
      <c r="G117" s="7" t="s">
        <v>440</v>
      </c>
      <c r="H117" s="7" t="s">
        <v>136</v>
      </c>
      <c r="I117" s="7" t="s">
        <v>76</v>
      </c>
      <c r="J117" s="7" t="s">
        <v>77</v>
      </c>
      <c r="K117" s="7" t="s">
        <v>122</v>
      </c>
      <c r="L117" s="8" t="s">
        <v>79</v>
      </c>
      <c r="M117" s="8" t="s">
        <v>80</v>
      </c>
      <c r="N117" s="8" t="s">
        <v>79</v>
      </c>
      <c r="O117" s="8" t="s">
        <v>81</v>
      </c>
      <c r="P117" s="8" t="s">
        <v>82</v>
      </c>
      <c r="Q117" s="8" t="s">
        <v>83</v>
      </c>
      <c r="R117" s="8" t="s">
        <v>79</v>
      </c>
      <c r="S117" s="8" t="s">
        <v>82</v>
      </c>
      <c r="T117" s="8" t="s">
        <v>86</v>
      </c>
      <c r="U117" s="8" t="s">
        <v>87</v>
      </c>
      <c r="V117" s="8" t="s">
        <v>112</v>
      </c>
      <c r="W117" s="9">
        <v>1</v>
      </c>
      <c r="X117" s="9">
        <v>1</v>
      </c>
      <c r="Y117" s="9">
        <v>2</v>
      </c>
      <c r="Z117" s="9">
        <v>1</v>
      </c>
      <c r="AA117" s="9">
        <v>2</v>
      </c>
      <c r="AB117" s="9">
        <v>1</v>
      </c>
      <c r="AC117" s="9">
        <v>1</v>
      </c>
      <c r="AD117" s="9">
        <v>1</v>
      </c>
      <c r="AE117" s="9">
        <v>1</v>
      </c>
      <c r="AF117" s="9">
        <v>1</v>
      </c>
      <c r="AG117" s="9">
        <v>1</v>
      </c>
      <c r="AH117" s="9">
        <v>2</v>
      </c>
      <c r="AI117" s="9">
        <v>1</v>
      </c>
      <c r="AJ117" s="9">
        <v>2</v>
      </c>
      <c r="AK117" s="9">
        <v>2</v>
      </c>
      <c r="AL117" s="10">
        <v>1</v>
      </c>
      <c r="AM117" s="10">
        <v>1</v>
      </c>
      <c r="AN117" s="10">
        <v>2</v>
      </c>
      <c r="AO117" s="10">
        <v>2</v>
      </c>
      <c r="AP117" s="10">
        <v>1</v>
      </c>
      <c r="AQ117" s="10">
        <v>1</v>
      </c>
      <c r="AR117" s="10">
        <v>1</v>
      </c>
      <c r="AS117" s="11">
        <v>1</v>
      </c>
      <c r="AT117" s="11">
        <v>1</v>
      </c>
      <c r="AU117" s="11">
        <v>1</v>
      </c>
      <c r="AV117" s="11">
        <v>1</v>
      </c>
      <c r="AW117" s="11">
        <v>2</v>
      </c>
      <c r="AX117" s="11">
        <v>2</v>
      </c>
      <c r="AY117" s="7">
        <v>2</v>
      </c>
      <c r="AZ117" s="7">
        <v>2</v>
      </c>
      <c r="BA117" s="7">
        <v>1</v>
      </c>
      <c r="BB117" s="7">
        <v>1</v>
      </c>
      <c r="BC117" s="7">
        <v>1</v>
      </c>
      <c r="BD117" s="7">
        <v>1</v>
      </c>
      <c r="BE117" s="7">
        <v>1</v>
      </c>
      <c r="BF117" s="7">
        <v>1</v>
      </c>
      <c r="BG117" s="12">
        <f>SUM(data__22[[#This Row],[N1]:[N4]],data__22[[#This Row],[N10]:[N13]],data__22[[#This Row],[N16]:[N18]])/11</f>
        <v>1.2727272727272727</v>
      </c>
      <c r="BH117" s="13">
        <f>SUM(data__22[[#This Row],[N8]:[N9]],data__22[[#This Row],[N23]:[N25]])/5</f>
        <v>1</v>
      </c>
      <c r="BI117" s="12">
        <f>SUM(data__22[[#This Row],[N5]:[N7]])/3</f>
        <v>1.3333333333333333</v>
      </c>
      <c r="BJ117" s="12">
        <f>SUM(data__22[[#This Row],[N14]:[N15]],data__22[[#This Row],[N19]:[N22]],data__22[[#This Row],[N26]:[N28]])/9</f>
        <v>1.5555555555555556</v>
      </c>
      <c r="BK117" s="12">
        <f>SUM(data__22[[#This Row],[N29]:[N33]])/5</f>
        <v>1.4</v>
      </c>
      <c r="BL117" s="12">
        <f>SUM(data__22[[#This Row],[N34]:[N36]])/3</f>
        <v>1</v>
      </c>
    </row>
    <row r="118" spans="1:64" x14ac:dyDescent="0.3">
      <c r="A118" s="7">
        <v>21</v>
      </c>
      <c r="B118" s="7" t="s">
        <v>70</v>
      </c>
      <c r="C118" s="7" t="s">
        <v>96</v>
      </c>
      <c r="D118" s="7" t="s">
        <v>72</v>
      </c>
      <c r="E118" s="7" t="s">
        <v>114</v>
      </c>
      <c r="F118" s="7" t="s">
        <v>136</v>
      </c>
      <c r="G118" s="7" t="s">
        <v>439</v>
      </c>
      <c r="H118" s="7" t="s">
        <v>98</v>
      </c>
      <c r="I118" s="7" t="s">
        <v>76</v>
      </c>
      <c r="J118" s="7" t="s">
        <v>77</v>
      </c>
      <c r="K118" s="7" t="s">
        <v>125</v>
      </c>
      <c r="L118" s="8" t="s">
        <v>82</v>
      </c>
      <c r="M118" s="8" t="s">
        <v>80</v>
      </c>
      <c r="N118" s="8" t="s">
        <v>79</v>
      </c>
      <c r="O118" s="8" t="s">
        <v>117</v>
      </c>
      <c r="P118" s="8" t="s">
        <v>79</v>
      </c>
      <c r="Q118" s="8" t="s">
        <v>83</v>
      </c>
      <c r="R118" s="8" t="s">
        <v>82</v>
      </c>
      <c r="S118" s="8" t="s">
        <v>82</v>
      </c>
      <c r="T118" s="8" t="s">
        <v>106</v>
      </c>
      <c r="U118" s="8" t="s">
        <v>141</v>
      </c>
      <c r="V118" s="8" t="s">
        <v>112</v>
      </c>
      <c r="W118" s="9">
        <v>1</v>
      </c>
      <c r="X118" s="9">
        <v>2</v>
      </c>
      <c r="Y118" s="9">
        <v>2</v>
      </c>
      <c r="Z118" s="9">
        <v>2</v>
      </c>
      <c r="AA118" s="9">
        <v>1</v>
      </c>
      <c r="AB118" s="9">
        <v>1</v>
      </c>
      <c r="AC118" s="9">
        <v>1</v>
      </c>
      <c r="AD118" s="9">
        <v>0</v>
      </c>
      <c r="AE118" s="9">
        <v>0</v>
      </c>
      <c r="AF118" s="9">
        <v>2</v>
      </c>
      <c r="AG118" s="9">
        <v>3</v>
      </c>
      <c r="AH118" s="9">
        <v>2</v>
      </c>
      <c r="AI118" s="9">
        <v>2</v>
      </c>
      <c r="AJ118" s="9">
        <v>1</v>
      </c>
      <c r="AK118" s="9">
        <v>1</v>
      </c>
      <c r="AL118" s="10">
        <v>2</v>
      </c>
      <c r="AM118" s="10">
        <v>2</v>
      </c>
      <c r="AN118" s="10">
        <v>2</v>
      </c>
      <c r="AO118" s="10">
        <v>1</v>
      </c>
      <c r="AP118" s="10">
        <v>1</v>
      </c>
      <c r="AQ118" s="10">
        <v>1</v>
      </c>
      <c r="AR118" s="10">
        <v>1</v>
      </c>
      <c r="AS118" s="11">
        <v>2</v>
      </c>
      <c r="AT118" s="11">
        <v>2</v>
      </c>
      <c r="AU118" s="11">
        <v>2</v>
      </c>
      <c r="AV118" s="11">
        <v>1</v>
      </c>
      <c r="AW118" s="11">
        <v>1</v>
      </c>
      <c r="AX118" s="11">
        <v>1</v>
      </c>
      <c r="AY118" s="7">
        <v>3</v>
      </c>
      <c r="AZ118" s="7">
        <v>3</v>
      </c>
      <c r="BA118" s="7">
        <v>2</v>
      </c>
      <c r="BB118" s="7">
        <v>3</v>
      </c>
      <c r="BC118" s="7">
        <v>3</v>
      </c>
      <c r="BD118" s="7">
        <v>1</v>
      </c>
      <c r="BE118" s="7">
        <v>1</v>
      </c>
      <c r="BF118" s="7">
        <v>1</v>
      </c>
      <c r="BG118" s="12">
        <f>SUM(data__22[[#This Row],[N1]:[N4]],data__22[[#This Row],[N10]:[N13]],data__22[[#This Row],[N16]:[N18]])/11</f>
        <v>2</v>
      </c>
      <c r="BH118" s="13">
        <f>SUM(data__22[[#This Row],[N8]:[N9]],data__22[[#This Row],[N23]:[N25]])/5</f>
        <v>1.2</v>
      </c>
      <c r="BI118" s="12">
        <f>SUM(data__22[[#This Row],[N5]:[N7]])/3</f>
        <v>1</v>
      </c>
      <c r="BJ118" s="12">
        <f>SUM(data__22[[#This Row],[N14]:[N15]],data__22[[#This Row],[N19]:[N22]],data__22[[#This Row],[N26]:[N28]])/9</f>
        <v>1</v>
      </c>
      <c r="BK118" s="12">
        <f>SUM(data__22[[#This Row],[N29]:[N33]])/5</f>
        <v>2.8</v>
      </c>
      <c r="BL118" s="12">
        <f>SUM(data__22[[#This Row],[N34]:[N36]])/3</f>
        <v>1</v>
      </c>
    </row>
    <row r="119" spans="1:64" x14ac:dyDescent="0.3">
      <c r="A119" s="7">
        <v>22</v>
      </c>
      <c r="B119" s="7" t="s">
        <v>70</v>
      </c>
      <c r="C119" s="7" t="s">
        <v>157</v>
      </c>
      <c r="D119" s="7" t="s">
        <v>97</v>
      </c>
      <c r="E119" s="7" t="s">
        <v>108</v>
      </c>
      <c r="F119" s="7" t="s">
        <v>74</v>
      </c>
      <c r="G119" s="7" t="s">
        <v>439</v>
      </c>
      <c r="H119" s="7" t="s">
        <v>74</v>
      </c>
      <c r="I119" s="7" t="s">
        <v>439</v>
      </c>
      <c r="J119" s="7" t="s">
        <v>77</v>
      </c>
      <c r="K119" s="7" t="s">
        <v>131</v>
      </c>
      <c r="L119" s="8" t="s">
        <v>79</v>
      </c>
      <c r="M119" s="8" t="s">
        <v>80</v>
      </c>
      <c r="N119" s="8" t="s">
        <v>79</v>
      </c>
      <c r="O119" s="8" t="s">
        <v>109</v>
      </c>
      <c r="P119" s="8" t="s">
        <v>79</v>
      </c>
      <c r="Q119" s="8" t="s">
        <v>83</v>
      </c>
      <c r="R119" s="8" t="s">
        <v>79</v>
      </c>
      <c r="S119" s="8" t="s">
        <v>82</v>
      </c>
      <c r="T119" s="8" t="s">
        <v>106</v>
      </c>
      <c r="U119" s="8" t="s">
        <v>141</v>
      </c>
      <c r="V119" s="8" t="s">
        <v>112</v>
      </c>
      <c r="W119" s="9">
        <v>0</v>
      </c>
      <c r="X119" s="9">
        <v>1</v>
      </c>
      <c r="Y119" s="9">
        <v>1</v>
      </c>
      <c r="Z119" s="9">
        <v>1</v>
      </c>
      <c r="AA119" s="9">
        <v>1</v>
      </c>
      <c r="AB119" s="9">
        <v>1</v>
      </c>
      <c r="AC119" s="9">
        <v>1</v>
      </c>
      <c r="AD119" s="9">
        <v>1</v>
      </c>
      <c r="AE119" s="9">
        <v>1</v>
      </c>
      <c r="AF119" s="9">
        <v>1</v>
      </c>
      <c r="AG119" s="9">
        <v>1</v>
      </c>
      <c r="AH119" s="9">
        <v>1</v>
      </c>
      <c r="AI119" s="9">
        <v>1</v>
      </c>
      <c r="AJ119" s="9">
        <v>1</v>
      </c>
      <c r="AK119" s="9">
        <v>1</v>
      </c>
      <c r="AL119" s="10">
        <v>1</v>
      </c>
      <c r="AM119" s="10">
        <v>1</v>
      </c>
      <c r="AN119" s="10">
        <v>1</v>
      </c>
      <c r="AO119" s="10">
        <v>1</v>
      </c>
      <c r="AP119" s="10">
        <v>1</v>
      </c>
      <c r="AQ119" s="10">
        <v>1</v>
      </c>
      <c r="AR119" s="10">
        <v>1</v>
      </c>
      <c r="AS119" s="11">
        <v>1</v>
      </c>
      <c r="AT119" s="11">
        <v>1</v>
      </c>
      <c r="AU119" s="11">
        <v>1</v>
      </c>
      <c r="AV119" s="11">
        <v>1</v>
      </c>
      <c r="AW119" s="11">
        <v>1</v>
      </c>
      <c r="AX119" s="11">
        <v>1</v>
      </c>
      <c r="AY119" s="7">
        <v>1</v>
      </c>
      <c r="AZ119" s="7">
        <v>1</v>
      </c>
      <c r="BA119" s="7">
        <v>1</v>
      </c>
      <c r="BB119" s="7">
        <v>1</v>
      </c>
      <c r="BC119" s="7">
        <v>1</v>
      </c>
      <c r="BD119" s="7">
        <v>1</v>
      </c>
      <c r="BE119" s="7">
        <v>1</v>
      </c>
      <c r="BF119" s="7">
        <v>1</v>
      </c>
      <c r="BG119" s="12">
        <f>SUM(data__22[[#This Row],[N1]:[N4]],data__22[[#This Row],[N10]:[N13]],data__22[[#This Row],[N16]:[N18]])/11</f>
        <v>0.90909090909090906</v>
      </c>
      <c r="BH119" s="13">
        <f>SUM(data__22[[#This Row],[N8]:[N9]],data__22[[#This Row],[N23]:[N25]])/5</f>
        <v>1</v>
      </c>
      <c r="BI119" s="12">
        <f>SUM(data__22[[#This Row],[N5]:[N7]])/3</f>
        <v>1</v>
      </c>
      <c r="BJ119" s="12">
        <f>SUM(data__22[[#This Row],[N14]:[N15]],data__22[[#This Row],[N19]:[N22]],data__22[[#This Row],[N26]:[N28]])/9</f>
        <v>1</v>
      </c>
      <c r="BK119" s="12">
        <f>SUM(data__22[[#This Row],[N29]:[N33]])/5</f>
        <v>1</v>
      </c>
      <c r="BL119" s="12">
        <f>SUM(data__22[[#This Row],[N34]:[N36]])/3</f>
        <v>1</v>
      </c>
    </row>
    <row r="120" spans="1:64" x14ac:dyDescent="0.3">
      <c r="A120" s="7">
        <v>21</v>
      </c>
      <c r="B120" s="7" t="s">
        <v>70</v>
      </c>
      <c r="C120" s="7" t="s">
        <v>157</v>
      </c>
      <c r="D120" s="7" t="s">
        <v>72</v>
      </c>
      <c r="E120" s="7" t="s">
        <v>114</v>
      </c>
      <c r="F120" s="7" t="s">
        <v>98</v>
      </c>
      <c r="G120" s="7" t="s">
        <v>166</v>
      </c>
      <c r="H120" s="7" t="s">
        <v>100</v>
      </c>
      <c r="I120" s="7" t="s">
        <v>76</v>
      </c>
      <c r="J120" s="7" t="s">
        <v>101</v>
      </c>
      <c r="K120" s="7" t="s">
        <v>125</v>
      </c>
      <c r="L120" s="8" t="s">
        <v>82</v>
      </c>
      <c r="M120" s="8" t="s">
        <v>80</v>
      </c>
      <c r="N120" s="8" t="s">
        <v>79</v>
      </c>
      <c r="O120" s="8" t="s">
        <v>109</v>
      </c>
      <c r="P120" s="8" t="s">
        <v>82</v>
      </c>
      <c r="Q120" s="8" t="s">
        <v>83</v>
      </c>
      <c r="R120" s="8" t="s">
        <v>82</v>
      </c>
      <c r="S120" s="8" t="s">
        <v>82</v>
      </c>
      <c r="T120" s="8" t="s">
        <v>106</v>
      </c>
      <c r="U120" s="8" t="s">
        <v>141</v>
      </c>
      <c r="V120" s="8" t="s">
        <v>455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1</v>
      </c>
      <c r="AQ120" s="10">
        <v>1</v>
      </c>
      <c r="AR120" s="10">
        <v>1</v>
      </c>
      <c r="AS120" s="11">
        <v>1</v>
      </c>
      <c r="AT120" s="11">
        <v>1</v>
      </c>
      <c r="AU120" s="11">
        <v>0</v>
      </c>
      <c r="AV120" s="11">
        <v>0</v>
      </c>
      <c r="AW120" s="11">
        <v>0</v>
      </c>
      <c r="AX120" s="11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1</v>
      </c>
      <c r="BF120" s="7">
        <v>0</v>
      </c>
      <c r="BG120" s="12">
        <f>SUM(data__22[[#This Row],[N1]:[N4]],data__22[[#This Row],[N10]:[N13]],data__22[[#This Row],[N16]:[N18]])/11</f>
        <v>0</v>
      </c>
      <c r="BH120" s="13">
        <f>SUM(data__22[[#This Row],[N8]:[N9]],data__22[[#This Row],[N23]:[N25]])/5</f>
        <v>0.4</v>
      </c>
      <c r="BI120" s="12">
        <f>SUM(data__22[[#This Row],[N5]:[N7]])/3</f>
        <v>0</v>
      </c>
      <c r="BJ120" s="12">
        <f>SUM(data__22[[#This Row],[N14]:[N15]],data__22[[#This Row],[N19]:[N22]],data__22[[#This Row],[N26]:[N28]])/9</f>
        <v>0.33333333333333331</v>
      </c>
      <c r="BK120" s="12">
        <f>SUM(data__22[[#This Row],[N29]:[N33]])/5</f>
        <v>0</v>
      </c>
      <c r="BL120" s="12">
        <f>SUM(data__22[[#This Row],[N34]:[N36]])/3</f>
        <v>0.33333333333333331</v>
      </c>
    </row>
    <row r="121" spans="1:64" x14ac:dyDescent="0.3">
      <c r="A121" s="7">
        <v>21</v>
      </c>
      <c r="B121" s="7" t="s">
        <v>70</v>
      </c>
      <c r="C121" s="7" t="s">
        <v>157</v>
      </c>
      <c r="D121" s="7" t="s">
        <v>97</v>
      </c>
      <c r="E121" s="7" t="s">
        <v>108</v>
      </c>
      <c r="F121" s="7" t="s">
        <v>74</v>
      </c>
      <c r="G121" s="7" t="s">
        <v>439</v>
      </c>
      <c r="H121" s="7" t="s">
        <v>74</v>
      </c>
      <c r="I121" s="7" t="s">
        <v>76</v>
      </c>
      <c r="J121" s="7" t="s">
        <v>77</v>
      </c>
      <c r="K121" s="7" t="s">
        <v>131</v>
      </c>
      <c r="L121" s="8" t="s">
        <v>79</v>
      </c>
      <c r="M121" s="8" t="s">
        <v>80</v>
      </c>
      <c r="N121" s="8" t="s">
        <v>79</v>
      </c>
      <c r="O121" s="8" t="s">
        <v>81</v>
      </c>
      <c r="P121" s="8" t="s">
        <v>82</v>
      </c>
      <c r="Q121" s="8" t="s">
        <v>83</v>
      </c>
      <c r="R121" s="8" t="s">
        <v>82</v>
      </c>
      <c r="S121" s="8" t="s">
        <v>82</v>
      </c>
      <c r="T121" s="8" t="s">
        <v>106</v>
      </c>
      <c r="U121" s="8" t="s">
        <v>87</v>
      </c>
      <c r="V121" s="8" t="s">
        <v>112</v>
      </c>
      <c r="W121" s="9">
        <v>2</v>
      </c>
      <c r="X121" s="9">
        <v>2</v>
      </c>
      <c r="Y121" s="9">
        <v>2</v>
      </c>
      <c r="Z121" s="9">
        <v>3</v>
      </c>
      <c r="AA121" s="9">
        <v>3</v>
      </c>
      <c r="AB121" s="9">
        <v>3</v>
      </c>
      <c r="AC121" s="9">
        <v>2</v>
      </c>
      <c r="AD121" s="9">
        <v>3</v>
      </c>
      <c r="AE121" s="9">
        <v>3</v>
      </c>
      <c r="AF121" s="9">
        <v>2</v>
      </c>
      <c r="AG121" s="9">
        <v>3</v>
      </c>
      <c r="AH121" s="9">
        <v>3</v>
      </c>
      <c r="AI121" s="9">
        <v>3</v>
      </c>
      <c r="AJ121" s="9">
        <v>3</v>
      </c>
      <c r="AK121" s="9">
        <v>3</v>
      </c>
      <c r="AL121" s="10">
        <v>3</v>
      </c>
      <c r="AM121" s="10">
        <v>3</v>
      </c>
      <c r="AN121" s="10">
        <v>3</v>
      </c>
      <c r="AO121" s="10">
        <v>2</v>
      </c>
      <c r="AP121" s="10">
        <v>1</v>
      </c>
      <c r="AQ121" s="10">
        <v>0</v>
      </c>
      <c r="AR121" s="10">
        <v>1</v>
      </c>
      <c r="AS121" s="11">
        <v>2</v>
      </c>
      <c r="AT121" s="11">
        <v>2</v>
      </c>
      <c r="AU121" s="11">
        <v>2</v>
      </c>
      <c r="AV121" s="11">
        <v>2</v>
      </c>
      <c r="AW121" s="11">
        <v>1</v>
      </c>
      <c r="AX121" s="11">
        <v>1</v>
      </c>
      <c r="AY121" s="7">
        <v>2</v>
      </c>
      <c r="AZ121" s="7">
        <v>2</v>
      </c>
      <c r="BA121" s="7">
        <v>2</v>
      </c>
      <c r="BB121" s="7">
        <v>3</v>
      </c>
      <c r="BC121" s="7">
        <v>2</v>
      </c>
      <c r="BD121" s="7">
        <v>2</v>
      </c>
      <c r="BE121" s="7">
        <v>3</v>
      </c>
      <c r="BF121" s="7">
        <v>3</v>
      </c>
      <c r="BG121" s="12">
        <f>SUM(data__22[[#This Row],[N1]:[N4]],data__22[[#This Row],[N10]:[N13]],data__22[[#This Row],[N16]:[N18]])/11</f>
        <v>2.6363636363636362</v>
      </c>
      <c r="BH121" s="13">
        <f>SUM(data__22[[#This Row],[N8]:[N9]],data__22[[#This Row],[N23]:[N25]])/5</f>
        <v>2.4</v>
      </c>
      <c r="BI121" s="12">
        <f>SUM(data__22[[#This Row],[N5]:[N7]])/3</f>
        <v>2.6666666666666665</v>
      </c>
      <c r="BJ121" s="12">
        <f>SUM(data__22[[#This Row],[N14]:[N15]],data__22[[#This Row],[N19]:[N22]],data__22[[#This Row],[N26]:[N28]])/9</f>
        <v>1.5555555555555556</v>
      </c>
      <c r="BK121" s="12">
        <f>SUM(data__22[[#This Row],[N29]:[N33]])/5</f>
        <v>2.2000000000000002</v>
      </c>
      <c r="BL121" s="12">
        <f>SUM(data__22[[#This Row],[N34]:[N36]])/3</f>
        <v>2.6666666666666665</v>
      </c>
    </row>
    <row r="122" spans="1:64" x14ac:dyDescent="0.3">
      <c r="A122" s="7">
        <v>18</v>
      </c>
      <c r="B122" s="7" t="s">
        <v>70</v>
      </c>
      <c r="C122" s="7" t="s">
        <v>157</v>
      </c>
      <c r="D122" s="7" t="s">
        <v>72</v>
      </c>
      <c r="E122" s="7" t="s">
        <v>73</v>
      </c>
      <c r="F122" s="7" t="s">
        <v>74</v>
      </c>
      <c r="G122" s="7" t="s">
        <v>439</v>
      </c>
      <c r="H122" s="7" t="s">
        <v>74</v>
      </c>
      <c r="I122" s="7" t="s">
        <v>439</v>
      </c>
      <c r="J122" s="7" t="s">
        <v>77</v>
      </c>
      <c r="K122" s="7" t="s">
        <v>131</v>
      </c>
      <c r="L122" s="8" t="s">
        <v>79</v>
      </c>
      <c r="M122" s="8" t="s">
        <v>132</v>
      </c>
      <c r="N122" s="8" t="s">
        <v>79</v>
      </c>
      <c r="O122" s="8" t="s">
        <v>117</v>
      </c>
      <c r="P122" s="8" t="s">
        <v>82</v>
      </c>
      <c r="Q122" s="8" t="s">
        <v>83</v>
      </c>
      <c r="R122" s="8" t="s">
        <v>79</v>
      </c>
      <c r="S122" s="8" t="s">
        <v>82</v>
      </c>
      <c r="T122" s="8" t="s">
        <v>106</v>
      </c>
      <c r="U122" s="8" t="s">
        <v>120</v>
      </c>
      <c r="V122" s="8" t="s">
        <v>112</v>
      </c>
      <c r="W122" s="9">
        <v>2</v>
      </c>
      <c r="X122" s="9">
        <v>3</v>
      </c>
      <c r="Y122" s="9">
        <v>3</v>
      </c>
      <c r="Z122" s="9">
        <v>3</v>
      </c>
      <c r="AA122" s="9">
        <v>2</v>
      </c>
      <c r="AB122" s="9">
        <v>3</v>
      </c>
      <c r="AC122" s="9">
        <v>3</v>
      </c>
      <c r="AD122" s="9">
        <v>3</v>
      </c>
      <c r="AE122" s="9">
        <v>2</v>
      </c>
      <c r="AF122" s="9">
        <v>3</v>
      </c>
      <c r="AG122" s="9">
        <v>2</v>
      </c>
      <c r="AH122" s="9">
        <v>2</v>
      </c>
      <c r="AI122" s="9">
        <v>3</v>
      </c>
      <c r="AJ122" s="9">
        <v>0</v>
      </c>
      <c r="AK122" s="9">
        <v>0</v>
      </c>
      <c r="AL122" s="10">
        <v>3</v>
      </c>
      <c r="AM122" s="10">
        <v>3</v>
      </c>
      <c r="AN122" s="10">
        <v>3</v>
      </c>
      <c r="AO122" s="10">
        <v>0</v>
      </c>
      <c r="AP122" s="10">
        <v>0</v>
      </c>
      <c r="AQ122" s="10">
        <v>0</v>
      </c>
      <c r="AR122" s="10">
        <v>0</v>
      </c>
      <c r="AS122" s="11">
        <v>1</v>
      </c>
      <c r="AT122" s="11">
        <v>1</v>
      </c>
      <c r="AU122" s="11">
        <v>1</v>
      </c>
      <c r="AV122" s="11">
        <v>1</v>
      </c>
      <c r="AW122" s="11">
        <v>1</v>
      </c>
      <c r="AX122" s="11">
        <v>1</v>
      </c>
      <c r="AY122" s="7">
        <v>3</v>
      </c>
      <c r="AZ122" s="7">
        <v>2</v>
      </c>
      <c r="BA122" s="7">
        <v>2</v>
      </c>
      <c r="BB122" s="7">
        <v>1</v>
      </c>
      <c r="BC122" s="7">
        <v>2</v>
      </c>
      <c r="BD122" s="7">
        <v>2</v>
      </c>
      <c r="BE122" s="7">
        <v>0</v>
      </c>
      <c r="BF122" s="7">
        <v>0</v>
      </c>
      <c r="BG122" s="12">
        <f>SUM(data__22[[#This Row],[N1]:[N4]],data__22[[#This Row],[N10]:[N13]],data__22[[#This Row],[N16]:[N18]])/11</f>
        <v>2.7272727272727271</v>
      </c>
      <c r="BH122" s="13">
        <f>SUM(data__22[[#This Row],[N8]:[N9]],data__22[[#This Row],[N23]:[N25]])/5</f>
        <v>1.6</v>
      </c>
      <c r="BI122" s="12">
        <f>SUM(data__22[[#This Row],[N5]:[N7]])/3</f>
        <v>2.6666666666666665</v>
      </c>
      <c r="BJ122" s="12">
        <f>SUM(data__22[[#This Row],[N14]:[N15]],data__22[[#This Row],[N19]:[N22]],data__22[[#This Row],[N26]:[N28]])/9</f>
        <v>0.33333333333333331</v>
      </c>
      <c r="BK122" s="12">
        <f>SUM(data__22[[#This Row],[N29]:[N33]])/5</f>
        <v>2</v>
      </c>
      <c r="BL122" s="12">
        <f>SUM(data__22[[#This Row],[N34]:[N36]])/3</f>
        <v>0.66666666666666663</v>
      </c>
    </row>
    <row r="123" spans="1:64" x14ac:dyDescent="0.3">
      <c r="A123" s="7">
        <v>20</v>
      </c>
      <c r="B123" s="7" t="s">
        <v>162</v>
      </c>
      <c r="C123" s="7" t="s">
        <v>157</v>
      </c>
      <c r="D123" s="7" t="s">
        <v>72</v>
      </c>
      <c r="E123" s="7" t="s">
        <v>73</v>
      </c>
      <c r="F123" s="7" t="s">
        <v>74</v>
      </c>
      <c r="G123" s="7" t="s">
        <v>99</v>
      </c>
      <c r="H123" s="7" t="s">
        <v>136</v>
      </c>
      <c r="I123" s="7" t="s">
        <v>76</v>
      </c>
      <c r="J123" s="7" t="s">
        <v>77</v>
      </c>
      <c r="K123" s="7" t="s">
        <v>122</v>
      </c>
      <c r="L123" s="8" t="s">
        <v>79</v>
      </c>
      <c r="M123" s="8" t="s">
        <v>80</v>
      </c>
      <c r="N123" s="8" t="s">
        <v>79</v>
      </c>
      <c r="O123" s="8" t="s">
        <v>81</v>
      </c>
      <c r="P123" s="8" t="s">
        <v>82</v>
      </c>
      <c r="Q123" s="8" t="s">
        <v>83</v>
      </c>
      <c r="R123" s="8" t="s">
        <v>82</v>
      </c>
      <c r="S123" s="8" t="s">
        <v>82</v>
      </c>
      <c r="T123" s="8" t="s">
        <v>106</v>
      </c>
      <c r="U123" s="8" t="s">
        <v>141</v>
      </c>
      <c r="V123" s="8" t="s">
        <v>112</v>
      </c>
      <c r="W123" s="9">
        <v>3</v>
      </c>
      <c r="X123" s="9">
        <v>3</v>
      </c>
      <c r="Y123" s="9">
        <v>3</v>
      </c>
      <c r="Z123" s="9">
        <v>3</v>
      </c>
      <c r="AA123" s="9">
        <v>3</v>
      </c>
      <c r="AB123" s="9">
        <v>3</v>
      </c>
      <c r="AC123" s="9">
        <v>3</v>
      </c>
      <c r="AD123" s="9">
        <v>3</v>
      </c>
      <c r="AE123" s="9">
        <v>3</v>
      </c>
      <c r="AF123" s="9">
        <v>3</v>
      </c>
      <c r="AG123" s="9">
        <v>3</v>
      </c>
      <c r="AH123" s="9">
        <v>3</v>
      </c>
      <c r="AI123" s="9">
        <v>3</v>
      </c>
      <c r="AJ123" s="9">
        <v>3</v>
      </c>
      <c r="AK123" s="9">
        <v>3</v>
      </c>
      <c r="AL123" s="10">
        <v>3</v>
      </c>
      <c r="AM123" s="10">
        <v>3</v>
      </c>
      <c r="AN123" s="10">
        <v>3</v>
      </c>
      <c r="AO123" s="10">
        <v>3</v>
      </c>
      <c r="AP123" s="10">
        <v>3</v>
      </c>
      <c r="AQ123" s="10">
        <v>3</v>
      </c>
      <c r="AR123" s="10">
        <v>3</v>
      </c>
      <c r="AS123" s="11">
        <v>3</v>
      </c>
      <c r="AT123" s="11">
        <v>3</v>
      </c>
      <c r="AU123" s="11">
        <v>3</v>
      </c>
      <c r="AV123" s="11">
        <v>3</v>
      </c>
      <c r="AW123" s="11">
        <v>3</v>
      </c>
      <c r="AX123" s="11">
        <v>3</v>
      </c>
      <c r="AY123" s="7">
        <v>3</v>
      </c>
      <c r="AZ123" s="7">
        <v>3</v>
      </c>
      <c r="BA123" s="7">
        <v>3</v>
      </c>
      <c r="BB123" s="7">
        <v>3</v>
      </c>
      <c r="BC123" s="7">
        <v>3</v>
      </c>
      <c r="BD123" s="7">
        <v>3</v>
      </c>
      <c r="BE123" s="7">
        <v>3</v>
      </c>
      <c r="BF123" s="7">
        <v>3</v>
      </c>
      <c r="BG123" s="12">
        <f>SUM(data__22[[#This Row],[N1]:[N4]],data__22[[#This Row],[N10]:[N13]],data__22[[#This Row],[N16]:[N18]])/11</f>
        <v>3</v>
      </c>
      <c r="BH123" s="13">
        <f>SUM(data__22[[#This Row],[N8]:[N9]],data__22[[#This Row],[N23]:[N25]])/5</f>
        <v>3</v>
      </c>
      <c r="BI123" s="12">
        <f>SUM(data__22[[#This Row],[N5]:[N7]])/3</f>
        <v>3</v>
      </c>
      <c r="BJ123" s="12">
        <f>SUM(data__22[[#This Row],[N14]:[N15]],data__22[[#This Row],[N19]:[N22]],data__22[[#This Row],[N26]:[N28]])/9</f>
        <v>3</v>
      </c>
      <c r="BK123" s="12">
        <f>SUM(data__22[[#This Row],[N29]:[N33]])/5</f>
        <v>3</v>
      </c>
      <c r="BL123" s="12">
        <f>SUM(data__22[[#This Row],[N34]:[N36]])/3</f>
        <v>3</v>
      </c>
    </row>
    <row r="124" spans="1:64" x14ac:dyDescent="0.3">
      <c r="A124" s="7">
        <v>20</v>
      </c>
      <c r="B124" s="7" t="s">
        <v>70</v>
      </c>
      <c r="C124" s="7" t="s">
        <v>157</v>
      </c>
      <c r="D124" s="7" t="s">
        <v>72</v>
      </c>
      <c r="E124" s="7" t="s">
        <v>114</v>
      </c>
      <c r="F124" s="7" t="s">
        <v>165</v>
      </c>
      <c r="G124" s="7" t="s">
        <v>438</v>
      </c>
      <c r="H124" s="7" t="s">
        <v>165</v>
      </c>
      <c r="I124" s="7" t="s">
        <v>76</v>
      </c>
      <c r="J124" s="7" t="s">
        <v>101</v>
      </c>
      <c r="K124" s="7" t="s">
        <v>125</v>
      </c>
      <c r="L124" s="8" t="s">
        <v>79</v>
      </c>
      <c r="M124" s="8" t="s">
        <v>80</v>
      </c>
      <c r="N124" s="8" t="s">
        <v>79</v>
      </c>
      <c r="O124" s="8" t="s">
        <v>81</v>
      </c>
      <c r="P124" s="8" t="s">
        <v>82</v>
      </c>
      <c r="Q124" s="8" t="s">
        <v>83</v>
      </c>
      <c r="R124" s="8" t="s">
        <v>79</v>
      </c>
      <c r="S124" s="8" t="s">
        <v>82</v>
      </c>
      <c r="T124" s="8" t="s">
        <v>106</v>
      </c>
      <c r="U124" s="8" t="s">
        <v>87</v>
      </c>
      <c r="V124" s="8" t="s">
        <v>112</v>
      </c>
      <c r="W124" s="9">
        <v>1</v>
      </c>
      <c r="X124" s="9">
        <v>1</v>
      </c>
      <c r="Y124" s="9">
        <v>0</v>
      </c>
      <c r="Z124" s="9">
        <v>1</v>
      </c>
      <c r="AA124" s="9">
        <v>0</v>
      </c>
      <c r="AB124" s="9">
        <v>1</v>
      </c>
      <c r="AC124" s="9">
        <v>1</v>
      </c>
      <c r="AD124" s="9">
        <v>1</v>
      </c>
      <c r="AE124" s="9">
        <v>0</v>
      </c>
      <c r="AF124" s="9">
        <v>1</v>
      </c>
      <c r="AG124" s="9">
        <v>1</v>
      </c>
      <c r="AH124" s="9">
        <v>0</v>
      </c>
      <c r="AI124" s="9">
        <v>1</v>
      </c>
      <c r="AJ124" s="9">
        <v>0</v>
      </c>
      <c r="AK124" s="9">
        <v>1</v>
      </c>
      <c r="AL124" s="10">
        <v>2</v>
      </c>
      <c r="AM124" s="10">
        <v>0</v>
      </c>
      <c r="AN124" s="10">
        <v>2</v>
      </c>
      <c r="AO124" s="10">
        <v>1</v>
      </c>
      <c r="AP124" s="10">
        <v>1</v>
      </c>
      <c r="AQ124" s="10">
        <v>1</v>
      </c>
      <c r="AR124" s="10">
        <v>1</v>
      </c>
      <c r="AS124" s="11">
        <v>1</v>
      </c>
      <c r="AT124" s="11">
        <v>1</v>
      </c>
      <c r="AU124" s="11">
        <v>0</v>
      </c>
      <c r="AV124" s="11">
        <v>1</v>
      </c>
      <c r="AW124" s="11">
        <v>0</v>
      </c>
      <c r="AX124" s="11">
        <v>1</v>
      </c>
      <c r="AY124" s="7">
        <v>1</v>
      </c>
      <c r="AZ124" s="7">
        <v>0</v>
      </c>
      <c r="BA124" s="7">
        <v>1</v>
      </c>
      <c r="BB124" s="7">
        <v>0</v>
      </c>
      <c r="BC124" s="7">
        <v>1</v>
      </c>
      <c r="BD124" s="7">
        <v>1</v>
      </c>
      <c r="BE124" s="7">
        <v>0</v>
      </c>
      <c r="BF124" s="7">
        <v>1</v>
      </c>
      <c r="BG124" s="12">
        <f>SUM(data__22[[#This Row],[N1]:[N4]],data__22[[#This Row],[N10]:[N13]],data__22[[#This Row],[N16]:[N18]])/11</f>
        <v>0.90909090909090906</v>
      </c>
      <c r="BH124" s="13">
        <f>SUM(data__22[[#This Row],[N8]:[N9]],data__22[[#This Row],[N23]:[N25]])/5</f>
        <v>0.6</v>
      </c>
      <c r="BI124" s="12">
        <f>SUM(data__22[[#This Row],[N5]:[N7]])/3</f>
        <v>0.66666666666666663</v>
      </c>
      <c r="BJ124" s="12">
        <f>SUM(data__22[[#This Row],[N14]:[N15]],data__22[[#This Row],[N19]:[N22]],data__22[[#This Row],[N26]:[N28]])/9</f>
        <v>0.77777777777777779</v>
      </c>
      <c r="BK124" s="12">
        <f>SUM(data__22[[#This Row],[N29]:[N33]])/5</f>
        <v>0.6</v>
      </c>
      <c r="BL124" s="12">
        <f>SUM(data__22[[#This Row],[N34]:[N36]])/3</f>
        <v>0.66666666666666663</v>
      </c>
    </row>
    <row r="125" spans="1:64" x14ac:dyDescent="0.3">
      <c r="A125" s="7">
        <v>20</v>
      </c>
      <c r="B125" s="7" t="s">
        <v>70</v>
      </c>
      <c r="C125" s="7" t="s">
        <v>157</v>
      </c>
      <c r="D125" s="7" t="s">
        <v>72</v>
      </c>
      <c r="E125" s="7" t="s">
        <v>108</v>
      </c>
      <c r="F125" s="7" t="s">
        <v>74</v>
      </c>
      <c r="G125" s="7" t="s">
        <v>440</v>
      </c>
      <c r="H125" s="7" t="s">
        <v>74</v>
      </c>
      <c r="I125" s="7" t="s">
        <v>439</v>
      </c>
      <c r="J125" s="7" t="s">
        <v>77</v>
      </c>
      <c r="K125" s="7" t="s">
        <v>131</v>
      </c>
      <c r="L125" s="8" t="s">
        <v>79</v>
      </c>
      <c r="M125" s="8" t="s">
        <v>132</v>
      </c>
      <c r="N125" s="8" t="s">
        <v>79</v>
      </c>
      <c r="O125" s="8" t="s">
        <v>81</v>
      </c>
      <c r="P125" s="8" t="s">
        <v>79</v>
      </c>
      <c r="Q125" s="8" t="s">
        <v>83</v>
      </c>
      <c r="R125" s="8" t="s">
        <v>79</v>
      </c>
      <c r="S125" s="8" t="s">
        <v>79</v>
      </c>
      <c r="T125" s="8" t="s">
        <v>106</v>
      </c>
      <c r="U125" s="8" t="s">
        <v>120</v>
      </c>
      <c r="V125" s="8" t="s">
        <v>112</v>
      </c>
      <c r="W125" s="9">
        <v>0</v>
      </c>
      <c r="X125" s="9">
        <v>1</v>
      </c>
      <c r="Y125" s="9">
        <v>2</v>
      </c>
      <c r="Z125" s="9">
        <v>2</v>
      </c>
      <c r="AA125" s="9">
        <v>2</v>
      </c>
      <c r="AB125" s="9">
        <v>0</v>
      </c>
      <c r="AC125" s="9">
        <v>0</v>
      </c>
      <c r="AD125" s="9">
        <v>1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1</v>
      </c>
      <c r="AK125" s="9">
        <v>1</v>
      </c>
      <c r="AL125" s="10">
        <v>0</v>
      </c>
      <c r="AM125" s="10">
        <v>1</v>
      </c>
      <c r="AN125" s="10">
        <v>1</v>
      </c>
      <c r="AO125" s="10">
        <v>2</v>
      </c>
      <c r="AP125" s="10">
        <v>1</v>
      </c>
      <c r="AQ125" s="10">
        <v>2</v>
      </c>
      <c r="AR125" s="10">
        <v>2</v>
      </c>
      <c r="AS125" s="11">
        <v>2</v>
      </c>
      <c r="AT125" s="11">
        <v>2</v>
      </c>
      <c r="AU125" s="11">
        <v>2</v>
      </c>
      <c r="AV125" s="11">
        <v>2</v>
      </c>
      <c r="AW125" s="11">
        <v>2</v>
      </c>
      <c r="AX125" s="11">
        <v>2</v>
      </c>
      <c r="AY125" s="7">
        <v>0</v>
      </c>
      <c r="AZ125" s="7">
        <v>1</v>
      </c>
      <c r="BA125" s="7">
        <v>1</v>
      </c>
      <c r="BB125" s="7">
        <v>1</v>
      </c>
      <c r="BC125" s="7">
        <v>1</v>
      </c>
      <c r="BD125" s="7">
        <v>0</v>
      </c>
      <c r="BE125" s="7">
        <v>1</v>
      </c>
      <c r="BF125" s="7">
        <v>0</v>
      </c>
      <c r="BG125" s="12">
        <f>SUM(data__22[[#This Row],[N1]:[N4]],data__22[[#This Row],[N10]:[N13]],data__22[[#This Row],[N16]:[N18]])/11</f>
        <v>0.63636363636363635</v>
      </c>
      <c r="BH125" s="13">
        <f>SUM(data__22[[#This Row],[N8]:[N9]],data__22[[#This Row],[N23]:[N25]])/5</f>
        <v>1.4</v>
      </c>
      <c r="BI125" s="12">
        <f>SUM(data__22[[#This Row],[N5]:[N7]])/3</f>
        <v>0.66666666666666663</v>
      </c>
      <c r="BJ125" s="12">
        <f>SUM(data__22[[#This Row],[N14]:[N15]],data__22[[#This Row],[N19]:[N22]],data__22[[#This Row],[N26]:[N28]])/9</f>
        <v>1.6666666666666667</v>
      </c>
      <c r="BK125" s="12">
        <f>SUM(data__22[[#This Row],[N29]:[N33]])/5</f>
        <v>0.8</v>
      </c>
      <c r="BL125" s="12">
        <f>SUM(data__22[[#This Row],[N34]:[N36]])/3</f>
        <v>0.33333333333333331</v>
      </c>
    </row>
    <row r="126" spans="1:64" x14ac:dyDescent="0.3">
      <c r="A126" s="7">
        <v>22</v>
      </c>
      <c r="B126" s="7" t="s">
        <v>70</v>
      </c>
      <c r="C126" s="7" t="s">
        <v>157</v>
      </c>
      <c r="D126" s="7" t="s">
        <v>72</v>
      </c>
      <c r="E126" s="7" t="s">
        <v>108</v>
      </c>
      <c r="F126" s="7" t="s">
        <v>136</v>
      </c>
      <c r="G126" s="7" t="s">
        <v>439</v>
      </c>
      <c r="H126" s="7" t="s">
        <v>98</v>
      </c>
      <c r="I126" s="7" t="s">
        <v>76</v>
      </c>
      <c r="J126" s="7" t="s">
        <v>101</v>
      </c>
      <c r="K126" s="7" t="s">
        <v>78</v>
      </c>
      <c r="L126" s="8" t="s">
        <v>79</v>
      </c>
      <c r="M126" s="8" t="s">
        <v>80</v>
      </c>
      <c r="N126" s="8" t="s">
        <v>79</v>
      </c>
      <c r="O126" s="8" t="s">
        <v>117</v>
      </c>
      <c r="P126" s="8" t="s">
        <v>79</v>
      </c>
      <c r="Q126" s="8" t="s">
        <v>103</v>
      </c>
      <c r="R126" s="8" t="s">
        <v>79</v>
      </c>
      <c r="S126" s="8" t="s">
        <v>82</v>
      </c>
      <c r="T126" s="8" t="s">
        <v>86</v>
      </c>
      <c r="U126" s="8" t="s">
        <v>141</v>
      </c>
      <c r="V126" s="8" t="s">
        <v>112</v>
      </c>
      <c r="W126" s="9">
        <v>1</v>
      </c>
      <c r="X126" s="9">
        <v>1</v>
      </c>
      <c r="Y126" s="9">
        <v>1</v>
      </c>
      <c r="Z126" s="9">
        <v>1</v>
      </c>
      <c r="AA126" s="9">
        <v>1</v>
      </c>
      <c r="AB126" s="9">
        <v>1</v>
      </c>
      <c r="AC126" s="9">
        <v>1</v>
      </c>
      <c r="AD126" s="9">
        <v>1</v>
      </c>
      <c r="AE126" s="9">
        <v>1</v>
      </c>
      <c r="AF126" s="9">
        <v>1</v>
      </c>
      <c r="AG126" s="9">
        <v>1</v>
      </c>
      <c r="AH126" s="9">
        <v>1</v>
      </c>
      <c r="AI126" s="9">
        <v>1</v>
      </c>
      <c r="AJ126" s="9">
        <v>1</v>
      </c>
      <c r="AK126" s="9">
        <v>1</v>
      </c>
      <c r="AL126" s="10">
        <v>1</v>
      </c>
      <c r="AM126" s="10">
        <v>1</v>
      </c>
      <c r="AN126" s="10">
        <v>1</v>
      </c>
      <c r="AO126" s="10">
        <v>1</v>
      </c>
      <c r="AP126" s="10">
        <v>1</v>
      </c>
      <c r="AQ126" s="10">
        <v>1</v>
      </c>
      <c r="AR126" s="10">
        <v>1</v>
      </c>
      <c r="AS126" s="11">
        <v>1</v>
      </c>
      <c r="AT126" s="11">
        <v>1</v>
      </c>
      <c r="AU126" s="11">
        <v>1</v>
      </c>
      <c r="AV126" s="11">
        <v>1</v>
      </c>
      <c r="AW126" s="11">
        <v>1</v>
      </c>
      <c r="AX126" s="11">
        <v>1</v>
      </c>
      <c r="AY126" s="7">
        <v>1</v>
      </c>
      <c r="AZ126" s="7">
        <v>1</v>
      </c>
      <c r="BA126" s="7">
        <v>1</v>
      </c>
      <c r="BB126" s="7">
        <v>1</v>
      </c>
      <c r="BC126" s="7">
        <v>1</v>
      </c>
      <c r="BD126" s="7">
        <v>1</v>
      </c>
      <c r="BE126" s="7">
        <v>1</v>
      </c>
      <c r="BF126" s="7">
        <v>1</v>
      </c>
      <c r="BG126" s="12">
        <f>SUM(data__22[[#This Row],[N1]:[N4]],data__22[[#This Row],[N10]:[N13]],data__22[[#This Row],[N16]:[N18]])/11</f>
        <v>1</v>
      </c>
      <c r="BH126" s="13">
        <f>SUM(data__22[[#This Row],[N8]:[N9]],data__22[[#This Row],[N23]:[N25]])/5</f>
        <v>1</v>
      </c>
      <c r="BI126" s="12">
        <f>SUM(data__22[[#This Row],[N5]:[N7]])/3</f>
        <v>1</v>
      </c>
      <c r="BJ126" s="12">
        <f>SUM(data__22[[#This Row],[N14]:[N15]],data__22[[#This Row],[N19]:[N22]],data__22[[#This Row],[N26]:[N28]])/9</f>
        <v>1</v>
      </c>
      <c r="BK126" s="12">
        <f>SUM(data__22[[#This Row],[N29]:[N33]])/5</f>
        <v>1</v>
      </c>
      <c r="BL126" s="12">
        <f>SUM(data__22[[#This Row],[N34]:[N36]])/3</f>
        <v>1</v>
      </c>
    </row>
    <row r="127" spans="1:64" x14ac:dyDescent="0.3">
      <c r="A127" s="7">
        <v>19</v>
      </c>
      <c r="B127" s="7" t="s">
        <v>70</v>
      </c>
      <c r="C127" s="7" t="s">
        <v>157</v>
      </c>
      <c r="D127" s="7" t="s">
        <v>72</v>
      </c>
      <c r="E127" s="7" t="s">
        <v>114</v>
      </c>
      <c r="F127" s="7" t="s">
        <v>74</v>
      </c>
      <c r="G127" s="7" t="s">
        <v>440</v>
      </c>
      <c r="H127" s="7" t="s">
        <v>136</v>
      </c>
      <c r="I127" s="7" t="s">
        <v>76</v>
      </c>
      <c r="J127" s="7" t="s">
        <v>77</v>
      </c>
      <c r="K127" s="7" t="s">
        <v>78</v>
      </c>
      <c r="L127" s="8" t="s">
        <v>79</v>
      </c>
      <c r="M127" s="8" t="s">
        <v>80</v>
      </c>
      <c r="N127" s="8" t="s">
        <v>79</v>
      </c>
      <c r="O127" s="8" t="s">
        <v>138</v>
      </c>
      <c r="P127" s="8" t="s">
        <v>79</v>
      </c>
      <c r="Q127" s="8" t="s">
        <v>83</v>
      </c>
      <c r="R127" s="8" t="s">
        <v>79</v>
      </c>
      <c r="S127" s="8" t="s">
        <v>82</v>
      </c>
      <c r="T127" s="8" t="s">
        <v>106</v>
      </c>
      <c r="U127" s="8" t="s">
        <v>87</v>
      </c>
      <c r="V127" s="8" t="s">
        <v>112</v>
      </c>
      <c r="W127" s="9">
        <v>3</v>
      </c>
      <c r="X127" s="9">
        <v>3</v>
      </c>
      <c r="Y127" s="9">
        <v>3</v>
      </c>
      <c r="Z127" s="9">
        <v>3</v>
      </c>
      <c r="AA127" s="9">
        <v>1</v>
      </c>
      <c r="AB127" s="9">
        <v>1</v>
      </c>
      <c r="AC127" s="9">
        <v>0</v>
      </c>
      <c r="AD127" s="9">
        <v>1</v>
      </c>
      <c r="AE127" s="9">
        <v>1</v>
      </c>
      <c r="AF127" s="9">
        <v>1</v>
      </c>
      <c r="AG127" s="9">
        <v>3</v>
      </c>
      <c r="AH127" s="9">
        <v>3</v>
      </c>
      <c r="AI127" s="9">
        <v>3</v>
      </c>
      <c r="AJ127" s="9">
        <v>0</v>
      </c>
      <c r="AK127" s="9">
        <v>0</v>
      </c>
      <c r="AL127" s="10">
        <v>3</v>
      </c>
      <c r="AM127" s="10">
        <v>3</v>
      </c>
      <c r="AN127" s="10">
        <v>3</v>
      </c>
      <c r="AO127" s="10">
        <v>0</v>
      </c>
      <c r="AP127" s="10">
        <v>0</v>
      </c>
      <c r="AQ127" s="10">
        <v>0</v>
      </c>
      <c r="AR127" s="10">
        <v>0</v>
      </c>
      <c r="AS127" s="11">
        <v>2</v>
      </c>
      <c r="AT127" s="11">
        <v>3</v>
      </c>
      <c r="AU127" s="11">
        <v>3</v>
      </c>
      <c r="AV127" s="11">
        <v>0</v>
      </c>
      <c r="AW127" s="11">
        <v>1</v>
      </c>
      <c r="AX127" s="11">
        <v>0</v>
      </c>
      <c r="AY127" s="7"/>
      <c r="AZ127" s="7"/>
      <c r="BA127" s="7"/>
      <c r="BB127" s="7"/>
      <c r="BC127" s="7"/>
      <c r="BD127" s="7"/>
      <c r="BE127" s="7"/>
      <c r="BF127" s="7"/>
      <c r="BG127" s="12">
        <f>SUM(data__22[[#This Row],[N1]:[N4]],data__22[[#This Row],[N10]:[N13]],data__22[[#This Row],[N16]:[N18]])/11</f>
        <v>2.8181818181818183</v>
      </c>
      <c r="BH127" s="13">
        <f>SUM(data__22[[#This Row],[N8]:[N9]],data__22[[#This Row],[N23]:[N25]])/5</f>
        <v>2</v>
      </c>
      <c r="BI127" s="12">
        <f>SUM(data__22[[#This Row],[N5]:[N7]])/3</f>
        <v>0.66666666666666663</v>
      </c>
      <c r="BJ127" s="12">
        <f>SUM(data__22[[#This Row],[N14]:[N15]],data__22[[#This Row],[N19]:[N22]],data__22[[#This Row],[N26]:[N28]])/9</f>
        <v>0.1111111111111111</v>
      </c>
      <c r="BK127" s="12">
        <f>SUM(data__22[[#This Row],[N29]:[N33]])/5</f>
        <v>0</v>
      </c>
      <c r="BL127" s="12">
        <f>SUM(data__22[[#This Row],[N34]:[N36]])/3</f>
        <v>0</v>
      </c>
    </row>
    <row r="128" spans="1:64" x14ac:dyDescent="0.3">
      <c r="A128" s="7">
        <v>20</v>
      </c>
      <c r="B128" s="7" t="s">
        <v>70</v>
      </c>
      <c r="C128" s="7" t="s">
        <v>157</v>
      </c>
      <c r="D128" s="7" t="s">
        <v>97</v>
      </c>
      <c r="E128" s="7" t="s">
        <v>73</v>
      </c>
      <c r="F128" s="7" t="s">
        <v>74</v>
      </c>
      <c r="G128" s="7" t="s">
        <v>166</v>
      </c>
      <c r="H128" s="7" t="s">
        <v>98</v>
      </c>
      <c r="I128" s="7" t="s">
        <v>76</v>
      </c>
      <c r="J128" s="7" t="s">
        <v>77</v>
      </c>
      <c r="K128" s="7" t="s">
        <v>125</v>
      </c>
      <c r="L128" s="8" t="s">
        <v>79</v>
      </c>
      <c r="M128" s="8" t="s">
        <v>102</v>
      </c>
      <c r="N128" s="8" t="s">
        <v>79</v>
      </c>
      <c r="O128" s="8" t="s">
        <v>109</v>
      </c>
      <c r="P128" s="8" t="s">
        <v>82</v>
      </c>
      <c r="Q128" s="8" t="s">
        <v>83</v>
      </c>
      <c r="R128" s="8" t="s">
        <v>82</v>
      </c>
      <c r="S128" s="8" t="s">
        <v>82</v>
      </c>
      <c r="T128" s="8" t="s">
        <v>86</v>
      </c>
      <c r="U128" s="8" t="s">
        <v>141</v>
      </c>
      <c r="V128" s="8" t="s">
        <v>112</v>
      </c>
      <c r="W128" s="9">
        <v>2</v>
      </c>
      <c r="X128" s="9">
        <v>2</v>
      </c>
      <c r="Y128" s="9">
        <v>2</v>
      </c>
      <c r="Z128" s="9">
        <v>3</v>
      </c>
      <c r="AA128" s="9">
        <v>2</v>
      </c>
      <c r="AB128" s="9">
        <v>3</v>
      </c>
      <c r="AC128" s="9">
        <v>2</v>
      </c>
      <c r="AD128" s="9">
        <v>3</v>
      </c>
      <c r="AE128" s="9">
        <v>2</v>
      </c>
      <c r="AF128" s="9">
        <v>2</v>
      </c>
      <c r="AG128" s="9">
        <v>3</v>
      </c>
      <c r="AH128" s="9">
        <v>2</v>
      </c>
      <c r="AI128" s="9">
        <v>2</v>
      </c>
      <c r="AJ128" s="9">
        <v>2</v>
      </c>
      <c r="AK128" s="9">
        <v>2</v>
      </c>
      <c r="AL128" s="10">
        <v>2</v>
      </c>
      <c r="AM128" s="10">
        <v>2</v>
      </c>
      <c r="AN128" s="10">
        <v>3</v>
      </c>
      <c r="AO128" s="10">
        <v>3</v>
      </c>
      <c r="AP128" s="10">
        <v>3</v>
      </c>
      <c r="AQ128" s="10">
        <v>3</v>
      </c>
      <c r="AR128" s="10">
        <v>3</v>
      </c>
      <c r="AS128" s="11">
        <v>3</v>
      </c>
      <c r="AT128" s="11">
        <v>3</v>
      </c>
      <c r="AU128" s="11">
        <v>2</v>
      </c>
      <c r="AV128" s="11">
        <v>2</v>
      </c>
      <c r="AW128" s="11">
        <v>2</v>
      </c>
      <c r="AX128" s="11">
        <v>2</v>
      </c>
      <c r="AY128" s="7">
        <v>2</v>
      </c>
      <c r="AZ128" s="7">
        <v>3</v>
      </c>
      <c r="BA128" s="7">
        <v>3</v>
      </c>
      <c r="BB128" s="7">
        <v>2</v>
      </c>
      <c r="BC128" s="7">
        <v>3</v>
      </c>
      <c r="BD128" s="7">
        <v>2</v>
      </c>
      <c r="BE128" s="7">
        <v>3</v>
      </c>
      <c r="BF128" s="7">
        <v>3</v>
      </c>
      <c r="BG128" s="12">
        <f>SUM(data__22[[#This Row],[N1]:[N4]],data__22[[#This Row],[N10]:[N13]],data__22[[#This Row],[N16]:[N18]])/11</f>
        <v>2.2727272727272729</v>
      </c>
      <c r="BH128" s="13">
        <f>SUM(data__22[[#This Row],[N8]:[N9]],data__22[[#This Row],[N23]:[N25]])/5</f>
        <v>2.6</v>
      </c>
      <c r="BI128" s="12">
        <f>SUM(data__22[[#This Row],[N5]:[N7]])/3</f>
        <v>2.3333333333333335</v>
      </c>
      <c r="BJ128" s="12">
        <f>SUM(data__22[[#This Row],[N14]:[N15]],data__22[[#This Row],[N19]:[N22]],data__22[[#This Row],[N26]:[N28]])/9</f>
        <v>2.4444444444444446</v>
      </c>
      <c r="BK128" s="12">
        <f>SUM(data__22[[#This Row],[N29]:[N33]])/5</f>
        <v>2.6</v>
      </c>
      <c r="BL128" s="12">
        <f>SUM(data__22[[#This Row],[N34]:[N36]])/3</f>
        <v>2.6666666666666665</v>
      </c>
    </row>
    <row r="129" spans="1:64" x14ac:dyDescent="0.3">
      <c r="A129" s="7">
        <v>21</v>
      </c>
      <c r="B129" s="7" t="s">
        <v>70</v>
      </c>
      <c r="C129" s="7" t="s">
        <v>157</v>
      </c>
      <c r="D129" s="7" t="s">
        <v>97</v>
      </c>
      <c r="E129" s="7" t="s">
        <v>114</v>
      </c>
      <c r="F129" s="7" t="s">
        <v>74</v>
      </c>
      <c r="G129" s="7" t="s">
        <v>440</v>
      </c>
      <c r="H129" s="7" t="s">
        <v>74</v>
      </c>
      <c r="I129" s="7" t="s">
        <v>76</v>
      </c>
      <c r="J129" s="7" t="s">
        <v>77</v>
      </c>
      <c r="K129" s="7" t="s">
        <v>131</v>
      </c>
      <c r="L129" s="8" t="s">
        <v>79</v>
      </c>
      <c r="M129" s="8" t="s">
        <v>132</v>
      </c>
      <c r="N129" s="8" t="s">
        <v>79</v>
      </c>
      <c r="O129" s="8" t="s">
        <v>81</v>
      </c>
      <c r="P129" s="8" t="s">
        <v>82</v>
      </c>
      <c r="Q129" s="8" t="s">
        <v>118</v>
      </c>
      <c r="R129" s="8" t="s">
        <v>79</v>
      </c>
      <c r="S129" s="8" t="s">
        <v>79</v>
      </c>
      <c r="T129" s="8" t="s">
        <v>106</v>
      </c>
      <c r="U129" s="8" t="s">
        <v>141</v>
      </c>
      <c r="V129" s="8" t="s">
        <v>112</v>
      </c>
      <c r="W129" s="9">
        <v>1</v>
      </c>
      <c r="X129" s="9">
        <v>1</v>
      </c>
      <c r="Y129" s="9">
        <v>0</v>
      </c>
      <c r="Z129" s="9">
        <v>1</v>
      </c>
      <c r="AA129" s="9">
        <v>1</v>
      </c>
      <c r="AB129" s="9">
        <v>0</v>
      </c>
      <c r="AC129" s="9">
        <v>1</v>
      </c>
      <c r="AD129" s="9">
        <v>0</v>
      </c>
      <c r="AE129" s="9">
        <v>1</v>
      </c>
      <c r="AF129" s="9">
        <v>0</v>
      </c>
      <c r="AG129" s="9">
        <v>1</v>
      </c>
      <c r="AH129" s="9">
        <v>0</v>
      </c>
      <c r="AI129" s="9">
        <v>1</v>
      </c>
      <c r="AJ129" s="9">
        <v>0</v>
      </c>
      <c r="AK129" s="9">
        <v>1</v>
      </c>
      <c r="AL129" s="10">
        <v>1</v>
      </c>
      <c r="AM129" s="10">
        <v>1</v>
      </c>
      <c r="AN129" s="10">
        <v>1</v>
      </c>
      <c r="AO129" s="10">
        <v>1</v>
      </c>
      <c r="AP129" s="10">
        <v>1</v>
      </c>
      <c r="AQ129" s="10">
        <v>1</v>
      </c>
      <c r="AR129" s="10">
        <v>1</v>
      </c>
      <c r="AS129" s="11">
        <v>0</v>
      </c>
      <c r="AT129" s="11">
        <v>1</v>
      </c>
      <c r="AU129" s="11">
        <v>0</v>
      </c>
      <c r="AV129" s="11">
        <v>1</v>
      </c>
      <c r="AW129" s="11">
        <v>1</v>
      </c>
      <c r="AX129" s="11">
        <v>1</v>
      </c>
      <c r="AY129" s="7">
        <v>1</v>
      </c>
      <c r="AZ129" s="7">
        <v>1</v>
      </c>
      <c r="BA129" s="7">
        <v>0</v>
      </c>
      <c r="BB129" s="7">
        <v>1</v>
      </c>
      <c r="BC129" s="7">
        <v>1</v>
      </c>
      <c r="BD129" s="7">
        <v>0</v>
      </c>
      <c r="BE129" s="7">
        <v>1</v>
      </c>
      <c r="BF129" s="7">
        <v>0</v>
      </c>
      <c r="BG129" s="12">
        <f>SUM(data__22[[#This Row],[N1]:[N4]],data__22[[#This Row],[N10]:[N13]],data__22[[#This Row],[N16]:[N18]])/11</f>
        <v>0.72727272727272729</v>
      </c>
      <c r="BH129" s="13">
        <f>SUM(data__22[[#This Row],[N8]:[N9]],data__22[[#This Row],[N23]:[N25]])/5</f>
        <v>0.4</v>
      </c>
      <c r="BI129" s="12">
        <f>SUM(data__22[[#This Row],[N5]:[N7]])/3</f>
        <v>0.66666666666666663</v>
      </c>
      <c r="BJ129" s="12">
        <f>SUM(data__22[[#This Row],[N14]:[N15]],data__22[[#This Row],[N19]:[N22]],data__22[[#This Row],[N26]:[N28]])/9</f>
        <v>0.88888888888888884</v>
      </c>
      <c r="BK129" s="12">
        <f>SUM(data__22[[#This Row],[N29]:[N33]])/5</f>
        <v>0.8</v>
      </c>
      <c r="BL129" s="12">
        <f>SUM(data__22[[#This Row],[N34]:[N36]])/3</f>
        <v>0.33333333333333331</v>
      </c>
    </row>
    <row r="130" spans="1:64" x14ac:dyDescent="0.3">
      <c r="A130" s="7">
        <v>22</v>
      </c>
      <c r="B130" s="7" t="s">
        <v>70</v>
      </c>
      <c r="C130" s="7" t="s">
        <v>157</v>
      </c>
      <c r="D130" s="7" t="s">
        <v>72</v>
      </c>
      <c r="E130" s="7" t="s">
        <v>114</v>
      </c>
      <c r="F130" s="7" t="s">
        <v>98</v>
      </c>
      <c r="G130" s="7" t="s">
        <v>440</v>
      </c>
      <c r="H130" s="7" t="s">
        <v>98</v>
      </c>
      <c r="I130" s="7" t="s">
        <v>76</v>
      </c>
      <c r="J130" s="7" t="s">
        <v>77</v>
      </c>
      <c r="K130" s="7" t="s">
        <v>122</v>
      </c>
      <c r="L130" s="8" t="s">
        <v>79</v>
      </c>
      <c r="M130" s="8" t="s">
        <v>102</v>
      </c>
      <c r="N130" s="8" t="s">
        <v>79</v>
      </c>
      <c r="O130" s="8" t="s">
        <v>117</v>
      </c>
      <c r="P130" s="8" t="s">
        <v>82</v>
      </c>
      <c r="Q130" s="8" t="s">
        <v>83</v>
      </c>
      <c r="R130" s="8" t="s">
        <v>79</v>
      </c>
      <c r="S130" s="8" t="s">
        <v>82</v>
      </c>
      <c r="T130" s="8" t="s">
        <v>86</v>
      </c>
      <c r="U130" s="8" t="s">
        <v>87</v>
      </c>
      <c r="V130" s="8" t="s">
        <v>455</v>
      </c>
      <c r="W130" s="9">
        <v>3</v>
      </c>
      <c r="X130" s="9">
        <v>3</v>
      </c>
      <c r="Y130" s="9">
        <v>3</v>
      </c>
      <c r="Z130" s="9">
        <v>3</v>
      </c>
      <c r="AA130" s="9">
        <v>1</v>
      </c>
      <c r="AB130" s="9">
        <v>1</v>
      </c>
      <c r="AC130" s="9">
        <v>0</v>
      </c>
      <c r="AD130" s="9">
        <v>3</v>
      </c>
      <c r="AE130" s="9">
        <v>3</v>
      </c>
      <c r="AF130" s="9">
        <v>3</v>
      </c>
      <c r="AG130" s="9">
        <v>3</v>
      </c>
      <c r="AH130" s="9">
        <v>3</v>
      </c>
      <c r="AI130" s="9">
        <v>3</v>
      </c>
      <c r="AJ130" s="9">
        <v>0</v>
      </c>
      <c r="AK130" s="9">
        <v>0</v>
      </c>
      <c r="AL130" s="10">
        <v>3</v>
      </c>
      <c r="AM130" s="10">
        <v>3</v>
      </c>
      <c r="AN130" s="10">
        <v>3</v>
      </c>
      <c r="AO130" s="10">
        <v>0</v>
      </c>
      <c r="AP130" s="10">
        <v>0</v>
      </c>
      <c r="AQ130" s="10">
        <v>0</v>
      </c>
      <c r="AR130" s="10">
        <v>0</v>
      </c>
      <c r="AS130" s="11">
        <v>3</v>
      </c>
      <c r="AT130" s="11">
        <v>3</v>
      </c>
      <c r="AU130" s="11">
        <v>3</v>
      </c>
      <c r="AV130" s="11">
        <v>0</v>
      </c>
      <c r="AW130" s="11">
        <v>0</v>
      </c>
      <c r="AX130" s="11">
        <v>0</v>
      </c>
      <c r="AY130" s="7">
        <v>3</v>
      </c>
      <c r="AZ130" s="7">
        <v>3</v>
      </c>
      <c r="BA130" s="7">
        <v>3</v>
      </c>
      <c r="BB130" s="7">
        <v>3</v>
      </c>
      <c r="BC130" s="7">
        <v>3</v>
      </c>
      <c r="BD130" s="7">
        <v>0</v>
      </c>
      <c r="BE130" s="7">
        <v>0</v>
      </c>
      <c r="BF130" s="7">
        <v>0</v>
      </c>
      <c r="BG130" s="12">
        <f>SUM(data__22[[#This Row],[N1]:[N4]],data__22[[#This Row],[N10]:[N13]],data__22[[#This Row],[N16]:[N18]])/11</f>
        <v>3</v>
      </c>
      <c r="BH130" s="13">
        <f>SUM(data__22[[#This Row],[N8]:[N9]],data__22[[#This Row],[N23]:[N25]])/5</f>
        <v>3</v>
      </c>
      <c r="BI130" s="12">
        <f>SUM(data__22[[#This Row],[N5]:[N7]])/3</f>
        <v>0.66666666666666663</v>
      </c>
      <c r="BJ130" s="12">
        <f>SUM(data__22[[#This Row],[N14]:[N15]],data__22[[#This Row],[N19]:[N22]],data__22[[#This Row],[N26]:[N28]])/9</f>
        <v>0</v>
      </c>
      <c r="BK130" s="12">
        <f>SUM(data__22[[#This Row],[N29]:[N33]])/5</f>
        <v>3</v>
      </c>
      <c r="BL130" s="12">
        <f>SUM(data__22[[#This Row],[N34]:[N36]])/3</f>
        <v>0</v>
      </c>
    </row>
    <row r="131" spans="1:64" x14ac:dyDescent="0.3">
      <c r="A131" s="7">
        <v>21</v>
      </c>
      <c r="B131" s="7" t="s">
        <v>70</v>
      </c>
      <c r="C131" s="7" t="s">
        <v>96</v>
      </c>
      <c r="D131" s="7" t="s">
        <v>72</v>
      </c>
      <c r="E131" s="7" t="s">
        <v>73</v>
      </c>
      <c r="F131" s="7" t="s">
        <v>74</v>
      </c>
      <c r="G131" s="7" t="s">
        <v>439</v>
      </c>
      <c r="H131" s="7" t="s">
        <v>74</v>
      </c>
      <c r="I131" s="7" t="s">
        <v>439</v>
      </c>
      <c r="J131" s="7" t="s">
        <v>77</v>
      </c>
      <c r="K131" s="7" t="s">
        <v>78</v>
      </c>
      <c r="L131" s="8" t="s">
        <v>79</v>
      </c>
      <c r="M131" s="8" t="s">
        <v>80</v>
      </c>
      <c r="N131" s="8" t="s">
        <v>79</v>
      </c>
      <c r="O131" s="8" t="s">
        <v>81</v>
      </c>
      <c r="P131" s="8" t="s">
        <v>79</v>
      </c>
      <c r="Q131" s="8" t="s">
        <v>83</v>
      </c>
      <c r="R131" s="8" t="s">
        <v>79</v>
      </c>
      <c r="S131" s="8" t="s">
        <v>82</v>
      </c>
      <c r="T131" s="8" t="s">
        <v>86</v>
      </c>
      <c r="U131" s="8" t="s">
        <v>120</v>
      </c>
      <c r="V131" s="8" t="s">
        <v>112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12">
        <f>SUM(data__22[[#This Row],[N1]:[N4]],data__22[[#This Row],[N10]:[N13]],data__22[[#This Row],[N16]:[N18]])/11</f>
        <v>0</v>
      </c>
      <c r="BH131" s="13">
        <f>SUM(data__22[[#This Row],[N8]:[N9]],data__22[[#This Row],[N23]:[N25]])/5</f>
        <v>0</v>
      </c>
      <c r="BI131" s="12">
        <f>SUM(data__22[[#This Row],[N5]:[N7]])/3</f>
        <v>0</v>
      </c>
      <c r="BJ131" s="12">
        <f>SUM(data__22[[#This Row],[N14]:[N15]],data__22[[#This Row],[N19]:[N22]],data__22[[#This Row],[N26]:[N28]])/9</f>
        <v>0</v>
      </c>
      <c r="BK131" s="12">
        <f>SUM(data__22[[#This Row],[N29]:[N33]])/5</f>
        <v>0</v>
      </c>
      <c r="BL131" s="12">
        <f>SUM(data__22[[#This Row],[N34]:[N36]])/3</f>
        <v>0</v>
      </c>
    </row>
    <row r="132" spans="1:64" x14ac:dyDescent="0.3">
      <c r="A132" s="7">
        <v>21</v>
      </c>
      <c r="B132" s="7" t="s">
        <v>70</v>
      </c>
      <c r="C132" s="7" t="s">
        <v>96</v>
      </c>
      <c r="D132" s="7" t="s">
        <v>72</v>
      </c>
      <c r="E132" s="7" t="s">
        <v>108</v>
      </c>
      <c r="F132" s="7" t="s">
        <v>74</v>
      </c>
      <c r="G132" s="7" t="s">
        <v>439</v>
      </c>
      <c r="H132" s="7" t="s">
        <v>74</v>
      </c>
      <c r="I132" s="7" t="s">
        <v>439</v>
      </c>
      <c r="J132" s="7" t="s">
        <v>77</v>
      </c>
      <c r="K132" s="7" t="s">
        <v>78</v>
      </c>
      <c r="L132" s="8" t="s">
        <v>79</v>
      </c>
      <c r="M132" s="8" t="s">
        <v>80</v>
      </c>
      <c r="N132" s="8" t="s">
        <v>79</v>
      </c>
      <c r="O132" s="8" t="s">
        <v>117</v>
      </c>
      <c r="P132" s="8" t="s">
        <v>79</v>
      </c>
      <c r="Q132" s="8" t="s">
        <v>83</v>
      </c>
      <c r="R132" s="8" t="s">
        <v>82</v>
      </c>
      <c r="S132" s="8" t="s">
        <v>82</v>
      </c>
      <c r="T132" s="8" t="s">
        <v>86</v>
      </c>
      <c r="U132" s="8" t="s">
        <v>120</v>
      </c>
      <c r="V132" s="8" t="s">
        <v>112</v>
      </c>
      <c r="W132" s="9">
        <v>2</v>
      </c>
      <c r="X132" s="9">
        <v>2</v>
      </c>
      <c r="Y132" s="9">
        <v>2</v>
      </c>
      <c r="Z132" s="9">
        <v>2</v>
      </c>
      <c r="AA132" s="9">
        <v>2</v>
      </c>
      <c r="AB132" s="9">
        <v>2</v>
      </c>
      <c r="AC132" s="9">
        <v>1</v>
      </c>
      <c r="AD132" s="9">
        <v>1</v>
      </c>
      <c r="AE132" s="9">
        <v>2</v>
      </c>
      <c r="AF132" s="9">
        <v>0</v>
      </c>
      <c r="AG132" s="9">
        <v>2</v>
      </c>
      <c r="AH132" s="9">
        <v>2</v>
      </c>
      <c r="AI132" s="9">
        <v>3</v>
      </c>
      <c r="AJ132" s="9">
        <v>2</v>
      </c>
      <c r="AK132" s="9">
        <v>1</v>
      </c>
      <c r="AL132" s="10">
        <v>2</v>
      </c>
      <c r="AM132" s="10">
        <v>2</v>
      </c>
      <c r="AN132" s="10">
        <v>2</v>
      </c>
      <c r="AO132" s="10">
        <v>1</v>
      </c>
      <c r="AP132" s="10">
        <v>2</v>
      </c>
      <c r="AQ132" s="10">
        <v>0</v>
      </c>
      <c r="AR132" s="10">
        <v>1</v>
      </c>
      <c r="AS132" s="11">
        <v>1</v>
      </c>
      <c r="AT132" s="11">
        <v>2</v>
      </c>
      <c r="AU132" s="11">
        <v>2</v>
      </c>
      <c r="AV132" s="11">
        <v>2</v>
      </c>
      <c r="AW132" s="11">
        <v>1</v>
      </c>
      <c r="AX132" s="11">
        <v>1</v>
      </c>
      <c r="AY132" s="7">
        <v>2</v>
      </c>
      <c r="AZ132" s="7">
        <v>2</v>
      </c>
      <c r="BA132" s="7">
        <v>2</v>
      </c>
      <c r="BB132" s="7">
        <v>2</v>
      </c>
      <c r="BC132" s="7">
        <v>2</v>
      </c>
      <c r="BD132" s="7">
        <v>2</v>
      </c>
      <c r="BE132" s="7">
        <v>0</v>
      </c>
      <c r="BF132" s="7">
        <v>1</v>
      </c>
      <c r="BG132" s="12">
        <f>SUM(data__22[[#This Row],[N1]:[N4]],data__22[[#This Row],[N10]:[N13]],data__22[[#This Row],[N16]:[N18]])/11</f>
        <v>1.9090909090909092</v>
      </c>
      <c r="BH132" s="13">
        <f>SUM(data__22[[#This Row],[N8]:[N9]],data__22[[#This Row],[N23]:[N25]])/5</f>
        <v>1.6</v>
      </c>
      <c r="BI132" s="12">
        <f>SUM(data__22[[#This Row],[N5]:[N7]])/3</f>
        <v>1.6666666666666667</v>
      </c>
      <c r="BJ132" s="12">
        <f>SUM(data__22[[#This Row],[N14]:[N15]],data__22[[#This Row],[N19]:[N22]],data__22[[#This Row],[N26]:[N28]])/9</f>
        <v>1.2222222222222223</v>
      </c>
      <c r="BK132" s="12">
        <f>SUM(data__22[[#This Row],[N29]:[N33]])/5</f>
        <v>2</v>
      </c>
      <c r="BL132" s="12">
        <f>SUM(data__22[[#This Row],[N34]:[N36]])/3</f>
        <v>1</v>
      </c>
    </row>
    <row r="133" spans="1:64" x14ac:dyDescent="0.3">
      <c r="A133" s="7">
        <v>21</v>
      </c>
      <c r="B133" s="7" t="s">
        <v>70</v>
      </c>
      <c r="C133" s="7" t="s">
        <v>157</v>
      </c>
      <c r="D133" s="7" t="s">
        <v>97</v>
      </c>
      <c r="E133" s="7" t="s">
        <v>108</v>
      </c>
      <c r="F133" s="7" t="s">
        <v>74</v>
      </c>
      <c r="G133" s="7" t="s">
        <v>439</v>
      </c>
      <c r="H133" s="7" t="s">
        <v>74</v>
      </c>
      <c r="I133" s="7" t="s">
        <v>76</v>
      </c>
      <c r="J133" s="7" t="s">
        <v>77</v>
      </c>
      <c r="K133" s="7" t="s">
        <v>131</v>
      </c>
      <c r="L133" s="8" t="s">
        <v>79</v>
      </c>
      <c r="M133" s="8" t="s">
        <v>80</v>
      </c>
      <c r="N133" s="8" t="s">
        <v>82</v>
      </c>
      <c r="O133" s="8" t="s">
        <v>138</v>
      </c>
      <c r="P133" s="8" t="s">
        <v>79</v>
      </c>
      <c r="Q133" s="8" t="s">
        <v>83</v>
      </c>
      <c r="R133" s="8" t="s">
        <v>79</v>
      </c>
      <c r="S133" s="8" t="s">
        <v>79</v>
      </c>
      <c r="T133" s="8" t="s">
        <v>106</v>
      </c>
      <c r="U133" s="8" t="s">
        <v>87</v>
      </c>
      <c r="V133" s="8" t="s">
        <v>112</v>
      </c>
      <c r="W133" s="9">
        <v>2</v>
      </c>
      <c r="X133" s="9">
        <v>2</v>
      </c>
      <c r="Y133" s="9">
        <v>2</v>
      </c>
      <c r="Z133" s="9">
        <v>2</v>
      </c>
      <c r="AA133" s="9">
        <v>2</v>
      </c>
      <c r="AB133" s="9">
        <v>2</v>
      </c>
      <c r="AC133" s="9">
        <v>2</v>
      </c>
      <c r="AD133" s="9">
        <v>2</v>
      </c>
      <c r="AE133" s="9">
        <v>2</v>
      </c>
      <c r="AF133" s="9">
        <v>2</v>
      </c>
      <c r="AG133" s="9">
        <v>2</v>
      </c>
      <c r="AH133" s="9">
        <v>2</v>
      </c>
      <c r="AI133" s="9">
        <v>2</v>
      </c>
      <c r="AJ133" s="9">
        <v>2</v>
      </c>
      <c r="AK133" s="9">
        <v>2</v>
      </c>
      <c r="AL133" s="10">
        <v>3</v>
      </c>
      <c r="AM133" s="10">
        <v>3</v>
      </c>
      <c r="AN133" s="10">
        <v>3</v>
      </c>
      <c r="AO133" s="10">
        <v>3</v>
      </c>
      <c r="AP133" s="10">
        <v>3</v>
      </c>
      <c r="AQ133" s="10">
        <v>3</v>
      </c>
      <c r="AR133" s="10">
        <v>3</v>
      </c>
      <c r="AS133" s="11">
        <v>0</v>
      </c>
      <c r="AT133" s="11">
        <v>0</v>
      </c>
      <c r="AU133" s="11">
        <v>0</v>
      </c>
      <c r="AV133" s="11">
        <v>0</v>
      </c>
      <c r="AW133" s="11">
        <v>3</v>
      </c>
      <c r="AX133" s="11">
        <v>0</v>
      </c>
      <c r="AY133" s="7">
        <v>3</v>
      </c>
      <c r="AZ133" s="7">
        <v>1</v>
      </c>
      <c r="BA133" s="7">
        <v>2</v>
      </c>
      <c r="BB133" s="7">
        <v>1</v>
      </c>
      <c r="BC133" s="7">
        <v>1</v>
      </c>
      <c r="BD133" s="7">
        <v>3</v>
      </c>
      <c r="BE133" s="7">
        <v>1</v>
      </c>
      <c r="BF133" s="7">
        <v>1</v>
      </c>
      <c r="BG133" s="12">
        <f>SUM(data__22[[#This Row],[N1]:[N4]],data__22[[#This Row],[N10]:[N13]],data__22[[#This Row],[N16]:[N18]])/11</f>
        <v>2.2727272727272729</v>
      </c>
      <c r="BH133" s="13">
        <f>SUM(data__22[[#This Row],[N8]:[N9]],data__22[[#This Row],[N23]:[N25]])/5</f>
        <v>0.8</v>
      </c>
      <c r="BI133" s="12">
        <f>SUM(data__22[[#This Row],[N5]:[N7]])/3</f>
        <v>2</v>
      </c>
      <c r="BJ133" s="12">
        <f>SUM(data__22[[#This Row],[N14]:[N15]],data__22[[#This Row],[N19]:[N22]],data__22[[#This Row],[N26]:[N28]])/9</f>
        <v>2.1111111111111112</v>
      </c>
      <c r="BK133" s="12">
        <f>SUM(data__22[[#This Row],[N29]:[N33]])/5</f>
        <v>1.6</v>
      </c>
      <c r="BL133" s="12">
        <f>SUM(data__22[[#This Row],[N34]:[N36]])/3</f>
        <v>1.6666666666666667</v>
      </c>
    </row>
    <row r="134" spans="1:64" x14ac:dyDescent="0.3">
      <c r="A134" s="7">
        <v>21</v>
      </c>
      <c r="B134" s="7" t="s">
        <v>128</v>
      </c>
      <c r="C134" s="7" t="s">
        <v>157</v>
      </c>
      <c r="D134" s="7" t="s">
        <v>72</v>
      </c>
      <c r="E134" s="7" t="s">
        <v>114</v>
      </c>
      <c r="F134" s="7" t="s">
        <v>136</v>
      </c>
      <c r="G134" s="7" t="s">
        <v>440</v>
      </c>
      <c r="H134" s="7" t="s">
        <v>98</v>
      </c>
      <c r="I134" s="7" t="s">
        <v>76</v>
      </c>
      <c r="J134" s="7" t="s">
        <v>77</v>
      </c>
      <c r="K134" s="7" t="s">
        <v>125</v>
      </c>
      <c r="L134" s="8" t="s">
        <v>79</v>
      </c>
      <c r="M134" s="8" t="s">
        <v>80</v>
      </c>
      <c r="N134" s="8" t="s">
        <v>79</v>
      </c>
      <c r="O134" s="8" t="s">
        <v>109</v>
      </c>
      <c r="P134" s="8" t="s">
        <v>82</v>
      </c>
      <c r="Q134" s="8" t="s">
        <v>83</v>
      </c>
      <c r="R134" s="8" t="s">
        <v>79</v>
      </c>
      <c r="S134" s="8" t="s">
        <v>79</v>
      </c>
      <c r="T134" s="8" t="s">
        <v>106</v>
      </c>
      <c r="U134" s="8" t="s">
        <v>120</v>
      </c>
      <c r="V134" s="8" t="s">
        <v>112</v>
      </c>
      <c r="W134" s="9">
        <v>1</v>
      </c>
      <c r="X134" s="9">
        <v>2</v>
      </c>
      <c r="Y134" s="9">
        <v>3</v>
      </c>
      <c r="Z134" s="9">
        <v>3</v>
      </c>
      <c r="AA134" s="9">
        <v>2</v>
      </c>
      <c r="AB134" s="9">
        <v>2</v>
      </c>
      <c r="AC134" s="9">
        <v>3</v>
      </c>
      <c r="AD134" s="9">
        <v>2</v>
      </c>
      <c r="AE134" s="9">
        <v>3</v>
      </c>
      <c r="AF134" s="9">
        <v>2</v>
      </c>
      <c r="AG134" s="9">
        <v>2</v>
      </c>
      <c r="AH134" s="9">
        <v>2</v>
      </c>
      <c r="AI134" s="9">
        <v>2</v>
      </c>
      <c r="AJ134" s="9">
        <v>2</v>
      </c>
      <c r="AK134" s="9">
        <v>2</v>
      </c>
      <c r="AL134" s="10">
        <v>1</v>
      </c>
      <c r="AM134" s="10">
        <v>2</v>
      </c>
      <c r="AN134" s="10">
        <v>2</v>
      </c>
      <c r="AO134" s="10">
        <v>1</v>
      </c>
      <c r="AP134" s="10">
        <v>2</v>
      </c>
      <c r="AQ134" s="10">
        <v>2</v>
      </c>
      <c r="AR134" s="10">
        <v>3</v>
      </c>
      <c r="AS134" s="11">
        <v>1</v>
      </c>
      <c r="AT134" s="11">
        <v>3</v>
      </c>
      <c r="AU134" s="11">
        <v>2</v>
      </c>
      <c r="AV134" s="11">
        <v>3</v>
      </c>
      <c r="AW134" s="11">
        <v>2</v>
      </c>
      <c r="AX134" s="11">
        <v>3</v>
      </c>
      <c r="AY134" s="7">
        <v>1</v>
      </c>
      <c r="AZ134" s="7">
        <v>2</v>
      </c>
      <c r="BA134" s="7">
        <v>3</v>
      </c>
      <c r="BB134" s="7">
        <v>3</v>
      </c>
      <c r="BC134" s="7">
        <v>2</v>
      </c>
      <c r="BD134" s="7">
        <v>3</v>
      </c>
      <c r="BE134" s="7">
        <v>3</v>
      </c>
      <c r="BF134" s="7">
        <v>3</v>
      </c>
      <c r="BG134" s="12">
        <f>SUM(data__22[[#This Row],[N1]:[N4]],data__22[[#This Row],[N10]:[N13]],data__22[[#This Row],[N16]:[N18]])/11</f>
        <v>2</v>
      </c>
      <c r="BH134" s="13">
        <f>SUM(data__22[[#This Row],[N8]:[N9]],data__22[[#This Row],[N23]:[N25]])/5</f>
        <v>2.2000000000000002</v>
      </c>
      <c r="BI134" s="12">
        <f>SUM(data__22[[#This Row],[N5]:[N7]])/3</f>
        <v>2.3333333333333335</v>
      </c>
      <c r="BJ134" s="12">
        <f>SUM(data__22[[#This Row],[N14]:[N15]],data__22[[#This Row],[N19]:[N22]],data__22[[#This Row],[N26]:[N28]])/9</f>
        <v>2.2222222222222223</v>
      </c>
      <c r="BK134" s="12">
        <f>SUM(data__22[[#This Row],[N29]:[N33]])/5</f>
        <v>2.2000000000000002</v>
      </c>
      <c r="BL134" s="12">
        <f>SUM(data__22[[#This Row],[N34]:[N36]])/3</f>
        <v>3</v>
      </c>
    </row>
    <row r="135" spans="1:64" x14ac:dyDescent="0.3">
      <c r="A135" s="7">
        <v>21</v>
      </c>
      <c r="B135" s="7" t="s">
        <v>128</v>
      </c>
      <c r="C135" s="7" t="s">
        <v>96</v>
      </c>
      <c r="D135" s="7" t="s">
        <v>72</v>
      </c>
      <c r="E135" s="7" t="s">
        <v>114</v>
      </c>
      <c r="F135" s="7" t="s">
        <v>74</v>
      </c>
      <c r="G135" s="7" t="s">
        <v>439</v>
      </c>
      <c r="H135" s="7" t="s">
        <v>136</v>
      </c>
      <c r="I135" s="7" t="s">
        <v>76</v>
      </c>
      <c r="J135" s="7" t="s">
        <v>77</v>
      </c>
      <c r="K135" s="7" t="s">
        <v>122</v>
      </c>
      <c r="L135" s="8" t="s">
        <v>79</v>
      </c>
      <c r="M135" s="8" t="s">
        <v>80</v>
      </c>
      <c r="N135" s="8" t="s">
        <v>79</v>
      </c>
      <c r="O135" s="8" t="s">
        <v>138</v>
      </c>
      <c r="P135" s="8" t="s">
        <v>79</v>
      </c>
      <c r="Q135" s="8" t="s">
        <v>83</v>
      </c>
      <c r="R135" s="8" t="s">
        <v>79</v>
      </c>
      <c r="S135" s="8" t="s">
        <v>79</v>
      </c>
      <c r="T135" s="8" t="s">
        <v>148</v>
      </c>
      <c r="U135" s="8" t="s">
        <v>87</v>
      </c>
      <c r="V135" s="8" t="s">
        <v>455</v>
      </c>
      <c r="W135" s="9">
        <v>1</v>
      </c>
      <c r="X135" s="9">
        <v>0</v>
      </c>
      <c r="Y135" s="9">
        <v>1</v>
      </c>
      <c r="Z135" s="9">
        <v>0</v>
      </c>
      <c r="AA135" s="9">
        <v>1</v>
      </c>
      <c r="AB135" s="9">
        <v>0</v>
      </c>
      <c r="AC135" s="9">
        <v>0</v>
      </c>
      <c r="AD135" s="9">
        <v>1</v>
      </c>
      <c r="AE135" s="9">
        <v>0</v>
      </c>
      <c r="AF135" s="9">
        <v>1</v>
      </c>
      <c r="AG135" s="9">
        <v>0</v>
      </c>
      <c r="AH135" s="9">
        <v>1</v>
      </c>
      <c r="AI135" s="9">
        <v>0</v>
      </c>
      <c r="AJ135" s="9">
        <v>1</v>
      </c>
      <c r="AK135" s="9">
        <v>0</v>
      </c>
      <c r="AL135" s="10">
        <v>1</v>
      </c>
      <c r="AM135" s="10">
        <v>1</v>
      </c>
      <c r="AN135" s="10">
        <v>1</v>
      </c>
      <c r="AO135" s="10">
        <v>1</v>
      </c>
      <c r="AP135" s="10">
        <v>2</v>
      </c>
      <c r="AQ135" s="10">
        <v>1</v>
      </c>
      <c r="AR135" s="10">
        <v>0</v>
      </c>
      <c r="AS135" s="11">
        <v>1</v>
      </c>
      <c r="AT135" s="11">
        <v>1</v>
      </c>
      <c r="AU135" s="11">
        <v>2</v>
      </c>
      <c r="AV135" s="11">
        <v>0</v>
      </c>
      <c r="AW135" s="11">
        <v>1</v>
      </c>
      <c r="AX135" s="11">
        <v>0</v>
      </c>
      <c r="AY135" s="7">
        <v>1</v>
      </c>
      <c r="AZ135" s="7">
        <v>1</v>
      </c>
      <c r="BA135" s="7">
        <v>0</v>
      </c>
      <c r="BB135" s="7">
        <v>1</v>
      </c>
      <c r="BC135" s="7">
        <v>0</v>
      </c>
      <c r="BD135" s="7">
        <v>0</v>
      </c>
      <c r="BE135" s="7">
        <v>1</v>
      </c>
      <c r="BF135" s="7">
        <v>0</v>
      </c>
      <c r="BG135" s="12">
        <f>SUM(data__22[[#This Row],[N1]:[N4]],data__22[[#This Row],[N10]:[N13]],data__22[[#This Row],[N16]:[N18]])/11</f>
        <v>0.63636363636363635</v>
      </c>
      <c r="BH135" s="13">
        <f>SUM(data__22[[#This Row],[N8]:[N9]],data__22[[#This Row],[N23]:[N25]])/5</f>
        <v>1</v>
      </c>
      <c r="BI135" s="12">
        <f>SUM(data__22[[#This Row],[N5]:[N7]])/3</f>
        <v>0.33333333333333331</v>
      </c>
      <c r="BJ135" s="12">
        <f>SUM(data__22[[#This Row],[N14]:[N15]],data__22[[#This Row],[N19]:[N22]],data__22[[#This Row],[N26]:[N28]])/9</f>
        <v>0.66666666666666663</v>
      </c>
      <c r="BK135" s="12">
        <f>SUM(data__22[[#This Row],[N29]:[N33]])/5</f>
        <v>0.6</v>
      </c>
      <c r="BL135" s="12">
        <f>SUM(data__22[[#This Row],[N34]:[N36]])/3</f>
        <v>0.33333333333333331</v>
      </c>
    </row>
    <row r="136" spans="1:64" x14ac:dyDescent="0.3">
      <c r="A136" s="7">
        <v>24</v>
      </c>
      <c r="B136" s="7" t="s">
        <v>70</v>
      </c>
      <c r="C136" s="7" t="s">
        <v>113</v>
      </c>
      <c r="D136" s="7" t="s">
        <v>149</v>
      </c>
      <c r="E136" s="7" t="s">
        <v>73</v>
      </c>
      <c r="F136" s="7" t="s">
        <v>74</v>
      </c>
      <c r="G136" s="7" t="s">
        <v>439</v>
      </c>
      <c r="H136" s="7" t="s">
        <v>136</v>
      </c>
      <c r="I136" s="7" t="s">
        <v>76</v>
      </c>
      <c r="J136" s="7" t="s">
        <v>77</v>
      </c>
      <c r="K136" s="7" t="s">
        <v>122</v>
      </c>
      <c r="L136" s="8" t="s">
        <v>79</v>
      </c>
      <c r="M136" s="8" t="s">
        <v>102</v>
      </c>
      <c r="N136" s="8" t="s">
        <v>79</v>
      </c>
      <c r="O136" s="8" t="s">
        <v>117</v>
      </c>
      <c r="P136" s="8" t="s">
        <v>82</v>
      </c>
      <c r="Q136" s="8" t="s">
        <v>83</v>
      </c>
      <c r="R136" s="8" t="s">
        <v>82</v>
      </c>
      <c r="S136" s="8" t="s">
        <v>82</v>
      </c>
      <c r="T136" s="8" t="s">
        <v>106</v>
      </c>
      <c r="U136" s="8" t="s">
        <v>141</v>
      </c>
      <c r="V136" s="8" t="s">
        <v>112</v>
      </c>
      <c r="W136" s="9">
        <v>1</v>
      </c>
      <c r="X136" s="9">
        <v>1</v>
      </c>
      <c r="Y136" s="9">
        <v>1</v>
      </c>
      <c r="Z136" s="9">
        <v>1</v>
      </c>
      <c r="AA136" s="9">
        <v>1</v>
      </c>
      <c r="AB136" s="9">
        <v>1</v>
      </c>
      <c r="AC136" s="9">
        <v>1</v>
      </c>
      <c r="AD136" s="9">
        <v>1</v>
      </c>
      <c r="AE136" s="9">
        <v>1</v>
      </c>
      <c r="AF136" s="9">
        <v>1</v>
      </c>
      <c r="AG136" s="9">
        <v>1</v>
      </c>
      <c r="AH136" s="9">
        <v>1</v>
      </c>
      <c r="AI136" s="9">
        <v>1</v>
      </c>
      <c r="AJ136" s="9">
        <v>1</v>
      </c>
      <c r="AK136" s="9">
        <v>1</v>
      </c>
      <c r="AL136" s="10">
        <v>1</v>
      </c>
      <c r="AM136" s="10">
        <v>1</v>
      </c>
      <c r="AN136" s="10">
        <v>1</v>
      </c>
      <c r="AO136" s="10">
        <v>1</v>
      </c>
      <c r="AP136" s="10">
        <v>1</v>
      </c>
      <c r="AQ136" s="10">
        <v>1</v>
      </c>
      <c r="AR136" s="10">
        <v>1</v>
      </c>
      <c r="AS136" s="11">
        <v>1</v>
      </c>
      <c r="AT136" s="11">
        <v>1</v>
      </c>
      <c r="AU136" s="11">
        <v>1</v>
      </c>
      <c r="AV136" s="11">
        <v>1</v>
      </c>
      <c r="AW136" s="11">
        <v>1</v>
      </c>
      <c r="AX136" s="11">
        <v>1</v>
      </c>
      <c r="AY136" s="7">
        <v>1</v>
      </c>
      <c r="AZ136" s="7">
        <v>1</v>
      </c>
      <c r="BA136" s="7">
        <v>1</v>
      </c>
      <c r="BB136" s="7">
        <v>1</v>
      </c>
      <c r="BC136" s="7">
        <v>1</v>
      </c>
      <c r="BD136" s="7">
        <v>1</v>
      </c>
      <c r="BE136" s="7">
        <v>1</v>
      </c>
      <c r="BF136" s="7">
        <v>1</v>
      </c>
      <c r="BG136" s="12">
        <f>SUM(data__22[[#This Row],[N1]:[N4]],data__22[[#This Row],[N10]:[N13]],data__22[[#This Row],[N16]:[N18]])/11</f>
        <v>1</v>
      </c>
      <c r="BH136" s="13">
        <f>SUM(data__22[[#This Row],[N8]:[N9]],data__22[[#This Row],[N23]:[N25]])/5</f>
        <v>1</v>
      </c>
      <c r="BI136" s="12">
        <f>SUM(data__22[[#This Row],[N5]:[N7]])/3</f>
        <v>1</v>
      </c>
      <c r="BJ136" s="12">
        <f>SUM(data__22[[#This Row],[N14]:[N15]],data__22[[#This Row],[N19]:[N22]],data__22[[#This Row],[N26]:[N28]])/9</f>
        <v>1</v>
      </c>
      <c r="BK136" s="12">
        <f>SUM(data__22[[#This Row],[N29]:[N33]])/5</f>
        <v>1</v>
      </c>
      <c r="BL136" s="12">
        <f>SUM(data__22[[#This Row],[N34]:[N36]])/3</f>
        <v>1</v>
      </c>
    </row>
    <row r="137" spans="1:64" x14ac:dyDescent="0.3">
      <c r="A137" s="7">
        <v>25</v>
      </c>
      <c r="B137" s="7" t="s">
        <v>70</v>
      </c>
      <c r="C137" s="7" t="s">
        <v>71</v>
      </c>
      <c r="D137" s="7" t="s">
        <v>72</v>
      </c>
      <c r="E137" s="7" t="s">
        <v>73</v>
      </c>
      <c r="F137" s="7" t="s">
        <v>74</v>
      </c>
      <c r="G137" s="7" t="s">
        <v>439</v>
      </c>
      <c r="H137" s="7" t="s">
        <v>74</v>
      </c>
      <c r="I137" s="7" t="s">
        <v>439</v>
      </c>
      <c r="J137" s="7" t="s">
        <v>77</v>
      </c>
      <c r="K137" s="7" t="s">
        <v>78</v>
      </c>
      <c r="L137" s="8" t="s">
        <v>79</v>
      </c>
      <c r="M137" s="8" t="s">
        <v>102</v>
      </c>
      <c r="N137" s="8" t="s">
        <v>79</v>
      </c>
      <c r="O137" s="8" t="s">
        <v>81</v>
      </c>
      <c r="P137" s="8" t="s">
        <v>82</v>
      </c>
      <c r="Q137" s="8" t="s">
        <v>103</v>
      </c>
      <c r="R137" s="8" t="s">
        <v>82</v>
      </c>
      <c r="S137" s="8" t="s">
        <v>82</v>
      </c>
      <c r="T137" s="8" t="s">
        <v>106</v>
      </c>
      <c r="U137" s="8" t="s">
        <v>141</v>
      </c>
      <c r="V137" s="8" t="s">
        <v>112</v>
      </c>
      <c r="W137" s="9">
        <v>1</v>
      </c>
      <c r="X137" s="9">
        <v>1</v>
      </c>
      <c r="Y137" s="9">
        <v>1</v>
      </c>
      <c r="Z137" s="9">
        <v>1</v>
      </c>
      <c r="AA137" s="9">
        <v>1</v>
      </c>
      <c r="AB137" s="9">
        <v>1</v>
      </c>
      <c r="AC137" s="9">
        <v>1</v>
      </c>
      <c r="AD137" s="9">
        <v>1</v>
      </c>
      <c r="AE137" s="9">
        <v>1</v>
      </c>
      <c r="AF137" s="9">
        <v>1</v>
      </c>
      <c r="AG137" s="9">
        <v>1</v>
      </c>
      <c r="AH137" s="9">
        <v>1</v>
      </c>
      <c r="AI137" s="9">
        <v>1</v>
      </c>
      <c r="AJ137" s="9">
        <v>1</v>
      </c>
      <c r="AK137" s="9">
        <v>1</v>
      </c>
      <c r="AL137" s="10">
        <v>3</v>
      </c>
      <c r="AM137" s="10">
        <v>1</v>
      </c>
      <c r="AN137" s="10">
        <v>1</v>
      </c>
      <c r="AO137" s="10">
        <v>1</v>
      </c>
      <c r="AP137" s="10">
        <v>1</v>
      </c>
      <c r="AQ137" s="10">
        <v>1</v>
      </c>
      <c r="AR137" s="10">
        <v>1</v>
      </c>
      <c r="AS137" s="11">
        <v>1</v>
      </c>
      <c r="AT137" s="11">
        <v>1</v>
      </c>
      <c r="AU137" s="11">
        <v>1</v>
      </c>
      <c r="AV137" s="11">
        <v>1</v>
      </c>
      <c r="AW137" s="11">
        <v>1</v>
      </c>
      <c r="AX137" s="11">
        <v>1</v>
      </c>
      <c r="AY137" s="7">
        <v>1</v>
      </c>
      <c r="AZ137" s="7">
        <v>1</v>
      </c>
      <c r="BA137" s="7">
        <v>1</v>
      </c>
      <c r="BB137" s="7">
        <v>1</v>
      </c>
      <c r="BC137" s="7">
        <v>1</v>
      </c>
      <c r="BD137" s="7">
        <v>1</v>
      </c>
      <c r="BE137" s="7">
        <v>1</v>
      </c>
      <c r="BF137" s="7">
        <v>1</v>
      </c>
      <c r="BG137" s="12">
        <f>SUM(data__22[[#This Row],[N1]:[N4]],data__22[[#This Row],[N10]:[N13]],data__22[[#This Row],[N16]:[N18]])/11</f>
        <v>1.1818181818181819</v>
      </c>
      <c r="BH137" s="13">
        <f>SUM(data__22[[#This Row],[N8]:[N9]],data__22[[#This Row],[N23]:[N25]])/5</f>
        <v>1</v>
      </c>
      <c r="BI137" s="12">
        <f>SUM(data__22[[#This Row],[N5]:[N7]])/3</f>
        <v>1</v>
      </c>
      <c r="BJ137" s="12">
        <f>SUM(data__22[[#This Row],[N14]:[N15]],data__22[[#This Row],[N19]:[N22]],data__22[[#This Row],[N26]:[N28]])/9</f>
        <v>1</v>
      </c>
      <c r="BK137" s="12">
        <f>SUM(data__22[[#This Row],[N29]:[N33]])/5</f>
        <v>1</v>
      </c>
      <c r="BL137" s="12">
        <f>SUM(data__22[[#This Row],[N34]:[N36]])/3</f>
        <v>1</v>
      </c>
    </row>
    <row r="138" spans="1:64" x14ac:dyDescent="0.3">
      <c r="A138" s="7">
        <v>21</v>
      </c>
      <c r="B138" s="7" t="s">
        <v>70</v>
      </c>
      <c r="C138" s="7" t="s">
        <v>157</v>
      </c>
      <c r="D138" s="7" t="s">
        <v>97</v>
      </c>
      <c r="E138" s="7" t="s">
        <v>108</v>
      </c>
      <c r="F138" s="7" t="s">
        <v>136</v>
      </c>
      <c r="G138" s="7" t="s">
        <v>440</v>
      </c>
      <c r="H138" s="7" t="s">
        <v>136</v>
      </c>
      <c r="I138" s="7" t="s">
        <v>76</v>
      </c>
      <c r="J138" s="7" t="s">
        <v>77</v>
      </c>
      <c r="K138" s="7" t="s">
        <v>122</v>
      </c>
      <c r="L138" s="8" t="s">
        <v>82</v>
      </c>
      <c r="M138" s="8" t="s">
        <v>102</v>
      </c>
      <c r="N138" s="8" t="s">
        <v>79</v>
      </c>
      <c r="O138" s="8" t="s">
        <v>81</v>
      </c>
      <c r="P138" s="8" t="s">
        <v>82</v>
      </c>
      <c r="Q138" s="8" t="s">
        <v>83</v>
      </c>
      <c r="R138" s="8" t="s">
        <v>82</v>
      </c>
      <c r="S138" s="8" t="s">
        <v>82</v>
      </c>
      <c r="T138" s="8" t="s">
        <v>106</v>
      </c>
      <c r="U138" s="8" t="s">
        <v>141</v>
      </c>
      <c r="V138" s="8" t="s">
        <v>457</v>
      </c>
      <c r="W138" s="9">
        <v>1</v>
      </c>
      <c r="X138" s="9">
        <v>1</v>
      </c>
      <c r="Y138" s="9">
        <v>1</v>
      </c>
      <c r="Z138" s="9">
        <v>2</v>
      </c>
      <c r="AA138" s="9">
        <v>2</v>
      </c>
      <c r="AB138" s="9">
        <v>2</v>
      </c>
      <c r="AC138" s="9">
        <v>1</v>
      </c>
      <c r="AD138" s="9">
        <v>2</v>
      </c>
      <c r="AE138" s="9">
        <v>1</v>
      </c>
      <c r="AF138" s="9">
        <v>2</v>
      </c>
      <c r="AG138" s="9">
        <v>1</v>
      </c>
      <c r="AH138" s="9">
        <v>2</v>
      </c>
      <c r="AI138" s="9">
        <v>1</v>
      </c>
      <c r="AJ138" s="9">
        <v>2</v>
      </c>
      <c r="AK138" s="9">
        <v>1</v>
      </c>
      <c r="AL138" s="10">
        <v>1</v>
      </c>
      <c r="AM138" s="10">
        <v>2</v>
      </c>
      <c r="AN138" s="10">
        <v>1</v>
      </c>
      <c r="AO138" s="10">
        <v>2</v>
      </c>
      <c r="AP138" s="10">
        <v>1</v>
      </c>
      <c r="AQ138" s="10">
        <v>2</v>
      </c>
      <c r="AR138" s="10">
        <v>1</v>
      </c>
      <c r="AS138" s="11">
        <v>1</v>
      </c>
      <c r="AT138" s="11">
        <v>1</v>
      </c>
      <c r="AU138" s="11">
        <v>1</v>
      </c>
      <c r="AV138" s="11">
        <v>2</v>
      </c>
      <c r="AW138" s="11">
        <v>1</v>
      </c>
      <c r="AX138" s="11">
        <v>2</v>
      </c>
      <c r="AY138" s="7">
        <v>1</v>
      </c>
      <c r="AZ138" s="7">
        <v>1</v>
      </c>
      <c r="BA138" s="7">
        <v>1</v>
      </c>
      <c r="BB138" s="7">
        <v>1</v>
      </c>
      <c r="BC138" s="7">
        <v>1</v>
      </c>
      <c r="BD138" s="7">
        <v>2</v>
      </c>
      <c r="BE138" s="7">
        <v>1</v>
      </c>
      <c r="BF138" s="7">
        <v>1</v>
      </c>
      <c r="BG138" s="12">
        <f>SUM(data__22[[#This Row],[N1]:[N4]],data__22[[#This Row],[N10]:[N13]],data__22[[#This Row],[N16]:[N18]])/11</f>
        <v>1.3636363636363635</v>
      </c>
      <c r="BH138" s="13">
        <f>SUM(data__22[[#This Row],[N8]:[N9]],data__22[[#This Row],[N23]:[N25]])/5</f>
        <v>1.2</v>
      </c>
      <c r="BI138" s="12">
        <f>SUM(data__22[[#This Row],[N5]:[N7]])/3</f>
        <v>1.6666666666666667</v>
      </c>
      <c r="BJ138" s="12">
        <f>SUM(data__22[[#This Row],[N14]:[N15]],data__22[[#This Row],[N19]:[N22]],data__22[[#This Row],[N26]:[N28]])/9</f>
        <v>1.5555555555555556</v>
      </c>
      <c r="BK138" s="12">
        <f>SUM(data__22[[#This Row],[N29]:[N33]])/5</f>
        <v>1</v>
      </c>
      <c r="BL138" s="12">
        <f>SUM(data__22[[#This Row],[N34]:[N36]])/3</f>
        <v>1.3333333333333333</v>
      </c>
    </row>
    <row r="139" spans="1:64" x14ac:dyDescent="0.3">
      <c r="A139" s="7">
        <v>22</v>
      </c>
      <c r="B139" s="7" t="s">
        <v>70</v>
      </c>
      <c r="C139" s="7" t="s">
        <v>96</v>
      </c>
      <c r="D139" s="7" t="s">
        <v>72</v>
      </c>
      <c r="E139" s="7" t="s">
        <v>114</v>
      </c>
      <c r="F139" s="7" t="s">
        <v>136</v>
      </c>
      <c r="G139" s="7" t="s">
        <v>440</v>
      </c>
      <c r="H139" s="7" t="s">
        <v>136</v>
      </c>
      <c r="I139" s="7" t="s">
        <v>76</v>
      </c>
      <c r="J139" s="7" t="s">
        <v>101</v>
      </c>
      <c r="K139" s="7" t="s">
        <v>125</v>
      </c>
      <c r="L139" s="8" t="s">
        <v>82</v>
      </c>
      <c r="M139" s="8" t="s">
        <v>102</v>
      </c>
      <c r="N139" s="8" t="s">
        <v>79</v>
      </c>
      <c r="O139" s="8" t="s">
        <v>81</v>
      </c>
      <c r="P139" s="8" t="s">
        <v>82</v>
      </c>
      <c r="Q139" s="8" t="s">
        <v>83</v>
      </c>
      <c r="R139" s="8" t="s">
        <v>82</v>
      </c>
      <c r="S139" s="8" t="s">
        <v>79</v>
      </c>
      <c r="T139" s="8" t="s">
        <v>106</v>
      </c>
      <c r="U139" s="8" t="s">
        <v>87</v>
      </c>
      <c r="V139" s="8" t="s">
        <v>457</v>
      </c>
      <c r="W139" s="9">
        <v>1</v>
      </c>
      <c r="X139" s="9">
        <v>2</v>
      </c>
      <c r="Y139" s="9">
        <v>1</v>
      </c>
      <c r="Z139" s="9">
        <v>2</v>
      </c>
      <c r="AA139" s="9">
        <v>2</v>
      </c>
      <c r="AB139" s="9">
        <v>2</v>
      </c>
      <c r="AC139" s="9">
        <v>2</v>
      </c>
      <c r="AD139" s="9">
        <v>2</v>
      </c>
      <c r="AE139" s="9">
        <v>2</v>
      </c>
      <c r="AF139" s="9">
        <v>1</v>
      </c>
      <c r="AG139" s="9">
        <v>2</v>
      </c>
      <c r="AH139" s="9">
        <v>2</v>
      </c>
      <c r="AI139" s="9">
        <v>1</v>
      </c>
      <c r="AJ139" s="9">
        <v>2</v>
      </c>
      <c r="AK139" s="9">
        <v>2</v>
      </c>
      <c r="AL139" s="10">
        <v>1</v>
      </c>
      <c r="AM139" s="10">
        <v>3</v>
      </c>
      <c r="AN139" s="10">
        <v>3</v>
      </c>
      <c r="AO139" s="10">
        <v>2</v>
      </c>
      <c r="AP139" s="10">
        <v>1</v>
      </c>
      <c r="AQ139" s="10">
        <v>3</v>
      </c>
      <c r="AR139" s="10">
        <v>1</v>
      </c>
      <c r="AS139" s="11">
        <v>1</v>
      </c>
      <c r="AT139" s="11">
        <v>2</v>
      </c>
      <c r="AU139" s="11">
        <v>1</v>
      </c>
      <c r="AV139" s="11">
        <v>1</v>
      </c>
      <c r="AW139" s="11">
        <v>2</v>
      </c>
      <c r="AX139" s="11">
        <v>1</v>
      </c>
      <c r="AY139" s="7">
        <v>1</v>
      </c>
      <c r="AZ139" s="7">
        <v>1</v>
      </c>
      <c r="BA139" s="7">
        <v>1</v>
      </c>
      <c r="BB139" s="7">
        <v>1</v>
      </c>
      <c r="BC139" s="7">
        <v>1</v>
      </c>
      <c r="BD139" s="7">
        <v>1</v>
      </c>
      <c r="BE139" s="7">
        <v>1</v>
      </c>
      <c r="BF139" s="7">
        <v>1</v>
      </c>
      <c r="BG139" s="12">
        <f>SUM(data__22[[#This Row],[N1]:[N4]],data__22[[#This Row],[N10]:[N13]],data__22[[#This Row],[N16]:[N18]])/11</f>
        <v>1.7272727272727273</v>
      </c>
      <c r="BH139" s="13">
        <f>SUM(data__22[[#This Row],[N8]:[N9]],data__22[[#This Row],[N23]:[N25]])/5</f>
        <v>1.6</v>
      </c>
      <c r="BI139" s="12">
        <f>SUM(data__22[[#This Row],[N5]:[N7]])/3</f>
        <v>2</v>
      </c>
      <c r="BJ139" s="12">
        <f>SUM(data__22[[#This Row],[N14]:[N15]],data__22[[#This Row],[N19]:[N22]],data__22[[#This Row],[N26]:[N28]])/9</f>
        <v>1.6666666666666667</v>
      </c>
      <c r="BK139" s="12">
        <f>SUM(data__22[[#This Row],[N29]:[N33]])/5</f>
        <v>1</v>
      </c>
      <c r="BL139" s="12">
        <f>SUM(data__22[[#This Row],[N34]:[N36]])/3</f>
        <v>1</v>
      </c>
    </row>
    <row r="140" spans="1:64" x14ac:dyDescent="0.3">
      <c r="A140" s="7">
        <v>21</v>
      </c>
      <c r="B140" s="7" t="s">
        <v>70</v>
      </c>
      <c r="C140" s="7" t="s">
        <v>157</v>
      </c>
      <c r="D140" s="7" t="s">
        <v>97</v>
      </c>
      <c r="E140" s="7" t="s">
        <v>108</v>
      </c>
      <c r="F140" s="7" t="s">
        <v>74</v>
      </c>
      <c r="G140" s="7" t="s">
        <v>440</v>
      </c>
      <c r="H140" s="7" t="s">
        <v>74</v>
      </c>
      <c r="I140" s="7" t="s">
        <v>166</v>
      </c>
      <c r="J140" s="7" t="s">
        <v>77</v>
      </c>
      <c r="K140" s="7" t="s">
        <v>122</v>
      </c>
      <c r="L140" s="8" t="s">
        <v>79</v>
      </c>
      <c r="M140" s="8" t="s">
        <v>102</v>
      </c>
      <c r="N140" s="8" t="s">
        <v>79</v>
      </c>
      <c r="O140" s="8" t="s">
        <v>117</v>
      </c>
      <c r="P140" s="8" t="s">
        <v>82</v>
      </c>
      <c r="Q140" s="8" t="s">
        <v>83</v>
      </c>
      <c r="R140" s="8" t="s">
        <v>82</v>
      </c>
      <c r="S140" s="8" t="s">
        <v>79</v>
      </c>
      <c r="T140" s="8" t="s">
        <v>106</v>
      </c>
      <c r="U140" s="8" t="s">
        <v>141</v>
      </c>
      <c r="V140" s="8" t="s">
        <v>160</v>
      </c>
      <c r="W140" s="9">
        <v>1</v>
      </c>
      <c r="X140" s="9">
        <v>1</v>
      </c>
      <c r="Y140" s="9">
        <v>2</v>
      </c>
      <c r="Z140" s="9">
        <v>1</v>
      </c>
      <c r="AA140" s="9">
        <v>2</v>
      </c>
      <c r="AB140" s="9">
        <v>1</v>
      </c>
      <c r="AC140" s="9">
        <v>1</v>
      </c>
      <c r="AD140" s="9">
        <v>2</v>
      </c>
      <c r="AE140" s="9">
        <v>1</v>
      </c>
      <c r="AF140" s="9">
        <v>1</v>
      </c>
      <c r="AG140" s="9">
        <v>1</v>
      </c>
      <c r="AH140" s="9">
        <v>2</v>
      </c>
      <c r="AI140" s="9">
        <v>1</v>
      </c>
      <c r="AJ140" s="9">
        <v>2</v>
      </c>
      <c r="AK140" s="9">
        <v>1</v>
      </c>
      <c r="AL140" s="10">
        <v>1</v>
      </c>
      <c r="AM140" s="10">
        <v>1</v>
      </c>
      <c r="AN140" s="10">
        <v>1</v>
      </c>
      <c r="AO140" s="10">
        <v>1</v>
      </c>
      <c r="AP140" s="10">
        <v>1</v>
      </c>
      <c r="AQ140" s="10">
        <v>1</v>
      </c>
      <c r="AR140" s="10">
        <v>1</v>
      </c>
      <c r="AS140" s="11">
        <v>1</v>
      </c>
      <c r="AT140" s="11">
        <v>1</v>
      </c>
      <c r="AU140" s="11">
        <v>1</v>
      </c>
      <c r="AV140" s="11">
        <v>1</v>
      </c>
      <c r="AW140" s="11">
        <v>1</v>
      </c>
      <c r="AX140" s="11">
        <v>1</v>
      </c>
      <c r="AY140" s="7">
        <v>1</v>
      </c>
      <c r="AZ140" s="7">
        <v>2</v>
      </c>
      <c r="BA140" s="7">
        <v>2</v>
      </c>
      <c r="BB140" s="7">
        <v>1</v>
      </c>
      <c r="BC140" s="7">
        <v>2</v>
      </c>
      <c r="BD140" s="7">
        <v>1</v>
      </c>
      <c r="BE140" s="7">
        <v>2</v>
      </c>
      <c r="BF140" s="7">
        <v>1</v>
      </c>
      <c r="BG140" s="12">
        <f>SUM(data__22[[#This Row],[N1]:[N4]],data__22[[#This Row],[N10]:[N13]],data__22[[#This Row],[N16]:[N18]])/11</f>
        <v>1.1818181818181819</v>
      </c>
      <c r="BH140" s="13">
        <f>SUM(data__22[[#This Row],[N8]:[N9]],data__22[[#This Row],[N23]:[N25]])/5</f>
        <v>1.2</v>
      </c>
      <c r="BI140" s="12">
        <f>SUM(data__22[[#This Row],[N5]:[N7]])/3</f>
        <v>1.3333333333333333</v>
      </c>
      <c r="BJ140" s="12">
        <f>SUM(data__22[[#This Row],[N14]:[N15]],data__22[[#This Row],[N19]:[N22]],data__22[[#This Row],[N26]:[N28]])/9</f>
        <v>1.1111111111111112</v>
      </c>
      <c r="BK140" s="12">
        <f>SUM(data__22[[#This Row],[N29]:[N33]])/5</f>
        <v>1.6</v>
      </c>
      <c r="BL140" s="12">
        <f>SUM(data__22[[#This Row],[N34]:[N36]])/3</f>
        <v>1.3333333333333333</v>
      </c>
    </row>
    <row r="141" spans="1:64" x14ac:dyDescent="0.3">
      <c r="A141" s="7">
        <v>23</v>
      </c>
      <c r="B141" s="7" t="s">
        <v>70</v>
      </c>
      <c r="C141" s="7" t="s">
        <v>96</v>
      </c>
      <c r="D141" s="7" t="s">
        <v>149</v>
      </c>
      <c r="E141" s="7" t="s">
        <v>108</v>
      </c>
      <c r="F141" s="7" t="s">
        <v>136</v>
      </c>
      <c r="G141" s="7" t="s">
        <v>439</v>
      </c>
      <c r="H141" s="7" t="s">
        <v>98</v>
      </c>
      <c r="I141" s="7" t="s">
        <v>76</v>
      </c>
      <c r="J141" s="7" t="s">
        <v>77</v>
      </c>
      <c r="K141" s="7" t="s">
        <v>122</v>
      </c>
      <c r="L141" s="8" t="s">
        <v>82</v>
      </c>
      <c r="M141" s="8" t="s">
        <v>102</v>
      </c>
      <c r="N141" s="8" t="s">
        <v>79</v>
      </c>
      <c r="O141" s="8" t="s">
        <v>81</v>
      </c>
      <c r="P141" s="8" t="s">
        <v>82</v>
      </c>
      <c r="Q141" s="8" t="s">
        <v>83</v>
      </c>
      <c r="R141" s="8" t="s">
        <v>79</v>
      </c>
      <c r="S141" s="8" t="s">
        <v>82</v>
      </c>
      <c r="T141" s="8" t="s">
        <v>106</v>
      </c>
      <c r="U141" s="8" t="s">
        <v>141</v>
      </c>
      <c r="V141" s="8" t="s">
        <v>457</v>
      </c>
      <c r="W141" s="9">
        <v>2</v>
      </c>
      <c r="X141" s="9">
        <v>1</v>
      </c>
      <c r="Y141" s="9">
        <v>1</v>
      </c>
      <c r="Z141" s="9">
        <v>1</v>
      </c>
      <c r="AA141" s="9">
        <v>2</v>
      </c>
      <c r="AB141" s="9">
        <v>2</v>
      </c>
      <c r="AC141" s="9">
        <v>2</v>
      </c>
      <c r="AD141" s="9">
        <v>2</v>
      </c>
      <c r="AE141" s="9">
        <v>1</v>
      </c>
      <c r="AF141" s="9">
        <v>2</v>
      </c>
      <c r="AG141" s="9">
        <v>1</v>
      </c>
      <c r="AH141" s="9">
        <v>2</v>
      </c>
      <c r="AI141" s="9">
        <v>1</v>
      </c>
      <c r="AJ141" s="9">
        <v>2</v>
      </c>
      <c r="AK141" s="9">
        <v>2</v>
      </c>
      <c r="AL141" s="10">
        <v>1</v>
      </c>
      <c r="AM141" s="10">
        <v>1</v>
      </c>
      <c r="AN141" s="10">
        <v>1</v>
      </c>
      <c r="AO141" s="10">
        <v>1</v>
      </c>
      <c r="AP141" s="10">
        <v>1</v>
      </c>
      <c r="AQ141" s="10">
        <v>1</v>
      </c>
      <c r="AR141" s="10">
        <v>1</v>
      </c>
      <c r="AS141" s="11">
        <v>1</v>
      </c>
      <c r="AT141" s="11">
        <v>1</v>
      </c>
      <c r="AU141" s="11">
        <v>1</v>
      </c>
      <c r="AV141" s="11">
        <v>1</v>
      </c>
      <c r="AW141" s="11">
        <v>2</v>
      </c>
      <c r="AX141" s="11">
        <v>1</v>
      </c>
      <c r="AY141" s="7">
        <v>2</v>
      </c>
      <c r="AZ141" s="7">
        <v>2</v>
      </c>
      <c r="BA141" s="7">
        <v>2</v>
      </c>
      <c r="BB141" s="7">
        <v>2</v>
      </c>
      <c r="BC141" s="7">
        <v>1</v>
      </c>
      <c r="BD141" s="7">
        <v>2</v>
      </c>
      <c r="BE141" s="7">
        <v>1</v>
      </c>
      <c r="BF141" s="7">
        <v>2</v>
      </c>
      <c r="BG141" s="12">
        <f>SUM(data__22[[#This Row],[N1]:[N4]],data__22[[#This Row],[N10]:[N13]],data__22[[#This Row],[N16]:[N18]])/11</f>
        <v>1.2727272727272727</v>
      </c>
      <c r="BH141" s="13">
        <f>SUM(data__22[[#This Row],[N8]:[N9]],data__22[[#This Row],[N23]:[N25]])/5</f>
        <v>1.2</v>
      </c>
      <c r="BI141" s="12">
        <f>SUM(data__22[[#This Row],[N5]:[N7]])/3</f>
        <v>2</v>
      </c>
      <c r="BJ141" s="12">
        <f>SUM(data__22[[#This Row],[N14]:[N15]],data__22[[#This Row],[N19]:[N22]],data__22[[#This Row],[N26]:[N28]])/9</f>
        <v>1.3333333333333333</v>
      </c>
      <c r="BK141" s="12">
        <f>SUM(data__22[[#This Row],[N29]:[N33]])/5</f>
        <v>1.8</v>
      </c>
      <c r="BL141" s="12">
        <f>SUM(data__22[[#This Row],[N34]:[N36]])/3</f>
        <v>1.6666666666666667</v>
      </c>
    </row>
    <row r="142" spans="1:64" x14ac:dyDescent="0.3">
      <c r="A142" s="7">
        <v>23</v>
      </c>
      <c r="B142" s="7" t="s">
        <v>70</v>
      </c>
      <c r="C142" s="7" t="s">
        <v>96</v>
      </c>
      <c r="D142" s="7" t="s">
        <v>72</v>
      </c>
      <c r="E142" s="7" t="s">
        <v>73</v>
      </c>
      <c r="F142" s="7" t="s">
        <v>136</v>
      </c>
      <c r="G142" s="7" t="s">
        <v>439</v>
      </c>
      <c r="H142" s="7" t="s">
        <v>136</v>
      </c>
      <c r="I142" s="7" t="s">
        <v>166</v>
      </c>
      <c r="J142" s="7" t="s">
        <v>77</v>
      </c>
      <c r="K142" s="7" t="s">
        <v>122</v>
      </c>
      <c r="L142" s="8" t="s">
        <v>82</v>
      </c>
      <c r="M142" s="8" t="s">
        <v>102</v>
      </c>
      <c r="N142" s="8" t="s">
        <v>79</v>
      </c>
      <c r="O142" s="8" t="s">
        <v>81</v>
      </c>
      <c r="P142" s="8" t="s">
        <v>82</v>
      </c>
      <c r="Q142" s="8" t="s">
        <v>83</v>
      </c>
      <c r="R142" s="8" t="s">
        <v>82</v>
      </c>
      <c r="S142" s="8" t="s">
        <v>82</v>
      </c>
      <c r="T142" s="8" t="s">
        <v>106</v>
      </c>
      <c r="U142" s="8" t="s">
        <v>141</v>
      </c>
      <c r="V142" s="8" t="s">
        <v>457</v>
      </c>
      <c r="W142" s="9">
        <v>2</v>
      </c>
      <c r="X142" s="9">
        <v>2</v>
      </c>
      <c r="Y142" s="9">
        <v>2</v>
      </c>
      <c r="Z142" s="9">
        <v>1</v>
      </c>
      <c r="AA142" s="9">
        <v>1</v>
      </c>
      <c r="AB142" s="9">
        <v>2</v>
      </c>
      <c r="AC142" s="9">
        <v>1</v>
      </c>
      <c r="AD142" s="9">
        <v>1</v>
      </c>
      <c r="AE142" s="9">
        <v>2</v>
      </c>
      <c r="AF142" s="9">
        <v>1</v>
      </c>
      <c r="AG142" s="9">
        <v>2</v>
      </c>
      <c r="AH142" s="9">
        <v>1</v>
      </c>
      <c r="AI142" s="9">
        <v>1</v>
      </c>
      <c r="AJ142" s="9">
        <v>1</v>
      </c>
      <c r="AK142" s="9">
        <v>1</v>
      </c>
      <c r="AL142" s="10">
        <v>1</v>
      </c>
      <c r="AM142" s="10">
        <v>2</v>
      </c>
      <c r="AN142" s="10">
        <v>2</v>
      </c>
      <c r="AO142" s="10">
        <v>2</v>
      </c>
      <c r="AP142" s="10">
        <v>2</v>
      </c>
      <c r="AQ142" s="10">
        <v>2</v>
      </c>
      <c r="AR142" s="10">
        <v>2</v>
      </c>
      <c r="AS142" s="11">
        <v>2</v>
      </c>
      <c r="AT142" s="11">
        <v>2</v>
      </c>
      <c r="AU142" s="11">
        <v>2</v>
      </c>
      <c r="AV142" s="11">
        <v>1</v>
      </c>
      <c r="AW142" s="11">
        <v>2</v>
      </c>
      <c r="AX142" s="11">
        <v>2</v>
      </c>
      <c r="AY142" s="7">
        <v>2</v>
      </c>
      <c r="AZ142" s="7">
        <v>2</v>
      </c>
      <c r="BA142" s="7">
        <v>1</v>
      </c>
      <c r="BB142" s="7">
        <v>2</v>
      </c>
      <c r="BC142" s="7">
        <v>1</v>
      </c>
      <c r="BD142" s="7">
        <v>1</v>
      </c>
      <c r="BE142" s="7">
        <v>1</v>
      </c>
      <c r="BF142" s="7">
        <v>2</v>
      </c>
      <c r="BG142" s="12">
        <f>SUM(data__22[[#This Row],[N1]:[N4]],data__22[[#This Row],[N10]:[N13]],data__22[[#This Row],[N16]:[N18]])/11</f>
        <v>1.5454545454545454</v>
      </c>
      <c r="BH142" s="13">
        <f>SUM(data__22[[#This Row],[N8]:[N9]],data__22[[#This Row],[N23]:[N25]])/5</f>
        <v>1.8</v>
      </c>
      <c r="BI142" s="12">
        <f>SUM(data__22[[#This Row],[N5]:[N7]])/3</f>
        <v>1.3333333333333333</v>
      </c>
      <c r="BJ142" s="12">
        <f>SUM(data__22[[#This Row],[N14]:[N15]],data__22[[#This Row],[N19]:[N22]],data__22[[#This Row],[N26]:[N28]])/9</f>
        <v>1.6666666666666667</v>
      </c>
      <c r="BK142" s="12">
        <f>SUM(data__22[[#This Row],[N29]:[N33]])/5</f>
        <v>1.6</v>
      </c>
      <c r="BL142" s="12">
        <f>SUM(data__22[[#This Row],[N34]:[N36]])/3</f>
        <v>1.3333333333333333</v>
      </c>
    </row>
    <row r="143" spans="1:64" x14ac:dyDescent="0.3">
      <c r="A143" s="7">
        <v>22</v>
      </c>
      <c r="B143" s="7" t="s">
        <v>128</v>
      </c>
      <c r="C143" s="7" t="s">
        <v>96</v>
      </c>
      <c r="D143" s="7" t="s">
        <v>72</v>
      </c>
      <c r="E143" s="7" t="s">
        <v>108</v>
      </c>
      <c r="F143" s="7" t="s">
        <v>74</v>
      </c>
      <c r="G143" s="7" t="s">
        <v>440</v>
      </c>
      <c r="H143" s="7" t="s">
        <v>136</v>
      </c>
      <c r="I143" s="7" t="s">
        <v>76</v>
      </c>
      <c r="J143" s="7" t="s">
        <v>77</v>
      </c>
      <c r="K143" s="7" t="s">
        <v>122</v>
      </c>
      <c r="L143" s="8" t="s">
        <v>79</v>
      </c>
      <c r="M143" s="8" t="s">
        <v>102</v>
      </c>
      <c r="N143" s="8" t="s">
        <v>79</v>
      </c>
      <c r="O143" s="8" t="s">
        <v>81</v>
      </c>
      <c r="P143" s="8" t="s">
        <v>82</v>
      </c>
      <c r="Q143" s="8" t="s">
        <v>83</v>
      </c>
      <c r="R143" s="8" t="s">
        <v>82</v>
      </c>
      <c r="S143" s="8" t="s">
        <v>82</v>
      </c>
      <c r="T143" s="8" t="s">
        <v>106</v>
      </c>
      <c r="U143" s="8" t="s">
        <v>141</v>
      </c>
      <c r="V143" s="8" t="s">
        <v>160</v>
      </c>
      <c r="W143" s="9">
        <v>1</v>
      </c>
      <c r="X143" s="9">
        <v>2</v>
      </c>
      <c r="Y143" s="9">
        <v>3</v>
      </c>
      <c r="Z143" s="9">
        <v>2</v>
      </c>
      <c r="AA143" s="9">
        <v>3</v>
      </c>
      <c r="AB143" s="9">
        <v>2</v>
      </c>
      <c r="AC143" s="9">
        <v>2</v>
      </c>
      <c r="AD143" s="9">
        <v>1</v>
      </c>
      <c r="AE143" s="9">
        <v>2</v>
      </c>
      <c r="AF143" s="9">
        <v>2</v>
      </c>
      <c r="AG143" s="9">
        <v>2</v>
      </c>
      <c r="AH143" s="9">
        <v>3</v>
      </c>
      <c r="AI143" s="9">
        <v>2</v>
      </c>
      <c r="AJ143" s="9">
        <v>2</v>
      </c>
      <c r="AK143" s="9">
        <v>3</v>
      </c>
      <c r="AL143" s="10">
        <v>1</v>
      </c>
      <c r="AM143" s="10">
        <v>2</v>
      </c>
      <c r="AN143" s="10">
        <v>1</v>
      </c>
      <c r="AO143" s="10">
        <v>2</v>
      </c>
      <c r="AP143" s="10">
        <v>1</v>
      </c>
      <c r="AQ143" s="10">
        <v>1</v>
      </c>
      <c r="AR143" s="10">
        <v>1</v>
      </c>
      <c r="AS143" s="11">
        <v>1</v>
      </c>
      <c r="AT143" s="11">
        <v>1</v>
      </c>
      <c r="AU143" s="11">
        <v>1</v>
      </c>
      <c r="AV143" s="11">
        <v>1</v>
      </c>
      <c r="AW143" s="11">
        <v>1</v>
      </c>
      <c r="AX143" s="11">
        <v>2</v>
      </c>
      <c r="AY143" s="7">
        <v>1</v>
      </c>
      <c r="AZ143" s="7">
        <v>1</v>
      </c>
      <c r="BA143" s="7">
        <v>1</v>
      </c>
      <c r="BB143" s="7">
        <v>1</v>
      </c>
      <c r="BC143" s="7">
        <v>1</v>
      </c>
      <c r="BD143" s="7">
        <v>1</v>
      </c>
      <c r="BE143" s="7">
        <v>1</v>
      </c>
      <c r="BF143" s="7">
        <v>1</v>
      </c>
      <c r="BG143" s="12">
        <f>SUM(data__22[[#This Row],[N1]:[N4]],data__22[[#This Row],[N10]:[N13]],data__22[[#This Row],[N16]:[N18]])/11</f>
        <v>1.9090909090909092</v>
      </c>
      <c r="BH143" s="13">
        <f>SUM(data__22[[#This Row],[N8]:[N9]],data__22[[#This Row],[N23]:[N25]])/5</f>
        <v>1.2</v>
      </c>
      <c r="BI143" s="12">
        <f>SUM(data__22[[#This Row],[N5]:[N7]])/3</f>
        <v>2.3333333333333335</v>
      </c>
      <c r="BJ143" s="12">
        <f>SUM(data__22[[#This Row],[N14]:[N15]],data__22[[#This Row],[N19]:[N22]],data__22[[#This Row],[N26]:[N28]])/9</f>
        <v>1.5555555555555556</v>
      </c>
      <c r="BK143" s="12">
        <f>SUM(data__22[[#This Row],[N29]:[N33]])/5</f>
        <v>1</v>
      </c>
      <c r="BL143" s="12">
        <f>SUM(data__22[[#This Row],[N34]:[N36]])/3</f>
        <v>1</v>
      </c>
    </row>
    <row r="144" spans="1:64" x14ac:dyDescent="0.3">
      <c r="A144" s="7">
        <v>24</v>
      </c>
      <c r="B144" s="7" t="s">
        <v>70</v>
      </c>
      <c r="C144" s="7" t="s">
        <v>113</v>
      </c>
      <c r="D144" s="7" t="s">
        <v>149</v>
      </c>
      <c r="E144" s="7" t="s">
        <v>73</v>
      </c>
      <c r="F144" s="7" t="s">
        <v>136</v>
      </c>
      <c r="G144" s="7" t="s">
        <v>440</v>
      </c>
      <c r="H144" s="7" t="s">
        <v>136</v>
      </c>
      <c r="I144" s="7" t="s">
        <v>76</v>
      </c>
      <c r="J144" s="7" t="s">
        <v>101</v>
      </c>
      <c r="K144" s="7" t="s">
        <v>122</v>
      </c>
      <c r="L144" s="8" t="s">
        <v>82</v>
      </c>
      <c r="M144" s="8" t="s">
        <v>80</v>
      </c>
      <c r="N144" s="8" t="s">
        <v>82</v>
      </c>
      <c r="O144" s="8" t="s">
        <v>81</v>
      </c>
      <c r="P144" s="8" t="s">
        <v>82</v>
      </c>
      <c r="Q144" s="8" t="s">
        <v>103</v>
      </c>
      <c r="R144" s="8" t="s">
        <v>82</v>
      </c>
      <c r="S144" s="8" t="s">
        <v>82</v>
      </c>
      <c r="T144" s="8" t="s">
        <v>106</v>
      </c>
      <c r="U144" s="8" t="s">
        <v>141</v>
      </c>
      <c r="V144" s="8" t="s">
        <v>457</v>
      </c>
      <c r="W144" s="9">
        <v>1</v>
      </c>
      <c r="X144" s="9">
        <v>1</v>
      </c>
      <c r="Y144" s="9">
        <v>1</v>
      </c>
      <c r="Z144" s="9">
        <v>1</v>
      </c>
      <c r="AA144" s="9">
        <v>1</v>
      </c>
      <c r="AB144" s="9">
        <v>1</v>
      </c>
      <c r="AC144" s="9">
        <v>1</v>
      </c>
      <c r="AD144" s="9">
        <v>1</v>
      </c>
      <c r="AE144" s="9">
        <v>1</v>
      </c>
      <c r="AF144" s="9">
        <v>1</v>
      </c>
      <c r="AG144" s="9">
        <v>1</v>
      </c>
      <c r="AH144" s="9">
        <v>1</v>
      </c>
      <c r="AI144" s="9">
        <v>1</v>
      </c>
      <c r="AJ144" s="9">
        <v>1</v>
      </c>
      <c r="AK144" s="9">
        <v>1</v>
      </c>
      <c r="AL144" s="10">
        <v>1</v>
      </c>
      <c r="AM144" s="10">
        <v>1</v>
      </c>
      <c r="AN144" s="10">
        <v>1</v>
      </c>
      <c r="AO144" s="10">
        <v>1</v>
      </c>
      <c r="AP144" s="10">
        <v>1</v>
      </c>
      <c r="AQ144" s="10">
        <v>1</v>
      </c>
      <c r="AR144" s="10">
        <v>1</v>
      </c>
      <c r="AS144" s="11">
        <v>1</v>
      </c>
      <c r="AT144" s="11">
        <v>1</v>
      </c>
      <c r="AU144" s="11">
        <v>1</v>
      </c>
      <c r="AV144" s="11">
        <v>1</v>
      </c>
      <c r="AW144" s="11">
        <v>1</v>
      </c>
      <c r="AX144" s="11">
        <v>1</v>
      </c>
      <c r="AY144" s="7">
        <v>1</v>
      </c>
      <c r="AZ144" s="7">
        <v>1</v>
      </c>
      <c r="BA144" s="7">
        <v>1</v>
      </c>
      <c r="BB144" s="7">
        <v>1</v>
      </c>
      <c r="BC144" s="7">
        <v>1</v>
      </c>
      <c r="BD144" s="7">
        <v>1</v>
      </c>
      <c r="BE144" s="7">
        <v>1</v>
      </c>
      <c r="BF144" s="7">
        <v>1</v>
      </c>
      <c r="BG144" s="12">
        <f>SUM(data__22[[#This Row],[N1]:[N4]],data__22[[#This Row],[N10]:[N13]],data__22[[#This Row],[N16]:[N18]])/11</f>
        <v>1</v>
      </c>
      <c r="BH144" s="13">
        <f>SUM(data__22[[#This Row],[N8]:[N9]],data__22[[#This Row],[N23]:[N25]])/5</f>
        <v>1</v>
      </c>
      <c r="BI144" s="12">
        <f>SUM(data__22[[#This Row],[N5]:[N7]])/3</f>
        <v>1</v>
      </c>
      <c r="BJ144" s="12">
        <f>SUM(data__22[[#This Row],[N14]:[N15]],data__22[[#This Row],[N19]:[N22]],data__22[[#This Row],[N26]:[N28]])/9</f>
        <v>1</v>
      </c>
      <c r="BK144" s="12">
        <f>SUM(data__22[[#This Row],[N29]:[N33]])/5</f>
        <v>1</v>
      </c>
      <c r="BL144" s="12">
        <f>SUM(data__22[[#This Row],[N34]:[N36]])/3</f>
        <v>1</v>
      </c>
    </row>
    <row r="145" spans="1:64" x14ac:dyDescent="0.3">
      <c r="A145" s="7">
        <v>23</v>
      </c>
      <c r="B145" s="7" t="s">
        <v>70</v>
      </c>
      <c r="C145" s="7" t="s">
        <v>96</v>
      </c>
      <c r="D145" s="7" t="s">
        <v>72</v>
      </c>
      <c r="E145" s="7" t="s">
        <v>73</v>
      </c>
      <c r="F145" s="7" t="s">
        <v>136</v>
      </c>
      <c r="G145" s="7" t="s">
        <v>440</v>
      </c>
      <c r="H145" s="7" t="s">
        <v>136</v>
      </c>
      <c r="I145" s="7" t="s">
        <v>76</v>
      </c>
      <c r="J145" s="7" t="s">
        <v>77</v>
      </c>
      <c r="K145" s="7" t="s">
        <v>125</v>
      </c>
      <c r="L145" s="8" t="s">
        <v>82</v>
      </c>
      <c r="M145" s="8" t="s">
        <v>80</v>
      </c>
      <c r="N145" s="8" t="s">
        <v>82</v>
      </c>
      <c r="O145" s="8" t="s">
        <v>81</v>
      </c>
      <c r="P145" s="8" t="s">
        <v>82</v>
      </c>
      <c r="Q145" s="8" t="s">
        <v>118</v>
      </c>
      <c r="R145" s="8" t="s">
        <v>82</v>
      </c>
      <c r="S145" s="8" t="s">
        <v>82</v>
      </c>
      <c r="T145" s="8" t="s">
        <v>106</v>
      </c>
      <c r="U145" s="8" t="s">
        <v>141</v>
      </c>
      <c r="V145" s="8" t="s">
        <v>457</v>
      </c>
      <c r="W145" s="9">
        <v>1</v>
      </c>
      <c r="X145" s="9">
        <v>1</v>
      </c>
      <c r="Y145" s="9">
        <v>1</v>
      </c>
      <c r="Z145" s="9">
        <v>1</v>
      </c>
      <c r="AA145" s="9">
        <v>1</v>
      </c>
      <c r="AB145" s="9">
        <v>1</v>
      </c>
      <c r="AC145" s="9">
        <v>1</v>
      </c>
      <c r="AD145" s="9">
        <v>1</v>
      </c>
      <c r="AE145" s="9">
        <v>1</v>
      </c>
      <c r="AF145" s="9">
        <v>1</v>
      </c>
      <c r="AG145" s="9">
        <v>1</v>
      </c>
      <c r="AH145" s="9">
        <v>1</v>
      </c>
      <c r="AI145" s="9">
        <v>1</v>
      </c>
      <c r="AJ145" s="9">
        <v>1</v>
      </c>
      <c r="AK145" s="9">
        <v>1</v>
      </c>
      <c r="AL145" s="10">
        <v>1</v>
      </c>
      <c r="AM145" s="10">
        <v>1</v>
      </c>
      <c r="AN145" s="10">
        <v>1</v>
      </c>
      <c r="AO145" s="10">
        <v>1</v>
      </c>
      <c r="AP145" s="10">
        <v>1</v>
      </c>
      <c r="AQ145" s="10">
        <v>1</v>
      </c>
      <c r="AR145" s="10">
        <v>1</v>
      </c>
      <c r="AS145" s="11">
        <v>1</v>
      </c>
      <c r="AT145" s="11">
        <v>1</v>
      </c>
      <c r="AU145" s="11">
        <v>2</v>
      </c>
      <c r="AV145" s="11">
        <v>1</v>
      </c>
      <c r="AW145" s="11">
        <v>1</v>
      </c>
      <c r="AX145" s="11">
        <v>1</v>
      </c>
      <c r="AY145" s="7">
        <v>1</v>
      </c>
      <c r="AZ145" s="7">
        <v>1</v>
      </c>
      <c r="BA145" s="7">
        <v>1</v>
      </c>
      <c r="BB145" s="7">
        <v>1</v>
      </c>
      <c r="BC145" s="7">
        <v>1</v>
      </c>
      <c r="BD145" s="7">
        <v>1</v>
      </c>
      <c r="BE145" s="7">
        <v>1</v>
      </c>
      <c r="BF145" s="7">
        <v>1</v>
      </c>
      <c r="BG145" s="12">
        <f>SUM(data__22[[#This Row],[N1]:[N4]],data__22[[#This Row],[N10]:[N13]],data__22[[#This Row],[N16]:[N18]])/11</f>
        <v>1</v>
      </c>
      <c r="BH145" s="13">
        <f>SUM(data__22[[#This Row],[N8]:[N9]],data__22[[#This Row],[N23]:[N25]])/5</f>
        <v>1.2</v>
      </c>
      <c r="BI145" s="12">
        <f>SUM(data__22[[#This Row],[N5]:[N7]])/3</f>
        <v>1</v>
      </c>
      <c r="BJ145" s="12">
        <f>SUM(data__22[[#This Row],[N14]:[N15]],data__22[[#This Row],[N19]:[N22]],data__22[[#This Row],[N26]:[N28]])/9</f>
        <v>1</v>
      </c>
      <c r="BK145" s="12">
        <f>SUM(data__22[[#This Row],[N29]:[N33]])/5</f>
        <v>1</v>
      </c>
      <c r="BL145" s="12">
        <f>SUM(data__22[[#This Row],[N34]:[N36]])/3</f>
        <v>1</v>
      </c>
    </row>
    <row r="146" spans="1:64" x14ac:dyDescent="0.3">
      <c r="A146" s="7">
        <v>22</v>
      </c>
      <c r="B146" s="7" t="s">
        <v>70</v>
      </c>
      <c r="C146" s="7" t="s">
        <v>157</v>
      </c>
      <c r="D146" s="7" t="s">
        <v>72</v>
      </c>
      <c r="E146" s="7" t="s">
        <v>108</v>
      </c>
      <c r="F146" s="7" t="s">
        <v>136</v>
      </c>
      <c r="G146" s="7" t="s">
        <v>440</v>
      </c>
      <c r="H146" s="7" t="s">
        <v>100</v>
      </c>
      <c r="I146" s="7" t="s">
        <v>76</v>
      </c>
      <c r="J146" s="7" t="s">
        <v>77</v>
      </c>
      <c r="K146" s="7" t="s">
        <v>125</v>
      </c>
      <c r="L146" s="8" t="s">
        <v>79</v>
      </c>
      <c r="M146" s="8" t="s">
        <v>102</v>
      </c>
      <c r="N146" s="8" t="s">
        <v>79</v>
      </c>
      <c r="O146" s="8" t="s">
        <v>117</v>
      </c>
      <c r="P146" s="8" t="s">
        <v>82</v>
      </c>
      <c r="Q146" s="8" t="s">
        <v>83</v>
      </c>
      <c r="R146" s="8" t="s">
        <v>82</v>
      </c>
      <c r="S146" s="8" t="s">
        <v>82</v>
      </c>
      <c r="T146" s="8" t="s">
        <v>106</v>
      </c>
      <c r="U146" s="8" t="s">
        <v>141</v>
      </c>
      <c r="V146" s="8" t="s">
        <v>112</v>
      </c>
      <c r="W146" s="9">
        <v>1</v>
      </c>
      <c r="X146" s="9">
        <v>1</v>
      </c>
      <c r="Y146" s="9">
        <v>1</v>
      </c>
      <c r="Z146" s="9">
        <v>1</v>
      </c>
      <c r="AA146" s="9">
        <v>1</v>
      </c>
      <c r="AB146" s="9">
        <v>1</v>
      </c>
      <c r="AC146" s="9">
        <v>1</v>
      </c>
      <c r="AD146" s="9">
        <v>1</v>
      </c>
      <c r="AE146" s="9">
        <v>1</v>
      </c>
      <c r="AF146" s="9">
        <v>1</v>
      </c>
      <c r="AG146" s="9">
        <v>1</v>
      </c>
      <c r="AH146" s="9">
        <v>1</v>
      </c>
      <c r="AI146" s="9">
        <v>1</v>
      </c>
      <c r="AJ146" s="9">
        <v>1</v>
      </c>
      <c r="AK146" s="9">
        <v>1</v>
      </c>
      <c r="AL146" s="10">
        <v>1</v>
      </c>
      <c r="AM146" s="10">
        <v>1</v>
      </c>
      <c r="AN146" s="10">
        <v>1</v>
      </c>
      <c r="AO146" s="10">
        <v>1</v>
      </c>
      <c r="AP146" s="10">
        <v>1</v>
      </c>
      <c r="AQ146" s="10">
        <v>1</v>
      </c>
      <c r="AR146" s="10">
        <v>1</v>
      </c>
      <c r="AS146" s="11">
        <v>1</v>
      </c>
      <c r="AT146" s="11">
        <v>1</v>
      </c>
      <c r="AU146" s="11">
        <v>1</v>
      </c>
      <c r="AV146" s="11">
        <v>1</v>
      </c>
      <c r="AW146" s="11">
        <v>1</v>
      </c>
      <c r="AX146" s="11">
        <v>1</v>
      </c>
      <c r="AY146" s="7">
        <v>1</v>
      </c>
      <c r="AZ146" s="7">
        <v>1</v>
      </c>
      <c r="BA146" s="7">
        <v>1</v>
      </c>
      <c r="BB146" s="7">
        <v>1</v>
      </c>
      <c r="BC146" s="7">
        <v>1</v>
      </c>
      <c r="BD146" s="7">
        <v>1</v>
      </c>
      <c r="BE146" s="7">
        <v>1</v>
      </c>
      <c r="BF146" s="7">
        <v>1</v>
      </c>
      <c r="BG146" s="12">
        <f>SUM(data__22[[#This Row],[N1]:[N4]],data__22[[#This Row],[N10]:[N13]],data__22[[#This Row],[N16]:[N18]])/11</f>
        <v>1</v>
      </c>
      <c r="BH146" s="13">
        <f>SUM(data__22[[#This Row],[N8]:[N9]],data__22[[#This Row],[N23]:[N25]])/5</f>
        <v>1</v>
      </c>
      <c r="BI146" s="12">
        <f>SUM(data__22[[#This Row],[N5]:[N7]])/3</f>
        <v>1</v>
      </c>
      <c r="BJ146" s="12">
        <f>SUM(data__22[[#This Row],[N14]:[N15]],data__22[[#This Row],[N19]:[N22]],data__22[[#This Row],[N26]:[N28]])/9</f>
        <v>1</v>
      </c>
      <c r="BK146" s="12">
        <f>SUM(data__22[[#This Row],[N29]:[N33]])/5</f>
        <v>1</v>
      </c>
      <c r="BL146" s="12">
        <f>SUM(data__22[[#This Row],[N34]:[N36]])/3</f>
        <v>1</v>
      </c>
    </row>
    <row r="147" spans="1:64" x14ac:dyDescent="0.3">
      <c r="A147" s="7">
        <v>21</v>
      </c>
      <c r="B147" s="7" t="s">
        <v>70</v>
      </c>
      <c r="C147" s="7" t="s">
        <v>96</v>
      </c>
      <c r="D147" s="7" t="s">
        <v>72</v>
      </c>
      <c r="E147" s="7" t="s">
        <v>108</v>
      </c>
      <c r="F147" s="7" t="s">
        <v>74</v>
      </c>
      <c r="G147" s="7" t="s">
        <v>99</v>
      </c>
      <c r="H147" s="7" t="s">
        <v>74</v>
      </c>
      <c r="I147" s="7" t="s">
        <v>439</v>
      </c>
      <c r="J147" s="7" t="s">
        <v>77</v>
      </c>
      <c r="K147" s="7" t="s">
        <v>122</v>
      </c>
      <c r="L147" s="8" t="s">
        <v>79</v>
      </c>
      <c r="M147" s="8" t="s">
        <v>80</v>
      </c>
      <c r="N147" s="8" t="s">
        <v>79</v>
      </c>
      <c r="O147" s="8" t="s">
        <v>81</v>
      </c>
      <c r="P147" s="8" t="s">
        <v>82</v>
      </c>
      <c r="Q147" s="8" t="s">
        <v>83</v>
      </c>
      <c r="R147" s="8" t="s">
        <v>82</v>
      </c>
      <c r="S147" s="8" t="s">
        <v>82</v>
      </c>
      <c r="T147" s="8" t="s">
        <v>106</v>
      </c>
      <c r="U147" s="8" t="s">
        <v>87</v>
      </c>
      <c r="V147" s="8" t="s">
        <v>127</v>
      </c>
      <c r="W147" s="9">
        <v>2</v>
      </c>
      <c r="X147" s="9">
        <v>2</v>
      </c>
      <c r="Y147" s="9">
        <v>2</v>
      </c>
      <c r="Z147" s="9">
        <v>2</v>
      </c>
      <c r="AA147" s="9">
        <v>2</v>
      </c>
      <c r="AB147" s="9">
        <v>2</v>
      </c>
      <c r="AC147" s="9">
        <v>0</v>
      </c>
      <c r="AD147" s="9">
        <v>1</v>
      </c>
      <c r="AE147" s="9">
        <v>1</v>
      </c>
      <c r="AF147" s="9">
        <v>1</v>
      </c>
      <c r="AG147" s="9">
        <v>2</v>
      </c>
      <c r="AH147" s="9">
        <v>2</v>
      </c>
      <c r="AI147" s="9">
        <v>2</v>
      </c>
      <c r="AJ147" s="9">
        <v>0</v>
      </c>
      <c r="AK147" s="9">
        <v>0</v>
      </c>
      <c r="AL147" s="10">
        <v>3</v>
      </c>
      <c r="AM147" s="10">
        <v>3</v>
      </c>
      <c r="AN147" s="10">
        <v>3</v>
      </c>
      <c r="AO147" s="10">
        <v>0</v>
      </c>
      <c r="AP147" s="10">
        <v>0</v>
      </c>
      <c r="AQ147" s="10">
        <v>0</v>
      </c>
      <c r="AR147" s="10">
        <v>0</v>
      </c>
      <c r="AS147" s="11">
        <v>1</v>
      </c>
      <c r="AT147" s="11">
        <v>1</v>
      </c>
      <c r="AU147" s="11">
        <v>1</v>
      </c>
      <c r="AV147" s="11">
        <v>2</v>
      </c>
      <c r="AW147" s="11">
        <v>0</v>
      </c>
      <c r="AX147" s="11">
        <v>0</v>
      </c>
      <c r="AY147" s="7">
        <v>2</v>
      </c>
      <c r="AZ147" s="7">
        <v>2</v>
      </c>
      <c r="BA147" s="7">
        <v>2</v>
      </c>
      <c r="BB147" s="7">
        <v>2</v>
      </c>
      <c r="BC147" s="7">
        <v>2</v>
      </c>
      <c r="BD147" s="7">
        <v>0</v>
      </c>
      <c r="BE147" s="7">
        <v>1</v>
      </c>
      <c r="BF147" s="7">
        <v>0</v>
      </c>
      <c r="BG147" s="12">
        <f>SUM(data__22[[#This Row],[N1]:[N4]],data__22[[#This Row],[N10]:[N13]],data__22[[#This Row],[N16]:[N18]])/11</f>
        <v>2.1818181818181817</v>
      </c>
      <c r="BH147" s="13">
        <f>SUM(data__22[[#This Row],[N8]:[N9]],data__22[[#This Row],[N23]:[N25]])/5</f>
        <v>1</v>
      </c>
      <c r="BI147" s="12">
        <f>SUM(data__22[[#This Row],[N5]:[N7]])/3</f>
        <v>1.3333333333333333</v>
      </c>
      <c r="BJ147" s="12">
        <f>SUM(data__22[[#This Row],[N14]:[N15]],data__22[[#This Row],[N19]:[N22]],data__22[[#This Row],[N26]:[N28]])/9</f>
        <v>0.22222222222222221</v>
      </c>
      <c r="BK147" s="12">
        <f>SUM(data__22[[#This Row],[N29]:[N33]])/5</f>
        <v>2</v>
      </c>
      <c r="BL147" s="12">
        <f>SUM(data__22[[#This Row],[N34]:[N36]])/3</f>
        <v>0.33333333333333331</v>
      </c>
    </row>
    <row r="148" spans="1:64" x14ac:dyDescent="0.3">
      <c r="A148" s="7">
        <v>21</v>
      </c>
      <c r="B148" s="7" t="s">
        <v>128</v>
      </c>
      <c r="C148" s="7" t="s">
        <v>96</v>
      </c>
      <c r="D148" s="7" t="s">
        <v>72</v>
      </c>
      <c r="E148" s="7" t="s">
        <v>108</v>
      </c>
      <c r="F148" s="7" t="s">
        <v>74</v>
      </c>
      <c r="G148" s="7" t="s">
        <v>438</v>
      </c>
      <c r="H148" s="7" t="s">
        <v>74</v>
      </c>
      <c r="I148" s="7" t="s">
        <v>76</v>
      </c>
      <c r="J148" s="7" t="s">
        <v>77</v>
      </c>
      <c r="K148" s="7" t="s">
        <v>122</v>
      </c>
      <c r="L148" s="8" t="s">
        <v>79</v>
      </c>
      <c r="M148" s="8" t="s">
        <v>132</v>
      </c>
      <c r="N148" s="8" t="s">
        <v>79</v>
      </c>
      <c r="O148" s="8" t="s">
        <v>109</v>
      </c>
      <c r="P148" s="8" t="s">
        <v>79</v>
      </c>
      <c r="Q148" s="8" t="s">
        <v>83</v>
      </c>
      <c r="R148" s="8" t="s">
        <v>82</v>
      </c>
      <c r="S148" s="8" t="s">
        <v>79</v>
      </c>
      <c r="T148" s="8" t="s">
        <v>106</v>
      </c>
      <c r="U148" s="8" t="s">
        <v>87</v>
      </c>
      <c r="V148" s="8" t="s">
        <v>112</v>
      </c>
      <c r="W148" s="9">
        <v>1</v>
      </c>
      <c r="X148" s="9">
        <v>2</v>
      </c>
      <c r="Y148" s="9">
        <v>1</v>
      </c>
      <c r="Z148" s="9">
        <v>2</v>
      </c>
      <c r="AA148" s="9">
        <v>1</v>
      </c>
      <c r="AB148" s="9">
        <v>2</v>
      </c>
      <c r="AC148" s="9">
        <v>1</v>
      </c>
      <c r="AD148" s="9">
        <v>2</v>
      </c>
      <c r="AE148" s="9">
        <v>2</v>
      </c>
      <c r="AF148" s="9">
        <v>2</v>
      </c>
      <c r="AG148" s="9">
        <v>1</v>
      </c>
      <c r="AH148" s="9">
        <v>1</v>
      </c>
      <c r="AI148" s="9">
        <v>1</v>
      </c>
      <c r="AJ148" s="9">
        <v>1</v>
      </c>
      <c r="AK148" s="9">
        <v>1</v>
      </c>
      <c r="AL148" s="10">
        <v>3</v>
      </c>
      <c r="AM148" s="10">
        <v>3</v>
      </c>
      <c r="AN148" s="10">
        <v>3</v>
      </c>
      <c r="AO148" s="10">
        <v>3</v>
      </c>
      <c r="AP148" s="10">
        <v>3</v>
      </c>
      <c r="AQ148" s="10">
        <v>3</v>
      </c>
      <c r="AR148" s="10">
        <v>3</v>
      </c>
      <c r="AS148" s="11">
        <v>2</v>
      </c>
      <c r="AT148" s="11">
        <v>2</v>
      </c>
      <c r="AU148" s="11">
        <v>1</v>
      </c>
      <c r="AV148" s="11">
        <v>1</v>
      </c>
      <c r="AW148" s="11">
        <v>1</v>
      </c>
      <c r="AX148" s="11">
        <v>1</v>
      </c>
      <c r="AY148" s="7">
        <v>3</v>
      </c>
      <c r="AZ148" s="7">
        <v>3</v>
      </c>
      <c r="BA148" s="7">
        <v>3</v>
      </c>
      <c r="BB148" s="7">
        <v>3</v>
      </c>
      <c r="BC148" s="7">
        <v>3</v>
      </c>
      <c r="BD148" s="7">
        <v>3</v>
      </c>
      <c r="BE148" s="7">
        <v>3</v>
      </c>
      <c r="BF148" s="7">
        <v>3</v>
      </c>
      <c r="BG148" s="12">
        <f>SUM(data__22[[#This Row],[N1]:[N4]],data__22[[#This Row],[N10]:[N13]],data__22[[#This Row],[N16]:[N18]])/11</f>
        <v>1.8181818181818181</v>
      </c>
      <c r="BH148" s="13">
        <f>SUM(data__22[[#This Row],[N8]:[N9]],data__22[[#This Row],[N23]:[N25]])/5</f>
        <v>1.8</v>
      </c>
      <c r="BI148" s="12">
        <f>SUM(data__22[[#This Row],[N5]:[N7]])/3</f>
        <v>1.3333333333333333</v>
      </c>
      <c r="BJ148" s="12">
        <f>SUM(data__22[[#This Row],[N14]:[N15]],data__22[[#This Row],[N19]:[N22]],data__22[[#This Row],[N26]:[N28]])/9</f>
        <v>1.8888888888888888</v>
      </c>
      <c r="BK148" s="12">
        <f>SUM(data__22[[#This Row],[N29]:[N33]])/5</f>
        <v>3</v>
      </c>
      <c r="BL148" s="12">
        <f>SUM(data__22[[#This Row],[N34]:[N36]])/3</f>
        <v>3</v>
      </c>
    </row>
    <row r="149" spans="1:64" x14ac:dyDescent="0.3">
      <c r="A149" s="7">
        <v>23</v>
      </c>
      <c r="B149" s="7" t="s">
        <v>70</v>
      </c>
      <c r="C149" s="7" t="s">
        <v>96</v>
      </c>
      <c r="D149" s="7" t="s">
        <v>149</v>
      </c>
      <c r="E149" s="7" t="s">
        <v>73</v>
      </c>
      <c r="F149" s="7" t="s">
        <v>136</v>
      </c>
      <c r="G149" s="7" t="s">
        <v>440</v>
      </c>
      <c r="H149" s="7" t="s">
        <v>98</v>
      </c>
      <c r="I149" s="7" t="s">
        <v>76</v>
      </c>
      <c r="J149" s="7" t="s">
        <v>77</v>
      </c>
      <c r="K149" s="7" t="s">
        <v>122</v>
      </c>
      <c r="L149" s="8" t="s">
        <v>82</v>
      </c>
      <c r="M149" s="8" t="s">
        <v>80</v>
      </c>
      <c r="N149" s="8" t="s">
        <v>79</v>
      </c>
      <c r="O149" s="8" t="s">
        <v>117</v>
      </c>
      <c r="P149" s="8" t="s">
        <v>82</v>
      </c>
      <c r="Q149" s="8" t="s">
        <v>83</v>
      </c>
      <c r="R149" s="8" t="s">
        <v>82</v>
      </c>
      <c r="S149" s="8" t="s">
        <v>82</v>
      </c>
      <c r="T149" s="8" t="s">
        <v>106</v>
      </c>
      <c r="U149" s="8" t="s">
        <v>141</v>
      </c>
      <c r="V149" s="8" t="s">
        <v>457</v>
      </c>
      <c r="W149" s="9">
        <v>1</v>
      </c>
      <c r="X149" s="9">
        <v>1</v>
      </c>
      <c r="Y149" s="9">
        <v>1</v>
      </c>
      <c r="Z149" s="9">
        <v>1</v>
      </c>
      <c r="AA149" s="9">
        <v>1</v>
      </c>
      <c r="AB149" s="9">
        <v>1</v>
      </c>
      <c r="AC149" s="9">
        <v>1</v>
      </c>
      <c r="AD149" s="9">
        <v>1</v>
      </c>
      <c r="AE149" s="9">
        <v>1</v>
      </c>
      <c r="AF149" s="9">
        <v>1</v>
      </c>
      <c r="AG149" s="9">
        <v>1</v>
      </c>
      <c r="AH149" s="9">
        <v>1</v>
      </c>
      <c r="AI149" s="9">
        <v>1</v>
      </c>
      <c r="AJ149" s="9">
        <v>1</v>
      </c>
      <c r="AK149" s="9">
        <v>1</v>
      </c>
      <c r="AL149" s="10">
        <v>1</v>
      </c>
      <c r="AM149" s="10">
        <v>1</v>
      </c>
      <c r="AN149" s="10">
        <v>1</v>
      </c>
      <c r="AO149" s="10">
        <v>1</v>
      </c>
      <c r="AP149" s="10">
        <v>1</v>
      </c>
      <c r="AQ149" s="10">
        <v>1</v>
      </c>
      <c r="AR149" s="10">
        <v>1</v>
      </c>
      <c r="AS149" s="11">
        <v>1</v>
      </c>
      <c r="AT149" s="11">
        <v>1</v>
      </c>
      <c r="AU149" s="11">
        <v>1</v>
      </c>
      <c r="AV149" s="11">
        <v>1</v>
      </c>
      <c r="AW149" s="11">
        <v>1</v>
      </c>
      <c r="AX149" s="11">
        <v>1</v>
      </c>
      <c r="AY149" s="7">
        <v>1</v>
      </c>
      <c r="AZ149" s="7">
        <v>1</v>
      </c>
      <c r="BA149" s="7">
        <v>1</v>
      </c>
      <c r="BB149" s="7">
        <v>1</v>
      </c>
      <c r="BC149" s="7">
        <v>1</v>
      </c>
      <c r="BD149" s="7">
        <v>1</v>
      </c>
      <c r="BE149" s="7">
        <v>1</v>
      </c>
      <c r="BF149" s="7">
        <v>1</v>
      </c>
      <c r="BG149" s="12">
        <f>SUM(data__22[[#This Row],[N1]:[N4]],data__22[[#This Row],[N10]:[N13]],data__22[[#This Row],[N16]:[N18]])/11</f>
        <v>1</v>
      </c>
      <c r="BH149" s="13">
        <f>SUM(data__22[[#This Row],[N8]:[N9]],data__22[[#This Row],[N23]:[N25]])/5</f>
        <v>1</v>
      </c>
      <c r="BI149" s="12">
        <f>SUM(data__22[[#This Row],[N5]:[N7]])/3</f>
        <v>1</v>
      </c>
      <c r="BJ149" s="12">
        <f>SUM(data__22[[#This Row],[N14]:[N15]],data__22[[#This Row],[N19]:[N22]],data__22[[#This Row],[N26]:[N28]])/9</f>
        <v>1</v>
      </c>
      <c r="BK149" s="12">
        <f>SUM(data__22[[#This Row],[N29]:[N33]])/5</f>
        <v>1</v>
      </c>
      <c r="BL149" s="12">
        <f>SUM(data__22[[#This Row],[N34]:[N36]])/3</f>
        <v>1</v>
      </c>
    </row>
    <row r="150" spans="1:64" x14ac:dyDescent="0.3">
      <c r="A150" s="7">
        <v>23</v>
      </c>
      <c r="B150" s="7" t="s">
        <v>70</v>
      </c>
      <c r="C150" s="7" t="s">
        <v>96</v>
      </c>
      <c r="D150" s="7" t="s">
        <v>149</v>
      </c>
      <c r="E150" s="7" t="s">
        <v>73</v>
      </c>
      <c r="F150" s="7" t="s">
        <v>98</v>
      </c>
      <c r="G150" s="7" t="s">
        <v>440</v>
      </c>
      <c r="H150" s="7" t="s">
        <v>136</v>
      </c>
      <c r="I150" s="7" t="s">
        <v>76</v>
      </c>
      <c r="J150" s="7" t="s">
        <v>77</v>
      </c>
      <c r="K150" s="7" t="s">
        <v>122</v>
      </c>
      <c r="L150" s="8" t="s">
        <v>82</v>
      </c>
      <c r="M150" s="8" t="s">
        <v>80</v>
      </c>
      <c r="N150" s="8" t="s">
        <v>79</v>
      </c>
      <c r="O150" s="8" t="s">
        <v>81</v>
      </c>
      <c r="P150" s="8" t="s">
        <v>82</v>
      </c>
      <c r="Q150" s="8" t="s">
        <v>83</v>
      </c>
      <c r="R150" s="8" t="s">
        <v>82</v>
      </c>
      <c r="S150" s="8" t="s">
        <v>82</v>
      </c>
      <c r="T150" s="8" t="s">
        <v>106</v>
      </c>
      <c r="U150" s="8" t="s">
        <v>141</v>
      </c>
      <c r="V150" s="8" t="s">
        <v>457</v>
      </c>
      <c r="W150" s="9">
        <v>1</v>
      </c>
      <c r="X150" s="9">
        <v>1</v>
      </c>
      <c r="Y150" s="9">
        <v>1</v>
      </c>
      <c r="Z150" s="9">
        <v>1</v>
      </c>
      <c r="AA150" s="9">
        <v>1</v>
      </c>
      <c r="AB150" s="9">
        <v>1</v>
      </c>
      <c r="AC150" s="9">
        <v>1</v>
      </c>
      <c r="AD150" s="9">
        <v>1</v>
      </c>
      <c r="AE150" s="9">
        <v>1</v>
      </c>
      <c r="AF150" s="9">
        <v>1</v>
      </c>
      <c r="AG150" s="9">
        <v>1</v>
      </c>
      <c r="AH150" s="9">
        <v>1</v>
      </c>
      <c r="AI150" s="9">
        <v>1</v>
      </c>
      <c r="AJ150" s="9">
        <v>2</v>
      </c>
      <c r="AK150" s="9">
        <v>1</v>
      </c>
      <c r="AL150" s="10">
        <v>2</v>
      </c>
      <c r="AM150" s="10">
        <v>2</v>
      </c>
      <c r="AN150" s="10">
        <v>1</v>
      </c>
      <c r="AO150" s="10">
        <v>2</v>
      </c>
      <c r="AP150" s="10">
        <v>2</v>
      </c>
      <c r="AQ150" s="10">
        <v>1</v>
      </c>
      <c r="AR150" s="10">
        <v>2</v>
      </c>
      <c r="AS150" s="11">
        <v>2</v>
      </c>
      <c r="AT150" s="11">
        <v>1</v>
      </c>
      <c r="AU150" s="11">
        <v>1</v>
      </c>
      <c r="AV150" s="11">
        <v>1</v>
      </c>
      <c r="AW150" s="11">
        <v>2</v>
      </c>
      <c r="AX150" s="11">
        <v>1</v>
      </c>
      <c r="AY150" s="7">
        <v>2</v>
      </c>
      <c r="AZ150" s="7">
        <v>2</v>
      </c>
      <c r="BA150" s="7">
        <v>1</v>
      </c>
      <c r="BB150" s="7">
        <v>2</v>
      </c>
      <c r="BC150" s="7">
        <v>1</v>
      </c>
      <c r="BD150" s="7">
        <v>1</v>
      </c>
      <c r="BE150" s="7">
        <v>1</v>
      </c>
      <c r="BF150" s="7">
        <v>1</v>
      </c>
      <c r="BG150" s="12">
        <f>SUM(data__22[[#This Row],[N1]:[N4]],data__22[[#This Row],[N10]:[N13]],data__22[[#This Row],[N16]:[N18]])/11</f>
        <v>1.1818181818181819</v>
      </c>
      <c r="BH150" s="13">
        <f>SUM(data__22[[#This Row],[N8]:[N9]],data__22[[#This Row],[N23]:[N25]])/5</f>
        <v>1.2</v>
      </c>
      <c r="BI150" s="12">
        <f>SUM(data__22[[#This Row],[N5]:[N7]])/3</f>
        <v>1</v>
      </c>
      <c r="BJ150" s="12">
        <f>SUM(data__22[[#This Row],[N14]:[N15]],data__22[[#This Row],[N19]:[N22]],data__22[[#This Row],[N26]:[N28]])/9</f>
        <v>1.5555555555555556</v>
      </c>
      <c r="BK150" s="12">
        <f>SUM(data__22[[#This Row],[N29]:[N33]])/5</f>
        <v>1.6</v>
      </c>
      <c r="BL150" s="12">
        <f>SUM(data__22[[#This Row],[N34]:[N36]])/3</f>
        <v>1</v>
      </c>
    </row>
    <row r="151" spans="1:64" x14ac:dyDescent="0.3">
      <c r="A151" s="7">
        <v>24</v>
      </c>
      <c r="B151" s="7" t="s">
        <v>70</v>
      </c>
      <c r="C151" s="7" t="s">
        <v>113</v>
      </c>
      <c r="D151" s="7" t="s">
        <v>97</v>
      </c>
      <c r="E151" s="7" t="s">
        <v>108</v>
      </c>
      <c r="F151" s="7" t="s">
        <v>98</v>
      </c>
      <c r="G151" s="7" t="s">
        <v>439</v>
      </c>
      <c r="H151" s="7" t="s">
        <v>98</v>
      </c>
      <c r="I151" s="7" t="s">
        <v>76</v>
      </c>
      <c r="J151" s="7" t="s">
        <v>77</v>
      </c>
      <c r="K151" s="7" t="s">
        <v>125</v>
      </c>
      <c r="L151" s="8" t="s">
        <v>82</v>
      </c>
      <c r="M151" s="8" t="s">
        <v>80</v>
      </c>
      <c r="N151" s="8" t="s">
        <v>79</v>
      </c>
      <c r="O151" s="8" t="s">
        <v>81</v>
      </c>
      <c r="P151" s="8" t="s">
        <v>82</v>
      </c>
      <c r="Q151" s="8" t="s">
        <v>83</v>
      </c>
      <c r="R151" s="8" t="s">
        <v>82</v>
      </c>
      <c r="S151" s="8" t="s">
        <v>82</v>
      </c>
      <c r="T151" s="8" t="s">
        <v>106</v>
      </c>
      <c r="U151" s="8" t="s">
        <v>141</v>
      </c>
      <c r="V151" s="8" t="s">
        <v>457</v>
      </c>
      <c r="W151" s="9">
        <v>2</v>
      </c>
      <c r="X151" s="9">
        <v>1</v>
      </c>
      <c r="Y151" s="9">
        <v>2</v>
      </c>
      <c r="Z151" s="9">
        <v>2</v>
      </c>
      <c r="AA151" s="9">
        <v>2</v>
      </c>
      <c r="AB151" s="9">
        <v>1</v>
      </c>
      <c r="AC151" s="9">
        <v>2</v>
      </c>
      <c r="AD151" s="9">
        <v>1</v>
      </c>
      <c r="AE151" s="9">
        <v>2</v>
      </c>
      <c r="AF151" s="9">
        <v>1</v>
      </c>
      <c r="AG151" s="9">
        <v>2</v>
      </c>
      <c r="AH151" s="9">
        <v>1</v>
      </c>
      <c r="AI151" s="9">
        <v>1</v>
      </c>
      <c r="AJ151" s="9">
        <v>1</v>
      </c>
      <c r="AK151" s="9">
        <v>1</v>
      </c>
      <c r="AL151" s="10">
        <v>1</v>
      </c>
      <c r="AM151" s="10">
        <v>2</v>
      </c>
      <c r="AN151" s="10">
        <v>1</v>
      </c>
      <c r="AO151" s="10">
        <v>1</v>
      </c>
      <c r="AP151" s="10">
        <v>1</v>
      </c>
      <c r="AQ151" s="10">
        <v>1</v>
      </c>
      <c r="AR151" s="10">
        <v>2</v>
      </c>
      <c r="AS151" s="11">
        <v>2</v>
      </c>
      <c r="AT151" s="11">
        <v>1</v>
      </c>
      <c r="AU151" s="11">
        <v>2</v>
      </c>
      <c r="AV151" s="11">
        <v>1</v>
      </c>
      <c r="AW151" s="11">
        <v>1</v>
      </c>
      <c r="AX151" s="11">
        <v>1</v>
      </c>
      <c r="AY151" s="7">
        <v>1</v>
      </c>
      <c r="AZ151" s="7">
        <v>1</v>
      </c>
      <c r="BA151" s="7">
        <v>1</v>
      </c>
      <c r="BB151" s="7">
        <v>2</v>
      </c>
      <c r="BC151" s="7">
        <v>1</v>
      </c>
      <c r="BD151" s="7">
        <v>1</v>
      </c>
      <c r="BE151" s="7">
        <v>1</v>
      </c>
      <c r="BF151" s="7">
        <v>1</v>
      </c>
      <c r="BG151" s="12">
        <f>SUM(data__22[[#This Row],[N1]:[N4]],data__22[[#This Row],[N10]:[N13]],data__22[[#This Row],[N16]:[N18]])/11</f>
        <v>1.4545454545454546</v>
      </c>
      <c r="BH151" s="13">
        <f>SUM(data__22[[#This Row],[N8]:[N9]],data__22[[#This Row],[N23]:[N25]])/5</f>
        <v>1.6</v>
      </c>
      <c r="BI151" s="12">
        <f>SUM(data__22[[#This Row],[N5]:[N7]])/3</f>
        <v>1.6666666666666667</v>
      </c>
      <c r="BJ151" s="12">
        <f>SUM(data__22[[#This Row],[N14]:[N15]],data__22[[#This Row],[N19]:[N22]],data__22[[#This Row],[N26]:[N28]])/9</f>
        <v>1.1111111111111112</v>
      </c>
      <c r="BK151" s="12">
        <f>SUM(data__22[[#This Row],[N29]:[N33]])/5</f>
        <v>1.2</v>
      </c>
      <c r="BL151" s="12">
        <f>SUM(data__22[[#This Row],[N34]:[N36]])/3</f>
        <v>1</v>
      </c>
    </row>
    <row r="152" spans="1:64" x14ac:dyDescent="0.3">
      <c r="A152" s="7">
        <v>22</v>
      </c>
      <c r="B152" s="7" t="s">
        <v>70</v>
      </c>
      <c r="C152" s="7" t="s">
        <v>157</v>
      </c>
      <c r="D152" s="7" t="s">
        <v>72</v>
      </c>
      <c r="E152" s="7" t="s">
        <v>114</v>
      </c>
      <c r="F152" s="7" t="s">
        <v>136</v>
      </c>
      <c r="G152" s="7" t="s">
        <v>440</v>
      </c>
      <c r="H152" s="7" t="s">
        <v>100</v>
      </c>
      <c r="I152" s="7" t="s">
        <v>76</v>
      </c>
      <c r="J152" s="7" t="s">
        <v>101</v>
      </c>
      <c r="K152" s="7" t="s">
        <v>125</v>
      </c>
      <c r="L152" s="8" t="s">
        <v>79</v>
      </c>
      <c r="M152" s="8" t="s">
        <v>80</v>
      </c>
      <c r="N152" s="8" t="s">
        <v>79</v>
      </c>
      <c r="O152" s="8" t="s">
        <v>179</v>
      </c>
      <c r="P152" s="8" t="s">
        <v>79</v>
      </c>
      <c r="Q152" s="8" t="s">
        <v>83</v>
      </c>
      <c r="R152" s="8" t="s">
        <v>79</v>
      </c>
      <c r="S152" s="8" t="s">
        <v>79</v>
      </c>
      <c r="T152" s="8" t="s">
        <v>86</v>
      </c>
      <c r="U152" s="8" t="s">
        <v>141</v>
      </c>
      <c r="V152" s="8" t="s">
        <v>160</v>
      </c>
      <c r="W152" s="9">
        <v>1</v>
      </c>
      <c r="X152" s="9">
        <v>1</v>
      </c>
      <c r="Y152" s="9">
        <v>1</v>
      </c>
      <c r="Z152" s="9">
        <v>1</v>
      </c>
      <c r="AA152" s="9">
        <v>1</v>
      </c>
      <c r="AB152" s="9">
        <v>1</v>
      </c>
      <c r="AC152" s="9">
        <v>2</v>
      </c>
      <c r="AD152" s="9">
        <v>1</v>
      </c>
      <c r="AE152" s="9">
        <v>1</v>
      </c>
      <c r="AF152" s="9">
        <v>1</v>
      </c>
      <c r="AG152" s="9">
        <v>1</v>
      </c>
      <c r="AH152" s="9">
        <v>1</v>
      </c>
      <c r="AI152" s="9">
        <v>1</v>
      </c>
      <c r="AJ152" s="9">
        <v>1</v>
      </c>
      <c r="AK152" s="9">
        <v>1</v>
      </c>
      <c r="AL152" s="10">
        <v>1</v>
      </c>
      <c r="AM152" s="10">
        <v>1</v>
      </c>
      <c r="AN152" s="10">
        <v>1</v>
      </c>
      <c r="AO152" s="10">
        <v>1</v>
      </c>
      <c r="AP152" s="10">
        <v>1</v>
      </c>
      <c r="AQ152" s="10">
        <v>1</v>
      </c>
      <c r="AR152" s="10">
        <v>1</v>
      </c>
      <c r="AS152" s="11">
        <v>2</v>
      </c>
      <c r="AT152" s="11">
        <v>1</v>
      </c>
      <c r="AU152" s="11">
        <v>2</v>
      </c>
      <c r="AV152" s="11">
        <v>2</v>
      </c>
      <c r="AW152" s="11">
        <v>2</v>
      </c>
      <c r="AX152" s="11">
        <v>1</v>
      </c>
      <c r="AY152" s="7">
        <v>2</v>
      </c>
      <c r="AZ152" s="7">
        <v>1</v>
      </c>
      <c r="BA152" s="7">
        <v>1</v>
      </c>
      <c r="BB152" s="7">
        <v>1</v>
      </c>
      <c r="BC152" s="7">
        <v>1</v>
      </c>
      <c r="BD152" s="7">
        <v>1</v>
      </c>
      <c r="BE152" s="7">
        <v>1</v>
      </c>
      <c r="BF152" s="7">
        <v>1</v>
      </c>
      <c r="BG152" s="12">
        <f>SUM(data__22[[#This Row],[N1]:[N4]],data__22[[#This Row],[N10]:[N13]],data__22[[#This Row],[N16]:[N18]])/11</f>
        <v>1</v>
      </c>
      <c r="BH152" s="13">
        <f>SUM(data__22[[#This Row],[N8]:[N9]],data__22[[#This Row],[N23]:[N25]])/5</f>
        <v>1.4</v>
      </c>
      <c r="BI152" s="12">
        <f>SUM(data__22[[#This Row],[N5]:[N7]])/3</f>
        <v>1.3333333333333333</v>
      </c>
      <c r="BJ152" s="12">
        <f>SUM(data__22[[#This Row],[N14]:[N15]],data__22[[#This Row],[N19]:[N22]],data__22[[#This Row],[N26]:[N28]])/9</f>
        <v>1.2222222222222223</v>
      </c>
      <c r="BK152" s="12">
        <f>SUM(data__22[[#This Row],[N29]:[N33]])/5</f>
        <v>1.2</v>
      </c>
      <c r="BL152" s="12">
        <f>SUM(data__22[[#This Row],[N34]:[N36]])/3</f>
        <v>1</v>
      </c>
    </row>
    <row r="153" spans="1:64" x14ac:dyDescent="0.3">
      <c r="A153" s="7">
        <v>22</v>
      </c>
      <c r="B153" s="7" t="s">
        <v>70</v>
      </c>
      <c r="C153" s="7" t="s">
        <v>96</v>
      </c>
      <c r="D153" s="7" t="s">
        <v>72</v>
      </c>
      <c r="E153" s="7" t="s">
        <v>73</v>
      </c>
      <c r="F153" s="7" t="s">
        <v>136</v>
      </c>
      <c r="G153" s="7" t="s">
        <v>439</v>
      </c>
      <c r="H153" s="7" t="s">
        <v>98</v>
      </c>
      <c r="I153" s="7" t="s">
        <v>439</v>
      </c>
      <c r="J153" s="7" t="s">
        <v>77</v>
      </c>
      <c r="K153" s="7" t="s">
        <v>122</v>
      </c>
      <c r="L153" s="8" t="s">
        <v>82</v>
      </c>
      <c r="M153" s="8" t="s">
        <v>80</v>
      </c>
      <c r="N153" s="8" t="s">
        <v>79</v>
      </c>
      <c r="O153" s="8" t="s">
        <v>81</v>
      </c>
      <c r="P153" s="8" t="s">
        <v>82</v>
      </c>
      <c r="Q153" s="8" t="s">
        <v>83</v>
      </c>
      <c r="R153" s="8" t="s">
        <v>82</v>
      </c>
      <c r="S153" s="8" t="s">
        <v>82</v>
      </c>
      <c r="T153" s="8" t="s">
        <v>106</v>
      </c>
      <c r="U153" s="8" t="s">
        <v>141</v>
      </c>
      <c r="V153" s="8" t="s">
        <v>457</v>
      </c>
      <c r="W153" s="9">
        <v>1</v>
      </c>
      <c r="X153" s="9">
        <v>1</v>
      </c>
      <c r="Y153" s="9">
        <v>1</v>
      </c>
      <c r="Z153" s="9">
        <v>1</v>
      </c>
      <c r="AA153" s="9">
        <v>1</v>
      </c>
      <c r="AB153" s="9">
        <v>1</v>
      </c>
      <c r="AC153" s="9">
        <v>1</v>
      </c>
      <c r="AD153" s="9">
        <v>1</v>
      </c>
      <c r="AE153" s="9">
        <v>1</v>
      </c>
      <c r="AF153" s="9">
        <v>1</v>
      </c>
      <c r="AG153" s="9">
        <v>1</v>
      </c>
      <c r="AH153" s="9">
        <v>1</v>
      </c>
      <c r="AI153" s="9">
        <v>1</v>
      </c>
      <c r="AJ153" s="9">
        <v>1</v>
      </c>
      <c r="AK153" s="9">
        <v>1</v>
      </c>
      <c r="AL153" s="10">
        <v>1</v>
      </c>
      <c r="AM153" s="10">
        <v>1</v>
      </c>
      <c r="AN153" s="10">
        <v>1</v>
      </c>
      <c r="AO153" s="10">
        <v>1</v>
      </c>
      <c r="AP153" s="10">
        <v>1</v>
      </c>
      <c r="AQ153" s="10">
        <v>1</v>
      </c>
      <c r="AR153" s="10">
        <v>1</v>
      </c>
      <c r="AS153" s="11">
        <v>1</v>
      </c>
      <c r="AT153" s="11">
        <v>1</v>
      </c>
      <c r="AU153" s="11">
        <v>1</v>
      </c>
      <c r="AV153" s="11">
        <v>1</v>
      </c>
      <c r="AW153" s="11">
        <v>1</v>
      </c>
      <c r="AX153" s="11">
        <v>1</v>
      </c>
      <c r="AY153" s="7">
        <v>1</v>
      </c>
      <c r="AZ153" s="7">
        <v>1</v>
      </c>
      <c r="BA153" s="7">
        <v>1</v>
      </c>
      <c r="BB153" s="7">
        <v>1</v>
      </c>
      <c r="BC153" s="7">
        <v>1</v>
      </c>
      <c r="BD153" s="7">
        <v>1</v>
      </c>
      <c r="BE153" s="7">
        <v>1</v>
      </c>
      <c r="BF153" s="7">
        <v>1</v>
      </c>
      <c r="BG153" s="12">
        <f>SUM(data__22[[#This Row],[N1]:[N4]],data__22[[#This Row],[N10]:[N13]],data__22[[#This Row],[N16]:[N18]])/11</f>
        <v>1</v>
      </c>
      <c r="BH153" s="13">
        <f>SUM(data__22[[#This Row],[N8]:[N9]],data__22[[#This Row],[N23]:[N25]])/5</f>
        <v>1</v>
      </c>
      <c r="BI153" s="12">
        <f>SUM(data__22[[#This Row],[N5]:[N7]])/3</f>
        <v>1</v>
      </c>
      <c r="BJ153" s="12">
        <f>SUM(data__22[[#This Row],[N14]:[N15]],data__22[[#This Row],[N19]:[N22]],data__22[[#This Row],[N26]:[N28]])/9</f>
        <v>1</v>
      </c>
      <c r="BK153" s="12">
        <f>SUM(data__22[[#This Row],[N29]:[N33]])/5</f>
        <v>1</v>
      </c>
      <c r="BL153" s="12">
        <f>SUM(data__22[[#This Row],[N34]:[N36]])/3</f>
        <v>1</v>
      </c>
    </row>
    <row r="154" spans="1:64" x14ac:dyDescent="0.3">
      <c r="A154" s="7">
        <v>25</v>
      </c>
      <c r="B154" s="7" t="s">
        <v>70</v>
      </c>
      <c r="C154" s="7" t="s">
        <v>113</v>
      </c>
      <c r="D154" s="7" t="s">
        <v>72</v>
      </c>
      <c r="E154" s="7" t="s">
        <v>108</v>
      </c>
      <c r="F154" s="7" t="s">
        <v>74</v>
      </c>
      <c r="G154" s="7" t="s">
        <v>439</v>
      </c>
      <c r="H154" s="7" t="s">
        <v>74</v>
      </c>
      <c r="I154" s="7" t="s">
        <v>439</v>
      </c>
      <c r="J154" s="7" t="s">
        <v>101</v>
      </c>
      <c r="K154" s="7" t="s">
        <v>122</v>
      </c>
      <c r="L154" s="8" t="s">
        <v>79</v>
      </c>
      <c r="M154" s="8" t="s">
        <v>102</v>
      </c>
      <c r="N154" s="8" t="s">
        <v>79</v>
      </c>
      <c r="O154" s="8" t="s">
        <v>117</v>
      </c>
      <c r="P154" s="8" t="s">
        <v>82</v>
      </c>
      <c r="Q154" s="8" t="s">
        <v>83</v>
      </c>
      <c r="R154" s="8" t="s">
        <v>82</v>
      </c>
      <c r="S154" s="8" t="s">
        <v>82</v>
      </c>
      <c r="T154" s="8" t="s">
        <v>106</v>
      </c>
      <c r="U154" s="8" t="s">
        <v>141</v>
      </c>
      <c r="V154" s="8" t="s">
        <v>112</v>
      </c>
      <c r="W154" s="9">
        <v>1</v>
      </c>
      <c r="X154" s="9">
        <v>1</v>
      </c>
      <c r="Y154" s="9">
        <v>1</v>
      </c>
      <c r="Z154" s="9">
        <v>1</v>
      </c>
      <c r="AA154" s="9">
        <v>1</v>
      </c>
      <c r="AB154" s="9">
        <v>1</v>
      </c>
      <c r="AC154" s="9">
        <v>1</v>
      </c>
      <c r="AD154" s="9">
        <v>1</v>
      </c>
      <c r="AE154" s="9">
        <v>1</v>
      </c>
      <c r="AF154" s="9">
        <v>1</v>
      </c>
      <c r="AG154" s="9">
        <v>1</v>
      </c>
      <c r="AH154" s="9">
        <v>1</v>
      </c>
      <c r="AI154" s="9">
        <v>1</v>
      </c>
      <c r="AJ154" s="9">
        <v>1</v>
      </c>
      <c r="AK154" s="9">
        <v>1</v>
      </c>
      <c r="AL154" s="10">
        <v>1</v>
      </c>
      <c r="AM154" s="10">
        <v>1</v>
      </c>
      <c r="AN154" s="10">
        <v>1</v>
      </c>
      <c r="AO154" s="10">
        <v>1</v>
      </c>
      <c r="AP154" s="10">
        <v>1</v>
      </c>
      <c r="AQ154" s="10">
        <v>1</v>
      </c>
      <c r="AR154" s="10">
        <v>1</v>
      </c>
      <c r="AS154" s="11">
        <v>1</v>
      </c>
      <c r="AT154" s="11">
        <v>1</v>
      </c>
      <c r="AU154" s="11">
        <v>1</v>
      </c>
      <c r="AV154" s="11">
        <v>1</v>
      </c>
      <c r="AW154" s="11">
        <v>1</v>
      </c>
      <c r="AX154" s="11">
        <v>1</v>
      </c>
      <c r="AY154" s="7">
        <v>1</v>
      </c>
      <c r="AZ154" s="7">
        <v>1</v>
      </c>
      <c r="BA154" s="7">
        <v>1</v>
      </c>
      <c r="BB154" s="7">
        <v>1</v>
      </c>
      <c r="BC154" s="7">
        <v>1</v>
      </c>
      <c r="BD154" s="7">
        <v>1</v>
      </c>
      <c r="BE154" s="7">
        <v>1</v>
      </c>
      <c r="BF154" s="7">
        <v>1</v>
      </c>
      <c r="BG154" s="12">
        <f>SUM(data__22[[#This Row],[N1]:[N4]],data__22[[#This Row],[N10]:[N13]],data__22[[#This Row],[N16]:[N18]])/11</f>
        <v>1</v>
      </c>
      <c r="BH154" s="13">
        <f>SUM(data__22[[#This Row],[N8]:[N9]],data__22[[#This Row],[N23]:[N25]])/5</f>
        <v>1</v>
      </c>
      <c r="BI154" s="12">
        <f>SUM(data__22[[#This Row],[N5]:[N7]])/3</f>
        <v>1</v>
      </c>
      <c r="BJ154" s="12">
        <f>SUM(data__22[[#This Row],[N14]:[N15]],data__22[[#This Row],[N19]:[N22]],data__22[[#This Row],[N26]:[N28]])/9</f>
        <v>1</v>
      </c>
      <c r="BK154" s="12">
        <f>SUM(data__22[[#This Row],[N29]:[N33]])/5</f>
        <v>1</v>
      </c>
      <c r="BL154" s="12">
        <f>SUM(data__22[[#This Row],[N34]:[N36]])/3</f>
        <v>1</v>
      </c>
    </row>
    <row r="155" spans="1:64" x14ac:dyDescent="0.3">
      <c r="A155" s="7">
        <v>23</v>
      </c>
      <c r="B155" s="7" t="s">
        <v>70</v>
      </c>
      <c r="C155" s="7" t="s">
        <v>157</v>
      </c>
      <c r="D155" s="7" t="s">
        <v>72</v>
      </c>
      <c r="E155" s="7" t="s">
        <v>108</v>
      </c>
      <c r="F155" s="7" t="s">
        <v>136</v>
      </c>
      <c r="G155" s="7" t="s">
        <v>440</v>
      </c>
      <c r="H155" s="7" t="s">
        <v>98</v>
      </c>
      <c r="I155" s="7" t="s">
        <v>76</v>
      </c>
      <c r="J155" s="7" t="s">
        <v>77</v>
      </c>
      <c r="K155" s="7" t="s">
        <v>122</v>
      </c>
      <c r="L155" s="8" t="s">
        <v>79</v>
      </c>
      <c r="M155" s="8" t="s">
        <v>102</v>
      </c>
      <c r="N155" s="8" t="s">
        <v>82</v>
      </c>
      <c r="O155" s="8" t="s">
        <v>81</v>
      </c>
      <c r="P155" s="8" t="s">
        <v>82</v>
      </c>
      <c r="Q155" s="8" t="s">
        <v>83</v>
      </c>
      <c r="R155" s="8" t="s">
        <v>82</v>
      </c>
      <c r="S155" s="8" t="s">
        <v>82</v>
      </c>
      <c r="T155" s="8" t="s">
        <v>106</v>
      </c>
      <c r="U155" s="8" t="s">
        <v>141</v>
      </c>
      <c r="V155" s="8" t="s">
        <v>112</v>
      </c>
      <c r="W155" s="9">
        <v>1</v>
      </c>
      <c r="X155" s="9">
        <v>1</v>
      </c>
      <c r="Y155" s="9">
        <v>1</v>
      </c>
      <c r="Z155" s="9">
        <v>1</v>
      </c>
      <c r="AA155" s="9">
        <v>1</v>
      </c>
      <c r="AB155" s="9">
        <v>1</v>
      </c>
      <c r="AC155" s="9">
        <v>1</v>
      </c>
      <c r="AD155" s="9">
        <v>1</v>
      </c>
      <c r="AE155" s="9">
        <v>1</v>
      </c>
      <c r="AF155" s="9">
        <v>1</v>
      </c>
      <c r="AG155" s="9">
        <v>1</v>
      </c>
      <c r="AH155" s="9">
        <v>1</v>
      </c>
      <c r="AI155" s="9">
        <v>1</v>
      </c>
      <c r="AJ155" s="9">
        <v>1</v>
      </c>
      <c r="AK155" s="9">
        <v>1</v>
      </c>
      <c r="AL155" s="10">
        <v>1</v>
      </c>
      <c r="AM155" s="10">
        <v>1</v>
      </c>
      <c r="AN155" s="10">
        <v>1</v>
      </c>
      <c r="AO155" s="10">
        <v>1</v>
      </c>
      <c r="AP155" s="10">
        <v>1</v>
      </c>
      <c r="AQ155" s="10">
        <v>1</v>
      </c>
      <c r="AR155" s="10">
        <v>1</v>
      </c>
      <c r="AS155" s="11">
        <v>1</v>
      </c>
      <c r="AT155" s="11">
        <v>1</v>
      </c>
      <c r="AU155" s="11">
        <v>1</v>
      </c>
      <c r="AV155" s="11">
        <v>1</v>
      </c>
      <c r="AW155" s="11">
        <v>1</v>
      </c>
      <c r="AX155" s="11">
        <v>1</v>
      </c>
      <c r="AY155" s="7">
        <v>1</v>
      </c>
      <c r="AZ155" s="7">
        <v>1</v>
      </c>
      <c r="BA155" s="7">
        <v>1</v>
      </c>
      <c r="BB155" s="7">
        <v>1</v>
      </c>
      <c r="BC155" s="7">
        <v>1</v>
      </c>
      <c r="BD155" s="7">
        <v>1</v>
      </c>
      <c r="BE155" s="7">
        <v>1</v>
      </c>
      <c r="BF155" s="7">
        <v>1</v>
      </c>
      <c r="BG155" s="12">
        <f>SUM(data__22[[#This Row],[N1]:[N4]],data__22[[#This Row],[N10]:[N13]],data__22[[#This Row],[N16]:[N18]])/11</f>
        <v>1</v>
      </c>
      <c r="BH155" s="13">
        <f>SUM(data__22[[#This Row],[N8]:[N9]],data__22[[#This Row],[N23]:[N25]])/5</f>
        <v>1</v>
      </c>
      <c r="BI155" s="12">
        <f>SUM(data__22[[#This Row],[N5]:[N7]])/3</f>
        <v>1</v>
      </c>
      <c r="BJ155" s="12">
        <f>SUM(data__22[[#This Row],[N14]:[N15]],data__22[[#This Row],[N19]:[N22]],data__22[[#This Row],[N26]:[N28]])/9</f>
        <v>1</v>
      </c>
      <c r="BK155" s="12">
        <f>SUM(data__22[[#This Row],[N29]:[N33]])/5</f>
        <v>1</v>
      </c>
      <c r="BL155" s="12">
        <f>SUM(data__22[[#This Row],[N34]:[N36]])/3</f>
        <v>1</v>
      </c>
    </row>
    <row r="156" spans="1:64" x14ac:dyDescent="0.3">
      <c r="A156" s="7">
        <v>21</v>
      </c>
      <c r="B156" s="7" t="s">
        <v>70</v>
      </c>
      <c r="C156" s="7" t="s">
        <v>157</v>
      </c>
      <c r="D156" s="7" t="s">
        <v>149</v>
      </c>
      <c r="E156" s="7" t="s">
        <v>114</v>
      </c>
      <c r="F156" s="7" t="s">
        <v>136</v>
      </c>
      <c r="G156" s="7" t="s">
        <v>439</v>
      </c>
      <c r="H156" s="7" t="s">
        <v>136</v>
      </c>
      <c r="I156" s="7" t="s">
        <v>76</v>
      </c>
      <c r="J156" s="7" t="s">
        <v>77</v>
      </c>
      <c r="K156" s="7" t="s">
        <v>125</v>
      </c>
      <c r="L156" s="8" t="s">
        <v>82</v>
      </c>
      <c r="M156" s="8" t="s">
        <v>132</v>
      </c>
      <c r="N156" s="8" t="s">
        <v>79</v>
      </c>
      <c r="O156" s="8" t="s">
        <v>109</v>
      </c>
      <c r="P156" s="8" t="s">
        <v>79</v>
      </c>
      <c r="Q156" s="8" t="s">
        <v>83</v>
      </c>
      <c r="R156" s="8" t="s">
        <v>79</v>
      </c>
      <c r="S156" s="8" t="s">
        <v>79</v>
      </c>
      <c r="T156" s="8" t="s">
        <v>86</v>
      </c>
      <c r="U156" s="8" t="s">
        <v>141</v>
      </c>
      <c r="V156" s="8" t="s">
        <v>127</v>
      </c>
      <c r="W156" s="9">
        <v>3</v>
      </c>
      <c r="X156" s="9">
        <v>3</v>
      </c>
      <c r="Y156" s="9">
        <v>3</v>
      </c>
      <c r="Z156" s="9">
        <v>3</v>
      </c>
      <c r="AA156" s="9">
        <v>1</v>
      </c>
      <c r="AB156" s="9">
        <v>1</v>
      </c>
      <c r="AC156" s="9">
        <v>1</v>
      </c>
      <c r="AD156" s="9">
        <v>3</v>
      </c>
      <c r="AE156" s="9">
        <v>1</v>
      </c>
      <c r="AF156" s="9">
        <v>3</v>
      </c>
      <c r="AG156" s="9">
        <v>3</v>
      </c>
      <c r="AH156" s="9">
        <v>3</v>
      </c>
      <c r="AI156" s="9">
        <v>1</v>
      </c>
      <c r="AJ156" s="9">
        <v>1</v>
      </c>
      <c r="AK156" s="9">
        <v>3</v>
      </c>
      <c r="AL156" s="10">
        <v>3</v>
      </c>
      <c r="AM156" s="10">
        <v>3</v>
      </c>
      <c r="AN156" s="10">
        <v>3</v>
      </c>
      <c r="AO156" s="10">
        <v>0</v>
      </c>
      <c r="AP156" s="10">
        <v>0</v>
      </c>
      <c r="AQ156" s="10">
        <v>0</v>
      </c>
      <c r="AR156" s="10">
        <v>0</v>
      </c>
      <c r="AS156" s="11">
        <v>1</v>
      </c>
      <c r="AT156" s="11">
        <v>1</v>
      </c>
      <c r="AU156" s="11">
        <v>1</v>
      </c>
      <c r="AV156" s="11">
        <v>1</v>
      </c>
      <c r="AW156" s="11">
        <v>1</v>
      </c>
      <c r="AX156" s="11">
        <v>1</v>
      </c>
      <c r="AY156" s="7"/>
      <c r="AZ156" s="7"/>
      <c r="BA156" s="7"/>
      <c r="BB156" s="7"/>
      <c r="BC156" s="7"/>
      <c r="BD156" s="7"/>
      <c r="BE156" s="7"/>
      <c r="BF156" s="7"/>
      <c r="BG156" s="12">
        <f>SUM(data__22[[#This Row],[N1]:[N4]],data__22[[#This Row],[N10]:[N13]],data__22[[#This Row],[N16]:[N18]])/11</f>
        <v>2.8181818181818183</v>
      </c>
      <c r="BH156" s="13">
        <f>SUM(data__22[[#This Row],[N8]:[N9]],data__22[[#This Row],[N23]:[N25]])/5</f>
        <v>1.4</v>
      </c>
      <c r="BI156" s="12">
        <f>SUM(data__22[[#This Row],[N5]:[N7]])/3</f>
        <v>1</v>
      </c>
      <c r="BJ156" s="12">
        <f>SUM(data__22[[#This Row],[N14]:[N15]],data__22[[#This Row],[N19]:[N22]],data__22[[#This Row],[N26]:[N28]])/9</f>
        <v>0.77777777777777779</v>
      </c>
      <c r="BK156" s="12">
        <f>SUM(data__22[[#This Row],[N29]:[N33]])/5</f>
        <v>0</v>
      </c>
      <c r="BL156" s="12">
        <f>SUM(data__22[[#This Row],[N34]:[N36]])/3</f>
        <v>0</v>
      </c>
    </row>
    <row r="157" spans="1:64" x14ac:dyDescent="0.3">
      <c r="A157" s="7">
        <v>25</v>
      </c>
      <c r="B157" s="7" t="s">
        <v>70</v>
      </c>
      <c r="C157" s="7" t="s">
        <v>153</v>
      </c>
      <c r="D157" s="7" t="s">
        <v>97</v>
      </c>
      <c r="E157" s="7" t="s">
        <v>73</v>
      </c>
      <c r="F157" s="7" t="s">
        <v>74</v>
      </c>
      <c r="G157" s="7" t="s">
        <v>439</v>
      </c>
      <c r="H157" s="7" t="s">
        <v>74</v>
      </c>
      <c r="I157" s="7" t="s">
        <v>439</v>
      </c>
      <c r="J157" s="7" t="s">
        <v>77</v>
      </c>
      <c r="K157" s="7" t="s">
        <v>122</v>
      </c>
      <c r="L157" s="8" t="s">
        <v>82</v>
      </c>
      <c r="M157" s="8" t="s">
        <v>80</v>
      </c>
      <c r="N157" s="8" t="s">
        <v>82</v>
      </c>
      <c r="O157" s="8" t="s">
        <v>117</v>
      </c>
      <c r="P157" s="8" t="s">
        <v>82</v>
      </c>
      <c r="Q157" s="8" t="s">
        <v>83</v>
      </c>
      <c r="R157" s="8" t="s">
        <v>82</v>
      </c>
      <c r="S157" s="8" t="s">
        <v>82</v>
      </c>
      <c r="T157" s="8" t="s">
        <v>106</v>
      </c>
      <c r="U157" s="8" t="s">
        <v>141</v>
      </c>
      <c r="V157" s="8" t="s">
        <v>457</v>
      </c>
      <c r="W157" s="9">
        <v>1</v>
      </c>
      <c r="X157" s="9">
        <v>1</v>
      </c>
      <c r="Y157" s="9">
        <v>1</v>
      </c>
      <c r="Z157" s="9">
        <v>1</v>
      </c>
      <c r="AA157" s="9">
        <v>1</v>
      </c>
      <c r="AB157" s="9">
        <v>1</v>
      </c>
      <c r="AC157" s="9">
        <v>1</v>
      </c>
      <c r="AD157" s="9">
        <v>1</v>
      </c>
      <c r="AE157" s="9">
        <v>1</v>
      </c>
      <c r="AF157" s="9">
        <v>1</v>
      </c>
      <c r="AG157" s="9">
        <v>1</v>
      </c>
      <c r="AH157" s="9">
        <v>1</v>
      </c>
      <c r="AI157" s="9">
        <v>1</v>
      </c>
      <c r="AJ157" s="9">
        <v>1</v>
      </c>
      <c r="AK157" s="9">
        <v>1</v>
      </c>
      <c r="AL157" s="10">
        <v>1</v>
      </c>
      <c r="AM157" s="10">
        <v>1</v>
      </c>
      <c r="AN157" s="10">
        <v>1</v>
      </c>
      <c r="AO157" s="10">
        <v>1</v>
      </c>
      <c r="AP157" s="10">
        <v>1</v>
      </c>
      <c r="AQ157" s="10">
        <v>1</v>
      </c>
      <c r="AR157" s="10">
        <v>1</v>
      </c>
      <c r="AS157" s="11">
        <v>1</v>
      </c>
      <c r="AT157" s="11">
        <v>1</v>
      </c>
      <c r="AU157" s="11">
        <v>1</v>
      </c>
      <c r="AV157" s="11">
        <v>1</v>
      </c>
      <c r="AW157" s="11">
        <v>1</v>
      </c>
      <c r="AX157" s="11">
        <v>1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12">
        <f>SUM(data__22[[#This Row],[N1]:[N4]],data__22[[#This Row],[N10]:[N13]],data__22[[#This Row],[N16]:[N18]])/11</f>
        <v>1</v>
      </c>
      <c r="BH157" s="13">
        <f>SUM(data__22[[#This Row],[N8]:[N9]],data__22[[#This Row],[N23]:[N25]])/5</f>
        <v>1</v>
      </c>
      <c r="BI157" s="12">
        <f>SUM(data__22[[#This Row],[N5]:[N7]])/3</f>
        <v>1</v>
      </c>
      <c r="BJ157" s="12">
        <f>SUM(data__22[[#This Row],[N14]:[N15]],data__22[[#This Row],[N19]:[N22]],data__22[[#This Row],[N26]:[N28]])/9</f>
        <v>1</v>
      </c>
      <c r="BK157" s="12">
        <f>SUM(data__22[[#This Row],[N29]:[N33]])/5</f>
        <v>0</v>
      </c>
      <c r="BL157" s="12">
        <f>SUM(data__22[[#This Row],[N34]:[N36]])/3</f>
        <v>0</v>
      </c>
    </row>
    <row r="158" spans="1:64" x14ac:dyDescent="0.3">
      <c r="A158" s="7">
        <v>23</v>
      </c>
      <c r="B158" s="7" t="s">
        <v>70</v>
      </c>
      <c r="C158" s="7" t="s">
        <v>113</v>
      </c>
      <c r="D158" s="7" t="s">
        <v>97</v>
      </c>
      <c r="E158" s="7" t="s">
        <v>114</v>
      </c>
      <c r="F158" s="7" t="s">
        <v>100</v>
      </c>
      <c r="G158" s="7" t="s">
        <v>438</v>
      </c>
      <c r="H158" s="7" t="s">
        <v>100</v>
      </c>
      <c r="I158" s="7" t="s">
        <v>76</v>
      </c>
      <c r="J158" s="7" t="s">
        <v>101</v>
      </c>
      <c r="K158" s="7" t="s">
        <v>125</v>
      </c>
      <c r="L158" s="8" t="s">
        <v>79</v>
      </c>
      <c r="M158" s="8" t="s">
        <v>80</v>
      </c>
      <c r="N158" s="8" t="s">
        <v>79</v>
      </c>
      <c r="O158" s="8" t="s">
        <v>81</v>
      </c>
      <c r="P158" s="8" t="s">
        <v>79</v>
      </c>
      <c r="Q158" s="8" t="s">
        <v>83</v>
      </c>
      <c r="R158" s="8" t="s">
        <v>79</v>
      </c>
      <c r="S158" s="8" t="s">
        <v>79</v>
      </c>
      <c r="T158" s="8" t="s">
        <v>86</v>
      </c>
      <c r="U158" s="8" t="s">
        <v>120</v>
      </c>
      <c r="V158" s="8" t="s">
        <v>237</v>
      </c>
      <c r="W158" s="9">
        <v>1</v>
      </c>
      <c r="X158" s="9">
        <v>2</v>
      </c>
      <c r="Y158" s="9">
        <v>1</v>
      </c>
      <c r="Z158" s="9">
        <v>2</v>
      </c>
      <c r="AA158" s="9">
        <v>1</v>
      </c>
      <c r="AB158" s="9">
        <v>0</v>
      </c>
      <c r="AC158" s="9">
        <v>1</v>
      </c>
      <c r="AD158" s="9">
        <v>2</v>
      </c>
      <c r="AE158" s="9">
        <v>0</v>
      </c>
      <c r="AF158" s="9">
        <v>2</v>
      </c>
      <c r="AG158" s="9">
        <v>1</v>
      </c>
      <c r="AH158" s="9">
        <v>0</v>
      </c>
      <c r="AI158" s="9">
        <v>1</v>
      </c>
      <c r="AJ158" s="9">
        <v>2</v>
      </c>
      <c r="AK158" s="9">
        <v>0</v>
      </c>
      <c r="AL158" s="10">
        <v>0</v>
      </c>
      <c r="AM158" s="10">
        <v>1</v>
      </c>
      <c r="AN158" s="10">
        <v>2</v>
      </c>
      <c r="AO158" s="10">
        <v>0</v>
      </c>
      <c r="AP158" s="10">
        <v>1</v>
      </c>
      <c r="AQ158" s="10">
        <v>2</v>
      </c>
      <c r="AR158" s="10">
        <v>1</v>
      </c>
      <c r="AS158" s="11">
        <v>1</v>
      </c>
      <c r="AT158" s="11">
        <v>2</v>
      </c>
      <c r="AU158" s="11">
        <v>0</v>
      </c>
      <c r="AV158" s="11">
        <v>1</v>
      </c>
      <c r="AW158" s="11">
        <v>2</v>
      </c>
      <c r="AX158" s="11">
        <v>0</v>
      </c>
      <c r="AY158" s="7">
        <v>2</v>
      </c>
      <c r="AZ158" s="7">
        <v>0</v>
      </c>
      <c r="BA158" s="7">
        <v>1</v>
      </c>
      <c r="BB158" s="7">
        <v>2</v>
      </c>
      <c r="BC158" s="7">
        <v>0</v>
      </c>
      <c r="BD158" s="7">
        <v>0</v>
      </c>
      <c r="BE158" s="7">
        <v>2</v>
      </c>
      <c r="BF158" s="7">
        <v>1</v>
      </c>
      <c r="BG158" s="12">
        <f>SUM(data__22[[#This Row],[N1]:[N4]],data__22[[#This Row],[N10]:[N13]],data__22[[#This Row],[N16]:[N18]])/11</f>
        <v>1.1818181818181819</v>
      </c>
      <c r="BH158" s="13">
        <f>SUM(data__22[[#This Row],[N8]:[N9]],data__22[[#This Row],[N23]:[N25]])/5</f>
        <v>1</v>
      </c>
      <c r="BI158" s="12">
        <f>SUM(data__22[[#This Row],[N5]:[N7]])/3</f>
        <v>0.66666666666666663</v>
      </c>
      <c r="BJ158" s="12">
        <f>SUM(data__22[[#This Row],[N14]:[N15]],data__22[[#This Row],[N19]:[N22]],data__22[[#This Row],[N26]:[N28]])/9</f>
        <v>1</v>
      </c>
      <c r="BK158" s="12">
        <f>SUM(data__22[[#This Row],[N29]:[N33]])/5</f>
        <v>1</v>
      </c>
      <c r="BL158" s="12">
        <f>SUM(data__22[[#This Row],[N34]:[N36]])/3</f>
        <v>1</v>
      </c>
    </row>
    <row r="159" spans="1:64" x14ac:dyDescent="0.3">
      <c r="A159" s="7">
        <v>22</v>
      </c>
      <c r="B159" s="7" t="s">
        <v>70</v>
      </c>
      <c r="C159" s="7" t="s">
        <v>113</v>
      </c>
      <c r="D159" s="7" t="s">
        <v>72</v>
      </c>
      <c r="E159" s="7" t="s">
        <v>73</v>
      </c>
      <c r="F159" s="7" t="s">
        <v>74</v>
      </c>
      <c r="G159" s="7" t="s">
        <v>440</v>
      </c>
      <c r="H159" s="7" t="s">
        <v>74</v>
      </c>
      <c r="I159" s="7" t="s">
        <v>439</v>
      </c>
      <c r="J159" s="7" t="s">
        <v>101</v>
      </c>
      <c r="K159" s="7" t="s">
        <v>122</v>
      </c>
      <c r="L159" s="8" t="s">
        <v>79</v>
      </c>
      <c r="M159" s="8" t="s">
        <v>80</v>
      </c>
      <c r="N159" s="8" t="s">
        <v>82</v>
      </c>
      <c r="O159" s="8" t="s">
        <v>138</v>
      </c>
      <c r="P159" s="8" t="s">
        <v>79</v>
      </c>
      <c r="Q159" s="8" t="s">
        <v>83</v>
      </c>
      <c r="R159" s="8" t="s">
        <v>79</v>
      </c>
      <c r="S159" s="8" t="s">
        <v>82</v>
      </c>
      <c r="T159" s="8" t="s">
        <v>106</v>
      </c>
      <c r="U159" s="8" t="s">
        <v>141</v>
      </c>
      <c r="V159" s="8" t="s">
        <v>112</v>
      </c>
      <c r="W159" s="9">
        <v>1</v>
      </c>
      <c r="X159" s="9">
        <v>1</v>
      </c>
      <c r="Y159" s="9">
        <v>2</v>
      </c>
      <c r="Z159" s="9">
        <v>3</v>
      </c>
      <c r="AA159" s="9">
        <v>2</v>
      </c>
      <c r="AB159" s="9">
        <v>2</v>
      </c>
      <c r="AC159" s="9">
        <v>2</v>
      </c>
      <c r="AD159" s="9">
        <v>2</v>
      </c>
      <c r="AE159" s="9">
        <v>2</v>
      </c>
      <c r="AF159" s="9">
        <v>2</v>
      </c>
      <c r="AG159" s="9">
        <v>2</v>
      </c>
      <c r="AH159" s="9">
        <v>2</v>
      </c>
      <c r="AI159" s="9">
        <v>2</v>
      </c>
      <c r="AJ159" s="9">
        <v>2</v>
      </c>
      <c r="AK159" s="9">
        <v>2</v>
      </c>
      <c r="AL159" s="10">
        <v>3</v>
      </c>
      <c r="AM159" s="10">
        <v>3</v>
      </c>
      <c r="AN159" s="10">
        <v>3</v>
      </c>
      <c r="AO159" s="10">
        <v>0</v>
      </c>
      <c r="AP159" s="10">
        <v>0</v>
      </c>
      <c r="AQ159" s="10">
        <v>0</v>
      </c>
      <c r="AR159" s="10">
        <v>0</v>
      </c>
      <c r="AS159" s="11">
        <v>1</v>
      </c>
      <c r="AT159" s="11">
        <v>1</v>
      </c>
      <c r="AU159" s="11">
        <v>2</v>
      </c>
      <c r="AV159" s="11">
        <v>2</v>
      </c>
      <c r="AW159" s="11">
        <v>1</v>
      </c>
      <c r="AX159" s="11">
        <v>0</v>
      </c>
      <c r="AY159" s="7">
        <v>3</v>
      </c>
      <c r="AZ159" s="7">
        <v>3</v>
      </c>
      <c r="BA159" s="7">
        <v>3</v>
      </c>
      <c r="BB159" s="7">
        <v>3</v>
      </c>
      <c r="BC159" s="7">
        <v>3</v>
      </c>
      <c r="BD159" s="7">
        <v>3</v>
      </c>
      <c r="BE159" s="7">
        <v>3</v>
      </c>
      <c r="BF159" s="7">
        <v>3</v>
      </c>
      <c r="BG159" s="12">
        <f>SUM(data__22[[#This Row],[N1]:[N4]],data__22[[#This Row],[N10]:[N13]],data__22[[#This Row],[N16]:[N18]])/11</f>
        <v>2.1818181818181817</v>
      </c>
      <c r="BH159" s="13">
        <f>SUM(data__22[[#This Row],[N8]:[N9]],data__22[[#This Row],[N23]:[N25]])/5</f>
        <v>1.6</v>
      </c>
      <c r="BI159" s="12">
        <f>SUM(data__22[[#This Row],[N5]:[N7]])/3</f>
        <v>2</v>
      </c>
      <c r="BJ159" s="12">
        <f>SUM(data__22[[#This Row],[N14]:[N15]],data__22[[#This Row],[N19]:[N22]],data__22[[#This Row],[N26]:[N28]])/9</f>
        <v>0.77777777777777779</v>
      </c>
      <c r="BK159" s="12">
        <f>SUM(data__22[[#This Row],[N29]:[N33]])/5</f>
        <v>3</v>
      </c>
      <c r="BL159" s="12">
        <f>SUM(data__22[[#This Row],[N34]:[N36]])/3</f>
        <v>3</v>
      </c>
    </row>
    <row r="160" spans="1:64" x14ac:dyDescent="0.3">
      <c r="A160" s="7">
        <v>21</v>
      </c>
      <c r="B160" s="7" t="s">
        <v>70</v>
      </c>
      <c r="C160" s="7" t="s">
        <v>96</v>
      </c>
      <c r="D160" s="7" t="s">
        <v>72</v>
      </c>
      <c r="E160" s="7" t="s">
        <v>114</v>
      </c>
      <c r="F160" s="7" t="s">
        <v>98</v>
      </c>
      <c r="G160" s="7" t="s">
        <v>439</v>
      </c>
      <c r="H160" s="7" t="s">
        <v>165</v>
      </c>
      <c r="I160" s="7" t="s">
        <v>76</v>
      </c>
      <c r="J160" s="7" t="s">
        <v>101</v>
      </c>
      <c r="K160" s="7" t="s">
        <v>125</v>
      </c>
      <c r="L160" s="8" t="s">
        <v>79</v>
      </c>
      <c r="M160" s="8" t="s">
        <v>102</v>
      </c>
      <c r="N160" s="8" t="s">
        <v>82</v>
      </c>
      <c r="O160" s="8" t="s">
        <v>138</v>
      </c>
      <c r="P160" s="8" t="s">
        <v>82</v>
      </c>
      <c r="Q160" s="8" t="s">
        <v>103</v>
      </c>
      <c r="R160" s="8" t="s">
        <v>82</v>
      </c>
      <c r="S160" s="8" t="s">
        <v>82</v>
      </c>
      <c r="T160" s="8" t="s">
        <v>106</v>
      </c>
      <c r="U160" s="8" t="s">
        <v>87</v>
      </c>
      <c r="V160" s="8" t="s">
        <v>457</v>
      </c>
      <c r="W160" s="9">
        <v>3</v>
      </c>
      <c r="X160" s="9">
        <v>3</v>
      </c>
      <c r="Y160" s="9">
        <v>3</v>
      </c>
      <c r="Z160" s="9">
        <v>3</v>
      </c>
      <c r="AA160" s="9">
        <v>2</v>
      </c>
      <c r="AB160" s="9">
        <v>2</v>
      </c>
      <c r="AC160" s="9">
        <v>1</v>
      </c>
      <c r="AD160" s="9">
        <v>3</v>
      </c>
      <c r="AE160" s="9">
        <v>3</v>
      </c>
      <c r="AF160" s="9">
        <v>3</v>
      </c>
      <c r="AG160" s="9">
        <v>3</v>
      </c>
      <c r="AH160" s="9">
        <v>3</v>
      </c>
      <c r="AI160" s="9">
        <v>3</v>
      </c>
      <c r="AJ160" s="9">
        <v>3</v>
      </c>
      <c r="AK160" s="9">
        <v>3</v>
      </c>
      <c r="AL160" s="10">
        <v>2</v>
      </c>
      <c r="AM160" s="10">
        <v>2</v>
      </c>
      <c r="AN160" s="10">
        <v>2</v>
      </c>
      <c r="AO160" s="10">
        <v>2</v>
      </c>
      <c r="AP160" s="10">
        <v>2</v>
      </c>
      <c r="AQ160" s="10">
        <v>2</v>
      </c>
      <c r="AR160" s="10">
        <v>2</v>
      </c>
      <c r="AS160" s="11">
        <v>2</v>
      </c>
      <c r="AT160" s="11">
        <v>2</v>
      </c>
      <c r="AU160" s="11">
        <v>2</v>
      </c>
      <c r="AV160" s="11">
        <v>2</v>
      </c>
      <c r="AW160" s="11">
        <v>2</v>
      </c>
      <c r="AX160" s="11">
        <v>2</v>
      </c>
      <c r="AY160" s="7">
        <v>2</v>
      </c>
      <c r="AZ160" s="7">
        <v>2</v>
      </c>
      <c r="BA160" s="7">
        <v>1</v>
      </c>
      <c r="BB160" s="7">
        <v>1</v>
      </c>
      <c r="BC160" s="7">
        <v>1</v>
      </c>
      <c r="BD160" s="7">
        <v>1</v>
      </c>
      <c r="BE160" s="7">
        <v>1</v>
      </c>
      <c r="BF160" s="7">
        <v>2</v>
      </c>
      <c r="BG160" s="12">
        <f>SUM(data__22[[#This Row],[N1]:[N4]],data__22[[#This Row],[N10]:[N13]],data__22[[#This Row],[N16]:[N18]])/11</f>
        <v>2.7272727272727271</v>
      </c>
      <c r="BH160" s="13">
        <f>SUM(data__22[[#This Row],[N8]:[N9]],data__22[[#This Row],[N23]:[N25]])/5</f>
        <v>2.4</v>
      </c>
      <c r="BI160" s="12">
        <f>SUM(data__22[[#This Row],[N5]:[N7]])/3</f>
        <v>1.6666666666666667</v>
      </c>
      <c r="BJ160" s="12">
        <f>SUM(data__22[[#This Row],[N14]:[N15]],data__22[[#This Row],[N19]:[N22]],data__22[[#This Row],[N26]:[N28]])/9</f>
        <v>2.2222222222222223</v>
      </c>
      <c r="BK160" s="12">
        <f>SUM(data__22[[#This Row],[N29]:[N33]])/5</f>
        <v>1.4</v>
      </c>
      <c r="BL160" s="12">
        <f>SUM(data__22[[#This Row],[N34]:[N36]])/3</f>
        <v>1.3333333333333333</v>
      </c>
    </row>
    <row r="161" spans="1:64" x14ac:dyDescent="0.3">
      <c r="A161" s="7">
        <v>23</v>
      </c>
      <c r="B161" s="7" t="s">
        <v>70</v>
      </c>
      <c r="C161" s="7" t="s">
        <v>113</v>
      </c>
      <c r="D161" s="7" t="s">
        <v>72</v>
      </c>
      <c r="E161" s="7" t="s">
        <v>114</v>
      </c>
      <c r="F161" s="7" t="s">
        <v>136</v>
      </c>
      <c r="G161" s="7" t="s">
        <v>440</v>
      </c>
      <c r="H161" s="7" t="s">
        <v>136</v>
      </c>
      <c r="I161" s="7" t="s">
        <v>76</v>
      </c>
      <c r="J161" s="7" t="s">
        <v>77</v>
      </c>
      <c r="K161" s="7" t="s">
        <v>125</v>
      </c>
      <c r="L161" s="8" t="s">
        <v>79</v>
      </c>
      <c r="M161" s="8" t="s">
        <v>80</v>
      </c>
      <c r="N161" s="8" t="s">
        <v>79</v>
      </c>
      <c r="O161" s="8" t="s">
        <v>109</v>
      </c>
      <c r="P161" s="8" t="s">
        <v>79</v>
      </c>
      <c r="Q161" s="8" t="s">
        <v>83</v>
      </c>
      <c r="R161" s="8" t="s">
        <v>79</v>
      </c>
      <c r="S161" s="8" t="s">
        <v>82</v>
      </c>
      <c r="T161" s="8" t="s">
        <v>106</v>
      </c>
      <c r="U161" s="8" t="s">
        <v>141</v>
      </c>
      <c r="V161" s="8" t="s">
        <v>112</v>
      </c>
      <c r="W161" s="9">
        <v>3</v>
      </c>
      <c r="X161" s="9">
        <v>3</v>
      </c>
      <c r="Y161" s="9">
        <v>3</v>
      </c>
      <c r="Z161" s="9">
        <v>3</v>
      </c>
      <c r="AA161" s="9">
        <v>1</v>
      </c>
      <c r="AB161" s="9">
        <v>1</v>
      </c>
      <c r="AC161" s="9">
        <v>1</v>
      </c>
      <c r="AD161" s="9">
        <v>3</v>
      </c>
      <c r="AE161" s="9">
        <v>3</v>
      </c>
      <c r="AF161" s="9">
        <v>3</v>
      </c>
      <c r="AG161" s="9">
        <v>3</v>
      </c>
      <c r="AH161" s="9">
        <v>3</v>
      </c>
      <c r="AI161" s="9">
        <v>3</v>
      </c>
      <c r="AJ161" s="9">
        <v>1</v>
      </c>
      <c r="AK161" s="9">
        <v>1</v>
      </c>
      <c r="AL161" s="10">
        <v>3</v>
      </c>
      <c r="AM161" s="10">
        <v>3</v>
      </c>
      <c r="AN161" s="10">
        <v>3</v>
      </c>
      <c r="AO161" s="10">
        <v>0</v>
      </c>
      <c r="AP161" s="10">
        <v>0</v>
      </c>
      <c r="AQ161" s="10">
        <v>0</v>
      </c>
      <c r="AR161" s="10">
        <v>0</v>
      </c>
      <c r="AS161" s="11">
        <v>3</v>
      </c>
      <c r="AT161" s="11">
        <v>3</v>
      </c>
      <c r="AU161" s="11">
        <v>3</v>
      </c>
      <c r="AV161" s="11">
        <v>0</v>
      </c>
      <c r="AW161" s="11">
        <v>0</v>
      </c>
      <c r="AX161" s="11">
        <v>1</v>
      </c>
      <c r="AY161" s="7">
        <v>1</v>
      </c>
      <c r="AZ161" s="7">
        <v>1</v>
      </c>
      <c r="BA161" s="7">
        <v>1</v>
      </c>
      <c r="BB161" s="7">
        <v>1</v>
      </c>
      <c r="BC161" s="7">
        <v>1</v>
      </c>
      <c r="BD161" s="7">
        <v>2</v>
      </c>
      <c r="BE161" s="7">
        <v>2</v>
      </c>
      <c r="BF161" s="7">
        <v>2</v>
      </c>
      <c r="BG161" s="12">
        <f>SUM(data__22[[#This Row],[N1]:[N4]],data__22[[#This Row],[N10]:[N13]],data__22[[#This Row],[N16]:[N18]])/11</f>
        <v>3</v>
      </c>
      <c r="BH161" s="13">
        <f>SUM(data__22[[#This Row],[N8]:[N9]],data__22[[#This Row],[N23]:[N25]])/5</f>
        <v>3</v>
      </c>
      <c r="BI161" s="12">
        <f>SUM(data__22[[#This Row],[N5]:[N7]])/3</f>
        <v>1</v>
      </c>
      <c r="BJ161" s="12">
        <f>SUM(data__22[[#This Row],[N14]:[N15]],data__22[[#This Row],[N19]:[N22]],data__22[[#This Row],[N26]:[N28]])/9</f>
        <v>0.33333333333333331</v>
      </c>
      <c r="BK161" s="12">
        <f>SUM(data__22[[#This Row],[N29]:[N33]])/5</f>
        <v>1</v>
      </c>
      <c r="BL161" s="12">
        <f>SUM(data__22[[#This Row],[N34]:[N36]])/3</f>
        <v>2</v>
      </c>
    </row>
    <row r="162" spans="1:64" x14ac:dyDescent="0.3">
      <c r="A162" s="7">
        <v>21</v>
      </c>
      <c r="B162" s="7" t="s">
        <v>70</v>
      </c>
      <c r="C162" s="7" t="s">
        <v>96</v>
      </c>
      <c r="D162" s="7" t="s">
        <v>72</v>
      </c>
      <c r="E162" s="7" t="s">
        <v>114</v>
      </c>
      <c r="F162" s="7" t="s">
        <v>74</v>
      </c>
      <c r="G162" s="7" t="s">
        <v>439</v>
      </c>
      <c r="H162" s="7" t="s">
        <v>136</v>
      </c>
      <c r="I162" s="7" t="s">
        <v>76</v>
      </c>
      <c r="J162" s="7" t="s">
        <v>101</v>
      </c>
      <c r="K162" s="7" t="s">
        <v>125</v>
      </c>
      <c r="L162" s="8" t="s">
        <v>79</v>
      </c>
      <c r="M162" s="8" t="s">
        <v>80</v>
      </c>
      <c r="N162" s="8" t="s">
        <v>82</v>
      </c>
      <c r="O162" s="8" t="s">
        <v>138</v>
      </c>
      <c r="P162" s="8" t="s">
        <v>79</v>
      </c>
      <c r="Q162" s="8" t="s">
        <v>83</v>
      </c>
      <c r="R162" s="8" t="s">
        <v>79</v>
      </c>
      <c r="S162" s="8" t="s">
        <v>79</v>
      </c>
      <c r="T162" s="8" t="s">
        <v>86</v>
      </c>
      <c r="U162" s="8" t="s">
        <v>87</v>
      </c>
      <c r="V162" s="8" t="s">
        <v>127</v>
      </c>
      <c r="W162" s="9">
        <v>1</v>
      </c>
      <c r="X162" s="9">
        <v>1</v>
      </c>
      <c r="Y162" s="9">
        <v>2</v>
      </c>
      <c r="Z162" s="9">
        <v>1</v>
      </c>
      <c r="AA162" s="9">
        <v>1</v>
      </c>
      <c r="AB162" s="9">
        <v>2</v>
      </c>
      <c r="AC162" s="9">
        <v>1</v>
      </c>
      <c r="AD162" s="9">
        <v>2</v>
      </c>
      <c r="AE162" s="9">
        <v>2</v>
      </c>
      <c r="AF162" s="9">
        <v>1</v>
      </c>
      <c r="AG162" s="9">
        <v>1</v>
      </c>
      <c r="AH162" s="9">
        <v>2</v>
      </c>
      <c r="AI162" s="9">
        <v>2</v>
      </c>
      <c r="AJ162" s="9">
        <v>1</v>
      </c>
      <c r="AK162" s="9">
        <v>2</v>
      </c>
      <c r="AL162" s="10">
        <v>1</v>
      </c>
      <c r="AM162" s="10">
        <v>0</v>
      </c>
      <c r="AN162" s="10">
        <v>1</v>
      </c>
      <c r="AO162" s="10">
        <v>2</v>
      </c>
      <c r="AP162" s="10">
        <v>2</v>
      </c>
      <c r="AQ162" s="10">
        <v>1</v>
      </c>
      <c r="AR162" s="10">
        <v>2</v>
      </c>
      <c r="AS162" s="11">
        <v>1</v>
      </c>
      <c r="AT162" s="11">
        <v>1</v>
      </c>
      <c r="AU162" s="11">
        <v>2</v>
      </c>
      <c r="AV162" s="11">
        <v>1</v>
      </c>
      <c r="AW162" s="11">
        <v>1</v>
      </c>
      <c r="AX162" s="11">
        <v>2</v>
      </c>
      <c r="AY162" s="7">
        <v>1</v>
      </c>
      <c r="AZ162" s="7">
        <v>0</v>
      </c>
      <c r="BA162" s="7">
        <v>1</v>
      </c>
      <c r="BB162" s="7">
        <v>1</v>
      </c>
      <c r="BC162" s="7">
        <v>2</v>
      </c>
      <c r="BD162" s="7">
        <v>2</v>
      </c>
      <c r="BE162" s="7">
        <v>1</v>
      </c>
      <c r="BF162" s="7">
        <v>2</v>
      </c>
      <c r="BG162" s="12">
        <f>SUM(data__22[[#This Row],[N1]:[N4]],data__22[[#This Row],[N10]:[N13]],data__22[[#This Row],[N16]:[N18]])/11</f>
        <v>1.1818181818181819</v>
      </c>
      <c r="BH162" s="13">
        <f>SUM(data__22[[#This Row],[N8]:[N9]],data__22[[#This Row],[N23]:[N25]])/5</f>
        <v>1.6</v>
      </c>
      <c r="BI162" s="12">
        <f>SUM(data__22[[#This Row],[N5]:[N7]])/3</f>
        <v>1.3333333333333333</v>
      </c>
      <c r="BJ162" s="12">
        <f>SUM(data__22[[#This Row],[N14]:[N15]],data__22[[#This Row],[N19]:[N22]],data__22[[#This Row],[N26]:[N28]])/9</f>
        <v>1.5555555555555556</v>
      </c>
      <c r="BK162" s="12">
        <f>SUM(data__22[[#This Row],[N29]:[N33]])/5</f>
        <v>1</v>
      </c>
      <c r="BL162" s="12">
        <f>SUM(data__22[[#This Row],[N34]:[N36]])/3</f>
        <v>1.6666666666666667</v>
      </c>
    </row>
    <row r="163" spans="1:64" x14ac:dyDescent="0.3">
      <c r="A163" s="7">
        <v>23</v>
      </c>
      <c r="B163" s="7" t="s">
        <v>70</v>
      </c>
      <c r="C163" s="7" t="s">
        <v>96</v>
      </c>
      <c r="D163" s="7" t="s">
        <v>72</v>
      </c>
      <c r="E163" s="7" t="s">
        <v>114</v>
      </c>
      <c r="F163" s="7" t="s">
        <v>98</v>
      </c>
      <c r="G163" s="7" t="s">
        <v>440</v>
      </c>
      <c r="H163" s="7" t="s">
        <v>98</v>
      </c>
      <c r="I163" s="7" t="s">
        <v>76</v>
      </c>
      <c r="J163" s="7" t="s">
        <v>77</v>
      </c>
      <c r="K163" s="7" t="s">
        <v>125</v>
      </c>
      <c r="L163" s="8" t="s">
        <v>79</v>
      </c>
      <c r="M163" s="8" t="s">
        <v>80</v>
      </c>
      <c r="N163" s="8" t="s">
        <v>79</v>
      </c>
      <c r="O163" s="8" t="s">
        <v>81</v>
      </c>
      <c r="P163" s="8" t="s">
        <v>82</v>
      </c>
      <c r="Q163" s="8" t="s">
        <v>103</v>
      </c>
      <c r="R163" s="8" t="s">
        <v>82</v>
      </c>
      <c r="S163" s="8" t="s">
        <v>82</v>
      </c>
      <c r="T163" s="8" t="s">
        <v>106</v>
      </c>
      <c r="U163" s="8" t="s">
        <v>87</v>
      </c>
      <c r="V163" s="8" t="s">
        <v>112</v>
      </c>
      <c r="W163" s="9">
        <v>0</v>
      </c>
      <c r="X163" s="9">
        <v>1</v>
      </c>
      <c r="Y163" s="9">
        <v>2</v>
      </c>
      <c r="Z163" s="9">
        <v>1</v>
      </c>
      <c r="AA163" s="9">
        <v>1</v>
      </c>
      <c r="AB163" s="9">
        <v>1</v>
      </c>
      <c r="AC163" s="9">
        <v>1</v>
      </c>
      <c r="AD163" s="9">
        <v>2</v>
      </c>
      <c r="AE163" s="9">
        <v>1</v>
      </c>
      <c r="AF163" s="9">
        <v>1</v>
      </c>
      <c r="AG163" s="9">
        <v>2</v>
      </c>
      <c r="AH163" s="9">
        <v>1</v>
      </c>
      <c r="AI163" s="9">
        <v>1</v>
      </c>
      <c r="AJ163" s="9">
        <v>1</v>
      </c>
      <c r="AK163" s="9">
        <v>1</v>
      </c>
      <c r="AL163" s="10">
        <v>1</v>
      </c>
      <c r="AM163" s="10">
        <v>1</v>
      </c>
      <c r="AN163" s="10">
        <v>1</v>
      </c>
      <c r="AO163" s="10">
        <v>1</v>
      </c>
      <c r="AP163" s="10">
        <v>1</v>
      </c>
      <c r="AQ163" s="10">
        <v>1</v>
      </c>
      <c r="AR163" s="10">
        <v>1</v>
      </c>
      <c r="AS163" s="11">
        <v>1</v>
      </c>
      <c r="AT163" s="11">
        <v>1</v>
      </c>
      <c r="AU163" s="11">
        <v>1</v>
      </c>
      <c r="AV163" s="11">
        <v>1</v>
      </c>
      <c r="AW163" s="11">
        <v>1</v>
      </c>
      <c r="AX163" s="11">
        <v>2</v>
      </c>
      <c r="AY163" s="7">
        <v>1</v>
      </c>
      <c r="AZ163" s="7">
        <v>2</v>
      </c>
      <c r="BA163" s="7">
        <v>2</v>
      </c>
      <c r="BB163" s="7">
        <v>1</v>
      </c>
      <c r="BC163" s="7">
        <v>2</v>
      </c>
      <c r="BD163" s="7">
        <v>1</v>
      </c>
      <c r="BE163" s="7">
        <v>2</v>
      </c>
      <c r="BF163" s="7">
        <v>1</v>
      </c>
      <c r="BG163" s="12">
        <f>SUM(data__22[[#This Row],[N1]:[N4]],data__22[[#This Row],[N10]:[N13]],data__22[[#This Row],[N16]:[N18]])/11</f>
        <v>1.0909090909090908</v>
      </c>
      <c r="BH163" s="13">
        <f>SUM(data__22[[#This Row],[N8]:[N9]],data__22[[#This Row],[N23]:[N25]])/5</f>
        <v>1.2</v>
      </c>
      <c r="BI163" s="12">
        <f>SUM(data__22[[#This Row],[N5]:[N7]])/3</f>
        <v>1</v>
      </c>
      <c r="BJ163" s="12">
        <f>SUM(data__22[[#This Row],[N14]:[N15]],data__22[[#This Row],[N19]:[N22]],data__22[[#This Row],[N26]:[N28]])/9</f>
        <v>1.1111111111111112</v>
      </c>
      <c r="BK163" s="12">
        <f>SUM(data__22[[#This Row],[N29]:[N33]])/5</f>
        <v>1.6</v>
      </c>
      <c r="BL163" s="12">
        <f>SUM(data__22[[#This Row],[N34]:[N36]])/3</f>
        <v>1.3333333333333333</v>
      </c>
    </row>
    <row r="164" spans="1:64" x14ac:dyDescent="0.3">
      <c r="A164" s="7">
        <v>24</v>
      </c>
      <c r="B164" s="7" t="s">
        <v>70</v>
      </c>
      <c r="C164" s="7" t="s">
        <v>113</v>
      </c>
      <c r="D164" s="7" t="s">
        <v>72</v>
      </c>
      <c r="E164" s="7" t="s">
        <v>114</v>
      </c>
      <c r="F164" s="7" t="s">
        <v>100</v>
      </c>
      <c r="G164" s="7" t="s">
        <v>166</v>
      </c>
      <c r="H164" s="7" t="s">
        <v>100</v>
      </c>
      <c r="I164" s="7" t="s">
        <v>76</v>
      </c>
      <c r="J164" s="7" t="s">
        <v>77</v>
      </c>
      <c r="K164" s="7" t="s">
        <v>125</v>
      </c>
      <c r="L164" s="8" t="s">
        <v>79</v>
      </c>
      <c r="M164" s="8" t="s">
        <v>102</v>
      </c>
      <c r="N164" s="8" t="s">
        <v>82</v>
      </c>
      <c r="O164" s="8" t="s">
        <v>109</v>
      </c>
      <c r="P164" s="8" t="s">
        <v>79</v>
      </c>
      <c r="Q164" s="8" t="s">
        <v>83</v>
      </c>
      <c r="R164" s="8" t="s">
        <v>82</v>
      </c>
      <c r="S164" s="8" t="s">
        <v>82</v>
      </c>
      <c r="T164" s="8" t="s">
        <v>106</v>
      </c>
      <c r="U164" s="8" t="s">
        <v>87</v>
      </c>
      <c r="V164" s="8" t="s">
        <v>112</v>
      </c>
      <c r="W164" s="9">
        <v>1</v>
      </c>
      <c r="X164" s="9">
        <v>2</v>
      </c>
      <c r="Y164" s="9">
        <v>1</v>
      </c>
      <c r="Z164" s="9">
        <v>1</v>
      </c>
      <c r="AA164" s="9">
        <v>1</v>
      </c>
      <c r="AB164" s="9">
        <v>1</v>
      </c>
      <c r="AC164" s="9">
        <v>1</v>
      </c>
      <c r="AD164" s="9">
        <v>1</v>
      </c>
      <c r="AE164" s="9">
        <v>1</v>
      </c>
      <c r="AF164" s="9">
        <v>1</v>
      </c>
      <c r="AG164" s="9">
        <v>1</v>
      </c>
      <c r="AH164" s="9">
        <v>2</v>
      </c>
      <c r="AI164" s="9">
        <v>1</v>
      </c>
      <c r="AJ164" s="9">
        <v>1</v>
      </c>
      <c r="AK164" s="9">
        <v>1</v>
      </c>
      <c r="AL164" s="10">
        <v>1</v>
      </c>
      <c r="AM164" s="10">
        <v>1</v>
      </c>
      <c r="AN164" s="10">
        <v>1</v>
      </c>
      <c r="AO164" s="10">
        <v>2</v>
      </c>
      <c r="AP164" s="10">
        <v>1</v>
      </c>
      <c r="AQ164" s="10">
        <v>1</v>
      </c>
      <c r="AR164" s="10">
        <v>2</v>
      </c>
      <c r="AS164" s="11">
        <v>1</v>
      </c>
      <c r="AT164" s="11">
        <v>1</v>
      </c>
      <c r="AU164" s="11">
        <v>1</v>
      </c>
      <c r="AV164" s="11">
        <v>0</v>
      </c>
      <c r="AW164" s="11">
        <v>1</v>
      </c>
      <c r="AX164" s="11">
        <v>1</v>
      </c>
      <c r="AY164" s="7">
        <v>1</v>
      </c>
      <c r="AZ164" s="7">
        <v>0</v>
      </c>
      <c r="BA164" s="7">
        <v>1</v>
      </c>
      <c r="BB164" s="7">
        <v>1</v>
      </c>
      <c r="BC164" s="7">
        <v>0</v>
      </c>
      <c r="BD164" s="7">
        <v>2</v>
      </c>
      <c r="BE164" s="7">
        <v>0</v>
      </c>
      <c r="BF164" s="7">
        <v>1</v>
      </c>
      <c r="BG164" s="12">
        <f>SUM(data__22[[#This Row],[N1]:[N4]],data__22[[#This Row],[N10]:[N13]],data__22[[#This Row],[N16]:[N18]])/11</f>
        <v>1.1818181818181819</v>
      </c>
      <c r="BH164" s="13">
        <f>SUM(data__22[[#This Row],[N8]:[N9]],data__22[[#This Row],[N23]:[N25]])/5</f>
        <v>1</v>
      </c>
      <c r="BI164" s="12">
        <f>SUM(data__22[[#This Row],[N5]:[N7]])/3</f>
        <v>1</v>
      </c>
      <c r="BJ164" s="12">
        <f>SUM(data__22[[#This Row],[N14]:[N15]],data__22[[#This Row],[N19]:[N22]],data__22[[#This Row],[N26]:[N28]])/9</f>
        <v>1.1111111111111112</v>
      </c>
      <c r="BK164" s="12">
        <f>SUM(data__22[[#This Row],[N29]:[N33]])/5</f>
        <v>0.6</v>
      </c>
      <c r="BL164" s="12">
        <f>SUM(data__22[[#This Row],[N34]:[N36]])/3</f>
        <v>1</v>
      </c>
    </row>
    <row r="165" spans="1:64" x14ac:dyDescent="0.3">
      <c r="A165" s="7">
        <v>23</v>
      </c>
      <c r="B165" s="7" t="s">
        <v>70</v>
      </c>
      <c r="C165" s="7" t="s">
        <v>96</v>
      </c>
      <c r="D165" s="7" t="s">
        <v>149</v>
      </c>
      <c r="E165" s="7" t="s">
        <v>73</v>
      </c>
      <c r="F165" s="7" t="s">
        <v>136</v>
      </c>
      <c r="G165" s="7" t="s">
        <v>439</v>
      </c>
      <c r="H165" s="7" t="s">
        <v>136</v>
      </c>
      <c r="I165" s="7" t="s">
        <v>76</v>
      </c>
      <c r="J165" s="7" t="s">
        <v>77</v>
      </c>
      <c r="K165" s="7" t="s">
        <v>78</v>
      </c>
      <c r="L165" s="8" t="s">
        <v>79</v>
      </c>
      <c r="M165" s="8" t="s">
        <v>80</v>
      </c>
      <c r="N165" s="8" t="s">
        <v>82</v>
      </c>
      <c r="O165" s="8" t="s">
        <v>117</v>
      </c>
      <c r="P165" s="8" t="s">
        <v>79</v>
      </c>
      <c r="Q165" s="8" t="s">
        <v>118</v>
      </c>
      <c r="R165" s="8" t="s">
        <v>79</v>
      </c>
      <c r="S165" s="8" t="s">
        <v>79</v>
      </c>
      <c r="T165" s="8" t="s">
        <v>148</v>
      </c>
      <c r="U165" s="8" t="s">
        <v>120</v>
      </c>
      <c r="V165" s="8" t="s">
        <v>455</v>
      </c>
      <c r="W165" s="9">
        <v>2</v>
      </c>
      <c r="X165" s="9">
        <v>1</v>
      </c>
      <c r="Y165" s="9">
        <v>2</v>
      </c>
      <c r="Z165" s="9">
        <v>1</v>
      </c>
      <c r="AA165" s="9">
        <v>2</v>
      </c>
      <c r="AB165" s="9">
        <v>1</v>
      </c>
      <c r="AC165" s="9">
        <v>2</v>
      </c>
      <c r="AD165" s="9">
        <v>1</v>
      </c>
      <c r="AE165" s="9">
        <v>2</v>
      </c>
      <c r="AF165" s="9">
        <v>1</v>
      </c>
      <c r="AG165" s="9">
        <v>2</v>
      </c>
      <c r="AH165" s="9">
        <v>1</v>
      </c>
      <c r="AI165" s="9">
        <v>2</v>
      </c>
      <c r="AJ165" s="9">
        <v>1</v>
      </c>
      <c r="AK165" s="9">
        <v>2</v>
      </c>
      <c r="AL165" s="10">
        <v>2</v>
      </c>
      <c r="AM165" s="10">
        <v>1</v>
      </c>
      <c r="AN165" s="10">
        <v>2</v>
      </c>
      <c r="AO165" s="10">
        <v>1</v>
      </c>
      <c r="AP165" s="10">
        <v>2</v>
      </c>
      <c r="AQ165" s="10">
        <v>1</v>
      </c>
      <c r="AR165" s="10">
        <v>2</v>
      </c>
      <c r="AS165" s="11">
        <v>2</v>
      </c>
      <c r="AT165" s="11">
        <v>1</v>
      </c>
      <c r="AU165" s="11">
        <v>2</v>
      </c>
      <c r="AV165" s="11">
        <v>1</v>
      </c>
      <c r="AW165" s="11">
        <v>2</v>
      </c>
      <c r="AX165" s="11">
        <v>1</v>
      </c>
      <c r="AY165" s="7">
        <v>2</v>
      </c>
      <c r="AZ165" s="7">
        <v>1</v>
      </c>
      <c r="BA165" s="7">
        <v>2</v>
      </c>
      <c r="BB165" s="7">
        <v>1</v>
      </c>
      <c r="BC165" s="7">
        <v>2</v>
      </c>
      <c r="BD165" s="7">
        <v>1</v>
      </c>
      <c r="BE165" s="7">
        <v>2</v>
      </c>
      <c r="BF165" s="7">
        <v>2</v>
      </c>
      <c r="BG165" s="12">
        <f>SUM(data__22[[#This Row],[N1]:[N4]],data__22[[#This Row],[N10]:[N13]],data__22[[#This Row],[N16]:[N18]])/11</f>
        <v>1.5454545454545454</v>
      </c>
      <c r="BH165" s="13">
        <f>SUM(data__22[[#This Row],[N8]:[N9]],data__22[[#This Row],[N23]:[N25]])/5</f>
        <v>1.6</v>
      </c>
      <c r="BI165" s="12">
        <f>SUM(data__22[[#This Row],[N5]:[N7]])/3</f>
        <v>1.6666666666666667</v>
      </c>
      <c r="BJ165" s="12">
        <f>SUM(data__22[[#This Row],[N14]:[N15]],data__22[[#This Row],[N19]:[N22]],data__22[[#This Row],[N26]:[N28]])/9</f>
        <v>1.4444444444444444</v>
      </c>
      <c r="BK165" s="12">
        <f>SUM(data__22[[#This Row],[N29]:[N33]])/5</f>
        <v>1.6</v>
      </c>
      <c r="BL165" s="12">
        <f>SUM(data__22[[#This Row],[N34]:[N36]])/3</f>
        <v>1.6666666666666667</v>
      </c>
    </row>
    <row r="166" spans="1:64" x14ac:dyDescent="0.3">
      <c r="A166" s="7">
        <v>21</v>
      </c>
      <c r="B166" s="7" t="s">
        <v>70</v>
      </c>
      <c r="C166" s="7" t="s">
        <v>96</v>
      </c>
      <c r="D166" s="7" t="s">
        <v>97</v>
      </c>
      <c r="E166" s="7" t="s">
        <v>73</v>
      </c>
      <c r="F166" s="7" t="s">
        <v>136</v>
      </c>
      <c r="G166" s="7" t="s">
        <v>99</v>
      </c>
      <c r="H166" s="7" t="s">
        <v>136</v>
      </c>
      <c r="I166" s="7" t="s">
        <v>76</v>
      </c>
      <c r="J166" s="7" t="s">
        <v>77</v>
      </c>
      <c r="K166" s="7" t="s">
        <v>122</v>
      </c>
      <c r="L166" s="8" t="s">
        <v>79</v>
      </c>
      <c r="M166" s="8" t="s">
        <v>102</v>
      </c>
      <c r="N166" s="8" t="s">
        <v>79</v>
      </c>
      <c r="O166" s="8" t="s">
        <v>179</v>
      </c>
      <c r="P166" s="8" t="s">
        <v>79</v>
      </c>
      <c r="Q166" s="8" t="s">
        <v>83</v>
      </c>
      <c r="R166" s="8" t="s">
        <v>79</v>
      </c>
      <c r="S166" s="8" t="s">
        <v>82</v>
      </c>
      <c r="T166" s="8" t="s">
        <v>86</v>
      </c>
      <c r="U166" s="8" t="s">
        <v>141</v>
      </c>
      <c r="V166" s="8" t="s">
        <v>112</v>
      </c>
      <c r="W166" s="9">
        <v>1</v>
      </c>
      <c r="X166" s="9">
        <v>1</v>
      </c>
      <c r="Y166" s="9">
        <v>2</v>
      </c>
      <c r="Z166" s="9">
        <v>2</v>
      </c>
      <c r="AA166" s="9">
        <v>2</v>
      </c>
      <c r="AB166" s="9">
        <v>2</v>
      </c>
      <c r="AC166" s="9">
        <v>1</v>
      </c>
      <c r="AD166" s="9">
        <v>3</v>
      </c>
      <c r="AE166" s="9">
        <v>3</v>
      </c>
      <c r="AF166" s="9">
        <v>3</v>
      </c>
      <c r="AG166" s="9">
        <v>2</v>
      </c>
      <c r="AH166" s="9">
        <v>2</v>
      </c>
      <c r="AI166" s="9">
        <v>2</v>
      </c>
      <c r="AJ166" s="9">
        <v>2</v>
      </c>
      <c r="AK166" s="9">
        <v>1</v>
      </c>
      <c r="AL166" s="10">
        <v>3</v>
      </c>
      <c r="AM166" s="10">
        <v>3</v>
      </c>
      <c r="AN166" s="10">
        <v>3</v>
      </c>
      <c r="AO166" s="10">
        <v>3</v>
      </c>
      <c r="AP166" s="10">
        <v>0</v>
      </c>
      <c r="AQ166" s="10">
        <v>0</v>
      </c>
      <c r="AR166" s="10">
        <v>0</v>
      </c>
      <c r="AS166" s="11">
        <v>1</v>
      </c>
      <c r="AT166" s="11">
        <v>1</v>
      </c>
      <c r="AU166" s="11">
        <v>3</v>
      </c>
      <c r="AV166" s="11">
        <v>1</v>
      </c>
      <c r="AW166" s="11">
        <v>0</v>
      </c>
      <c r="AX166" s="11">
        <v>0</v>
      </c>
      <c r="AY166" s="7">
        <v>2</v>
      </c>
      <c r="AZ166" s="7">
        <v>2</v>
      </c>
      <c r="BA166" s="7">
        <v>2</v>
      </c>
      <c r="BB166" s="7">
        <v>2</v>
      </c>
      <c r="BC166" s="7">
        <v>1</v>
      </c>
      <c r="BD166" s="7">
        <v>0</v>
      </c>
      <c r="BE166" s="7">
        <v>0</v>
      </c>
      <c r="BF166" s="7">
        <v>0</v>
      </c>
      <c r="BG166" s="12">
        <f>SUM(data__22[[#This Row],[N1]:[N4]],data__22[[#This Row],[N10]:[N13]],data__22[[#This Row],[N16]:[N18]])/11</f>
        <v>2.1818181818181817</v>
      </c>
      <c r="BH166" s="13">
        <f>SUM(data__22[[#This Row],[N8]:[N9]],data__22[[#This Row],[N23]:[N25]])/5</f>
        <v>2.2000000000000002</v>
      </c>
      <c r="BI166" s="12">
        <f>SUM(data__22[[#This Row],[N5]:[N7]])/3</f>
        <v>1.6666666666666667</v>
      </c>
      <c r="BJ166" s="12">
        <f>SUM(data__22[[#This Row],[N14]:[N15]],data__22[[#This Row],[N19]:[N22]],data__22[[#This Row],[N26]:[N28]])/9</f>
        <v>0.77777777777777779</v>
      </c>
      <c r="BK166" s="12">
        <f>SUM(data__22[[#This Row],[N29]:[N33]])/5</f>
        <v>1.8</v>
      </c>
      <c r="BL166" s="12">
        <f>SUM(data__22[[#This Row],[N34]:[N36]])/3</f>
        <v>0</v>
      </c>
    </row>
    <row r="167" spans="1:64" x14ac:dyDescent="0.3">
      <c r="A167" s="7">
        <v>23</v>
      </c>
      <c r="B167" s="7" t="s">
        <v>70</v>
      </c>
      <c r="C167" s="7" t="s">
        <v>157</v>
      </c>
      <c r="D167" s="7" t="s">
        <v>97</v>
      </c>
      <c r="E167" s="7" t="s">
        <v>108</v>
      </c>
      <c r="F167" s="7" t="s">
        <v>74</v>
      </c>
      <c r="G167" s="7" t="s">
        <v>440</v>
      </c>
      <c r="H167" s="7" t="s">
        <v>136</v>
      </c>
      <c r="I167" s="7" t="s">
        <v>76</v>
      </c>
      <c r="J167" s="7" t="s">
        <v>101</v>
      </c>
      <c r="K167" s="7" t="s">
        <v>78</v>
      </c>
      <c r="L167" s="8" t="s">
        <v>82</v>
      </c>
      <c r="M167" s="8" t="s">
        <v>80</v>
      </c>
      <c r="N167" s="8" t="s">
        <v>79</v>
      </c>
      <c r="O167" s="8" t="s">
        <v>109</v>
      </c>
      <c r="P167" s="8" t="s">
        <v>79</v>
      </c>
      <c r="Q167" s="8" t="s">
        <v>103</v>
      </c>
      <c r="R167" s="8" t="s">
        <v>79</v>
      </c>
      <c r="S167" s="8" t="s">
        <v>82</v>
      </c>
      <c r="T167" s="8" t="s">
        <v>86</v>
      </c>
      <c r="U167" s="8" t="s">
        <v>141</v>
      </c>
      <c r="V167" s="8" t="s">
        <v>112</v>
      </c>
      <c r="W167" s="9">
        <v>3</v>
      </c>
      <c r="X167" s="9">
        <v>3</v>
      </c>
      <c r="Y167" s="9">
        <v>3</v>
      </c>
      <c r="Z167" s="9">
        <v>1</v>
      </c>
      <c r="AA167" s="9">
        <v>3</v>
      </c>
      <c r="AB167" s="9">
        <v>3</v>
      </c>
      <c r="AC167" s="9">
        <v>3</v>
      </c>
      <c r="AD167" s="9">
        <v>1</v>
      </c>
      <c r="AE167" s="9">
        <v>2</v>
      </c>
      <c r="AF167" s="9">
        <v>3</v>
      </c>
      <c r="AG167" s="9">
        <v>3</v>
      </c>
      <c r="AH167" s="9">
        <v>3</v>
      </c>
      <c r="AI167" s="9">
        <v>3</v>
      </c>
      <c r="AJ167" s="9">
        <v>1</v>
      </c>
      <c r="AK167" s="9">
        <v>2</v>
      </c>
      <c r="AL167" s="10">
        <v>3</v>
      </c>
      <c r="AM167" s="10">
        <v>3</v>
      </c>
      <c r="AN167" s="10">
        <v>3</v>
      </c>
      <c r="AO167" s="10">
        <v>1</v>
      </c>
      <c r="AP167" s="10">
        <v>1</v>
      </c>
      <c r="AQ167" s="10">
        <v>0</v>
      </c>
      <c r="AR167" s="10">
        <v>3</v>
      </c>
      <c r="AS167" s="11">
        <v>1</v>
      </c>
      <c r="AT167" s="11">
        <v>0</v>
      </c>
      <c r="AU167" s="11">
        <v>0</v>
      </c>
      <c r="AV167" s="11">
        <v>3</v>
      </c>
      <c r="AW167" s="11">
        <v>3</v>
      </c>
      <c r="AX167" s="11">
        <v>3</v>
      </c>
      <c r="AY167" s="7">
        <v>1</v>
      </c>
      <c r="AZ167" s="7">
        <v>1</v>
      </c>
      <c r="BA167" s="7">
        <v>1</v>
      </c>
      <c r="BB167" s="7">
        <v>1</v>
      </c>
      <c r="BC167" s="7">
        <v>1</v>
      </c>
      <c r="BD167" s="7">
        <v>3</v>
      </c>
      <c r="BE167" s="7">
        <v>3</v>
      </c>
      <c r="BF167" s="7">
        <v>3</v>
      </c>
      <c r="BG167" s="12">
        <f>SUM(data__22[[#This Row],[N1]:[N4]],data__22[[#This Row],[N10]:[N13]],data__22[[#This Row],[N16]:[N18]])/11</f>
        <v>2.8181818181818183</v>
      </c>
      <c r="BH167" s="13">
        <f>SUM(data__22[[#This Row],[N8]:[N9]],data__22[[#This Row],[N23]:[N25]])/5</f>
        <v>0.8</v>
      </c>
      <c r="BI167" s="12">
        <f>SUM(data__22[[#This Row],[N5]:[N7]])/3</f>
        <v>3</v>
      </c>
      <c r="BJ167" s="12">
        <f>SUM(data__22[[#This Row],[N14]:[N15]],data__22[[#This Row],[N19]:[N22]],data__22[[#This Row],[N26]:[N28]])/9</f>
        <v>1.8888888888888888</v>
      </c>
      <c r="BK167" s="12">
        <f>SUM(data__22[[#This Row],[N29]:[N33]])/5</f>
        <v>1</v>
      </c>
      <c r="BL167" s="12">
        <f>SUM(data__22[[#This Row],[N34]:[N36]])/3</f>
        <v>3</v>
      </c>
    </row>
    <row r="168" spans="1:64" x14ac:dyDescent="0.3">
      <c r="A168" s="7">
        <v>24</v>
      </c>
      <c r="B168" s="7" t="s">
        <v>70</v>
      </c>
      <c r="C168" s="7" t="s">
        <v>113</v>
      </c>
      <c r="D168" s="7" t="s">
        <v>97</v>
      </c>
      <c r="E168" s="7" t="s">
        <v>108</v>
      </c>
      <c r="F168" s="7" t="s">
        <v>100</v>
      </c>
      <c r="G168" s="7" t="s">
        <v>166</v>
      </c>
      <c r="H168" s="7" t="s">
        <v>100</v>
      </c>
      <c r="I168" s="7" t="s">
        <v>76</v>
      </c>
      <c r="J168" s="7" t="s">
        <v>101</v>
      </c>
      <c r="K168" s="7" t="s">
        <v>125</v>
      </c>
      <c r="L168" s="8" t="s">
        <v>79</v>
      </c>
      <c r="M168" s="8" t="s">
        <v>80</v>
      </c>
      <c r="N168" s="8" t="s">
        <v>79</v>
      </c>
      <c r="O168" s="8" t="s">
        <v>81</v>
      </c>
      <c r="P168" s="8" t="s">
        <v>79</v>
      </c>
      <c r="Q168" s="8" t="s">
        <v>83</v>
      </c>
      <c r="R168" s="8" t="s">
        <v>79</v>
      </c>
      <c r="S168" s="8" t="s">
        <v>82</v>
      </c>
      <c r="T168" s="8" t="s">
        <v>106</v>
      </c>
      <c r="U168" s="8" t="s">
        <v>141</v>
      </c>
      <c r="V168" s="8" t="s">
        <v>455</v>
      </c>
      <c r="W168" s="9">
        <v>3</v>
      </c>
      <c r="X168" s="9">
        <v>3</v>
      </c>
      <c r="Y168" s="9">
        <v>3</v>
      </c>
      <c r="Z168" s="9">
        <v>3</v>
      </c>
      <c r="AA168" s="9">
        <v>2</v>
      </c>
      <c r="AB168" s="9">
        <v>2</v>
      </c>
      <c r="AC168" s="9">
        <v>2</v>
      </c>
      <c r="AD168" s="9">
        <v>3</v>
      </c>
      <c r="AE168" s="9">
        <v>3</v>
      </c>
      <c r="AF168" s="9">
        <v>3</v>
      </c>
      <c r="AG168" s="9">
        <v>3</v>
      </c>
      <c r="AH168" s="9">
        <v>3</v>
      </c>
      <c r="AI168" s="9">
        <v>3</v>
      </c>
      <c r="AJ168" s="9">
        <v>1</v>
      </c>
      <c r="AK168" s="9">
        <v>1</v>
      </c>
      <c r="AL168" s="10">
        <v>3</v>
      </c>
      <c r="AM168" s="10">
        <v>3</v>
      </c>
      <c r="AN168" s="10">
        <v>3</v>
      </c>
      <c r="AO168" s="10">
        <v>0</v>
      </c>
      <c r="AP168" s="10">
        <v>1</v>
      </c>
      <c r="AQ168" s="10">
        <v>0</v>
      </c>
      <c r="AR168" s="10">
        <v>0</v>
      </c>
      <c r="AS168" s="11">
        <v>3</v>
      </c>
      <c r="AT168" s="11">
        <v>2</v>
      </c>
      <c r="AU168" s="11">
        <v>3</v>
      </c>
      <c r="AV168" s="11">
        <v>1</v>
      </c>
      <c r="AW168" s="11">
        <v>0</v>
      </c>
      <c r="AX168" s="11">
        <v>0</v>
      </c>
      <c r="AY168" s="7">
        <v>3</v>
      </c>
      <c r="AZ168" s="7">
        <v>3</v>
      </c>
      <c r="BA168" s="7">
        <v>3</v>
      </c>
      <c r="BB168" s="7">
        <v>3</v>
      </c>
      <c r="BC168" s="7">
        <v>3</v>
      </c>
      <c r="BD168" s="7">
        <v>0</v>
      </c>
      <c r="BE168" s="7">
        <v>0</v>
      </c>
      <c r="BF168" s="7">
        <v>1</v>
      </c>
      <c r="BG168" s="12">
        <f>SUM(data__22[[#This Row],[N1]:[N4]],data__22[[#This Row],[N10]:[N13]],data__22[[#This Row],[N16]:[N18]])/11</f>
        <v>3</v>
      </c>
      <c r="BH168" s="13">
        <f>SUM(data__22[[#This Row],[N8]:[N9]],data__22[[#This Row],[N23]:[N25]])/5</f>
        <v>2.8</v>
      </c>
      <c r="BI168" s="12">
        <f>SUM(data__22[[#This Row],[N5]:[N7]])/3</f>
        <v>2</v>
      </c>
      <c r="BJ168" s="12">
        <f>SUM(data__22[[#This Row],[N14]:[N15]],data__22[[#This Row],[N19]:[N22]],data__22[[#This Row],[N26]:[N28]])/9</f>
        <v>0.44444444444444442</v>
      </c>
      <c r="BK168" s="12">
        <f>SUM(data__22[[#This Row],[N29]:[N33]])/5</f>
        <v>3</v>
      </c>
      <c r="BL168" s="12">
        <f>SUM(data__22[[#This Row],[N34]:[N36]])/3</f>
        <v>0.33333333333333331</v>
      </c>
    </row>
    <row r="169" spans="1:64" x14ac:dyDescent="0.3">
      <c r="A169" s="7">
        <v>22</v>
      </c>
      <c r="B169" s="7" t="s">
        <v>70</v>
      </c>
      <c r="C169" s="7" t="s">
        <v>96</v>
      </c>
      <c r="D169" s="7" t="s">
        <v>149</v>
      </c>
      <c r="E169" s="7" t="s">
        <v>114</v>
      </c>
      <c r="F169" s="7" t="s">
        <v>74</v>
      </c>
      <c r="G169" s="7" t="s">
        <v>439</v>
      </c>
      <c r="H169" s="7" t="s">
        <v>136</v>
      </c>
      <c r="I169" s="7" t="s">
        <v>439</v>
      </c>
      <c r="J169" s="7" t="s">
        <v>77</v>
      </c>
      <c r="K169" s="7" t="s">
        <v>125</v>
      </c>
      <c r="L169" s="8" t="s">
        <v>79</v>
      </c>
      <c r="M169" s="8" t="s">
        <v>80</v>
      </c>
      <c r="N169" s="8" t="s">
        <v>79</v>
      </c>
      <c r="O169" s="8" t="s">
        <v>109</v>
      </c>
      <c r="P169" s="8" t="s">
        <v>79</v>
      </c>
      <c r="Q169" s="8" t="s">
        <v>83</v>
      </c>
      <c r="R169" s="8" t="s">
        <v>79</v>
      </c>
      <c r="S169" s="8" t="s">
        <v>79</v>
      </c>
      <c r="T169" s="8" t="s">
        <v>106</v>
      </c>
      <c r="U169" s="8" t="s">
        <v>141</v>
      </c>
      <c r="V169" s="8" t="s">
        <v>112</v>
      </c>
      <c r="W169" s="9">
        <v>2</v>
      </c>
      <c r="X169" s="9">
        <v>3</v>
      </c>
      <c r="Y169" s="9">
        <v>3</v>
      </c>
      <c r="Z169" s="9">
        <v>3</v>
      </c>
      <c r="AA169" s="9">
        <v>2</v>
      </c>
      <c r="AB169" s="9">
        <v>2</v>
      </c>
      <c r="AC169" s="9">
        <v>0</v>
      </c>
      <c r="AD169" s="9">
        <v>2</v>
      </c>
      <c r="AE169" s="9">
        <v>2</v>
      </c>
      <c r="AF169" s="9">
        <v>3</v>
      </c>
      <c r="AG169" s="9">
        <v>3</v>
      </c>
      <c r="AH169" s="9">
        <v>3</v>
      </c>
      <c r="AI169" s="9">
        <v>3</v>
      </c>
      <c r="AJ169" s="9">
        <v>2</v>
      </c>
      <c r="AK169" s="9">
        <v>2</v>
      </c>
      <c r="AL169" s="10">
        <v>3</v>
      </c>
      <c r="AM169" s="10">
        <v>3</v>
      </c>
      <c r="AN169" s="10">
        <v>3</v>
      </c>
      <c r="AO169" s="10">
        <v>0</v>
      </c>
      <c r="AP169" s="10">
        <v>0</v>
      </c>
      <c r="AQ169" s="10">
        <v>0</v>
      </c>
      <c r="AR169" s="10">
        <v>2</v>
      </c>
      <c r="AS169" s="11">
        <v>0</v>
      </c>
      <c r="AT169" s="11">
        <v>0</v>
      </c>
      <c r="AU169" s="11">
        <v>1</v>
      </c>
      <c r="AV169" s="11">
        <v>1</v>
      </c>
      <c r="AW169" s="11">
        <v>1</v>
      </c>
      <c r="AX169" s="11">
        <v>0</v>
      </c>
      <c r="AY169" s="7">
        <v>3</v>
      </c>
      <c r="AZ169" s="7">
        <v>3</v>
      </c>
      <c r="BA169" s="7">
        <v>3</v>
      </c>
      <c r="BB169" s="7">
        <v>3</v>
      </c>
      <c r="BC169" s="7">
        <v>3</v>
      </c>
      <c r="BD169" s="7">
        <v>2</v>
      </c>
      <c r="BE169" s="7">
        <v>0</v>
      </c>
      <c r="BF169" s="7">
        <v>2</v>
      </c>
      <c r="BG169" s="12">
        <f>SUM(data__22[[#This Row],[N1]:[N4]],data__22[[#This Row],[N10]:[N13]],data__22[[#This Row],[N16]:[N18]])/11</f>
        <v>2.9090909090909092</v>
      </c>
      <c r="BH169" s="13">
        <f>SUM(data__22[[#This Row],[N8]:[N9]],data__22[[#This Row],[N23]:[N25]])/5</f>
        <v>1</v>
      </c>
      <c r="BI169" s="12">
        <f>SUM(data__22[[#This Row],[N5]:[N7]])/3</f>
        <v>1.3333333333333333</v>
      </c>
      <c r="BJ169" s="12">
        <f>SUM(data__22[[#This Row],[N14]:[N15]],data__22[[#This Row],[N19]:[N22]],data__22[[#This Row],[N26]:[N28]])/9</f>
        <v>0.88888888888888884</v>
      </c>
      <c r="BK169" s="12">
        <f>SUM(data__22[[#This Row],[N29]:[N33]])/5</f>
        <v>3</v>
      </c>
      <c r="BL169" s="12">
        <f>SUM(data__22[[#This Row],[N34]:[N36]])/3</f>
        <v>1.3333333333333333</v>
      </c>
    </row>
    <row r="170" spans="1:64" x14ac:dyDescent="0.3">
      <c r="A170" s="7">
        <v>21</v>
      </c>
      <c r="B170" s="7" t="s">
        <v>70</v>
      </c>
      <c r="C170" s="7" t="s">
        <v>96</v>
      </c>
      <c r="D170" s="7" t="s">
        <v>72</v>
      </c>
      <c r="E170" s="7" t="s">
        <v>73</v>
      </c>
      <c r="F170" s="7" t="s">
        <v>74</v>
      </c>
      <c r="G170" s="7" t="s">
        <v>439</v>
      </c>
      <c r="H170" s="7" t="s">
        <v>74</v>
      </c>
      <c r="I170" s="7" t="s">
        <v>439</v>
      </c>
      <c r="J170" s="7" t="s">
        <v>77</v>
      </c>
      <c r="K170" s="7" t="s">
        <v>78</v>
      </c>
      <c r="L170" s="8" t="s">
        <v>79</v>
      </c>
      <c r="M170" s="8" t="s">
        <v>80</v>
      </c>
      <c r="N170" s="8" t="s">
        <v>79</v>
      </c>
      <c r="O170" s="8" t="s">
        <v>81</v>
      </c>
      <c r="P170" s="8" t="s">
        <v>79</v>
      </c>
      <c r="Q170" s="8" t="s">
        <v>83</v>
      </c>
      <c r="R170" s="8" t="s">
        <v>79</v>
      </c>
      <c r="S170" s="8" t="s">
        <v>79</v>
      </c>
      <c r="T170" s="8" t="s">
        <v>106</v>
      </c>
      <c r="U170" s="8" t="s">
        <v>120</v>
      </c>
      <c r="V170" s="8" t="s">
        <v>112</v>
      </c>
      <c r="W170" s="9">
        <v>3</v>
      </c>
      <c r="X170" s="9">
        <v>3</v>
      </c>
      <c r="Y170" s="9">
        <v>3</v>
      </c>
      <c r="Z170" s="9">
        <v>3</v>
      </c>
      <c r="AA170" s="9">
        <v>3</v>
      </c>
      <c r="AB170" s="9">
        <v>3</v>
      </c>
      <c r="AC170" s="9">
        <v>2</v>
      </c>
      <c r="AD170" s="9">
        <v>1</v>
      </c>
      <c r="AE170" s="9">
        <v>3</v>
      </c>
      <c r="AF170" s="9">
        <v>1</v>
      </c>
      <c r="AG170" s="9">
        <v>2</v>
      </c>
      <c r="AH170" s="9">
        <v>2</v>
      </c>
      <c r="AI170" s="9">
        <v>2</v>
      </c>
      <c r="AJ170" s="9">
        <v>2</v>
      </c>
      <c r="AK170" s="9">
        <v>2</v>
      </c>
      <c r="AL170" s="10">
        <v>2</v>
      </c>
      <c r="AM170" s="10">
        <v>2</v>
      </c>
      <c r="AN170" s="10">
        <v>2</v>
      </c>
      <c r="AO170" s="10">
        <v>2</v>
      </c>
      <c r="AP170" s="10">
        <v>3</v>
      </c>
      <c r="AQ170" s="10">
        <v>3</v>
      </c>
      <c r="AR170" s="10">
        <v>2</v>
      </c>
      <c r="AS170" s="11">
        <v>1</v>
      </c>
      <c r="AT170" s="11">
        <v>1</v>
      </c>
      <c r="AU170" s="11">
        <v>1</v>
      </c>
      <c r="AV170" s="11">
        <v>1</v>
      </c>
      <c r="AW170" s="11">
        <v>0</v>
      </c>
      <c r="AX170" s="11">
        <v>1</v>
      </c>
      <c r="AY170" s="7">
        <v>1</v>
      </c>
      <c r="AZ170" s="7">
        <v>0</v>
      </c>
      <c r="BA170" s="7">
        <v>1</v>
      </c>
      <c r="BB170" s="7">
        <v>0</v>
      </c>
      <c r="BC170" s="7">
        <v>1</v>
      </c>
      <c r="BD170" s="7">
        <v>1</v>
      </c>
      <c r="BE170" s="7">
        <v>1</v>
      </c>
      <c r="BF170" s="7">
        <v>1</v>
      </c>
      <c r="BG170" s="12">
        <f>SUM(data__22[[#This Row],[N1]:[N4]],data__22[[#This Row],[N10]:[N13]],data__22[[#This Row],[N16]:[N18]])/11</f>
        <v>2.2727272727272729</v>
      </c>
      <c r="BH170" s="13">
        <f>SUM(data__22[[#This Row],[N8]:[N9]],data__22[[#This Row],[N23]:[N25]])/5</f>
        <v>1.4</v>
      </c>
      <c r="BI170" s="12">
        <f>SUM(data__22[[#This Row],[N5]:[N7]])/3</f>
        <v>2.6666666666666665</v>
      </c>
      <c r="BJ170" s="12">
        <f>SUM(data__22[[#This Row],[N14]:[N15]],data__22[[#This Row],[N19]:[N22]],data__22[[#This Row],[N26]:[N28]])/9</f>
        <v>1.7777777777777777</v>
      </c>
      <c r="BK170" s="12">
        <f>SUM(data__22[[#This Row],[N29]:[N33]])/5</f>
        <v>0.6</v>
      </c>
      <c r="BL170" s="12">
        <f>SUM(data__22[[#This Row],[N34]:[N36]])/3</f>
        <v>1</v>
      </c>
    </row>
    <row r="171" spans="1:64" x14ac:dyDescent="0.3">
      <c r="A171" s="7">
        <v>21</v>
      </c>
      <c r="B171" s="7" t="s">
        <v>70</v>
      </c>
      <c r="C171" s="7" t="s">
        <v>96</v>
      </c>
      <c r="D171" s="7" t="s">
        <v>72</v>
      </c>
      <c r="E171" s="7" t="s">
        <v>108</v>
      </c>
      <c r="F171" s="7" t="s">
        <v>136</v>
      </c>
      <c r="G171" s="7" t="s">
        <v>439</v>
      </c>
      <c r="H171" s="7" t="s">
        <v>98</v>
      </c>
      <c r="I171" s="7" t="s">
        <v>76</v>
      </c>
      <c r="J171" s="7" t="s">
        <v>77</v>
      </c>
      <c r="K171" s="7" t="s">
        <v>125</v>
      </c>
      <c r="L171" s="8" t="s">
        <v>82</v>
      </c>
      <c r="M171" s="8" t="s">
        <v>80</v>
      </c>
      <c r="N171" s="8" t="s">
        <v>79</v>
      </c>
      <c r="O171" s="8" t="s">
        <v>117</v>
      </c>
      <c r="P171" s="8" t="s">
        <v>79</v>
      </c>
      <c r="Q171" s="8" t="s">
        <v>83</v>
      </c>
      <c r="R171" s="8" t="s">
        <v>79</v>
      </c>
      <c r="S171" s="8" t="s">
        <v>82</v>
      </c>
      <c r="T171" s="8" t="s">
        <v>106</v>
      </c>
      <c r="U171" s="8" t="s">
        <v>141</v>
      </c>
      <c r="V171" s="8" t="s">
        <v>112</v>
      </c>
      <c r="W171" s="9">
        <v>1</v>
      </c>
      <c r="X171" s="9">
        <v>2</v>
      </c>
      <c r="Y171" s="9">
        <v>2</v>
      </c>
      <c r="Z171" s="9">
        <v>3</v>
      </c>
      <c r="AA171" s="9">
        <v>1</v>
      </c>
      <c r="AB171" s="9">
        <v>1</v>
      </c>
      <c r="AC171" s="9">
        <v>1</v>
      </c>
      <c r="AD171" s="9">
        <v>1</v>
      </c>
      <c r="AE171" s="9">
        <v>1</v>
      </c>
      <c r="AF171" s="9">
        <v>1</v>
      </c>
      <c r="AG171" s="9">
        <v>2</v>
      </c>
      <c r="AH171" s="9">
        <v>1</v>
      </c>
      <c r="AI171" s="9">
        <v>2</v>
      </c>
      <c r="AJ171" s="9">
        <v>2</v>
      </c>
      <c r="AK171" s="9">
        <v>2</v>
      </c>
      <c r="AL171" s="10">
        <v>3</v>
      </c>
      <c r="AM171" s="10">
        <v>2</v>
      </c>
      <c r="AN171" s="10">
        <v>2</v>
      </c>
      <c r="AO171" s="10">
        <v>1</v>
      </c>
      <c r="AP171" s="10">
        <v>1</v>
      </c>
      <c r="AQ171" s="10">
        <v>1</v>
      </c>
      <c r="AR171" s="10">
        <v>1</v>
      </c>
      <c r="AS171" s="11">
        <v>2</v>
      </c>
      <c r="AT171" s="11">
        <v>2</v>
      </c>
      <c r="AU171" s="11">
        <v>2</v>
      </c>
      <c r="AV171" s="11">
        <v>1</v>
      </c>
      <c r="AW171" s="11">
        <v>1</v>
      </c>
      <c r="AX171" s="11">
        <v>1</v>
      </c>
      <c r="AY171" s="7">
        <v>2</v>
      </c>
      <c r="AZ171" s="7">
        <v>2</v>
      </c>
      <c r="BA171" s="7">
        <v>2</v>
      </c>
      <c r="BB171" s="7">
        <v>2</v>
      </c>
      <c r="BC171" s="7">
        <v>2</v>
      </c>
      <c r="BD171" s="7">
        <v>2</v>
      </c>
      <c r="BE171" s="7">
        <v>1</v>
      </c>
      <c r="BF171" s="7">
        <v>1</v>
      </c>
      <c r="BG171" s="12">
        <f>SUM(data__22[[#This Row],[N1]:[N4]],data__22[[#This Row],[N10]:[N13]],data__22[[#This Row],[N16]:[N18]])/11</f>
        <v>1.9090909090909092</v>
      </c>
      <c r="BH171" s="13">
        <f>SUM(data__22[[#This Row],[N8]:[N9]],data__22[[#This Row],[N23]:[N25]])/5</f>
        <v>1.6</v>
      </c>
      <c r="BI171" s="12">
        <f>SUM(data__22[[#This Row],[N5]:[N7]])/3</f>
        <v>1</v>
      </c>
      <c r="BJ171" s="12">
        <f>SUM(data__22[[#This Row],[N14]:[N15]],data__22[[#This Row],[N19]:[N22]],data__22[[#This Row],[N26]:[N28]])/9</f>
        <v>1.2222222222222223</v>
      </c>
      <c r="BK171" s="12">
        <f>SUM(data__22[[#This Row],[N29]:[N33]])/5</f>
        <v>2</v>
      </c>
      <c r="BL171" s="12">
        <f>SUM(data__22[[#This Row],[N34]:[N36]])/3</f>
        <v>1.3333333333333333</v>
      </c>
    </row>
    <row r="172" spans="1:64" x14ac:dyDescent="0.3">
      <c r="A172" s="7">
        <v>20</v>
      </c>
      <c r="B172" s="7" t="s">
        <v>70</v>
      </c>
      <c r="C172" s="7" t="s">
        <v>96</v>
      </c>
      <c r="D172" s="7" t="s">
        <v>97</v>
      </c>
      <c r="E172" s="7" t="s">
        <v>73</v>
      </c>
      <c r="F172" s="7" t="s">
        <v>74</v>
      </c>
      <c r="G172" s="7" t="s">
        <v>439</v>
      </c>
      <c r="H172" s="7" t="s">
        <v>136</v>
      </c>
      <c r="I172" s="7" t="s">
        <v>76</v>
      </c>
      <c r="J172" s="7" t="s">
        <v>77</v>
      </c>
      <c r="K172" s="7" t="s">
        <v>122</v>
      </c>
      <c r="L172" s="8" t="s">
        <v>79</v>
      </c>
      <c r="M172" s="8" t="s">
        <v>80</v>
      </c>
      <c r="N172" s="8" t="s">
        <v>79</v>
      </c>
      <c r="O172" s="8" t="s">
        <v>133</v>
      </c>
      <c r="P172" s="8" t="s">
        <v>82</v>
      </c>
      <c r="Q172" s="8" t="s">
        <v>83</v>
      </c>
      <c r="R172" s="8" t="s">
        <v>82</v>
      </c>
      <c r="S172" s="8" t="s">
        <v>82</v>
      </c>
      <c r="T172" s="8" t="s">
        <v>86</v>
      </c>
      <c r="U172" s="8" t="s">
        <v>87</v>
      </c>
      <c r="V172" s="8" t="s">
        <v>112</v>
      </c>
      <c r="W172" s="9">
        <v>3</v>
      </c>
      <c r="X172" s="9">
        <v>2</v>
      </c>
      <c r="Y172" s="9">
        <v>3</v>
      </c>
      <c r="Z172" s="9">
        <v>3</v>
      </c>
      <c r="AA172" s="9">
        <v>1</v>
      </c>
      <c r="AB172" s="9">
        <v>1</v>
      </c>
      <c r="AC172" s="9">
        <v>1</v>
      </c>
      <c r="AD172" s="9">
        <v>1</v>
      </c>
      <c r="AE172" s="9">
        <v>1</v>
      </c>
      <c r="AF172" s="9">
        <v>1</v>
      </c>
      <c r="AG172" s="9">
        <v>2</v>
      </c>
      <c r="AH172" s="9">
        <v>1</v>
      </c>
      <c r="AI172" s="9">
        <v>2</v>
      </c>
      <c r="AJ172" s="9">
        <v>1</v>
      </c>
      <c r="AK172" s="9">
        <v>0</v>
      </c>
      <c r="AL172" s="10">
        <v>3</v>
      </c>
      <c r="AM172" s="10">
        <v>3</v>
      </c>
      <c r="AN172" s="10">
        <v>3</v>
      </c>
      <c r="AO172" s="10">
        <v>0</v>
      </c>
      <c r="AP172" s="10">
        <v>0</v>
      </c>
      <c r="AQ172" s="10">
        <v>0</v>
      </c>
      <c r="AR172" s="10">
        <v>0</v>
      </c>
      <c r="AS172" s="11">
        <v>2</v>
      </c>
      <c r="AT172" s="11">
        <v>2</v>
      </c>
      <c r="AU172" s="11">
        <v>2</v>
      </c>
      <c r="AV172" s="11">
        <v>1</v>
      </c>
      <c r="AW172" s="11">
        <v>0</v>
      </c>
      <c r="AX172" s="11">
        <v>0</v>
      </c>
      <c r="AY172" s="7"/>
      <c r="AZ172" s="7"/>
      <c r="BA172" s="7"/>
      <c r="BB172" s="7"/>
      <c r="BC172" s="7"/>
      <c r="BD172" s="7"/>
      <c r="BE172" s="7"/>
      <c r="BF172" s="7"/>
      <c r="BG172" s="12">
        <f>SUM(data__22[[#This Row],[N1]:[N4]],data__22[[#This Row],[N10]:[N13]],data__22[[#This Row],[N16]:[N18]])/11</f>
        <v>2.3636363636363638</v>
      </c>
      <c r="BH172" s="13">
        <f>SUM(data__22[[#This Row],[N8]:[N9]],data__22[[#This Row],[N23]:[N25]])/5</f>
        <v>1.6</v>
      </c>
      <c r="BI172" s="12">
        <f>SUM(data__22[[#This Row],[N5]:[N7]])/3</f>
        <v>1</v>
      </c>
      <c r="BJ172" s="12">
        <f>SUM(data__22[[#This Row],[N14]:[N15]],data__22[[#This Row],[N19]:[N22]],data__22[[#This Row],[N26]:[N28]])/9</f>
        <v>0.22222222222222221</v>
      </c>
      <c r="BK172" s="12">
        <f>SUM(data__22[[#This Row],[N29]:[N33]])/5</f>
        <v>0</v>
      </c>
      <c r="BL172" s="12">
        <f>SUM(data__22[[#This Row],[N34]:[N36]])/3</f>
        <v>0</v>
      </c>
    </row>
    <row r="173" spans="1:64" x14ac:dyDescent="0.3">
      <c r="A173" s="7">
        <v>22</v>
      </c>
      <c r="B173" s="7" t="s">
        <v>70</v>
      </c>
      <c r="C173" s="7" t="s">
        <v>96</v>
      </c>
      <c r="D173" s="7" t="s">
        <v>72</v>
      </c>
      <c r="E173" s="7" t="s">
        <v>114</v>
      </c>
      <c r="F173" s="7" t="s">
        <v>165</v>
      </c>
      <c r="G173" s="7" t="s">
        <v>439</v>
      </c>
      <c r="H173" s="7" t="s">
        <v>98</v>
      </c>
      <c r="I173" s="7" t="s">
        <v>76</v>
      </c>
      <c r="J173" s="7" t="s">
        <v>77</v>
      </c>
      <c r="K173" s="7" t="s">
        <v>125</v>
      </c>
      <c r="L173" s="8" t="s">
        <v>79</v>
      </c>
      <c r="M173" s="8" t="s">
        <v>80</v>
      </c>
      <c r="N173" s="8" t="s">
        <v>79</v>
      </c>
      <c r="O173" s="8" t="s">
        <v>109</v>
      </c>
      <c r="P173" s="8" t="s">
        <v>79</v>
      </c>
      <c r="Q173" s="8" t="s">
        <v>83</v>
      </c>
      <c r="R173" s="8" t="s">
        <v>79</v>
      </c>
      <c r="S173" s="8" t="s">
        <v>82</v>
      </c>
      <c r="T173" s="8" t="s">
        <v>106</v>
      </c>
      <c r="U173" s="8" t="s">
        <v>87</v>
      </c>
      <c r="V173" s="8" t="s">
        <v>112</v>
      </c>
      <c r="W173" s="9">
        <v>3</v>
      </c>
      <c r="X173" s="9">
        <v>3</v>
      </c>
      <c r="Y173" s="9">
        <v>3</v>
      </c>
      <c r="Z173" s="9">
        <v>3</v>
      </c>
      <c r="AA173" s="9">
        <v>0</v>
      </c>
      <c r="AB173" s="9">
        <v>0</v>
      </c>
      <c r="AC173" s="9">
        <v>3</v>
      </c>
      <c r="AD173" s="9">
        <v>0</v>
      </c>
      <c r="AE173" s="9">
        <v>3</v>
      </c>
      <c r="AF173" s="9">
        <v>3</v>
      </c>
      <c r="AG173" s="9">
        <v>3</v>
      </c>
      <c r="AH173" s="9">
        <v>3</v>
      </c>
      <c r="AI173" s="9">
        <v>3</v>
      </c>
      <c r="AJ173" s="9">
        <v>3</v>
      </c>
      <c r="AK173" s="9">
        <v>3</v>
      </c>
      <c r="AL173" s="10">
        <v>3</v>
      </c>
      <c r="AM173" s="10">
        <v>3</v>
      </c>
      <c r="AN173" s="10">
        <v>3</v>
      </c>
      <c r="AO173" s="10">
        <v>3</v>
      </c>
      <c r="AP173" s="10">
        <v>3</v>
      </c>
      <c r="AQ173" s="10">
        <v>3</v>
      </c>
      <c r="AR173" s="10">
        <v>3</v>
      </c>
      <c r="AS173" s="11">
        <v>3</v>
      </c>
      <c r="AT173" s="11">
        <v>0</v>
      </c>
      <c r="AU173" s="11">
        <v>0</v>
      </c>
      <c r="AV173" s="11">
        <v>3</v>
      </c>
      <c r="AW173" s="11">
        <v>3</v>
      </c>
      <c r="AX173" s="11">
        <v>3</v>
      </c>
      <c r="AY173" s="7">
        <v>3</v>
      </c>
      <c r="AZ173" s="7">
        <v>3</v>
      </c>
      <c r="BA173" s="7">
        <v>3</v>
      </c>
      <c r="BB173" s="7">
        <v>3</v>
      </c>
      <c r="BC173" s="7">
        <v>3</v>
      </c>
      <c r="BD173" s="7">
        <v>3</v>
      </c>
      <c r="BE173" s="7">
        <v>3</v>
      </c>
      <c r="BF173" s="7">
        <v>3</v>
      </c>
      <c r="BG173" s="12">
        <f>SUM(data__22[[#This Row],[N1]:[N4]],data__22[[#This Row],[N10]:[N13]],data__22[[#This Row],[N16]:[N18]])/11</f>
        <v>3</v>
      </c>
      <c r="BH173" s="13">
        <f>SUM(data__22[[#This Row],[N8]:[N9]],data__22[[#This Row],[N23]:[N25]])/5</f>
        <v>1.2</v>
      </c>
      <c r="BI173" s="12">
        <f>SUM(data__22[[#This Row],[N5]:[N7]])/3</f>
        <v>1</v>
      </c>
      <c r="BJ173" s="12">
        <f>SUM(data__22[[#This Row],[N14]:[N15]],data__22[[#This Row],[N19]:[N22]],data__22[[#This Row],[N26]:[N28]])/9</f>
        <v>3</v>
      </c>
      <c r="BK173" s="12">
        <f>SUM(data__22[[#This Row],[N29]:[N33]])/5</f>
        <v>3</v>
      </c>
      <c r="BL173" s="12">
        <f>SUM(data__22[[#This Row],[N34]:[N36]])/3</f>
        <v>3</v>
      </c>
    </row>
    <row r="174" spans="1:64" x14ac:dyDescent="0.3">
      <c r="A174" s="7">
        <v>21</v>
      </c>
      <c r="B174" s="7" t="s">
        <v>70</v>
      </c>
      <c r="C174" s="7" t="s">
        <v>96</v>
      </c>
      <c r="D174" s="7" t="s">
        <v>72</v>
      </c>
      <c r="E174" s="7" t="s">
        <v>114</v>
      </c>
      <c r="F174" s="7" t="s">
        <v>136</v>
      </c>
      <c r="G174" s="7" t="s">
        <v>439</v>
      </c>
      <c r="H174" s="7" t="s">
        <v>136</v>
      </c>
      <c r="I174" s="7" t="s">
        <v>76</v>
      </c>
      <c r="J174" s="7" t="s">
        <v>77</v>
      </c>
      <c r="K174" s="7" t="s">
        <v>125</v>
      </c>
      <c r="L174" s="8" t="s">
        <v>82</v>
      </c>
      <c r="M174" s="8" t="s">
        <v>80</v>
      </c>
      <c r="N174" s="8" t="s">
        <v>79</v>
      </c>
      <c r="O174" s="8" t="s">
        <v>109</v>
      </c>
      <c r="P174" s="8" t="s">
        <v>82</v>
      </c>
      <c r="Q174" s="8" t="s">
        <v>103</v>
      </c>
      <c r="R174" s="8" t="s">
        <v>79</v>
      </c>
      <c r="S174" s="8" t="s">
        <v>82</v>
      </c>
      <c r="T174" s="8" t="s">
        <v>106</v>
      </c>
      <c r="U174" s="8" t="s">
        <v>87</v>
      </c>
      <c r="V174" s="8" t="s">
        <v>455</v>
      </c>
      <c r="W174" s="9">
        <v>1</v>
      </c>
      <c r="X174" s="9">
        <v>1</v>
      </c>
      <c r="Y174" s="9">
        <v>1</v>
      </c>
      <c r="Z174" s="9">
        <v>1</v>
      </c>
      <c r="AA174" s="9">
        <v>1</v>
      </c>
      <c r="AB174" s="9">
        <v>1</v>
      </c>
      <c r="AC174" s="9">
        <v>2</v>
      </c>
      <c r="AD174" s="9">
        <v>0</v>
      </c>
      <c r="AE174" s="9">
        <v>1</v>
      </c>
      <c r="AF174" s="9">
        <v>1</v>
      </c>
      <c r="AG174" s="9">
        <v>2</v>
      </c>
      <c r="AH174" s="9">
        <v>0</v>
      </c>
      <c r="AI174" s="9">
        <v>0</v>
      </c>
      <c r="AJ174" s="9">
        <v>0</v>
      </c>
      <c r="AK174" s="9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12">
        <f>SUM(data__22[[#This Row],[N1]:[N4]],data__22[[#This Row],[N10]:[N13]],data__22[[#This Row],[N16]:[N18]])/11</f>
        <v>0.63636363636363635</v>
      </c>
      <c r="BH174" s="13">
        <f>SUM(data__22[[#This Row],[N8]:[N9]],data__22[[#This Row],[N23]:[N25]])/5</f>
        <v>0.2</v>
      </c>
      <c r="BI174" s="12">
        <f>SUM(data__22[[#This Row],[N5]:[N7]])/3</f>
        <v>1.3333333333333333</v>
      </c>
      <c r="BJ174" s="12">
        <f>SUM(data__22[[#This Row],[N14]:[N15]],data__22[[#This Row],[N19]:[N22]],data__22[[#This Row],[N26]:[N28]])/9</f>
        <v>0</v>
      </c>
      <c r="BK174" s="12">
        <f>SUM(data__22[[#This Row],[N29]:[N33]])/5</f>
        <v>0</v>
      </c>
      <c r="BL174" s="12">
        <f>SUM(data__22[[#This Row],[N34]:[N36]])/3</f>
        <v>0</v>
      </c>
    </row>
    <row r="175" spans="1:64" x14ac:dyDescent="0.3">
      <c r="A175" s="7">
        <v>23</v>
      </c>
      <c r="B175" s="7" t="s">
        <v>70</v>
      </c>
      <c r="C175" s="7" t="s">
        <v>96</v>
      </c>
      <c r="D175" s="7" t="s">
        <v>97</v>
      </c>
      <c r="E175" s="7" t="s">
        <v>108</v>
      </c>
      <c r="F175" s="7" t="s">
        <v>74</v>
      </c>
      <c r="G175" s="7" t="s">
        <v>99</v>
      </c>
      <c r="H175" s="7" t="s">
        <v>74</v>
      </c>
      <c r="I175" s="7" t="s">
        <v>76</v>
      </c>
      <c r="J175" s="7" t="s">
        <v>77</v>
      </c>
      <c r="K175" s="7" t="s">
        <v>78</v>
      </c>
      <c r="L175" s="8" t="s">
        <v>79</v>
      </c>
      <c r="M175" s="8" t="s">
        <v>102</v>
      </c>
      <c r="N175" s="8" t="s">
        <v>82</v>
      </c>
      <c r="O175" s="8" t="s">
        <v>109</v>
      </c>
      <c r="P175" s="8" t="s">
        <v>79</v>
      </c>
      <c r="Q175" s="8" t="s">
        <v>83</v>
      </c>
      <c r="R175" s="8" t="s">
        <v>79</v>
      </c>
      <c r="S175" s="8" t="s">
        <v>79</v>
      </c>
      <c r="T175" s="8" t="s">
        <v>86</v>
      </c>
      <c r="U175" s="8" t="s">
        <v>141</v>
      </c>
      <c r="V175" s="8" t="s">
        <v>112</v>
      </c>
      <c r="W175" s="9">
        <v>0</v>
      </c>
      <c r="X175" s="9">
        <v>0</v>
      </c>
      <c r="Y175" s="9">
        <v>3</v>
      </c>
      <c r="Z175" s="9">
        <v>1</v>
      </c>
      <c r="AA175" s="9">
        <v>1</v>
      </c>
      <c r="AB175" s="9">
        <v>1</v>
      </c>
      <c r="AC175" s="9">
        <v>0</v>
      </c>
      <c r="AD175" s="9">
        <v>1</v>
      </c>
      <c r="AE175" s="9">
        <v>0</v>
      </c>
      <c r="AF175" s="9">
        <v>1</v>
      </c>
      <c r="AG175" s="9">
        <v>0</v>
      </c>
      <c r="AH175" s="9">
        <v>1</v>
      </c>
      <c r="AI175" s="9">
        <v>0</v>
      </c>
      <c r="AJ175" s="9">
        <v>0</v>
      </c>
      <c r="AK175" s="9">
        <v>1</v>
      </c>
      <c r="AL175" s="10">
        <v>2</v>
      </c>
      <c r="AM175" s="10">
        <v>2</v>
      </c>
      <c r="AN175" s="10">
        <v>2</v>
      </c>
      <c r="AO175" s="10">
        <v>2</v>
      </c>
      <c r="AP175" s="10">
        <v>2</v>
      </c>
      <c r="AQ175" s="10">
        <v>2</v>
      </c>
      <c r="AR175" s="10">
        <v>2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7">
        <v>1</v>
      </c>
      <c r="AZ175" s="7">
        <v>1</v>
      </c>
      <c r="BA175" s="7">
        <v>1</v>
      </c>
      <c r="BB175" s="7">
        <v>1</v>
      </c>
      <c r="BC175" s="7">
        <v>1</v>
      </c>
      <c r="BD175" s="7">
        <v>1</v>
      </c>
      <c r="BE175" s="7">
        <v>2</v>
      </c>
      <c r="BF175" s="7">
        <v>1</v>
      </c>
      <c r="BG175" s="12">
        <f>SUM(data__22[[#This Row],[N1]:[N4]],data__22[[#This Row],[N10]:[N13]],data__22[[#This Row],[N16]:[N18]])/11</f>
        <v>1.0909090909090908</v>
      </c>
      <c r="BH175" s="13">
        <f>SUM(data__22[[#This Row],[N8]:[N9]],data__22[[#This Row],[N23]:[N25]])/5</f>
        <v>0.2</v>
      </c>
      <c r="BI175" s="12">
        <f>SUM(data__22[[#This Row],[N5]:[N7]])/3</f>
        <v>0.66666666666666663</v>
      </c>
      <c r="BJ175" s="12">
        <f>SUM(data__22[[#This Row],[N14]:[N15]],data__22[[#This Row],[N19]:[N22]],data__22[[#This Row],[N26]:[N28]])/9</f>
        <v>1</v>
      </c>
      <c r="BK175" s="12">
        <f>SUM(data__22[[#This Row],[N29]:[N33]])/5</f>
        <v>1</v>
      </c>
      <c r="BL175" s="12">
        <f>SUM(data__22[[#This Row],[N34]:[N36]])/3</f>
        <v>1.3333333333333333</v>
      </c>
    </row>
    <row r="176" spans="1:64" x14ac:dyDescent="0.3">
      <c r="A176" s="7">
        <v>21</v>
      </c>
      <c r="B176" s="7" t="s">
        <v>70</v>
      </c>
      <c r="C176" s="7" t="s">
        <v>96</v>
      </c>
      <c r="D176" s="7" t="s">
        <v>72</v>
      </c>
      <c r="E176" s="7" t="s">
        <v>114</v>
      </c>
      <c r="F176" s="7" t="s">
        <v>136</v>
      </c>
      <c r="G176" s="7" t="s">
        <v>438</v>
      </c>
      <c r="H176" s="7" t="s">
        <v>100</v>
      </c>
      <c r="I176" s="7" t="s">
        <v>76</v>
      </c>
      <c r="J176" s="7" t="s">
        <v>101</v>
      </c>
      <c r="K176" s="7" t="s">
        <v>122</v>
      </c>
      <c r="L176" s="8" t="s">
        <v>82</v>
      </c>
      <c r="M176" s="8" t="s">
        <v>80</v>
      </c>
      <c r="N176" s="8" t="s">
        <v>82</v>
      </c>
      <c r="O176" s="8" t="s">
        <v>117</v>
      </c>
      <c r="P176" s="8" t="s">
        <v>82</v>
      </c>
      <c r="Q176" s="8" t="s">
        <v>83</v>
      </c>
      <c r="R176" s="8" t="s">
        <v>82</v>
      </c>
      <c r="S176" s="8" t="s">
        <v>82</v>
      </c>
      <c r="T176" s="8" t="s">
        <v>106</v>
      </c>
      <c r="U176" s="8" t="s">
        <v>120</v>
      </c>
      <c r="V176" s="8" t="s">
        <v>127</v>
      </c>
      <c r="W176" s="9">
        <v>3</v>
      </c>
      <c r="X176" s="9">
        <v>3</v>
      </c>
      <c r="Y176" s="9">
        <v>2</v>
      </c>
      <c r="Z176" s="9">
        <v>2</v>
      </c>
      <c r="AA176" s="9">
        <v>2</v>
      </c>
      <c r="AB176" s="9">
        <v>2</v>
      </c>
      <c r="AC176" s="9">
        <v>3</v>
      </c>
      <c r="AD176" s="9">
        <v>3</v>
      </c>
      <c r="AE176" s="9">
        <v>2</v>
      </c>
      <c r="AF176" s="9">
        <v>3</v>
      </c>
      <c r="AG176" s="9">
        <v>3</v>
      </c>
      <c r="AH176" s="9">
        <v>3</v>
      </c>
      <c r="AI176" s="9">
        <v>3</v>
      </c>
      <c r="AJ176" s="9">
        <v>1</v>
      </c>
      <c r="AK176" s="9">
        <v>1</v>
      </c>
      <c r="AL176" s="10">
        <v>2</v>
      </c>
      <c r="AM176" s="10">
        <v>2</v>
      </c>
      <c r="AN176" s="10">
        <v>2</v>
      </c>
      <c r="AO176" s="10">
        <v>1</v>
      </c>
      <c r="AP176" s="10">
        <v>0</v>
      </c>
      <c r="AQ176" s="10">
        <v>0</v>
      </c>
      <c r="AR176" s="10">
        <v>0</v>
      </c>
      <c r="AS176" s="11">
        <v>3</v>
      </c>
      <c r="AT176" s="11">
        <v>3</v>
      </c>
      <c r="AU176" s="11">
        <v>3</v>
      </c>
      <c r="AV176" s="11">
        <v>2</v>
      </c>
      <c r="AW176" s="11">
        <v>3</v>
      </c>
      <c r="AX176" s="11">
        <v>3</v>
      </c>
      <c r="AY176" s="7">
        <v>2</v>
      </c>
      <c r="AZ176" s="7">
        <v>2</v>
      </c>
      <c r="BA176" s="7">
        <v>2</v>
      </c>
      <c r="BB176" s="7">
        <v>2</v>
      </c>
      <c r="BC176" s="7">
        <v>2</v>
      </c>
      <c r="BD176" s="7">
        <v>2</v>
      </c>
      <c r="BE176" s="7">
        <v>2</v>
      </c>
      <c r="BF176" s="7">
        <v>0</v>
      </c>
      <c r="BG176" s="12">
        <f>SUM(data__22[[#This Row],[N1]:[N4]],data__22[[#This Row],[N10]:[N13]],data__22[[#This Row],[N16]:[N18]])/11</f>
        <v>2.5454545454545454</v>
      </c>
      <c r="BH176" s="13">
        <f>SUM(data__22[[#This Row],[N8]:[N9]],data__22[[#This Row],[N23]:[N25]])/5</f>
        <v>2.8</v>
      </c>
      <c r="BI176" s="12">
        <f>SUM(data__22[[#This Row],[N5]:[N7]])/3</f>
        <v>2.3333333333333335</v>
      </c>
      <c r="BJ176" s="12">
        <f>SUM(data__22[[#This Row],[N14]:[N15]],data__22[[#This Row],[N19]:[N22]],data__22[[#This Row],[N26]:[N28]])/9</f>
        <v>1.2222222222222223</v>
      </c>
      <c r="BK176" s="12">
        <f>SUM(data__22[[#This Row],[N29]:[N33]])/5</f>
        <v>2</v>
      </c>
      <c r="BL176" s="12">
        <f>SUM(data__22[[#This Row],[N34]:[N36]])/3</f>
        <v>1.3333333333333333</v>
      </c>
    </row>
    <row r="177" spans="1:64" x14ac:dyDescent="0.3">
      <c r="A177" s="7">
        <v>20</v>
      </c>
      <c r="B177" s="7" t="s">
        <v>70</v>
      </c>
      <c r="C177" s="7" t="s">
        <v>96</v>
      </c>
      <c r="D177" s="7" t="s">
        <v>72</v>
      </c>
      <c r="E177" s="7" t="s">
        <v>114</v>
      </c>
      <c r="F177" s="7" t="s">
        <v>74</v>
      </c>
      <c r="G177" s="7" t="s">
        <v>439</v>
      </c>
      <c r="H177" s="7" t="s">
        <v>100</v>
      </c>
      <c r="I177" s="7" t="s">
        <v>76</v>
      </c>
      <c r="J177" s="7" t="s">
        <v>77</v>
      </c>
      <c r="K177" s="7" t="s">
        <v>122</v>
      </c>
      <c r="L177" s="8" t="s">
        <v>79</v>
      </c>
      <c r="M177" s="8" t="s">
        <v>80</v>
      </c>
      <c r="N177" s="8" t="s">
        <v>79</v>
      </c>
      <c r="O177" s="8" t="s">
        <v>81</v>
      </c>
      <c r="P177" s="8" t="s">
        <v>79</v>
      </c>
      <c r="Q177" s="8" t="s">
        <v>83</v>
      </c>
      <c r="R177" s="8" t="s">
        <v>82</v>
      </c>
      <c r="S177" s="8" t="s">
        <v>79</v>
      </c>
      <c r="T177" s="8" t="s">
        <v>106</v>
      </c>
      <c r="U177" s="8" t="s">
        <v>120</v>
      </c>
      <c r="V177" s="8" t="s">
        <v>455</v>
      </c>
      <c r="W177" s="9">
        <v>1</v>
      </c>
      <c r="X177" s="9">
        <v>0</v>
      </c>
      <c r="Y177" s="9">
        <v>1</v>
      </c>
      <c r="Z177" s="9">
        <v>0</v>
      </c>
      <c r="AA177" s="9">
        <v>1</v>
      </c>
      <c r="AB177" s="9">
        <v>1</v>
      </c>
      <c r="AC177" s="9">
        <v>0</v>
      </c>
      <c r="AD177" s="9">
        <v>1</v>
      </c>
      <c r="AE177" s="9">
        <v>0</v>
      </c>
      <c r="AF177" s="9">
        <v>1</v>
      </c>
      <c r="AG177" s="9">
        <v>1</v>
      </c>
      <c r="AH177" s="9">
        <v>0</v>
      </c>
      <c r="AI177" s="9">
        <v>0</v>
      </c>
      <c r="AJ177" s="9">
        <v>1</v>
      </c>
      <c r="AK177" s="9">
        <v>0</v>
      </c>
      <c r="AL177" s="10">
        <v>1</v>
      </c>
      <c r="AM177" s="10">
        <v>1</v>
      </c>
      <c r="AN177" s="10">
        <v>1</v>
      </c>
      <c r="AO177" s="10">
        <v>1</v>
      </c>
      <c r="AP177" s="10">
        <v>1</v>
      </c>
      <c r="AQ177" s="10">
        <v>0</v>
      </c>
      <c r="AR177" s="10">
        <v>0</v>
      </c>
      <c r="AS177" s="11">
        <v>1</v>
      </c>
      <c r="AT177" s="11">
        <v>1</v>
      </c>
      <c r="AU177" s="11">
        <v>0</v>
      </c>
      <c r="AV177" s="11">
        <v>1</v>
      </c>
      <c r="AW177" s="11">
        <v>1</v>
      </c>
      <c r="AX177" s="11">
        <v>0</v>
      </c>
      <c r="AY177" s="7">
        <v>1</v>
      </c>
      <c r="AZ177" s="7">
        <v>1</v>
      </c>
      <c r="BA177" s="7">
        <v>1</v>
      </c>
      <c r="BB177" s="7">
        <v>0</v>
      </c>
      <c r="BC177" s="7">
        <v>1</v>
      </c>
      <c r="BD177" s="7">
        <v>1</v>
      </c>
      <c r="BE177" s="7">
        <v>0</v>
      </c>
      <c r="BF177" s="7">
        <v>1</v>
      </c>
      <c r="BG177" s="12">
        <f>SUM(data__22[[#This Row],[N1]:[N4]],data__22[[#This Row],[N10]:[N13]],data__22[[#This Row],[N16]:[N18]])/11</f>
        <v>0.63636363636363635</v>
      </c>
      <c r="BH177" s="13">
        <f>SUM(data__22[[#This Row],[N8]:[N9]],data__22[[#This Row],[N23]:[N25]])/5</f>
        <v>0.6</v>
      </c>
      <c r="BI177" s="12">
        <f>SUM(data__22[[#This Row],[N5]:[N7]])/3</f>
        <v>0.66666666666666663</v>
      </c>
      <c r="BJ177" s="12">
        <f>SUM(data__22[[#This Row],[N14]:[N15]],data__22[[#This Row],[N19]:[N22]],data__22[[#This Row],[N26]:[N28]])/9</f>
        <v>0.55555555555555558</v>
      </c>
      <c r="BK177" s="12">
        <f>SUM(data__22[[#This Row],[N29]:[N33]])/5</f>
        <v>0.8</v>
      </c>
      <c r="BL177" s="12">
        <f>SUM(data__22[[#This Row],[N34]:[N36]])/3</f>
        <v>0.66666666666666663</v>
      </c>
    </row>
    <row r="178" spans="1:64" x14ac:dyDescent="0.3">
      <c r="A178" s="7">
        <v>21</v>
      </c>
      <c r="B178" s="7" t="s">
        <v>70</v>
      </c>
      <c r="C178" s="7" t="s">
        <v>96</v>
      </c>
      <c r="D178" s="7" t="s">
        <v>72</v>
      </c>
      <c r="E178" s="7" t="s">
        <v>108</v>
      </c>
      <c r="F178" s="7" t="s">
        <v>74</v>
      </c>
      <c r="G178" s="7" t="s">
        <v>439</v>
      </c>
      <c r="H178" s="7" t="s">
        <v>74</v>
      </c>
      <c r="I178" s="7" t="s">
        <v>439</v>
      </c>
      <c r="J178" s="7" t="s">
        <v>77</v>
      </c>
      <c r="K178" s="7" t="s">
        <v>78</v>
      </c>
      <c r="L178" s="8" t="s">
        <v>79</v>
      </c>
      <c r="M178" s="8" t="s">
        <v>80</v>
      </c>
      <c r="N178" s="8" t="s">
        <v>79</v>
      </c>
      <c r="O178" s="8" t="s">
        <v>117</v>
      </c>
      <c r="P178" s="8" t="s">
        <v>79</v>
      </c>
      <c r="Q178" s="8" t="s">
        <v>83</v>
      </c>
      <c r="R178" s="8" t="s">
        <v>82</v>
      </c>
      <c r="S178" s="8" t="s">
        <v>82</v>
      </c>
      <c r="T178" s="8" t="s">
        <v>86</v>
      </c>
      <c r="U178" s="8" t="s">
        <v>87</v>
      </c>
      <c r="V178" s="8" t="s">
        <v>112</v>
      </c>
      <c r="W178" s="9">
        <v>2</v>
      </c>
      <c r="X178" s="9">
        <v>2</v>
      </c>
      <c r="Y178" s="9">
        <v>2</v>
      </c>
      <c r="Z178" s="9">
        <v>2</v>
      </c>
      <c r="AA178" s="9">
        <v>1</v>
      </c>
      <c r="AB178" s="9">
        <v>1</v>
      </c>
      <c r="AC178" s="9">
        <v>2</v>
      </c>
      <c r="AD178" s="9">
        <v>2</v>
      </c>
      <c r="AE178" s="9">
        <v>2</v>
      </c>
      <c r="AF178" s="9">
        <v>0</v>
      </c>
      <c r="AG178" s="9">
        <v>2</v>
      </c>
      <c r="AH178" s="9">
        <v>2</v>
      </c>
      <c r="AI178" s="9">
        <v>2</v>
      </c>
      <c r="AJ178" s="9">
        <v>1</v>
      </c>
      <c r="AK178" s="9">
        <v>1</v>
      </c>
      <c r="AL178" s="10">
        <v>2</v>
      </c>
      <c r="AM178" s="10">
        <v>1</v>
      </c>
      <c r="AN178" s="10">
        <v>1</v>
      </c>
      <c r="AO178" s="10">
        <v>2</v>
      </c>
      <c r="AP178" s="10">
        <v>1</v>
      </c>
      <c r="AQ178" s="10">
        <v>1</v>
      </c>
      <c r="AR178" s="10">
        <v>0</v>
      </c>
      <c r="AS178" s="11">
        <v>3</v>
      </c>
      <c r="AT178" s="11">
        <v>2</v>
      </c>
      <c r="AU178" s="11">
        <v>2</v>
      </c>
      <c r="AV178" s="11">
        <v>1</v>
      </c>
      <c r="AW178" s="11">
        <v>1</v>
      </c>
      <c r="AX178" s="11">
        <v>1</v>
      </c>
      <c r="AY178" s="7">
        <v>2</v>
      </c>
      <c r="AZ178" s="7">
        <v>2</v>
      </c>
      <c r="BA178" s="7">
        <v>2</v>
      </c>
      <c r="BB178" s="7">
        <v>2</v>
      </c>
      <c r="BC178" s="7">
        <v>2</v>
      </c>
      <c r="BD178" s="7">
        <v>1</v>
      </c>
      <c r="BE178" s="7">
        <v>0</v>
      </c>
      <c r="BF178" s="7">
        <v>1</v>
      </c>
      <c r="BG178" s="12">
        <f>SUM(data__22[[#This Row],[N1]:[N4]],data__22[[#This Row],[N10]:[N13]],data__22[[#This Row],[N16]:[N18]])/11</f>
        <v>1.6363636363636365</v>
      </c>
      <c r="BH178" s="13">
        <f>SUM(data__22[[#This Row],[N8]:[N9]],data__22[[#This Row],[N23]:[N25]])/5</f>
        <v>2.2000000000000002</v>
      </c>
      <c r="BI178" s="12">
        <f>SUM(data__22[[#This Row],[N5]:[N7]])/3</f>
        <v>1.3333333333333333</v>
      </c>
      <c r="BJ178" s="12">
        <f>SUM(data__22[[#This Row],[N14]:[N15]],data__22[[#This Row],[N19]:[N22]],data__22[[#This Row],[N26]:[N28]])/9</f>
        <v>1</v>
      </c>
      <c r="BK178" s="12">
        <f>SUM(data__22[[#This Row],[N29]:[N33]])/5</f>
        <v>2</v>
      </c>
      <c r="BL178" s="12">
        <f>SUM(data__22[[#This Row],[N34]:[N36]])/3</f>
        <v>0.66666666666666663</v>
      </c>
    </row>
    <row r="179" spans="1:64" x14ac:dyDescent="0.3">
      <c r="A179" s="7">
        <v>21</v>
      </c>
      <c r="B179" s="7" t="s">
        <v>70</v>
      </c>
      <c r="C179" s="7" t="s">
        <v>96</v>
      </c>
      <c r="D179" s="7" t="s">
        <v>149</v>
      </c>
      <c r="E179" s="7" t="s">
        <v>73</v>
      </c>
      <c r="F179" s="7" t="s">
        <v>100</v>
      </c>
      <c r="G179" s="7" t="s">
        <v>440</v>
      </c>
      <c r="H179" s="7" t="s">
        <v>98</v>
      </c>
      <c r="I179" s="7" t="s">
        <v>439</v>
      </c>
      <c r="J179" s="7" t="s">
        <v>77</v>
      </c>
      <c r="K179" s="7" t="s">
        <v>125</v>
      </c>
      <c r="L179" s="8" t="s">
        <v>79</v>
      </c>
      <c r="M179" s="8" t="s">
        <v>80</v>
      </c>
      <c r="N179" s="8" t="s">
        <v>79</v>
      </c>
      <c r="O179" s="8" t="s">
        <v>81</v>
      </c>
      <c r="P179" s="8" t="s">
        <v>82</v>
      </c>
      <c r="Q179" s="8" t="s">
        <v>83</v>
      </c>
      <c r="R179" s="8" t="s">
        <v>82</v>
      </c>
      <c r="S179" s="8" t="s">
        <v>82</v>
      </c>
      <c r="T179" s="8" t="s">
        <v>86</v>
      </c>
      <c r="U179" s="8" t="s">
        <v>141</v>
      </c>
      <c r="V179" s="8" t="s">
        <v>112</v>
      </c>
      <c r="W179" s="9">
        <v>1</v>
      </c>
      <c r="X179" s="9">
        <v>1</v>
      </c>
      <c r="Y179" s="9">
        <v>1</v>
      </c>
      <c r="Z179" s="9">
        <v>1</v>
      </c>
      <c r="AA179" s="9">
        <v>1</v>
      </c>
      <c r="AB179" s="9">
        <v>1</v>
      </c>
      <c r="AC179" s="9">
        <v>1</v>
      </c>
      <c r="AD179" s="9">
        <v>1</v>
      </c>
      <c r="AE179" s="9">
        <v>1</v>
      </c>
      <c r="AF179" s="9">
        <v>1</v>
      </c>
      <c r="AG179" s="9">
        <v>0</v>
      </c>
      <c r="AH179" s="9">
        <v>1</v>
      </c>
      <c r="AI179" s="9">
        <v>1</v>
      </c>
      <c r="AJ179" s="9">
        <v>1</v>
      </c>
      <c r="AK179" s="9">
        <v>1</v>
      </c>
      <c r="AL179" s="10">
        <v>1</v>
      </c>
      <c r="AM179" s="10">
        <v>1</v>
      </c>
      <c r="AN179" s="10">
        <v>2</v>
      </c>
      <c r="AO179" s="10">
        <v>1</v>
      </c>
      <c r="AP179" s="10">
        <v>2</v>
      </c>
      <c r="AQ179" s="10">
        <v>1</v>
      </c>
      <c r="AR179" s="10">
        <v>1</v>
      </c>
      <c r="AS179" s="11">
        <v>1</v>
      </c>
      <c r="AT179" s="11">
        <v>2</v>
      </c>
      <c r="AU179" s="11">
        <v>1</v>
      </c>
      <c r="AV179" s="11">
        <v>1</v>
      </c>
      <c r="AW179" s="11">
        <v>0</v>
      </c>
      <c r="AX179" s="11">
        <v>1</v>
      </c>
      <c r="AY179" s="7">
        <v>2</v>
      </c>
      <c r="AZ179" s="7">
        <v>1</v>
      </c>
      <c r="BA179" s="7">
        <v>2</v>
      </c>
      <c r="BB179" s="7">
        <v>1</v>
      </c>
      <c r="BC179" s="7">
        <v>1</v>
      </c>
      <c r="BD179" s="7">
        <v>1</v>
      </c>
      <c r="BE179" s="7">
        <v>1</v>
      </c>
      <c r="BF179" s="7">
        <v>1</v>
      </c>
      <c r="BG179" s="12">
        <f>SUM(data__22[[#This Row],[N1]:[N4]],data__22[[#This Row],[N10]:[N13]],data__22[[#This Row],[N16]:[N18]])/11</f>
        <v>1</v>
      </c>
      <c r="BH179" s="13">
        <f>SUM(data__22[[#This Row],[N8]:[N9]],data__22[[#This Row],[N23]:[N25]])/5</f>
        <v>1.2</v>
      </c>
      <c r="BI179" s="12">
        <f>SUM(data__22[[#This Row],[N5]:[N7]])/3</f>
        <v>1</v>
      </c>
      <c r="BJ179" s="12">
        <f>SUM(data__22[[#This Row],[N14]:[N15]],data__22[[#This Row],[N19]:[N22]],data__22[[#This Row],[N26]:[N28]])/9</f>
        <v>1</v>
      </c>
      <c r="BK179" s="12">
        <f>SUM(data__22[[#This Row],[N29]:[N33]])/5</f>
        <v>1.4</v>
      </c>
      <c r="BL179" s="12">
        <f>SUM(data__22[[#This Row],[N34]:[N36]])/3</f>
        <v>1</v>
      </c>
    </row>
    <row r="180" spans="1:64" x14ac:dyDescent="0.3">
      <c r="A180" s="7">
        <v>23</v>
      </c>
      <c r="B180" s="7" t="s">
        <v>70</v>
      </c>
      <c r="C180" s="7" t="s">
        <v>113</v>
      </c>
      <c r="D180" s="7" t="s">
        <v>72</v>
      </c>
      <c r="E180" s="7" t="s">
        <v>114</v>
      </c>
      <c r="F180" s="7" t="s">
        <v>74</v>
      </c>
      <c r="G180" s="7" t="s">
        <v>440</v>
      </c>
      <c r="H180" s="7" t="s">
        <v>98</v>
      </c>
      <c r="I180" s="7" t="s">
        <v>76</v>
      </c>
      <c r="J180" s="7" t="s">
        <v>77</v>
      </c>
      <c r="K180" s="7" t="s">
        <v>122</v>
      </c>
      <c r="L180" s="8" t="s">
        <v>82</v>
      </c>
      <c r="M180" s="8" t="s">
        <v>80</v>
      </c>
      <c r="N180" s="8" t="s">
        <v>79</v>
      </c>
      <c r="O180" s="8" t="s">
        <v>109</v>
      </c>
      <c r="P180" s="8" t="s">
        <v>82</v>
      </c>
      <c r="Q180" s="8" t="s">
        <v>83</v>
      </c>
      <c r="R180" s="8" t="s">
        <v>79</v>
      </c>
      <c r="S180" s="8" t="s">
        <v>79</v>
      </c>
      <c r="T180" s="8" t="s">
        <v>86</v>
      </c>
      <c r="U180" s="8" t="s">
        <v>87</v>
      </c>
      <c r="V180" s="8" t="s">
        <v>455</v>
      </c>
      <c r="W180" s="9">
        <v>1</v>
      </c>
      <c r="X180" s="9">
        <v>3</v>
      </c>
      <c r="Y180" s="9">
        <v>3</v>
      </c>
      <c r="Z180" s="9">
        <v>2</v>
      </c>
      <c r="AA180" s="9">
        <v>1</v>
      </c>
      <c r="AB180" s="9">
        <v>1</v>
      </c>
      <c r="AC180" s="9">
        <v>2</v>
      </c>
      <c r="AD180" s="9">
        <v>3</v>
      </c>
      <c r="AE180" s="9">
        <v>3</v>
      </c>
      <c r="AF180" s="9">
        <v>3</v>
      </c>
      <c r="AG180" s="9">
        <v>3</v>
      </c>
      <c r="AH180" s="9">
        <v>3</v>
      </c>
      <c r="AI180" s="9">
        <v>3</v>
      </c>
      <c r="AJ180" s="9">
        <v>3</v>
      </c>
      <c r="AK180" s="9">
        <v>2</v>
      </c>
      <c r="AL180" s="10">
        <v>3</v>
      </c>
      <c r="AM180" s="10">
        <v>3</v>
      </c>
      <c r="AN180" s="10">
        <v>3</v>
      </c>
      <c r="AO180" s="10">
        <v>1</v>
      </c>
      <c r="AP180" s="10">
        <v>0</v>
      </c>
      <c r="AQ180" s="10">
        <v>0</v>
      </c>
      <c r="AR180" s="10">
        <v>0</v>
      </c>
      <c r="AS180" s="11">
        <v>2</v>
      </c>
      <c r="AT180" s="11">
        <v>3</v>
      </c>
      <c r="AU180" s="11">
        <v>3</v>
      </c>
      <c r="AV180" s="11">
        <v>3</v>
      </c>
      <c r="AW180" s="11">
        <v>0</v>
      </c>
      <c r="AX180" s="11">
        <v>0</v>
      </c>
      <c r="AY180" s="7"/>
      <c r="AZ180" s="7"/>
      <c r="BA180" s="7"/>
      <c r="BB180" s="7"/>
      <c r="BC180" s="7"/>
      <c r="BD180" s="7"/>
      <c r="BE180" s="7"/>
      <c r="BF180" s="7"/>
      <c r="BG180" s="12">
        <f>SUM(data__22[[#This Row],[N1]:[N4]],data__22[[#This Row],[N10]:[N13]],data__22[[#This Row],[N16]:[N18]])/11</f>
        <v>2.7272727272727271</v>
      </c>
      <c r="BH180" s="13">
        <f>SUM(data__22[[#This Row],[N8]:[N9]],data__22[[#This Row],[N23]:[N25]])/5</f>
        <v>2.8</v>
      </c>
      <c r="BI180" s="12">
        <f>SUM(data__22[[#This Row],[N5]:[N7]])/3</f>
        <v>1.3333333333333333</v>
      </c>
      <c r="BJ180" s="12">
        <f>SUM(data__22[[#This Row],[N14]:[N15]],data__22[[#This Row],[N19]:[N22]],data__22[[#This Row],[N26]:[N28]])/9</f>
        <v>1</v>
      </c>
      <c r="BK180" s="12">
        <f>SUM(data__22[[#This Row],[N29]:[N33]])/5</f>
        <v>0</v>
      </c>
      <c r="BL180" s="12">
        <f>SUM(data__22[[#This Row],[N34]:[N36]])/3</f>
        <v>0</v>
      </c>
    </row>
    <row r="181" spans="1:64" x14ac:dyDescent="0.3">
      <c r="A181" s="7">
        <v>22</v>
      </c>
      <c r="B181" s="7" t="s">
        <v>70</v>
      </c>
      <c r="C181" s="7" t="s">
        <v>113</v>
      </c>
      <c r="D181" s="7" t="s">
        <v>149</v>
      </c>
      <c r="E181" s="7" t="s">
        <v>108</v>
      </c>
      <c r="F181" s="7" t="s">
        <v>74</v>
      </c>
      <c r="G181" s="7" t="s">
        <v>439</v>
      </c>
      <c r="H181" s="7" t="s">
        <v>74</v>
      </c>
      <c r="I181" s="7" t="s">
        <v>76</v>
      </c>
      <c r="J181" s="7" t="s">
        <v>77</v>
      </c>
      <c r="K181" s="7" t="s">
        <v>122</v>
      </c>
      <c r="L181" s="8" t="s">
        <v>82</v>
      </c>
      <c r="M181" s="8" t="s">
        <v>80</v>
      </c>
      <c r="N181" s="8" t="s">
        <v>82</v>
      </c>
      <c r="O181" s="8" t="s">
        <v>133</v>
      </c>
      <c r="P181" s="8" t="s">
        <v>79</v>
      </c>
      <c r="Q181" s="8" t="s">
        <v>103</v>
      </c>
      <c r="R181" s="8" t="s">
        <v>79</v>
      </c>
      <c r="S181" s="8" t="s">
        <v>82</v>
      </c>
      <c r="T181" s="8" t="s">
        <v>86</v>
      </c>
      <c r="U181" s="8" t="s">
        <v>141</v>
      </c>
      <c r="V181" s="8" t="s">
        <v>457</v>
      </c>
      <c r="W181" s="9">
        <v>2</v>
      </c>
      <c r="X181" s="9">
        <v>2</v>
      </c>
      <c r="Y181" s="9">
        <v>2</v>
      </c>
      <c r="Z181" s="9">
        <v>2</v>
      </c>
      <c r="AA181" s="9">
        <v>3</v>
      </c>
      <c r="AB181" s="9">
        <v>2</v>
      </c>
      <c r="AC181" s="9">
        <v>3</v>
      </c>
      <c r="AD181" s="9">
        <v>3</v>
      </c>
      <c r="AE181" s="9">
        <v>2</v>
      </c>
      <c r="AF181" s="9">
        <v>2</v>
      </c>
      <c r="AG181" s="9">
        <v>2</v>
      </c>
      <c r="AH181" s="9">
        <v>2</v>
      </c>
      <c r="AI181" s="9">
        <v>2</v>
      </c>
      <c r="AJ181" s="9">
        <v>3</v>
      </c>
      <c r="AK181" s="9">
        <v>3</v>
      </c>
      <c r="AL181" s="10">
        <v>3</v>
      </c>
      <c r="AM181" s="10">
        <v>3</v>
      </c>
      <c r="AN181" s="10">
        <v>3</v>
      </c>
      <c r="AO181" s="10">
        <v>1</v>
      </c>
      <c r="AP181" s="10">
        <v>1</v>
      </c>
      <c r="AQ181" s="10">
        <v>0</v>
      </c>
      <c r="AR181" s="10">
        <v>1</v>
      </c>
      <c r="AS181" s="11">
        <v>1</v>
      </c>
      <c r="AT181" s="11">
        <v>3</v>
      </c>
      <c r="AU181" s="11">
        <v>3</v>
      </c>
      <c r="AV181" s="11">
        <v>2</v>
      </c>
      <c r="AW181" s="11">
        <v>2</v>
      </c>
      <c r="AX181" s="11">
        <v>0</v>
      </c>
      <c r="AY181" s="7">
        <v>3</v>
      </c>
      <c r="AZ181" s="7">
        <v>3</v>
      </c>
      <c r="BA181" s="7">
        <v>2</v>
      </c>
      <c r="BB181" s="7">
        <v>2</v>
      </c>
      <c r="BC181" s="7">
        <v>2</v>
      </c>
      <c r="BD181" s="7">
        <v>3</v>
      </c>
      <c r="BE181" s="7">
        <v>3</v>
      </c>
      <c r="BF181" s="7">
        <v>3</v>
      </c>
      <c r="BG181" s="12">
        <f>SUM(data__22[[#This Row],[N1]:[N4]],data__22[[#This Row],[N10]:[N13]],data__22[[#This Row],[N16]:[N18]])/11</f>
        <v>2.2727272727272729</v>
      </c>
      <c r="BH181" s="13">
        <f>SUM(data__22[[#This Row],[N8]:[N9]],data__22[[#This Row],[N23]:[N25]])/5</f>
        <v>2.4</v>
      </c>
      <c r="BI181" s="12">
        <f>SUM(data__22[[#This Row],[N5]:[N7]])/3</f>
        <v>2.6666666666666665</v>
      </c>
      <c r="BJ181" s="12">
        <f>SUM(data__22[[#This Row],[N14]:[N15]],data__22[[#This Row],[N19]:[N22]],data__22[[#This Row],[N26]:[N28]])/9</f>
        <v>1.4444444444444444</v>
      </c>
      <c r="BK181" s="12">
        <f>SUM(data__22[[#This Row],[N29]:[N33]])/5</f>
        <v>2.4</v>
      </c>
      <c r="BL181" s="12">
        <f>SUM(data__22[[#This Row],[N34]:[N36]])/3</f>
        <v>3</v>
      </c>
    </row>
    <row r="182" spans="1:64" x14ac:dyDescent="0.3">
      <c r="A182" s="7">
        <v>21</v>
      </c>
      <c r="B182" s="7" t="s">
        <v>70</v>
      </c>
      <c r="C182" s="7" t="s">
        <v>96</v>
      </c>
      <c r="D182" s="7" t="s">
        <v>97</v>
      </c>
      <c r="E182" s="7" t="s">
        <v>108</v>
      </c>
      <c r="F182" s="7" t="s">
        <v>136</v>
      </c>
      <c r="G182" s="7" t="s">
        <v>440</v>
      </c>
      <c r="H182" s="7" t="s">
        <v>98</v>
      </c>
      <c r="I182" s="7" t="s">
        <v>76</v>
      </c>
      <c r="J182" s="7" t="s">
        <v>77</v>
      </c>
      <c r="K182" s="7" t="s">
        <v>131</v>
      </c>
      <c r="L182" s="8" t="s">
        <v>79</v>
      </c>
      <c r="M182" s="8" t="s">
        <v>80</v>
      </c>
      <c r="N182" s="8" t="s">
        <v>82</v>
      </c>
      <c r="O182" s="8" t="s">
        <v>117</v>
      </c>
      <c r="P182" s="8" t="s">
        <v>79</v>
      </c>
      <c r="Q182" s="8" t="s">
        <v>103</v>
      </c>
      <c r="R182" s="8" t="s">
        <v>79</v>
      </c>
      <c r="S182" s="8" t="s">
        <v>79</v>
      </c>
      <c r="T182" s="8" t="s">
        <v>106</v>
      </c>
      <c r="U182" s="8" t="s">
        <v>141</v>
      </c>
      <c r="V182" s="8" t="s">
        <v>112</v>
      </c>
      <c r="W182" s="9">
        <v>3</v>
      </c>
      <c r="X182" s="9">
        <v>3</v>
      </c>
      <c r="Y182" s="9">
        <v>3</v>
      </c>
      <c r="Z182" s="9">
        <v>3</v>
      </c>
      <c r="AA182" s="9">
        <v>1</v>
      </c>
      <c r="AB182" s="9">
        <v>1</v>
      </c>
      <c r="AC182" s="9">
        <v>1</v>
      </c>
      <c r="AD182" s="9">
        <v>3</v>
      </c>
      <c r="AE182" s="9">
        <v>3</v>
      </c>
      <c r="AF182" s="9">
        <v>3</v>
      </c>
      <c r="AG182" s="9">
        <v>3</v>
      </c>
      <c r="AH182" s="9">
        <v>3</v>
      </c>
      <c r="AI182" s="9">
        <v>3</v>
      </c>
      <c r="AJ182" s="9">
        <v>0</v>
      </c>
      <c r="AK182" s="9">
        <v>0</v>
      </c>
      <c r="AL182" s="10">
        <v>3</v>
      </c>
      <c r="AM182" s="10">
        <v>3</v>
      </c>
      <c r="AN182" s="10">
        <v>3</v>
      </c>
      <c r="AO182" s="10">
        <v>0</v>
      </c>
      <c r="AP182" s="10">
        <v>0</v>
      </c>
      <c r="AQ182" s="10">
        <v>0</v>
      </c>
      <c r="AR182" s="10">
        <v>0</v>
      </c>
      <c r="AS182" s="11">
        <v>3</v>
      </c>
      <c r="AT182" s="11">
        <v>3</v>
      </c>
      <c r="AU182" s="11">
        <v>2</v>
      </c>
      <c r="AV182" s="11">
        <v>3</v>
      </c>
      <c r="AW182" s="11">
        <v>3</v>
      </c>
      <c r="AX182" s="11">
        <v>2</v>
      </c>
      <c r="AY182" s="7"/>
      <c r="AZ182" s="7"/>
      <c r="BA182" s="7"/>
      <c r="BB182" s="7"/>
      <c r="BC182" s="7"/>
      <c r="BD182" s="7"/>
      <c r="BE182" s="7"/>
      <c r="BF182" s="7"/>
      <c r="BG182" s="12">
        <f>SUM(data__22[[#This Row],[N1]:[N4]],data__22[[#This Row],[N10]:[N13]],data__22[[#This Row],[N16]:[N18]])/11</f>
        <v>3</v>
      </c>
      <c r="BH182" s="13">
        <f>SUM(data__22[[#This Row],[N8]:[N9]],data__22[[#This Row],[N23]:[N25]])/5</f>
        <v>2.8</v>
      </c>
      <c r="BI182" s="12">
        <f>SUM(data__22[[#This Row],[N5]:[N7]])/3</f>
        <v>1</v>
      </c>
      <c r="BJ182" s="12">
        <f>SUM(data__22[[#This Row],[N14]:[N15]],data__22[[#This Row],[N19]:[N22]],data__22[[#This Row],[N26]:[N28]])/9</f>
        <v>0.88888888888888884</v>
      </c>
      <c r="BK182" s="12">
        <f>SUM(data__22[[#This Row],[N29]:[N33]])/5</f>
        <v>0</v>
      </c>
      <c r="BL182" s="12">
        <f>SUM(data__22[[#This Row],[N34]:[N36]])/3</f>
        <v>0</v>
      </c>
    </row>
    <row r="183" spans="1:64" x14ac:dyDescent="0.3">
      <c r="A183" s="7">
        <v>21</v>
      </c>
      <c r="B183" s="7" t="s">
        <v>70</v>
      </c>
      <c r="C183" s="7" t="s">
        <v>96</v>
      </c>
      <c r="D183" s="7" t="s">
        <v>149</v>
      </c>
      <c r="E183" s="7" t="s">
        <v>108</v>
      </c>
      <c r="F183" s="7" t="s">
        <v>74</v>
      </c>
      <c r="G183" s="7" t="s">
        <v>439</v>
      </c>
      <c r="H183" s="7" t="s">
        <v>74</v>
      </c>
      <c r="I183" s="7" t="s">
        <v>439</v>
      </c>
      <c r="J183" s="7" t="s">
        <v>77</v>
      </c>
      <c r="K183" s="7" t="s">
        <v>131</v>
      </c>
      <c r="L183" s="8" t="s">
        <v>79</v>
      </c>
      <c r="M183" s="8" t="s">
        <v>102</v>
      </c>
      <c r="N183" s="8" t="s">
        <v>79</v>
      </c>
      <c r="O183" s="8" t="s">
        <v>138</v>
      </c>
      <c r="P183" s="8" t="s">
        <v>82</v>
      </c>
      <c r="Q183" s="8" t="s">
        <v>103</v>
      </c>
      <c r="R183" s="8" t="s">
        <v>79</v>
      </c>
      <c r="S183" s="8" t="s">
        <v>79</v>
      </c>
      <c r="T183" s="8" t="s">
        <v>86</v>
      </c>
      <c r="U183" s="8" t="s">
        <v>87</v>
      </c>
      <c r="V183" s="8" t="s">
        <v>112</v>
      </c>
      <c r="W183" s="9">
        <v>2</v>
      </c>
      <c r="X183" s="9">
        <v>2</v>
      </c>
      <c r="Y183" s="9">
        <v>2</v>
      </c>
      <c r="Z183" s="9">
        <v>2</v>
      </c>
      <c r="AA183" s="9">
        <v>2</v>
      </c>
      <c r="AB183" s="9">
        <v>2</v>
      </c>
      <c r="AC183" s="9">
        <v>2</v>
      </c>
      <c r="AD183" s="9">
        <v>2</v>
      </c>
      <c r="AE183" s="9">
        <v>2</v>
      </c>
      <c r="AF183" s="9">
        <v>2</v>
      </c>
      <c r="AG183" s="9">
        <v>2</v>
      </c>
      <c r="AH183" s="9">
        <v>2</v>
      </c>
      <c r="AI183" s="9">
        <v>2</v>
      </c>
      <c r="AJ183" s="9">
        <v>0</v>
      </c>
      <c r="AK183" s="9">
        <v>0</v>
      </c>
      <c r="AL183" s="10">
        <v>3</v>
      </c>
      <c r="AM183" s="10">
        <v>3</v>
      </c>
      <c r="AN183" s="10">
        <v>3</v>
      </c>
      <c r="AO183" s="10">
        <v>3</v>
      </c>
      <c r="AP183" s="10">
        <v>3</v>
      </c>
      <c r="AQ183" s="10">
        <v>0</v>
      </c>
      <c r="AR183" s="10">
        <v>0</v>
      </c>
      <c r="AS183" s="11">
        <v>2</v>
      </c>
      <c r="AT183" s="11">
        <v>2</v>
      </c>
      <c r="AU183" s="11">
        <v>2</v>
      </c>
      <c r="AV183" s="11">
        <v>2</v>
      </c>
      <c r="AW183" s="11">
        <v>0</v>
      </c>
      <c r="AX183" s="11">
        <v>0</v>
      </c>
      <c r="AY183" s="7">
        <v>3</v>
      </c>
      <c r="AZ183" s="7">
        <v>3</v>
      </c>
      <c r="BA183" s="7">
        <v>3</v>
      </c>
      <c r="BB183" s="7">
        <v>3</v>
      </c>
      <c r="BC183" s="7">
        <v>3</v>
      </c>
      <c r="BD183" s="7">
        <v>0</v>
      </c>
      <c r="BE183" s="7">
        <v>0</v>
      </c>
      <c r="BF183" s="7">
        <v>0</v>
      </c>
      <c r="BG183" s="12">
        <f>SUM(data__22[[#This Row],[N1]:[N4]],data__22[[#This Row],[N10]:[N13]],data__22[[#This Row],[N16]:[N18]])/11</f>
        <v>2.2727272727272729</v>
      </c>
      <c r="BH183" s="13">
        <f>SUM(data__22[[#This Row],[N8]:[N9]],data__22[[#This Row],[N23]:[N25]])/5</f>
        <v>2</v>
      </c>
      <c r="BI183" s="12">
        <f>SUM(data__22[[#This Row],[N5]:[N7]])/3</f>
        <v>2</v>
      </c>
      <c r="BJ183" s="12">
        <f>SUM(data__22[[#This Row],[N14]:[N15]],data__22[[#This Row],[N19]:[N22]],data__22[[#This Row],[N26]:[N28]])/9</f>
        <v>0.88888888888888884</v>
      </c>
      <c r="BK183" s="12">
        <f>SUM(data__22[[#This Row],[N29]:[N33]])/5</f>
        <v>3</v>
      </c>
      <c r="BL183" s="12">
        <f>SUM(data__22[[#This Row],[N34]:[N36]])/3</f>
        <v>0</v>
      </c>
    </row>
    <row r="184" spans="1:64" x14ac:dyDescent="0.3">
      <c r="A184" s="7">
        <v>22</v>
      </c>
      <c r="B184" s="7" t="s">
        <v>70</v>
      </c>
      <c r="C184" s="7" t="s">
        <v>157</v>
      </c>
      <c r="D184" s="7" t="s">
        <v>97</v>
      </c>
      <c r="E184" s="7" t="s">
        <v>108</v>
      </c>
      <c r="F184" s="7" t="s">
        <v>74</v>
      </c>
      <c r="G184" s="7" t="s">
        <v>439</v>
      </c>
      <c r="H184" s="7" t="s">
        <v>74</v>
      </c>
      <c r="I184" s="7" t="s">
        <v>439</v>
      </c>
      <c r="J184" s="7" t="s">
        <v>77</v>
      </c>
      <c r="K184" s="7" t="s">
        <v>131</v>
      </c>
      <c r="L184" s="8" t="s">
        <v>79</v>
      </c>
      <c r="M184" s="8" t="s">
        <v>80</v>
      </c>
      <c r="N184" s="8" t="s">
        <v>79</v>
      </c>
      <c r="O184" s="8" t="s">
        <v>109</v>
      </c>
      <c r="P184" s="8" t="s">
        <v>79</v>
      </c>
      <c r="Q184" s="8" t="s">
        <v>83</v>
      </c>
      <c r="R184" s="8" t="s">
        <v>79</v>
      </c>
      <c r="S184" s="8" t="s">
        <v>79</v>
      </c>
      <c r="T184" s="8" t="s">
        <v>106</v>
      </c>
      <c r="U184" s="8" t="s">
        <v>141</v>
      </c>
      <c r="V184" s="8" t="s">
        <v>112</v>
      </c>
      <c r="W184" s="9">
        <v>2</v>
      </c>
      <c r="X184" s="9">
        <v>1</v>
      </c>
      <c r="Y184" s="9">
        <v>1</v>
      </c>
      <c r="Z184" s="9">
        <v>1</v>
      </c>
      <c r="AA184" s="9">
        <v>1</v>
      </c>
      <c r="AB184" s="9">
        <v>1</v>
      </c>
      <c r="AC184" s="9">
        <v>1</v>
      </c>
      <c r="AD184" s="9">
        <v>1</v>
      </c>
      <c r="AE184" s="9">
        <v>1</v>
      </c>
      <c r="AF184" s="9">
        <v>1</v>
      </c>
      <c r="AG184" s="9">
        <v>1</v>
      </c>
      <c r="AH184" s="9">
        <v>1</v>
      </c>
      <c r="AI184" s="9">
        <v>1</v>
      </c>
      <c r="AJ184" s="9">
        <v>1</v>
      </c>
      <c r="AK184" s="9">
        <v>1</v>
      </c>
      <c r="AL184" s="10">
        <v>1</v>
      </c>
      <c r="AM184" s="10">
        <v>1</v>
      </c>
      <c r="AN184" s="10">
        <v>1</v>
      </c>
      <c r="AO184" s="10">
        <v>1</v>
      </c>
      <c r="AP184" s="10">
        <v>1</v>
      </c>
      <c r="AQ184" s="10">
        <v>1</v>
      </c>
      <c r="AR184" s="10">
        <v>1</v>
      </c>
      <c r="AS184" s="11">
        <v>1</v>
      </c>
      <c r="AT184" s="11">
        <v>1</v>
      </c>
      <c r="AU184" s="11">
        <v>1</v>
      </c>
      <c r="AV184" s="11">
        <v>1</v>
      </c>
      <c r="AW184" s="11">
        <v>1</v>
      </c>
      <c r="AX184" s="11">
        <v>1</v>
      </c>
      <c r="AY184" s="7">
        <v>1</v>
      </c>
      <c r="AZ184" s="7">
        <v>1</v>
      </c>
      <c r="BA184" s="7">
        <v>1</v>
      </c>
      <c r="BB184" s="7">
        <v>1</v>
      </c>
      <c r="BC184" s="7">
        <v>1</v>
      </c>
      <c r="BD184" s="7">
        <v>1</v>
      </c>
      <c r="BE184" s="7">
        <v>1</v>
      </c>
      <c r="BF184" s="7">
        <v>1</v>
      </c>
      <c r="BG184" s="12">
        <f>SUM(data__22[[#This Row],[N1]:[N4]],data__22[[#This Row],[N10]:[N13]],data__22[[#This Row],[N16]:[N18]])/11</f>
        <v>1.0909090909090908</v>
      </c>
      <c r="BH184" s="13">
        <f>SUM(data__22[[#This Row],[N8]:[N9]],data__22[[#This Row],[N23]:[N25]])/5</f>
        <v>1</v>
      </c>
      <c r="BI184" s="12">
        <f>SUM(data__22[[#This Row],[N5]:[N7]])/3</f>
        <v>1</v>
      </c>
      <c r="BJ184" s="12">
        <f>SUM(data__22[[#This Row],[N14]:[N15]],data__22[[#This Row],[N19]:[N22]],data__22[[#This Row],[N26]:[N28]])/9</f>
        <v>1</v>
      </c>
      <c r="BK184" s="12">
        <f>SUM(data__22[[#This Row],[N29]:[N33]])/5</f>
        <v>1</v>
      </c>
      <c r="BL184" s="12">
        <f>SUM(data__22[[#This Row],[N34]:[N36]])/3</f>
        <v>1</v>
      </c>
    </row>
    <row r="185" spans="1:64" x14ac:dyDescent="0.3">
      <c r="A185" s="7">
        <v>19</v>
      </c>
      <c r="B185" s="7" t="s">
        <v>70</v>
      </c>
      <c r="C185" s="7" t="s">
        <v>157</v>
      </c>
      <c r="D185" s="7" t="s">
        <v>72</v>
      </c>
      <c r="E185" s="7" t="s">
        <v>114</v>
      </c>
      <c r="F185" s="7" t="s">
        <v>74</v>
      </c>
      <c r="G185" s="7" t="s">
        <v>440</v>
      </c>
      <c r="H185" s="7" t="s">
        <v>136</v>
      </c>
      <c r="I185" s="7" t="s">
        <v>76</v>
      </c>
      <c r="J185" s="7" t="s">
        <v>77</v>
      </c>
      <c r="K185" s="7" t="s">
        <v>78</v>
      </c>
      <c r="L185" s="8" t="s">
        <v>79</v>
      </c>
      <c r="M185" s="8" t="s">
        <v>80</v>
      </c>
      <c r="N185" s="8" t="s">
        <v>79</v>
      </c>
      <c r="O185" s="8" t="s">
        <v>138</v>
      </c>
      <c r="P185" s="8" t="s">
        <v>79</v>
      </c>
      <c r="Q185" s="8" t="s">
        <v>83</v>
      </c>
      <c r="R185" s="8" t="s">
        <v>79</v>
      </c>
      <c r="S185" s="8" t="s">
        <v>82</v>
      </c>
      <c r="T185" s="8" t="s">
        <v>106</v>
      </c>
      <c r="U185" s="8" t="s">
        <v>87</v>
      </c>
      <c r="V185" s="8" t="s">
        <v>112</v>
      </c>
      <c r="W185" s="9">
        <v>3</v>
      </c>
      <c r="X185" s="9">
        <v>3</v>
      </c>
      <c r="Y185" s="9">
        <v>3</v>
      </c>
      <c r="Z185" s="9">
        <v>3</v>
      </c>
      <c r="AA185" s="9">
        <v>1</v>
      </c>
      <c r="AB185" s="9">
        <v>1</v>
      </c>
      <c r="AC185" s="9">
        <v>1</v>
      </c>
      <c r="AD185" s="9">
        <v>1</v>
      </c>
      <c r="AE185" s="9">
        <v>2</v>
      </c>
      <c r="AF185" s="9">
        <v>2</v>
      </c>
      <c r="AG185" s="9">
        <v>3</v>
      </c>
      <c r="AH185" s="9">
        <v>3</v>
      </c>
      <c r="AI185" s="9">
        <v>3</v>
      </c>
      <c r="AJ185" s="9">
        <v>1</v>
      </c>
      <c r="AK185" s="9">
        <v>1</v>
      </c>
      <c r="AL185" s="10">
        <v>3</v>
      </c>
      <c r="AM185" s="10">
        <v>3</v>
      </c>
      <c r="AN185" s="10">
        <v>3</v>
      </c>
      <c r="AO185" s="10">
        <v>1</v>
      </c>
      <c r="AP185" s="10">
        <v>0</v>
      </c>
      <c r="AQ185" s="10">
        <v>0</v>
      </c>
      <c r="AR185" s="10">
        <v>0</v>
      </c>
      <c r="AS185" s="11">
        <v>3</v>
      </c>
      <c r="AT185" s="11">
        <v>3</v>
      </c>
      <c r="AU185" s="11">
        <v>3</v>
      </c>
      <c r="AV185" s="11">
        <v>1</v>
      </c>
      <c r="AW185" s="11">
        <v>1</v>
      </c>
      <c r="AX185" s="11">
        <v>1</v>
      </c>
      <c r="AY185" s="7"/>
      <c r="AZ185" s="7"/>
      <c r="BA185" s="7"/>
      <c r="BB185" s="7"/>
      <c r="BC185" s="7"/>
      <c r="BD185" s="7"/>
      <c r="BE185" s="7"/>
      <c r="BF185" s="7"/>
      <c r="BG185" s="12">
        <f>SUM(data__22[[#This Row],[N1]:[N4]],data__22[[#This Row],[N10]:[N13]],data__22[[#This Row],[N16]:[N18]])/11</f>
        <v>2.9090909090909092</v>
      </c>
      <c r="BH185" s="13">
        <f>SUM(data__22[[#This Row],[N8]:[N9]],data__22[[#This Row],[N23]:[N25]])/5</f>
        <v>2.4</v>
      </c>
      <c r="BI185" s="12">
        <f>SUM(data__22[[#This Row],[N5]:[N7]])/3</f>
        <v>1</v>
      </c>
      <c r="BJ185" s="12">
        <f>SUM(data__22[[#This Row],[N14]:[N15]],data__22[[#This Row],[N19]:[N22]],data__22[[#This Row],[N26]:[N28]])/9</f>
        <v>0.66666666666666663</v>
      </c>
      <c r="BK185" s="12">
        <f>SUM(data__22[[#This Row],[N29]:[N33]])/5</f>
        <v>0</v>
      </c>
      <c r="BL185" s="12">
        <f>SUM(data__22[[#This Row],[N34]:[N36]])/3</f>
        <v>0</v>
      </c>
    </row>
    <row r="186" spans="1:64" x14ac:dyDescent="0.3">
      <c r="A186" s="7">
        <v>21</v>
      </c>
      <c r="B186" s="7" t="s">
        <v>70</v>
      </c>
      <c r="C186" s="7" t="s">
        <v>157</v>
      </c>
      <c r="D186" s="7" t="s">
        <v>97</v>
      </c>
      <c r="E186" s="7" t="s">
        <v>108</v>
      </c>
      <c r="F186" s="7" t="s">
        <v>74</v>
      </c>
      <c r="G186" s="7" t="s">
        <v>439</v>
      </c>
      <c r="H186" s="7" t="s">
        <v>74</v>
      </c>
      <c r="I186" s="7" t="s">
        <v>76</v>
      </c>
      <c r="J186" s="7" t="s">
        <v>77</v>
      </c>
      <c r="K186" s="7" t="s">
        <v>131</v>
      </c>
      <c r="L186" s="8" t="s">
        <v>79</v>
      </c>
      <c r="M186" s="8" t="s">
        <v>80</v>
      </c>
      <c r="N186" s="8" t="s">
        <v>82</v>
      </c>
      <c r="O186" s="8" t="s">
        <v>81</v>
      </c>
      <c r="P186" s="8" t="s">
        <v>79</v>
      </c>
      <c r="Q186" s="8" t="s">
        <v>83</v>
      </c>
      <c r="R186" s="8" t="s">
        <v>79</v>
      </c>
      <c r="S186" s="8" t="s">
        <v>79</v>
      </c>
      <c r="T186" s="8" t="s">
        <v>106</v>
      </c>
      <c r="U186" s="8" t="s">
        <v>87</v>
      </c>
      <c r="V186" s="8" t="s">
        <v>112</v>
      </c>
      <c r="W186" s="9">
        <v>2</v>
      </c>
      <c r="X186" s="9">
        <v>3</v>
      </c>
      <c r="Y186" s="9">
        <v>3</v>
      </c>
      <c r="Z186" s="9">
        <v>3</v>
      </c>
      <c r="AA186" s="9">
        <v>3</v>
      </c>
      <c r="AB186" s="9">
        <v>3</v>
      </c>
      <c r="AC186" s="9">
        <v>3</v>
      </c>
      <c r="AD186" s="9">
        <v>3</v>
      </c>
      <c r="AE186" s="9">
        <v>3</v>
      </c>
      <c r="AF186" s="9">
        <v>3</v>
      </c>
      <c r="AG186" s="9">
        <v>3</v>
      </c>
      <c r="AH186" s="9">
        <v>3</v>
      </c>
      <c r="AI186" s="9">
        <v>3</v>
      </c>
      <c r="AJ186" s="9">
        <v>3</v>
      </c>
      <c r="AK186" s="9">
        <v>3</v>
      </c>
      <c r="AL186" s="10">
        <v>3</v>
      </c>
      <c r="AM186" s="10">
        <v>3</v>
      </c>
      <c r="AN186" s="10">
        <v>3</v>
      </c>
      <c r="AO186" s="10">
        <v>3</v>
      </c>
      <c r="AP186" s="10">
        <v>3</v>
      </c>
      <c r="AQ186" s="10">
        <v>3</v>
      </c>
      <c r="AR186" s="10">
        <v>3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7">
        <v>3</v>
      </c>
      <c r="AZ186" s="7">
        <v>3</v>
      </c>
      <c r="BA186" s="7">
        <v>3</v>
      </c>
      <c r="BB186" s="7">
        <v>3</v>
      </c>
      <c r="BC186" s="7">
        <v>3</v>
      </c>
      <c r="BD186" s="7">
        <v>3</v>
      </c>
      <c r="BE186" s="7">
        <v>3</v>
      </c>
      <c r="BF186" s="7">
        <v>3</v>
      </c>
      <c r="BG186" s="12">
        <f>SUM(data__22[[#This Row],[N1]:[N4]],data__22[[#This Row],[N10]:[N13]],data__22[[#This Row],[N16]:[N18]])/11</f>
        <v>2.9090909090909092</v>
      </c>
      <c r="BH186" s="13">
        <f>SUM(data__22[[#This Row],[N8]:[N9]],data__22[[#This Row],[N23]:[N25]])/5</f>
        <v>1.2</v>
      </c>
      <c r="BI186" s="12">
        <f>SUM(data__22[[#This Row],[N5]:[N7]])/3</f>
        <v>3</v>
      </c>
      <c r="BJ186" s="12">
        <f>SUM(data__22[[#This Row],[N14]:[N15]],data__22[[#This Row],[N19]:[N22]],data__22[[#This Row],[N26]:[N28]])/9</f>
        <v>2</v>
      </c>
      <c r="BK186" s="12">
        <f>SUM(data__22[[#This Row],[N29]:[N33]])/5</f>
        <v>3</v>
      </c>
      <c r="BL186" s="12">
        <f>SUM(data__22[[#This Row],[N34]:[N36]])/3</f>
        <v>3</v>
      </c>
    </row>
    <row r="187" spans="1:64" x14ac:dyDescent="0.3">
      <c r="A187" s="7">
        <v>21</v>
      </c>
      <c r="B187" s="7" t="s">
        <v>70</v>
      </c>
      <c r="C187" s="7" t="s">
        <v>157</v>
      </c>
      <c r="D187" s="7" t="s">
        <v>97</v>
      </c>
      <c r="E187" s="7" t="s">
        <v>108</v>
      </c>
      <c r="F187" s="7" t="s">
        <v>74</v>
      </c>
      <c r="G187" s="7" t="s">
        <v>439</v>
      </c>
      <c r="H187" s="7" t="s">
        <v>74</v>
      </c>
      <c r="I187" s="7" t="s">
        <v>76</v>
      </c>
      <c r="J187" s="7" t="s">
        <v>77</v>
      </c>
      <c r="K187" s="7" t="s">
        <v>131</v>
      </c>
      <c r="L187" s="8" t="s">
        <v>79</v>
      </c>
      <c r="M187" s="8" t="s">
        <v>80</v>
      </c>
      <c r="N187" s="8" t="s">
        <v>79</v>
      </c>
      <c r="O187" s="8" t="s">
        <v>117</v>
      </c>
      <c r="P187" s="8" t="s">
        <v>79</v>
      </c>
      <c r="Q187" s="8" t="s">
        <v>83</v>
      </c>
      <c r="R187" s="8" t="s">
        <v>82</v>
      </c>
      <c r="S187" s="8" t="s">
        <v>82</v>
      </c>
      <c r="T187" s="8" t="s">
        <v>106</v>
      </c>
      <c r="U187" s="8" t="s">
        <v>87</v>
      </c>
      <c r="V187" s="8" t="s">
        <v>112</v>
      </c>
      <c r="W187" s="9">
        <v>2</v>
      </c>
      <c r="X187" s="9">
        <v>3</v>
      </c>
      <c r="Y187" s="9">
        <v>3</v>
      </c>
      <c r="Z187" s="9">
        <v>3</v>
      </c>
      <c r="AA187" s="9">
        <v>2</v>
      </c>
      <c r="AB187" s="9">
        <v>2</v>
      </c>
      <c r="AC187" s="9">
        <v>3</v>
      </c>
      <c r="AD187" s="9">
        <v>3</v>
      </c>
      <c r="AE187" s="9">
        <v>2</v>
      </c>
      <c r="AF187" s="9">
        <v>2</v>
      </c>
      <c r="AG187" s="9">
        <v>3</v>
      </c>
      <c r="AH187" s="9">
        <v>3</v>
      </c>
      <c r="AI187" s="9">
        <v>3</v>
      </c>
      <c r="AJ187" s="9">
        <v>2</v>
      </c>
      <c r="AK187" s="9">
        <v>2</v>
      </c>
      <c r="AL187" s="10">
        <v>3</v>
      </c>
      <c r="AM187" s="10">
        <v>3</v>
      </c>
      <c r="AN187" s="10">
        <v>3</v>
      </c>
      <c r="AO187" s="10">
        <v>1</v>
      </c>
      <c r="AP187" s="10">
        <v>1</v>
      </c>
      <c r="AQ187" s="10">
        <v>1</v>
      </c>
      <c r="AR187" s="10">
        <v>1</v>
      </c>
      <c r="AS187" s="11">
        <v>2</v>
      </c>
      <c r="AT187" s="11">
        <v>2</v>
      </c>
      <c r="AU187" s="11">
        <v>2</v>
      </c>
      <c r="AV187" s="11">
        <v>2</v>
      </c>
      <c r="AW187" s="11">
        <v>1</v>
      </c>
      <c r="AX187" s="11">
        <v>2</v>
      </c>
      <c r="AY187" s="7">
        <v>3</v>
      </c>
      <c r="AZ187" s="7">
        <v>3</v>
      </c>
      <c r="BA187" s="7">
        <v>3</v>
      </c>
      <c r="BB187" s="7">
        <v>3</v>
      </c>
      <c r="BC187" s="7">
        <v>3</v>
      </c>
      <c r="BD187" s="7">
        <v>3</v>
      </c>
      <c r="BE187" s="7">
        <v>3</v>
      </c>
      <c r="BF187" s="7">
        <v>3</v>
      </c>
      <c r="BG187" s="12">
        <f>SUM(data__22[[#This Row],[N1]:[N4]],data__22[[#This Row],[N10]:[N13]],data__22[[#This Row],[N16]:[N18]])/11</f>
        <v>2.8181818181818183</v>
      </c>
      <c r="BH187" s="13">
        <f>SUM(data__22[[#This Row],[N8]:[N9]],data__22[[#This Row],[N23]:[N25]])/5</f>
        <v>2.2000000000000002</v>
      </c>
      <c r="BI187" s="12">
        <f>SUM(data__22[[#This Row],[N5]:[N7]])/3</f>
        <v>2.3333333333333335</v>
      </c>
      <c r="BJ187" s="12">
        <f>SUM(data__22[[#This Row],[N14]:[N15]],data__22[[#This Row],[N19]:[N22]],data__22[[#This Row],[N26]:[N28]])/9</f>
        <v>1.4444444444444444</v>
      </c>
      <c r="BK187" s="12">
        <f>SUM(data__22[[#This Row],[N29]:[N33]])/5</f>
        <v>3</v>
      </c>
      <c r="BL187" s="12">
        <f>SUM(data__22[[#This Row],[N34]:[N36]])/3</f>
        <v>3</v>
      </c>
    </row>
    <row r="188" spans="1:64" x14ac:dyDescent="0.3">
      <c r="A188" s="7">
        <v>20</v>
      </c>
      <c r="B188" s="7" t="s">
        <v>70</v>
      </c>
      <c r="C188" s="7" t="s">
        <v>157</v>
      </c>
      <c r="D188" s="7" t="s">
        <v>97</v>
      </c>
      <c r="E188" s="7" t="s">
        <v>73</v>
      </c>
      <c r="F188" s="7" t="s">
        <v>74</v>
      </c>
      <c r="G188" s="7" t="s">
        <v>166</v>
      </c>
      <c r="H188" s="7" t="s">
        <v>98</v>
      </c>
      <c r="I188" s="7" t="s">
        <v>76</v>
      </c>
      <c r="J188" s="7" t="s">
        <v>77</v>
      </c>
      <c r="K188" s="7" t="s">
        <v>125</v>
      </c>
      <c r="L188" s="8" t="s">
        <v>79</v>
      </c>
      <c r="M188" s="8" t="s">
        <v>102</v>
      </c>
      <c r="N188" s="8" t="s">
        <v>79</v>
      </c>
      <c r="O188" s="8" t="s">
        <v>109</v>
      </c>
      <c r="P188" s="8" t="s">
        <v>82</v>
      </c>
      <c r="Q188" s="8" t="s">
        <v>83</v>
      </c>
      <c r="R188" s="8" t="s">
        <v>79</v>
      </c>
      <c r="S188" s="8" t="s">
        <v>82</v>
      </c>
      <c r="T188" s="8" t="s">
        <v>86</v>
      </c>
      <c r="U188" s="8" t="s">
        <v>141</v>
      </c>
      <c r="V188" s="8" t="s">
        <v>112</v>
      </c>
      <c r="W188" s="9">
        <v>2</v>
      </c>
      <c r="X188" s="9">
        <v>2</v>
      </c>
      <c r="Y188" s="9">
        <v>2</v>
      </c>
      <c r="Z188" s="9">
        <v>2</v>
      </c>
      <c r="AA188" s="9">
        <v>2</v>
      </c>
      <c r="AB188" s="9">
        <v>2</v>
      </c>
      <c r="AC188" s="9">
        <v>2</v>
      </c>
      <c r="AD188" s="9">
        <v>2</v>
      </c>
      <c r="AE188" s="9">
        <v>2</v>
      </c>
      <c r="AF188" s="9">
        <v>3</v>
      </c>
      <c r="AG188" s="9">
        <v>3</v>
      </c>
      <c r="AH188" s="9">
        <v>3</v>
      </c>
      <c r="AI188" s="9">
        <v>3</v>
      </c>
      <c r="AJ188" s="9">
        <v>3</v>
      </c>
      <c r="AK188" s="9">
        <v>3</v>
      </c>
      <c r="AL188" s="10">
        <v>2</v>
      </c>
      <c r="AM188" s="10">
        <v>3</v>
      </c>
      <c r="AN188" s="10">
        <v>2</v>
      </c>
      <c r="AO188" s="10">
        <v>3</v>
      </c>
      <c r="AP188" s="10">
        <v>2</v>
      </c>
      <c r="AQ188" s="10">
        <v>3</v>
      </c>
      <c r="AR188" s="10">
        <v>2</v>
      </c>
      <c r="AS188" s="11">
        <v>1</v>
      </c>
      <c r="AT188" s="11">
        <v>0</v>
      </c>
      <c r="AU188" s="11">
        <v>2</v>
      </c>
      <c r="AV188" s="11">
        <v>1</v>
      </c>
      <c r="AW188" s="11">
        <v>1</v>
      </c>
      <c r="AX188" s="11">
        <v>1</v>
      </c>
      <c r="AY188" s="7">
        <v>3</v>
      </c>
      <c r="AZ188" s="7">
        <v>3</v>
      </c>
      <c r="BA188" s="7">
        <v>3</v>
      </c>
      <c r="BB188" s="7">
        <v>3</v>
      </c>
      <c r="BC188" s="7">
        <v>3</v>
      </c>
      <c r="BD188" s="7">
        <v>3</v>
      </c>
      <c r="BE188" s="7">
        <v>3</v>
      </c>
      <c r="BF188" s="7">
        <v>3</v>
      </c>
      <c r="BG188" s="12">
        <f>SUM(data__22[[#This Row],[N1]:[N4]],data__22[[#This Row],[N10]:[N13]],data__22[[#This Row],[N16]:[N18]])/11</f>
        <v>2.4545454545454546</v>
      </c>
      <c r="BH188" s="13">
        <f>SUM(data__22[[#This Row],[N8]:[N9]],data__22[[#This Row],[N23]:[N25]])/5</f>
        <v>1.4</v>
      </c>
      <c r="BI188" s="12">
        <f>SUM(data__22[[#This Row],[N5]:[N7]])/3</f>
        <v>2</v>
      </c>
      <c r="BJ188" s="12">
        <f>SUM(data__22[[#This Row],[N14]:[N15]],data__22[[#This Row],[N19]:[N22]],data__22[[#This Row],[N26]:[N28]])/9</f>
        <v>2.1111111111111112</v>
      </c>
      <c r="BK188" s="12">
        <f>SUM(data__22[[#This Row],[N29]:[N33]])/5</f>
        <v>3</v>
      </c>
      <c r="BL188" s="12">
        <f>SUM(data__22[[#This Row],[N34]:[N36]])/3</f>
        <v>3</v>
      </c>
    </row>
    <row r="189" spans="1:64" x14ac:dyDescent="0.3">
      <c r="A189" s="7">
        <v>20</v>
      </c>
      <c r="B189" s="7" t="s">
        <v>70</v>
      </c>
      <c r="C189" s="7" t="s">
        <v>157</v>
      </c>
      <c r="D189" s="7" t="s">
        <v>72</v>
      </c>
      <c r="E189" s="7" t="s">
        <v>114</v>
      </c>
      <c r="F189" s="7" t="s">
        <v>165</v>
      </c>
      <c r="G189" s="7" t="s">
        <v>438</v>
      </c>
      <c r="H189" s="7" t="s">
        <v>165</v>
      </c>
      <c r="I189" s="7" t="s">
        <v>76</v>
      </c>
      <c r="J189" s="7" t="s">
        <v>101</v>
      </c>
      <c r="K189" s="7" t="s">
        <v>125</v>
      </c>
      <c r="L189" s="8" t="s">
        <v>79</v>
      </c>
      <c r="M189" s="8" t="s">
        <v>80</v>
      </c>
      <c r="N189" s="8" t="s">
        <v>79</v>
      </c>
      <c r="O189" s="8" t="s">
        <v>109</v>
      </c>
      <c r="P189" s="8" t="s">
        <v>79</v>
      </c>
      <c r="Q189" s="8" t="s">
        <v>83</v>
      </c>
      <c r="R189" s="8" t="s">
        <v>79</v>
      </c>
      <c r="S189" s="8" t="s">
        <v>82</v>
      </c>
      <c r="T189" s="8" t="s">
        <v>106</v>
      </c>
      <c r="U189" s="8" t="s">
        <v>141</v>
      </c>
      <c r="V189" s="8" t="s">
        <v>112</v>
      </c>
      <c r="W189" s="9">
        <v>1</v>
      </c>
      <c r="X189" s="9">
        <v>1</v>
      </c>
      <c r="Y189" s="9">
        <v>0</v>
      </c>
      <c r="Z189" s="9">
        <v>1</v>
      </c>
      <c r="AA189" s="9">
        <v>1</v>
      </c>
      <c r="AB189" s="9">
        <v>1</v>
      </c>
      <c r="AC189" s="9">
        <v>1</v>
      </c>
      <c r="AD189" s="9">
        <v>1</v>
      </c>
      <c r="AE189" s="9">
        <v>1</v>
      </c>
      <c r="AF189" s="9">
        <v>1</v>
      </c>
      <c r="AG189" s="9">
        <v>0</v>
      </c>
      <c r="AH189" s="9">
        <v>1</v>
      </c>
      <c r="AI189" s="9">
        <v>1</v>
      </c>
      <c r="AJ189" s="9">
        <v>1</v>
      </c>
      <c r="AK189" s="9">
        <v>1</v>
      </c>
      <c r="AL189" s="10">
        <v>1</v>
      </c>
      <c r="AM189" s="10">
        <v>1</v>
      </c>
      <c r="AN189" s="10">
        <v>1</v>
      </c>
      <c r="AO189" s="10">
        <v>1</v>
      </c>
      <c r="AP189" s="10">
        <v>1</v>
      </c>
      <c r="AQ189" s="10">
        <v>2</v>
      </c>
      <c r="AR189" s="10">
        <v>1</v>
      </c>
      <c r="AS189" s="11">
        <v>1</v>
      </c>
      <c r="AT189" s="11">
        <v>1</v>
      </c>
      <c r="AU189" s="11">
        <v>2</v>
      </c>
      <c r="AV189" s="11">
        <v>1</v>
      </c>
      <c r="AW189" s="11">
        <v>1</v>
      </c>
      <c r="AX189" s="11">
        <v>1</v>
      </c>
      <c r="AY189" s="7">
        <v>1</v>
      </c>
      <c r="AZ189" s="7">
        <v>1</v>
      </c>
      <c r="BA189" s="7">
        <v>1</v>
      </c>
      <c r="BB189" s="7">
        <v>1</v>
      </c>
      <c r="BC189" s="7">
        <v>2</v>
      </c>
      <c r="BD189" s="7">
        <v>1</v>
      </c>
      <c r="BE189" s="7">
        <v>1</v>
      </c>
      <c r="BF189" s="7">
        <v>1</v>
      </c>
      <c r="BG189" s="12">
        <f>SUM(data__22[[#This Row],[N1]:[N4]],data__22[[#This Row],[N10]:[N13]],data__22[[#This Row],[N16]:[N18]])/11</f>
        <v>0.81818181818181823</v>
      </c>
      <c r="BH189" s="13">
        <f>SUM(data__22[[#This Row],[N8]:[N9]],data__22[[#This Row],[N23]:[N25]])/5</f>
        <v>1.2</v>
      </c>
      <c r="BI189" s="12">
        <f>SUM(data__22[[#This Row],[N5]:[N7]])/3</f>
        <v>1</v>
      </c>
      <c r="BJ189" s="12">
        <f>SUM(data__22[[#This Row],[N14]:[N15]],data__22[[#This Row],[N19]:[N22]],data__22[[#This Row],[N26]:[N28]])/9</f>
        <v>1.1111111111111112</v>
      </c>
      <c r="BK189" s="12">
        <f>SUM(data__22[[#This Row],[N29]:[N33]])/5</f>
        <v>1.2</v>
      </c>
      <c r="BL189" s="12">
        <f>SUM(data__22[[#This Row],[N34]:[N36]])/3</f>
        <v>1</v>
      </c>
    </row>
    <row r="190" spans="1:64" x14ac:dyDescent="0.3">
      <c r="A190" s="7">
        <v>20</v>
      </c>
      <c r="B190" s="7" t="s">
        <v>70</v>
      </c>
      <c r="C190" s="7" t="s">
        <v>157</v>
      </c>
      <c r="D190" s="7" t="s">
        <v>72</v>
      </c>
      <c r="E190" s="7" t="s">
        <v>108</v>
      </c>
      <c r="F190" s="7" t="s">
        <v>74</v>
      </c>
      <c r="G190" s="7" t="s">
        <v>440</v>
      </c>
      <c r="H190" s="7" t="s">
        <v>74</v>
      </c>
      <c r="I190" s="7" t="s">
        <v>439</v>
      </c>
      <c r="J190" s="7" t="s">
        <v>77</v>
      </c>
      <c r="K190" s="7" t="s">
        <v>131</v>
      </c>
      <c r="L190" s="8" t="s">
        <v>79</v>
      </c>
      <c r="M190" s="8" t="s">
        <v>80</v>
      </c>
      <c r="N190" s="8" t="s">
        <v>79</v>
      </c>
      <c r="O190" s="8" t="s">
        <v>109</v>
      </c>
      <c r="P190" s="8" t="s">
        <v>82</v>
      </c>
      <c r="Q190" s="8" t="s">
        <v>118</v>
      </c>
      <c r="R190" s="8" t="s">
        <v>82</v>
      </c>
      <c r="S190" s="8" t="s">
        <v>79</v>
      </c>
      <c r="T190" s="8" t="s">
        <v>106</v>
      </c>
      <c r="U190" s="8" t="s">
        <v>87</v>
      </c>
      <c r="V190" s="8" t="s">
        <v>112</v>
      </c>
      <c r="W190" s="9">
        <v>0</v>
      </c>
      <c r="X190" s="9">
        <v>1</v>
      </c>
      <c r="Y190" s="9">
        <v>1</v>
      </c>
      <c r="Z190" s="9">
        <v>1</v>
      </c>
      <c r="AA190" s="9">
        <v>2</v>
      </c>
      <c r="AB190" s="9">
        <v>1</v>
      </c>
      <c r="AC190" s="9">
        <v>2</v>
      </c>
      <c r="AD190" s="9">
        <v>0</v>
      </c>
      <c r="AE190" s="9">
        <v>2</v>
      </c>
      <c r="AF190" s="9">
        <v>2</v>
      </c>
      <c r="AG190" s="9">
        <v>2</v>
      </c>
      <c r="AH190" s="9">
        <v>2</v>
      </c>
      <c r="AI190" s="9">
        <v>0</v>
      </c>
      <c r="AJ190" s="9">
        <v>2</v>
      </c>
      <c r="AK190" s="9">
        <v>0</v>
      </c>
      <c r="AL190" s="10">
        <v>2</v>
      </c>
      <c r="AM190" s="10">
        <v>2</v>
      </c>
      <c r="AN190" s="10">
        <v>2</v>
      </c>
      <c r="AO190" s="10">
        <v>2</v>
      </c>
      <c r="AP190" s="10">
        <v>2</v>
      </c>
      <c r="AQ190" s="10">
        <v>2</v>
      </c>
      <c r="AR190" s="10">
        <v>3</v>
      </c>
      <c r="AS190" s="11">
        <v>1</v>
      </c>
      <c r="AT190" s="11">
        <v>1</v>
      </c>
      <c r="AU190" s="11">
        <v>1</v>
      </c>
      <c r="AV190" s="11">
        <v>1</v>
      </c>
      <c r="AW190" s="11">
        <v>1</v>
      </c>
      <c r="AX190" s="11">
        <v>1</v>
      </c>
      <c r="AY190" s="7">
        <v>0</v>
      </c>
      <c r="AZ190" s="7">
        <v>2</v>
      </c>
      <c r="BA190" s="7">
        <v>0</v>
      </c>
      <c r="BB190" s="7">
        <v>2</v>
      </c>
      <c r="BC190" s="7">
        <v>0</v>
      </c>
      <c r="BD190" s="7">
        <v>2</v>
      </c>
      <c r="BE190" s="7">
        <v>0</v>
      </c>
      <c r="BF190" s="7">
        <v>2</v>
      </c>
      <c r="BG190" s="12">
        <f>SUM(data__22[[#This Row],[N1]:[N4]],data__22[[#This Row],[N10]:[N13]],data__22[[#This Row],[N16]:[N18]])/11</f>
        <v>1.3636363636363635</v>
      </c>
      <c r="BH190" s="13">
        <f>SUM(data__22[[#This Row],[N8]:[N9]],data__22[[#This Row],[N23]:[N25]])/5</f>
        <v>1</v>
      </c>
      <c r="BI190" s="12">
        <f>SUM(data__22[[#This Row],[N5]:[N7]])/3</f>
        <v>1.6666666666666667</v>
      </c>
      <c r="BJ190" s="12">
        <f>SUM(data__22[[#This Row],[N14]:[N15]],data__22[[#This Row],[N19]:[N22]],data__22[[#This Row],[N26]:[N28]])/9</f>
        <v>1.5555555555555556</v>
      </c>
      <c r="BK190" s="12">
        <f>SUM(data__22[[#This Row],[N29]:[N33]])/5</f>
        <v>0.8</v>
      </c>
      <c r="BL190" s="12">
        <f>SUM(data__22[[#This Row],[N34]:[N36]])/3</f>
        <v>1.3333333333333333</v>
      </c>
    </row>
    <row r="191" spans="1:64" x14ac:dyDescent="0.3">
      <c r="A191" s="7">
        <v>21</v>
      </c>
      <c r="B191" s="7" t="s">
        <v>128</v>
      </c>
      <c r="C191" s="7" t="s">
        <v>157</v>
      </c>
      <c r="D191" s="7" t="s">
        <v>72</v>
      </c>
      <c r="E191" s="7" t="s">
        <v>114</v>
      </c>
      <c r="F191" s="7" t="s">
        <v>136</v>
      </c>
      <c r="G191" s="7" t="s">
        <v>440</v>
      </c>
      <c r="H191" s="7" t="s">
        <v>98</v>
      </c>
      <c r="I191" s="7" t="s">
        <v>76</v>
      </c>
      <c r="J191" s="7" t="s">
        <v>77</v>
      </c>
      <c r="K191" s="7" t="s">
        <v>125</v>
      </c>
      <c r="L191" s="8" t="s">
        <v>79</v>
      </c>
      <c r="M191" s="8" t="s">
        <v>80</v>
      </c>
      <c r="N191" s="8" t="s">
        <v>79</v>
      </c>
      <c r="O191" s="8" t="s">
        <v>109</v>
      </c>
      <c r="P191" s="8" t="s">
        <v>82</v>
      </c>
      <c r="Q191" s="8" t="s">
        <v>83</v>
      </c>
      <c r="R191" s="8" t="s">
        <v>79</v>
      </c>
      <c r="S191" s="8" t="s">
        <v>82</v>
      </c>
      <c r="T191" s="8" t="s">
        <v>106</v>
      </c>
      <c r="U191" s="8" t="s">
        <v>120</v>
      </c>
      <c r="V191" s="8" t="s">
        <v>112</v>
      </c>
      <c r="W191" s="9">
        <v>1</v>
      </c>
      <c r="X191" s="9">
        <v>1</v>
      </c>
      <c r="Y191" s="9">
        <v>2</v>
      </c>
      <c r="Z191" s="9">
        <v>2</v>
      </c>
      <c r="AA191" s="9">
        <v>2</v>
      </c>
      <c r="AB191" s="9">
        <v>1</v>
      </c>
      <c r="AC191" s="9">
        <v>1</v>
      </c>
      <c r="AD191" s="9">
        <v>2</v>
      </c>
      <c r="AE191" s="9">
        <v>2</v>
      </c>
      <c r="AF191" s="9">
        <v>1</v>
      </c>
      <c r="AG191" s="9">
        <v>2</v>
      </c>
      <c r="AH191" s="9">
        <v>1</v>
      </c>
      <c r="AI191" s="9">
        <v>2</v>
      </c>
      <c r="AJ191" s="9">
        <v>1</v>
      </c>
      <c r="AK191" s="9">
        <v>2</v>
      </c>
      <c r="AL191" s="10">
        <v>1</v>
      </c>
      <c r="AM191" s="10">
        <v>1</v>
      </c>
      <c r="AN191" s="10">
        <v>2</v>
      </c>
      <c r="AO191" s="10">
        <v>1</v>
      </c>
      <c r="AP191" s="10">
        <v>1</v>
      </c>
      <c r="AQ191" s="10">
        <v>1</v>
      </c>
      <c r="AR191" s="10">
        <v>1</v>
      </c>
      <c r="AS191" s="11">
        <v>1</v>
      </c>
      <c r="AT191" s="11">
        <v>1</v>
      </c>
      <c r="AU191" s="11">
        <v>2</v>
      </c>
      <c r="AV191" s="11">
        <v>1</v>
      </c>
      <c r="AW191" s="11">
        <v>2</v>
      </c>
      <c r="AX191" s="11">
        <v>1</v>
      </c>
      <c r="AY191" s="7">
        <v>1</v>
      </c>
      <c r="AZ191" s="7">
        <v>2</v>
      </c>
      <c r="BA191" s="7">
        <v>1</v>
      </c>
      <c r="BB191" s="7">
        <v>1</v>
      </c>
      <c r="BC191" s="7">
        <v>2</v>
      </c>
      <c r="BD191" s="7">
        <v>3</v>
      </c>
      <c r="BE191" s="7">
        <v>3</v>
      </c>
      <c r="BF191" s="7">
        <v>2</v>
      </c>
      <c r="BG191" s="12">
        <f>SUM(data__22[[#This Row],[N1]:[N4]],data__22[[#This Row],[N10]:[N13]],data__22[[#This Row],[N16]:[N18]])/11</f>
        <v>1.4545454545454546</v>
      </c>
      <c r="BH191" s="13">
        <f>SUM(data__22[[#This Row],[N8]:[N9]],data__22[[#This Row],[N23]:[N25]])/5</f>
        <v>1.6</v>
      </c>
      <c r="BI191" s="12">
        <f>SUM(data__22[[#This Row],[N5]:[N7]])/3</f>
        <v>1.3333333333333333</v>
      </c>
      <c r="BJ191" s="12">
        <f>SUM(data__22[[#This Row],[N14]:[N15]],data__22[[#This Row],[N19]:[N22]],data__22[[#This Row],[N26]:[N28]])/9</f>
        <v>1.2222222222222223</v>
      </c>
      <c r="BK191" s="12">
        <f>SUM(data__22[[#This Row],[N29]:[N33]])/5</f>
        <v>1.4</v>
      </c>
      <c r="BL191" s="12">
        <f>SUM(data__22[[#This Row],[N34]:[N36]])/3</f>
        <v>2.6666666666666665</v>
      </c>
    </row>
    <row r="192" spans="1:64" x14ac:dyDescent="0.3">
      <c r="A192" s="7">
        <v>22</v>
      </c>
      <c r="B192" s="7" t="s">
        <v>70</v>
      </c>
      <c r="C192" s="7" t="s">
        <v>157</v>
      </c>
      <c r="D192" s="7" t="s">
        <v>97</v>
      </c>
      <c r="E192" s="7" t="s">
        <v>114</v>
      </c>
      <c r="F192" s="7" t="s">
        <v>136</v>
      </c>
      <c r="G192" s="7" t="s">
        <v>440</v>
      </c>
      <c r="H192" s="7" t="s">
        <v>100</v>
      </c>
      <c r="I192" s="7" t="s">
        <v>76</v>
      </c>
      <c r="J192" s="7" t="s">
        <v>101</v>
      </c>
      <c r="K192" s="7" t="s">
        <v>125</v>
      </c>
      <c r="L192" s="8" t="s">
        <v>79</v>
      </c>
      <c r="M192" s="8" t="s">
        <v>80</v>
      </c>
      <c r="N192" s="8" t="s">
        <v>79</v>
      </c>
      <c r="O192" s="8" t="s">
        <v>117</v>
      </c>
      <c r="P192" s="8" t="s">
        <v>82</v>
      </c>
      <c r="Q192" s="8" t="s">
        <v>83</v>
      </c>
      <c r="R192" s="8" t="s">
        <v>79</v>
      </c>
      <c r="S192" s="8" t="s">
        <v>82</v>
      </c>
      <c r="T192" s="8" t="s">
        <v>106</v>
      </c>
      <c r="U192" s="8" t="s">
        <v>87</v>
      </c>
      <c r="V192" s="8" t="s">
        <v>112</v>
      </c>
      <c r="W192" s="9">
        <v>1</v>
      </c>
      <c r="X192" s="9">
        <v>2</v>
      </c>
      <c r="Y192" s="9">
        <v>1</v>
      </c>
      <c r="Z192" s="9">
        <v>1</v>
      </c>
      <c r="AA192" s="9">
        <v>1</v>
      </c>
      <c r="AB192" s="9">
        <v>1</v>
      </c>
      <c r="AC192" s="9">
        <v>1</v>
      </c>
      <c r="AD192" s="9">
        <v>1</v>
      </c>
      <c r="AE192" s="9">
        <v>1</v>
      </c>
      <c r="AF192" s="9">
        <v>3</v>
      </c>
      <c r="AG192" s="9">
        <v>3</v>
      </c>
      <c r="AH192" s="9">
        <v>3</v>
      </c>
      <c r="AI192" s="9">
        <v>3</v>
      </c>
      <c r="AJ192" s="9">
        <v>0</v>
      </c>
      <c r="AK192" s="9">
        <v>3</v>
      </c>
      <c r="AL192" s="10">
        <v>3</v>
      </c>
      <c r="AM192" s="10">
        <v>3</v>
      </c>
      <c r="AN192" s="10">
        <v>3</v>
      </c>
      <c r="AO192" s="10">
        <v>3</v>
      </c>
      <c r="AP192" s="10">
        <v>0</v>
      </c>
      <c r="AQ192" s="10">
        <v>0</v>
      </c>
      <c r="AR192" s="10">
        <v>0</v>
      </c>
      <c r="AS192" s="11">
        <v>3</v>
      </c>
      <c r="AT192" s="11">
        <v>3</v>
      </c>
      <c r="AU192" s="11">
        <v>3</v>
      </c>
      <c r="AV192" s="11">
        <v>1</v>
      </c>
      <c r="AW192" s="11">
        <v>0</v>
      </c>
      <c r="AX192" s="11">
        <v>0</v>
      </c>
      <c r="AY192" s="7">
        <v>3</v>
      </c>
      <c r="AZ192" s="7">
        <v>3</v>
      </c>
      <c r="BA192" s="7">
        <v>3</v>
      </c>
      <c r="BB192" s="7">
        <v>3</v>
      </c>
      <c r="BC192" s="7">
        <v>3</v>
      </c>
      <c r="BD192" s="7">
        <v>3</v>
      </c>
      <c r="BE192" s="7">
        <v>0</v>
      </c>
      <c r="BF192" s="7">
        <v>0</v>
      </c>
      <c r="BG192" s="12">
        <f>SUM(data__22[[#This Row],[N1]:[N4]],data__22[[#This Row],[N10]:[N13]],data__22[[#This Row],[N16]:[N18]])/11</f>
        <v>2.3636363636363638</v>
      </c>
      <c r="BH192" s="13">
        <f>SUM(data__22[[#This Row],[N8]:[N9]],data__22[[#This Row],[N23]:[N25]])/5</f>
        <v>2.2000000000000002</v>
      </c>
      <c r="BI192" s="12">
        <f>SUM(data__22[[#This Row],[N5]:[N7]])/3</f>
        <v>1</v>
      </c>
      <c r="BJ192" s="12">
        <f>SUM(data__22[[#This Row],[N14]:[N15]],data__22[[#This Row],[N19]:[N22]],data__22[[#This Row],[N26]:[N28]])/9</f>
        <v>0.77777777777777779</v>
      </c>
      <c r="BK192" s="12">
        <f>SUM(data__22[[#This Row],[N29]:[N33]])/5</f>
        <v>3</v>
      </c>
      <c r="BL192" s="12">
        <f>SUM(data__22[[#This Row],[N34]:[N36]])/3</f>
        <v>1</v>
      </c>
    </row>
    <row r="193" spans="1:64" x14ac:dyDescent="0.3">
      <c r="A193" s="7">
        <v>21</v>
      </c>
      <c r="B193" s="7" t="s">
        <v>70</v>
      </c>
      <c r="C193" s="7" t="s">
        <v>157</v>
      </c>
      <c r="D193" s="7" t="s">
        <v>72</v>
      </c>
      <c r="E193" s="7" t="s">
        <v>114</v>
      </c>
      <c r="F193" s="7" t="s">
        <v>98</v>
      </c>
      <c r="G193" s="7" t="s">
        <v>438</v>
      </c>
      <c r="H193" s="7" t="s">
        <v>100</v>
      </c>
      <c r="I193" s="7" t="s">
        <v>76</v>
      </c>
      <c r="J193" s="7" t="s">
        <v>101</v>
      </c>
      <c r="K193" s="7" t="s">
        <v>125</v>
      </c>
      <c r="L193" s="8" t="s">
        <v>79</v>
      </c>
      <c r="M193" s="8" t="s">
        <v>80</v>
      </c>
      <c r="N193" s="8" t="s">
        <v>79</v>
      </c>
      <c r="O193" s="8" t="s">
        <v>81</v>
      </c>
      <c r="P193" s="8" t="s">
        <v>82</v>
      </c>
      <c r="Q193" s="8" t="s">
        <v>83</v>
      </c>
      <c r="R193" s="8" t="s">
        <v>82</v>
      </c>
      <c r="S193" s="8" t="s">
        <v>82</v>
      </c>
      <c r="T193" s="8" t="s">
        <v>106</v>
      </c>
      <c r="U193" s="8" t="s">
        <v>141</v>
      </c>
      <c r="V193" s="8" t="s">
        <v>455</v>
      </c>
      <c r="W193" s="9">
        <v>0</v>
      </c>
      <c r="X193" s="9">
        <v>1</v>
      </c>
      <c r="Y193" s="9">
        <v>1</v>
      </c>
      <c r="Z193" s="9">
        <v>1</v>
      </c>
      <c r="AA193" s="9">
        <v>1</v>
      </c>
      <c r="AB193" s="9">
        <v>1</v>
      </c>
      <c r="AC193" s="9">
        <v>1</v>
      </c>
      <c r="AD193" s="9">
        <v>1</v>
      </c>
      <c r="AE193" s="9">
        <v>1</v>
      </c>
      <c r="AF193" s="9">
        <v>1</v>
      </c>
      <c r="AG193" s="9">
        <v>1</v>
      </c>
      <c r="AH193" s="9">
        <v>1</v>
      </c>
      <c r="AI193" s="9">
        <v>1</v>
      </c>
      <c r="AJ193" s="9">
        <v>1</v>
      </c>
      <c r="AK193" s="9">
        <v>1</v>
      </c>
      <c r="AL193" s="10">
        <v>1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1">
        <v>0</v>
      </c>
      <c r="AT193" s="11">
        <v>1</v>
      </c>
      <c r="AU193" s="11">
        <v>0</v>
      </c>
      <c r="AV193" s="11">
        <v>0</v>
      </c>
      <c r="AW193" s="11">
        <v>0</v>
      </c>
      <c r="AX193" s="11">
        <v>0</v>
      </c>
      <c r="AY193" s="7">
        <v>1</v>
      </c>
      <c r="AZ193" s="7">
        <v>1</v>
      </c>
      <c r="BA193" s="7">
        <v>1</v>
      </c>
      <c r="BB193" s="7">
        <v>1</v>
      </c>
      <c r="BC193" s="7">
        <v>1</v>
      </c>
      <c r="BD193" s="7">
        <v>1</v>
      </c>
      <c r="BE193" s="7">
        <v>1</v>
      </c>
      <c r="BF193" s="7">
        <v>0</v>
      </c>
      <c r="BG193" s="12">
        <f>SUM(data__22[[#This Row],[N1]:[N4]],data__22[[#This Row],[N10]:[N13]],data__22[[#This Row],[N16]:[N18]])/11</f>
        <v>0.72727272727272729</v>
      </c>
      <c r="BH193" s="13">
        <f>SUM(data__22[[#This Row],[N8]:[N9]],data__22[[#This Row],[N23]:[N25]])/5</f>
        <v>0.6</v>
      </c>
      <c r="BI193" s="12">
        <f>SUM(data__22[[#This Row],[N5]:[N7]])/3</f>
        <v>1</v>
      </c>
      <c r="BJ193" s="12">
        <f>SUM(data__22[[#This Row],[N14]:[N15]],data__22[[#This Row],[N19]:[N22]],data__22[[#This Row],[N26]:[N28]])/9</f>
        <v>0.22222222222222221</v>
      </c>
      <c r="BK193" s="12">
        <f>SUM(data__22[[#This Row],[N29]:[N33]])/5</f>
        <v>1</v>
      </c>
      <c r="BL193" s="12">
        <f>SUM(data__22[[#This Row],[N34]:[N36]])/3</f>
        <v>0.66666666666666663</v>
      </c>
    </row>
    <row r="194" spans="1:64" x14ac:dyDescent="0.3">
      <c r="A194" s="7">
        <v>20</v>
      </c>
      <c r="B194" s="7" t="s">
        <v>70</v>
      </c>
      <c r="C194" s="7" t="s">
        <v>96</v>
      </c>
      <c r="D194" s="7" t="s">
        <v>97</v>
      </c>
      <c r="E194" s="7" t="s">
        <v>73</v>
      </c>
      <c r="F194" s="7" t="s">
        <v>100</v>
      </c>
      <c r="G194" s="7" t="s">
        <v>439</v>
      </c>
      <c r="H194" s="7" t="s">
        <v>100</v>
      </c>
      <c r="I194" s="7" t="s">
        <v>76</v>
      </c>
      <c r="J194" s="7" t="s">
        <v>77</v>
      </c>
      <c r="K194" s="7" t="s">
        <v>122</v>
      </c>
      <c r="L194" s="8" t="s">
        <v>79</v>
      </c>
      <c r="M194" s="8" t="s">
        <v>80</v>
      </c>
      <c r="N194" s="8" t="s">
        <v>79</v>
      </c>
      <c r="O194" s="8" t="s">
        <v>138</v>
      </c>
      <c r="P194" s="8" t="s">
        <v>79</v>
      </c>
      <c r="Q194" s="8" t="s">
        <v>83</v>
      </c>
      <c r="R194" s="8" t="s">
        <v>79</v>
      </c>
      <c r="S194" s="8" t="s">
        <v>79</v>
      </c>
      <c r="T194" s="8" t="s">
        <v>86</v>
      </c>
      <c r="U194" s="8" t="s">
        <v>141</v>
      </c>
      <c r="V194" s="8" t="s">
        <v>112</v>
      </c>
      <c r="W194" s="9">
        <v>2</v>
      </c>
      <c r="X194" s="9">
        <v>1</v>
      </c>
      <c r="Y194" s="9">
        <v>2</v>
      </c>
      <c r="Z194" s="9">
        <v>1</v>
      </c>
      <c r="AA194" s="9">
        <v>2</v>
      </c>
      <c r="AB194" s="9">
        <v>2</v>
      </c>
      <c r="AC194" s="9">
        <v>1</v>
      </c>
      <c r="AD194" s="9">
        <v>2</v>
      </c>
      <c r="AE194" s="9">
        <v>2</v>
      </c>
      <c r="AF194" s="9">
        <v>2</v>
      </c>
      <c r="AG194" s="9">
        <v>2</v>
      </c>
      <c r="AH194" s="9">
        <v>2</v>
      </c>
      <c r="AI194" s="9">
        <v>2</v>
      </c>
      <c r="AJ194" s="9">
        <v>2</v>
      </c>
      <c r="AK194" s="9">
        <v>2</v>
      </c>
      <c r="AL194" s="10">
        <v>2</v>
      </c>
      <c r="AM194" s="10">
        <v>2</v>
      </c>
      <c r="AN194" s="10">
        <v>3</v>
      </c>
      <c r="AO194" s="10">
        <v>2</v>
      </c>
      <c r="AP194" s="10">
        <v>2</v>
      </c>
      <c r="AQ194" s="10">
        <v>3</v>
      </c>
      <c r="AR194" s="10">
        <v>2</v>
      </c>
      <c r="AS194" s="11">
        <v>2</v>
      </c>
      <c r="AT194" s="11">
        <v>3</v>
      </c>
      <c r="AU194" s="11">
        <v>2</v>
      </c>
      <c r="AV194" s="11">
        <v>3</v>
      </c>
      <c r="AW194" s="11">
        <v>1</v>
      </c>
      <c r="AX194" s="11">
        <v>2</v>
      </c>
      <c r="AY194" s="7">
        <v>2</v>
      </c>
      <c r="AZ194" s="7">
        <v>2</v>
      </c>
      <c r="BA194" s="7">
        <v>2</v>
      </c>
      <c r="BB194" s="7">
        <v>3</v>
      </c>
      <c r="BC194" s="7">
        <v>2</v>
      </c>
      <c r="BD194" s="7">
        <v>2</v>
      </c>
      <c r="BE194" s="7">
        <v>3</v>
      </c>
      <c r="BF194" s="7">
        <v>2</v>
      </c>
      <c r="BG194" s="12">
        <f>SUM(data__22[[#This Row],[N1]:[N4]],data__22[[#This Row],[N10]:[N13]],data__22[[#This Row],[N16]:[N18]])/11</f>
        <v>1.9090909090909092</v>
      </c>
      <c r="BH194" s="13">
        <f>SUM(data__22[[#This Row],[N8]:[N9]],data__22[[#This Row],[N23]:[N25]])/5</f>
        <v>2.2000000000000002</v>
      </c>
      <c r="BI194" s="12">
        <f>SUM(data__22[[#This Row],[N5]:[N7]])/3</f>
        <v>1.6666666666666667</v>
      </c>
      <c r="BJ194" s="12">
        <f>SUM(data__22[[#This Row],[N14]:[N15]],data__22[[#This Row],[N19]:[N22]],data__22[[#This Row],[N26]:[N28]])/9</f>
        <v>2.1111111111111112</v>
      </c>
      <c r="BK194" s="12">
        <f>SUM(data__22[[#This Row],[N29]:[N33]])/5</f>
        <v>2.2000000000000002</v>
      </c>
      <c r="BL194" s="12">
        <f>SUM(data__22[[#This Row],[N34]:[N36]])/3</f>
        <v>2.3333333333333335</v>
      </c>
    </row>
    <row r="195" spans="1:64" x14ac:dyDescent="0.3">
      <c r="A195" s="7">
        <v>22</v>
      </c>
      <c r="B195" s="7" t="s">
        <v>70</v>
      </c>
      <c r="C195" s="7" t="s">
        <v>157</v>
      </c>
      <c r="D195" s="7" t="s">
        <v>72</v>
      </c>
      <c r="E195" s="7" t="s">
        <v>114</v>
      </c>
      <c r="F195" s="7" t="s">
        <v>98</v>
      </c>
      <c r="G195" s="7" t="s">
        <v>440</v>
      </c>
      <c r="H195" s="7" t="s">
        <v>98</v>
      </c>
      <c r="I195" s="7" t="s">
        <v>76</v>
      </c>
      <c r="J195" s="7" t="s">
        <v>77</v>
      </c>
      <c r="K195" s="7" t="s">
        <v>125</v>
      </c>
      <c r="L195" s="8" t="s">
        <v>79</v>
      </c>
      <c r="M195" s="8" t="s">
        <v>102</v>
      </c>
      <c r="N195" s="8" t="s">
        <v>79</v>
      </c>
      <c r="O195" s="8" t="s">
        <v>117</v>
      </c>
      <c r="P195" s="8" t="s">
        <v>82</v>
      </c>
      <c r="Q195" s="8" t="s">
        <v>83</v>
      </c>
      <c r="R195" s="8" t="s">
        <v>82</v>
      </c>
      <c r="S195" s="8" t="s">
        <v>82</v>
      </c>
      <c r="T195" s="8" t="s">
        <v>86</v>
      </c>
      <c r="U195" s="8" t="s">
        <v>87</v>
      </c>
      <c r="V195" s="8" t="s">
        <v>455</v>
      </c>
      <c r="W195" s="9">
        <v>3</v>
      </c>
      <c r="X195" s="9">
        <v>3</v>
      </c>
      <c r="Y195" s="9">
        <v>3</v>
      </c>
      <c r="Z195" s="9">
        <v>3</v>
      </c>
      <c r="AA195" s="9">
        <v>1</v>
      </c>
      <c r="AB195" s="9">
        <v>1</v>
      </c>
      <c r="AC195" s="9">
        <v>0</v>
      </c>
      <c r="AD195" s="9">
        <v>3</v>
      </c>
      <c r="AE195" s="9">
        <v>3</v>
      </c>
      <c r="AF195" s="9">
        <v>3</v>
      </c>
      <c r="AG195" s="9">
        <v>3</v>
      </c>
      <c r="AH195" s="9">
        <v>3</v>
      </c>
      <c r="AI195" s="9">
        <v>3</v>
      </c>
      <c r="AJ195" s="9">
        <v>0</v>
      </c>
      <c r="AK195" s="9">
        <v>0</v>
      </c>
      <c r="AL195" s="10">
        <v>3</v>
      </c>
      <c r="AM195" s="10">
        <v>3</v>
      </c>
      <c r="AN195" s="10">
        <v>3</v>
      </c>
      <c r="AO195" s="10">
        <v>0</v>
      </c>
      <c r="AP195" s="10">
        <v>0</v>
      </c>
      <c r="AQ195" s="10">
        <v>0</v>
      </c>
      <c r="AR195" s="10">
        <v>0</v>
      </c>
      <c r="AS195" s="11">
        <v>3</v>
      </c>
      <c r="AT195" s="11">
        <v>3</v>
      </c>
      <c r="AU195" s="11">
        <v>3</v>
      </c>
      <c r="AV195" s="11">
        <v>0</v>
      </c>
      <c r="AW195" s="11">
        <v>0</v>
      </c>
      <c r="AX195" s="11">
        <v>0</v>
      </c>
      <c r="AY195" s="7">
        <v>3</v>
      </c>
      <c r="AZ195" s="7">
        <v>3</v>
      </c>
      <c r="BA195" s="7">
        <v>3</v>
      </c>
      <c r="BB195" s="7">
        <v>3</v>
      </c>
      <c r="BC195" s="7">
        <v>3</v>
      </c>
      <c r="BD195" s="7">
        <v>0</v>
      </c>
      <c r="BE195" s="7">
        <v>0</v>
      </c>
      <c r="BF195" s="7">
        <v>0</v>
      </c>
      <c r="BG195" s="12">
        <f>SUM(data__22[[#This Row],[N1]:[N4]],data__22[[#This Row],[N10]:[N13]],data__22[[#This Row],[N16]:[N18]])/11</f>
        <v>3</v>
      </c>
      <c r="BH195" s="13">
        <f>SUM(data__22[[#This Row],[N8]:[N9]],data__22[[#This Row],[N23]:[N25]])/5</f>
        <v>3</v>
      </c>
      <c r="BI195" s="12">
        <f>SUM(data__22[[#This Row],[N5]:[N7]])/3</f>
        <v>0.66666666666666663</v>
      </c>
      <c r="BJ195" s="12">
        <f>SUM(data__22[[#This Row],[N14]:[N15]],data__22[[#This Row],[N19]:[N22]],data__22[[#This Row],[N26]:[N28]])/9</f>
        <v>0</v>
      </c>
      <c r="BK195" s="12">
        <f>SUM(data__22[[#This Row],[N29]:[N33]])/5</f>
        <v>3</v>
      </c>
      <c r="BL195" s="12">
        <f>SUM(data__22[[#This Row],[N34]:[N36]])/3</f>
        <v>0</v>
      </c>
    </row>
    <row r="196" spans="1:64" x14ac:dyDescent="0.3">
      <c r="A196" s="7">
        <v>19</v>
      </c>
      <c r="B196" s="7" t="s">
        <v>70</v>
      </c>
      <c r="C196" s="7" t="s">
        <v>157</v>
      </c>
      <c r="D196" s="7" t="s">
        <v>72</v>
      </c>
      <c r="E196" s="7" t="s">
        <v>73</v>
      </c>
      <c r="F196" s="7" t="s">
        <v>74</v>
      </c>
      <c r="G196" s="7" t="s">
        <v>440</v>
      </c>
      <c r="H196" s="7" t="s">
        <v>136</v>
      </c>
      <c r="I196" s="7" t="s">
        <v>439</v>
      </c>
      <c r="J196" s="7" t="s">
        <v>77</v>
      </c>
      <c r="K196" s="7" t="s">
        <v>122</v>
      </c>
      <c r="L196" s="8" t="s">
        <v>79</v>
      </c>
      <c r="M196" s="8" t="s">
        <v>80</v>
      </c>
      <c r="N196" s="8" t="s">
        <v>82</v>
      </c>
      <c r="O196" s="8" t="s">
        <v>117</v>
      </c>
      <c r="P196" s="8" t="s">
        <v>82</v>
      </c>
      <c r="Q196" s="8" t="s">
        <v>83</v>
      </c>
      <c r="R196" s="8" t="s">
        <v>79</v>
      </c>
      <c r="S196" s="8" t="s">
        <v>82</v>
      </c>
      <c r="T196" s="8" t="s">
        <v>106</v>
      </c>
      <c r="U196" s="8" t="s">
        <v>141</v>
      </c>
      <c r="V196" s="8" t="s">
        <v>112</v>
      </c>
      <c r="W196" s="9">
        <v>2</v>
      </c>
      <c r="X196" s="9">
        <v>2</v>
      </c>
      <c r="Y196" s="9">
        <v>2</v>
      </c>
      <c r="Z196" s="9">
        <v>3</v>
      </c>
      <c r="AA196" s="9">
        <v>1</v>
      </c>
      <c r="AB196" s="9">
        <v>1</v>
      </c>
      <c r="AC196" s="9">
        <v>0</v>
      </c>
      <c r="AD196" s="9">
        <v>2</v>
      </c>
      <c r="AE196" s="9">
        <v>2</v>
      </c>
      <c r="AF196" s="9">
        <v>2</v>
      </c>
      <c r="AG196" s="9">
        <v>3</v>
      </c>
      <c r="AH196" s="9">
        <v>2</v>
      </c>
      <c r="AI196" s="9">
        <v>2</v>
      </c>
      <c r="AJ196" s="9">
        <v>1</v>
      </c>
      <c r="AK196" s="9">
        <v>1</v>
      </c>
      <c r="AL196" s="10">
        <v>3</v>
      </c>
      <c r="AM196" s="10">
        <v>3</v>
      </c>
      <c r="AN196" s="10">
        <v>3</v>
      </c>
      <c r="AO196" s="10">
        <v>0</v>
      </c>
      <c r="AP196" s="10">
        <v>0</v>
      </c>
      <c r="AQ196" s="10">
        <v>0</v>
      </c>
      <c r="AR196" s="10">
        <v>0</v>
      </c>
      <c r="AS196" s="11">
        <v>2</v>
      </c>
      <c r="AT196" s="11">
        <v>2</v>
      </c>
      <c r="AU196" s="11">
        <v>2</v>
      </c>
      <c r="AV196" s="11">
        <v>1</v>
      </c>
      <c r="AW196" s="11">
        <v>0</v>
      </c>
      <c r="AX196" s="11">
        <v>0</v>
      </c>
      <c r="AY196" s="7">
        <v>3</v>
      </c>
      <c r="AZ196" s="7">
        <v>3</v>
      </c>
      <c r="BA196" s="7">
        <v>2</v>
      </c>
      <c r="BB196" s="7">
        <v>3</v>
      </c>
      <c r="BC196" s="7">
        <v>2</v>
      </c>
      <c r="BD196" s="7">
        <v>0</v>
      </c>
      <c r="BE196" s="7">
        <v>0</v>
      </c>
      <c r="BF196" s="7">
        <v>0</v>
      </c>
      <c r="BG196" s="12">
        <f>SUM(data__22[[#This Row],[N1]:[N4]],data__22[[#This Row],[N10]:[N13]],data__22[[#This Row],[N16]:[N18]])/11</f>
        <v>2.4545454545454546</v>
      </c>
      <c r="BH196" s="13">
        <f>SUM(data__22[[#This Row],[N8]:[N9]],data__22[[#This Row],[N23]:[N25]])/5</f>
        <v>2</v>
      </c>
      <c r="BI196" s="12">
        <f>SUM(data__22[[#This Row],[N5]:[N7]])/3</f>
        <v>0.66666666666666663</v>
      </c>
      <c r="BJ196" s="12">
        <f>SUM(data__22[[#This Row],[N14]:[N15]],data__22[[#This Row],[N19]:[N22]],data__22[[#This Row],[N26]:[N28]])/9</f>
        <v>0.33333333333333331</v>
      </c>
      <c r="BK196" s="12">
        <f>SUM(data__22[[#This Row],[N29]:[N33]])/5</f>
        <v>2.6</v>
      </c>
      <c r="BL196" s="12">
        <f>SUM(data__22[[#This Row],[N34]:[N36]])/3</f>
        <v>0</v>
      </c>
    </row>
    <row r="197" spans="1:64" x14ac:dyDescent="0.3">
      <c r="A197" s="7">
        <v>22</v>
      </c>
      <c r="B197" s="7" t="s">
        <v>70</v>
      </c>
      <c r="C197" s="7" t="s">
        <v>113</v>
      </c>
      <c r="D197" s="7" t="s">
        <v>72</v>
      </c>
      <c r="E197" s="7" t="s">
        <v>114</v>
      </c>
      <c r="F197" s="7" t="s">
        <v>100</v>
      </c>
      <c r="G197" s="7" t="s">
        <v>438</v>
      </c>
      <c r="H197" s="7" t="s">
        <v>100</v>
      </c>
      <c r="I197" s="7" t="s">
        <v>76</v>
      </c>
      <c r="J197" s="7" t="s">
        <v>101</v>
      </c>
      <c r="K197" s="7" t="s">
        <v>125</v>
      </c>
      <c r="L197" s="8" t="s">
        <v>82</v>
      </c>
      <c r="M197" s="8" t="s">
        <v>80</v>
      </c>
      <c r="N197" s="8" t="s">
        <v>82</v>
      </c>
      <c r="O197" s="8" t="s">
        <v>179</v>
      </c>
      <c r="P197" s="8" t="s">
        <v>79</v>
      </c>
      <c r="Q197" s="8" t="s">
        <v>103</v>
      </c>
      <c r="R197" s="8" t="s">
        <v>79</v>
      </c>
      <c r="S197" s="8" t="s">
        <v>82</v>
      </c>
      <c r="T197" s="8" t="s">
        <v>106</v>
      </c>
      <c r="U197" s="8" t="s">
        <v>87</v>
      </c>
      <c r="V197" s="8" t="s">
        <v>127</v>
      </c>
      <c r="W197" s="9">
        <v>1</v>
      </c>
      <c r="X197" s="9">
        <v>1</v>
      </c>
      <c r="Y197" s="9">
        <v>2</v>
      </c>
      <c r="Z197" s="9">
        <v>1</v>
      </c>
      <c r="AA197" s="9">
        <v>2</v>
      </c>
      <c r="AB197" s="9">
        <v>2</v>
      </c>
      <c r="AC197" s="9">
        <v>2</v>
      </c>
      <c r="AD197" s="9">
        <v>0</v>
      </c>
      <c r="AE197" s="9">
        <v>2</v>
      </c>
      <c r="AF197" s="9">
        <v>1</v>
      </c>
      <c r="AG197" s="9">
        <v>2</v>
      </c>
      <c r="AH197" s="9">
        <v>1</v>
      </c>
      <c r="AI197" s="9">
        <v>1</v>
      </c>
      <c r="AJ197" s="9">
        <v>1</v>
      </c>
      <c r="AK197" s="9">
        <v>1</v>
      </c>
      <c r="AL197" s="10">
        <v>2</v>
      </c>
      <c r="AM197" s="10">
        <v>2</v>
      </c>
      <c r="AN197" s="10">
        <v>1</v>
      </c>
      <c r="AO197" s="10">
        <v>1</v>
      </c>
      <c r="AP197" s="10">
        <v>1</v>
      </c>
      <c r="AQ197" s="10">
        <v>2</v>
      </c>
      <c r="AR197" s="10">
        <v>1</v>
      </c>
      <c r="AS197" s="11">
        <v>1</v>
      </c>
      <c r="AT197" s="11">
        <v>1</v>
      </c>
      <c r="AU197" s="11">
        <v>1</v>
      </c>
      <c r="AV197" s="11">
        <v>1</v>
      </c>
      <c r="AW197" s="11">
        <v>1</v>
      </c>
      <c r="AX197" s="11">
        <v>1</v>
      </c>
      <c r="AY197" s="7">
        <v>1</v>
      </c>
      <c r="AZ197" s="7">
        <v>1</v>
      </c>
      <c r="BA197" s="7">
        <v>1</v>
      </c>
      <c r="BB197" s="7">
        <v>1</v>
      </c>
      <c r="BC197" s="7">
        <v>1</v>
      </c>
      <c r="BD197" s="7">
        <v>1</v>
      </c>
      <c r="BE197" s="7">
        <v>1</v>
      </c>
      <c r="BF197" s="7">
        <v>1</v>
      </c>
      <c r="BG197" s="12">
        <f>SUM(data__22[[#This Row],[N1]:[N4]],data__22[[#This Row],[N10]:[N13]],data__22[[#This Row],[N16]:[N18]])/11</f>
        <v>1.3636363636363635</v>
      </c>
      <c r="BH197" s="13">
        <f>SUM(data__22[[#This Row],[N8]:[N9]],data__22[[#This Row],[N23]:[N25]])/5</f>
        <v>1</v>
      </c>
      <c r="BI197" s="12">
        <f>SUM(data__22[[#This Row],[N5]:[N7]])/3</f>
        <v>2</v>
      </c>
      <c r="BJ197" s="12">
        <f>SUM(data__22[[#This Row],[N14]:[N15]],data__22[[#This Row],[N19]:[N22]],data__22[[#This Row],[N26]:[N28]])/9</f>
        <v>1.1111111111111112</v>
      </c>
      <c r="BK197" s="12">
        <f>SUM(data__22[[#This Row],[N29]:[N33]])/5</f>
        <v>1</v>
      </c>
      <c r="BL197" s="12">
        <f>SUM(data__22[[#This Row],[N34]:[N36]])/3</f>
        <v>1</v>
      </c>
    </row>
    <row r="198" spans="1:64" x14ac:dyDescent="0.3">
      <c r="A198" s="7">
        <v>20</v>
      </c>
      <c r="B198" s="7" t="s">
        <v>70</v>
      </c>
      <c r="C198" s="7" t="s">
        <v>113</v>
      </c>
      <c r="D198" s="7" t="s">
        <v>72</v>
      </c>
      <c r="E198" s="7" t="s">
        <v>108</v>
      </c>
      <c r="F198" s="7" t="s">
        <v>74</v>
      </c>
      <c r="G198" s="7" t="s">
        <v>439</v>
      </c>
      <c r="H198" s="7" t="s">
        <v>74</v>
      </c>
      <c r="I198" s="7" t="s">
        <v>439</v>
      </c>
      <c r="J198" s="7" t="s">
        <v>77</v>
      </c>
      <c r="K198" s="7" t="s">
        <v>78</v>
      </c>
      <c r="L198" s="8" t="s">
        <v>79</v>
      </c>
      <c r="M198" s="8" t="s">
        <v>80</v>
      </c>
      <c r="N198" s="8" t="s">
        <v>79</v>
      </c>
      <c r="O198" s="8" t="s">
        <v>109</v>
      </c>
      <c r="P198" s="8" t="s">
        <v>82</v>
      </c>
      <c r="Q198" s="8" t="s">
        <v>83</v>
      </c>
      <c r="R198" s="8" t="s">
        <v>82</v>
      </c>
      <c r="S198" s="8" t="s">
        <v>79</v>
      </c>
      <c r="T198" s="8" t="s">
        <v>86</v>
      </c>
      <c r="U198" s="8" t="s">
        <v>87</v>
      </c>
      <c r="V198" s="8" t="s">
        <v>112</v>
      </c>
      <c r="W198" s="9">
        <v>3</v>
      </c>
      <c r="X198" s="9">
        <v>3</v>
      </c>
      <c r="Y198" s="9">
        <v>3</v>
      </c>
      <c r="Z198" s="9">
        <v>3</v>
      </c>
      <c r="AA198" s="9">
        <v>1</v>
      </c>
      <c r="AB198" s="9">
        <v>1</v>
      </c>
      <c r="AC198" s="9">
        <v>0</v>
      </c>
      <c r="AD198" s="9">
        <v>3</v>
      </c>
      <c r="AE198" s="9">
        <v>3</v>
      </c>
      <c r="AF198" s="9">
        <v>3</v>
      </c>
      <c r="AG198" s="9">
        <v>3</v>
      </c>
      <c r="AH198" s="9">
        <v>3</v>
      </c>
      <c r="AI198" s="9">
        <v>2</v>
      </c>
      <c r="AJ198" s="9">
        <v>1</v>
      </c>
      <c r="AK198" s="9">
        <v>0</v>
      </c>
      <c r="AL198" s="10">
        <v>3</v>
      </c>
      <c r="AM198" s="10">
        <v>3</v>
      </c>
      <c r="AN198" s="10">
        <v>3</v>
      </c>
      <c r="AO198" s="10">
        <v>0</v>
      </c>
      <c r="AP198" s="10">
        <v>0</v>
      </c>
      <c r="AQ198" s="10">
        <v>0</v>
      </c>
      <c r="AR198" s="10">
        <v>0</v>
      </c>
      <c r="AS198" s="11">
        <v>2</v>
      </c>
      <c r="AT198" s="11">
        <v>2</v>
      </c>
      <c r="AU198" s="11">
        <v>2</v>
      </c>
      <c r="AV198" s="11">
        <v>1</v>
      </c>
      <c r="AW198" s="11">
        <v>0</v>
      </c>
      <c r="AX198" s="11">
        <v>0</v>
      </c>
      <c r="AY198" s="7"/>
      <c r="AZ198" s="7"/>
      <c r="BA198" s="7"/>
      <c r="BB198" s="7"/>
      <c r="BC198" s="7"/>
      <c r="BD198" s="7"/>
      <c r="BE198" s="7"/>
      <c r="BF198" s="7"/>
      <c r="BG198" s="12">
        <f>SUM(data__22[[#This Row],[N1]:[N4]],data__22[[#This Row],[N10]:[N13]],data__22[[#This Row],[N16]:[N18]])/11</f>
        <v>2.9090909090909092</v>
      </c>
      <c r="BH198" s="13">
        <f>SUM(data__22[[#This Row],[N8]:[N9]],data__22[[#This Row],[N23]:[N25]])/5</f>
        <v>2.4</v>
      </c>
      <c r="BI198" s="12">
        <f>SUM(data__22[[#This Row],[N5]:[N7]])/3</f>
        <v>0.66666666666666663</v>
      </c>
      <c r="BJ198" s="12">
        <f>SUM(data__22[[#This Row],[N14]:[N15]],data__22[[#This Row],[N19]:[N22]],data__22[[#This Row],[N26]:[N28]])/9</f>
        <v>0.22222222222222221</v>
      </c>
      <c r="BK198" s="12">
        <f>SUM(data__22[[#This Row],[N29]:[N33]])/5</f>
        <v>0</v>
      </c>
      <c r="BL198" s="12">
        <f>SUM(data__22[[#This Row],[N34]:[N36]])/3</f>
        <v>0</v>
      </c>
    </row>
    <row r="199" spans="1:64" x14ac:dyDescent="0.3">
      <c r="A199" s="7">
        <v>23</v>
      </c>
      <c r="B199" s="7" t="s">
        <v>70</v>
      </c>
      <c r="C199" s="7" t="s">
        <v>71</v>
      </c>
      <c r="D199" s="7" t="s">
        <v>97</v>
      </c>
      <c r="E199" s="7" t="s">
        <v>114</v>
      </c>
      <c r="F199" s="7" t="s">
        <v>98</v>
      </c>
      <c r="G199" s="7" t="s">
        <v>439</v>
      </c>
      <c r="H199" s="7" t="s">
        <v>100</v>
      </c>
      <c r="I199" s="7" t="s">
        <v>76</v>
      </c>
      <c r="J199" s="7" t="s">
        <v>101</v>
      </c>
      <c r="K199" s="7" t="s">
        <v>125</v>
      </c>
      <c r="L199" s="8" t="s">
        <v>79</v>
      </c>
      <c r="M199" s="8" t="s">
        <v>80</v>
      </c>
      <c r="N199" s="8" t="s">
        <v>82</v>
      </c>
      <c r="O199" s="8" t="s">
        <v>117</v>
      </c>
      <c r="P199" s="8" t="s">
        <v>79</v>
      </c>
      <c r="Q199" s="8" t="s">
        <v>103</v>
      </c>
      <c r="R199" s="8" t="s">
        <v>79</v>
      </c>
      <c r="S199" s="8" t="s">
        <v>79</v>
      </c>
      <c r="T199" s="8" t="s">
        <v>86</v>
      </c>
      <c r="U199" s="8" t="s">
        <v>141</v>
      </c>
      <c r="V199" s="8" t="s">
        <v>112</v>
      </c>
      <c r="W199" s="9">
        <v>2</v>
      </c>
      <c r="X199" s="9">
        <v>2</v>
      </c>
      <c r="Y199" s="9">
        <v>1</v>
      </c>
      <c r="Z199" s="9">
        <v>1</v>
      </c>
      <c r="AA199" s="9">
        <v>3</v>
      </c>
      <c r="AB199" s="9">
        <v>3</v>
      </c>
      <c r="AC199" s="9">
        <v>3</v>
      </c>
      <c r="AD199" s="9">
        <v>1</v>
      </c>
      <c r="AE199" s="9">
        <v>1</v>
      </c>
      <c r="AF199" s="9">
        <v>3</v>
      </c>
      <c r="AG199" s="9">
        <v>3</v>
      </c>
      <c r="AH199" s="9">
        <v>1</v>
      </c>
      <c r="AI199" s="9">
        <v>1</v>
      </c>
      <c r="AJ199" s="9">
        <v>1</v>
      </c>
      <c r="AK199" s="9">
        <v>1</v>
      </c>
      <c r="AL199" s="10">
        <v>3</v>
      </c>
      <c r="AM199" s="10">
        <v>3</v>
      </c>
      <c r="AN199" s="10">
        <v>3</v>
      </c>
      <c r="AO199" s="10">
        <v>1</v>
      </c>
      <c r="AP199" s="10">
        <v>1</v>
      </c>
      <c r="AQ199" s="10">
        <v>0</v>
      </c>
      <c r="AR199" s="10">
        <v>0</v>
      </c>
      <c r="AS199" s="11">
        <v>1</v>
      </c>
      <c r="AT199" s="11">
        <v>2</v>
      </c>
      <c r="AU199" s="11">
        <v>1</v>
      </c>
      <c r="AV199" s="11">
        <v>1</v>
      </c>
      <c r="AW199" s="11">
        <v>1</v>
      </c>
      <c r="AX199" s="11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12">
        <f>SUM(data__22[[#This Row],[N1]:[N4]],data__22[[#This Row],[N10]:[N13]],data__22[[#This Row],[N16]:[N18]])/11</f>
        <v>2.0909090909090908</v>
      </c>
      <c r="BH199" s="13">
        <f>SUM(data__22[[#This Row],[N8]:[N9]],data__22[[#This Row],[N23]:[N25]])/5</f>
        <v>1.2</v>
      </c>
      <c r="BI199" s="12">
        <f>SUM(data__22[[#This Row],[N5]:[N7]])/3</f>
        <v>3</v>
      </c>
      <c r="BJ199" s="12">
        <f>SUM(data__22[[#This Row],[N14]:[N15]],data__22[[#This Row],[N19]:[N22]],data__22[[#This Row],[N26]:[N28]])/9</f>
        <v>0.66666666666666663</v>
      </c>
      <c r="BK199" s="12">
        <f>SUM(data__22[[#This Row],[N29]:[N33]])/5</f>
        <v>0</v>
      </c>
      <c r="BL199" s="12">
        <f>SUM(data__22[[#This Row],[N34]:[N36]])/3</f>
        <v>0</v>
      </c>
    </row>
    <row r="200" spans="1:64" x14ac:dyDescent="0.3">
      <c r="A200" s="7">
        <v>21</v>
      </c>
      <c r="B200" s="7" t="s">
        <v>70</v>
      </c>
      <c r="C200" s="7" t="s">
        <v>96</v>
      </c>
      <c r="D200" s="7" t="s">
        <v>72</v>
      </c>
      <c r="E200" s="7" t="s">
        <v>114</v>
      </c>
      <c r="F200" s="7" t="s">
        <v>74</v>
      </c>
      <c r="G200" s="7" t="s">
        <v>99</v>
      </c>
      <c r="H200" s="7" t="s">
        <v>74</v>
      </c>
      <c r="I200" s="7" t="s">
        <v>439</v>
      </c>
      <c r="J200" s="7" t="s">
        <v>101</v>
      </c>
      <c r="K200" s="7" t="s">
        <v>122</v>
      </c>
      <c r="L200" s="8" t="s">
        <v>82</v>
      </c>
      <c r="M200" s="8" t="s">
        <v>80</v>
      </c>
      <c r="N200" s="8" t="s">
        <v>79</v>
      </c>
      <c r="O200" s="8" t="s">
        <v>81</v>
      </c>
      <c r="P200" s="8" t="s">
        <v>79</v>
      </c>
      <c r="Q200" s="8" t="s">
        <v>83</v>
      </c>
      <c r="R200" s="8" t="s">
        <v>79</v>
      </c>
      <c r="S200" s="8" t="s">
        <v>82</v>
      </c>
      <c r="T200" s="8" t="s">
        <v>86</v>
      </c>
      <c r="U200" s="8" t="s">
        <v>141</v>
      </c>
      <c r="V200" s="8" t="s">
        <v>112</v>
      </c>
      <c r="W200" s="9">
        <v>3</v>
      </c>
      <c r="X200" s="9">
        <v>3</v>
      </c>
      <c r="Y200" s="9">
        <v>3</v>
      </c>
      <c r="Z200" s="9">
        <v>3</v>
      </c>
      <c r="AA200" s="9">
        <v>0</v>
      </c>
      <c r="AB200" s="9">
        <v>0</v>
      </c>
      <c r="AC200" s="9">
        <v>0</v>
      </c>
      <c r="AD200" s="9">
        <v>1</v>
      </c>
      <c r="AE200" s="9">
        <v>3</v>
      </c>
      <c r="AF200" s="9">
        <v>3</v>
      </c>
      <c r="AG200" s="9">
        <v>3</v>
      </c>
      <c r="AH200" s="9">
        <v>3</v>
      </c>
      <c r="AI200" s="9">
        <v>3</v>
      </c>
      <c r="AJ200" s="9">
        <v>1</v>
      </c>
      <c r="AK200" s="9">
        <v>1</v>
      </c>
      <c r="AL200" s="10">
        <v>3</v>
      </c>
      <c r="AM200" s="10">
        <v>3</v>
      </c>
      <c r="AN200" s="10">
        <v>3</v>
      </c>
      <c r="AO200" s="10">
        <v>3</v>
      </c>
      <c r="AP200" s="10">
        <v>3</v>
      </c>
      <c r="AQ200" s="10">
        <v>3</v>
      </c>
      <c r="AR200" s="10">
        <v>3</v>
      </c>
      <c r="AS200" s="11">
        <v>3</v>
      </c>
      <c r="AT200" s="11">
        <v>3</v>
      </c>
      <c r="AU200" s="11">
        <v>3</v>
      </c>
      <c r="AV200" s="11">
        <v>0</v>
      </c>
      <c r="AW200" s="11">
        <v>0</v>
      </c>
      <c r="AX200" s="11">
        <v>0</v>
      </c>
      <c r="AY200" s="7">
        <v>3</v>
      </c>
      <c r="AZ200" s="7">
        <v>3</v>
      </c>
      <c r="BA200" s="7">
        <v>3</v>
      </c>
      <c r="BB200" s="7">
        <v>3</v>
      </c>
      <c r="BC200" s="7">
        <v>3</v>
      </c>
      <c r="BD200" s="7">
        <v>0</v>
      </c>
      <c r="BE200" s="7">
        <v>0</v>
      </c>
      <c r="BF200" s="7">
        <v>0</v>
      </c>
      <c r="BG200" s="12">
        <f>SUM(data__22[[#This Row],[N1]:[N4]],data__22[[#This Row],[N10]:[N13]],data__22[[#This Row],[N16]:[N18]])/11</f>
        <v>3</v>
      </c>
      <c r="BH200" s="13">
        <f>SUM(data__22[[#This Row],[N8]:[N9]],data__22[[#This Row],[N23]:[N25]])/5</f>
        <v>2.6</v>
      </c>
      <c r="BI200" s="12">
        <f>SUM(data__22[[#This Row],[N5]:[N7]])/3</f>
        <v>0</v>
      </c>
      <c r="BJ200" s="12">
        <f>SUM(data__22[[#This Row],[N14]:[N15]],data__22[[#This Row],[N19]:[N22]],data__22[[#This Row],[N26]:[N28]])/9</f>
        <v>1.5555555555555556</v>
      </c>
      <c r="BK200" s="12">
        <f>SUM(data__22[[#This Row],[N29]:[N33]])/5</f>
        <v>3</v>
      </c>
      <c r="BL200" s="12">
        <f>SUM(data__22[[#This Row],[N34]:[N36]])/3</f>
        <v>0</v>
      </c>
    </row>
    <row r="201" spans="1:64" x14ac:dyDescent="0.3">
      <c r="A201" s="7">
        <v>22</v>
      </c>
      <c r="B201" s="7" t="s">
        <v>70</v>
      </c>
      <c r="C201" s="7" t="s">
        <v>157</v>
      </c>
      <c r="D201" s="7" t="s">
        <v>97</v>
      </c>
      <c r="E201" s="7" t="s">
        <v>108</v>
      </c>
      <c r="F201" s="7" t="s">
        <v>74</v>
      </c>
      <c r="G201" s="7" t="s">
        <v>440</v>
      </c>
      <c r="H201" s="7" t="s">
        <v>98</v>
      </c>
      <c r="I201" s="7" t="s">
        <v>76</v>
      </c>
      <c r="J201" s="7" t="s">
        <v>77</v>
      </c>
      <c r="K201" s="7" t="s">
        <v>122</v>
      </c>
      <c r="L201" s="8" t="s">
        <v>79</v>
      </c>
      <c r="M201" s="8" t="s">
        <v>80</v>
      </c>
      <c r="N201" s="8" t="s">
        <v>79</v>
      </c>
      <c r="O201" s="8" t="s">
        <v>109</v>
      </c>
      <c r="P201" s="8" t="s">
        <v>79</v>
      </c>
      <c r="Q201" s="8" t="s">
        <v>103</v>
      </c>
      <c r="R201" s="8" t="s">
        <v>79</v>
      </c>
      <c r="S201" s="8" t="s">
        <v>79</v>
      </c>
      <c r="T201" s="8" t="s">
        <v>106</v>
      </c>
      <c r="U201" s="8" t="s">
        <v>141</v>
      </c>
      <c r="V201" s="8" t="s">
        <v>112</v>
      </c>
      <c r="W201" s="9">
        <v>3</v>
      </c>
      <c r="X201" s="9">
        <v>3</v>
      </c>
      <c r="Y201" s="9">
        <v>3</v>
      </c>
      <c r="Z201" s="9">
        <v>3</v>
      </c>
      <c r="AA201" s="9">
        <v>2</v>
      </c>
      <c r="AB201" s="9">
        <v>2</v>
      </c>
      <c r="AC201" s="9">
        <v>1</v>
      </c>
      <c r="AD201" s="9">
        <v>3</v>
      </c>
      <c r="AE201" s="9">
        <v>3</v>
      </c>
      <c r="AF201" s="9">
        <v>3</v>
      </c>
      <c r="AG201" s="9">
        <v>3</v>
      </c>
      <c r="AH201" s="9">
        <v>3</v>
      </c>
      <c r="AI201" s="9">
        <v>3</v>
      </c>
      <c r="AJ201" s="9">
        <v>2</v>
      </c>
      <c r="AK201" s="9">
        <v>2</v>
      </c>
      <c r="AL201" s="10">
        <v>2</v>
      </c>
      <c r="AM201" s="10">
        <v>2</v>
      </c>
      <c r="AN201" s="10">
        <v>2</v>
      </c>
      <c r="AO201" s="10">
        <v>2</v>
      </c>
      <c r="AP201" s="10">
        <v>0</v>
      </c>
      <c r="AQ201" s="10">
        <v>0</v>
      </c>
      <c r="AR201" s="10">
        <v>0</v>
      </c>
      <c r="AS201" s="11">
        <v>2</v>
      </c>
      <c r="AT201" s="11">
        <v>2</v>
      </c>
      <c r="AU201" s="11">
        <v>2</v>
      </c>
      <c r="AV201" s="11">
        <v>2</v>
      </c>
      <c r="AW201" s="11">
        <v>0</v>
      </c>
      <c r="AX201" s="11">
        <v>0</v>
      </c>
      <c r="AY201" s="7"/>
      <c r="AZ201" s="7"/>
      <c r="BA201" s="7"/>
      <c r="BB201" s="7"/>
      <c r="BC201" s="7"/>
      <c r="BD201" s="7"/>
      <c r="BE201" s="7"/>
      <c r="BF201" s="7"/>
      <c r="BG201" s="12">
        <f>SUM(data__22[[#This Row],[N1]:[N4]],data__22[[#This Row],[N10]:[N13]],data__22[[#This Row],[N16]:[N18]])/11</f>
        <v>2.7272727272727271</v>
      </c>
      <c r="BH201" s="13">
        <f>SUM(data__22[[#This Row],[N8]:[N9]],data__22[[#This Row],[N23]:[N25]])/5</f>
        <v>2.4</v>
      </c>
      <c r="BI201" s="12">
        <f>SUM(data__22[[#This Row],[N5]:[N7]])/3</f>
        <v>1.6666666666666667</v>
      </c>
      <c r="BJ201" s="12">
        <f>SUM(data__22[[#This Row],[N14]:[N15]],data__22[[#This Row],[N19]:[N22]],data__22[[#This Row],[N26]:[N28]])/9</f>
        <v>0.88888888888888884</v>
      </c>
      <c r="BK201" s="12">
        <f>SUM(data__22[[#This Row],[N29]:[N33]])/5</f>
        <v>0</v>
      </c>
      <c r="BL201" s="12">
        <f>SUM(data__22[[#This Row],[N34]:[N36]])/3</f>
        <v>0</v>
      </c>
    </row>
    <row r="202" spans="1:64" x14ac:dyDescent="0.3">
      <c r="A202" s="7">
        <v>20</v>
      </c>
      <c r="B202" s="7" t="s">
        <v>70</v>
      </c>
      <c r="C202" s="7" t="s">
        <v>157</v>
      </c>
      <c r="D202" s="7" t="s">
        <v>149</v>
      </c>
      <c r="E202" s="7" t="s">
        <v>108</v>
      </c>
      <c r="F202" s="7" t="s">
        <v>74</v>
      </c>
      <c r="G202" s="7" t="s">
        <v>439</v>
      </c>
      <c r="H202" s="7" t="s">
        <v>74</v>
      </c>
      <c r="I202" s="7" t="s">
        <v>439</v>
      </c>
      <c r="J202" s="7" t="s">
        <v>77</v>
      </c>
      <c r="K202" s="7" t="s">
        <v>131</v>
      </c>
      <c r="L202" s="8" t="s">
        <v>79</v>
      </c>
      <c r="M202" s="8" t="s">
        <v>80</v>
      </c>
      <c r="N202" s="8" t="s">
        <v>82</v>
      </c>
      <c r="O202" s="8" t="s">
        <v>117</v>
      </c>
      <c r="P202" s="8" t="s">
        <v>79</v>
      </c>
      <c r="Q202" s="8" t="s">
        <v>83</v>
      </c>
      <c r="R202" s="8" t="s">
        <v>79</v>
      </c>
      <c r="S202" s="8" t="s">
        <v>79</v>
      </c>
      <c r="T202" s="8" t="s">
        <v>86</v>
      </c>
      <c r="U202" s="8" t="s">
        <v>120</v>
      </c>
      <c r="V202" s="8" t="s">
        <v>112</v>
      </c>
      <c r="W202" s="9">
        <v>2</v>
      </c>
      <c r="X202" s="9">
        <v>3</v>
      </c>
      <c r="Y202" s="9">
        <v>3</v>
      </c>
      <c r="Z202" s="9">
        <v>3</v>
      </c>
      <c r="AA202" s="9">
        <v>3</v>
      </c>
      <c r="AB202" s="9">
        <v>3</v>
      </c>
      <c r="AC202" s="9">
        <v>1</v>
      </c>
      <c r="AD202" s="9">
        <v>0</v>
      </c>
      <c r="AE202" s="9">
        <v>3</v>
      </c>
      <c r="AF202" s="9">
        <v>3</v>
      </c>
      <c r="AG202" s="9">
        <v>3</v>
      </c>
      <c r="AH202" s="9">
        <v>3</v>
      </c>
      <c r="AI202" s="9">
        <v>3</v>
      </c>
      <c r="AJ202" s="9">
        <v>0</v>
      </c>
      <c r="AK202" s="9">
        <v>3</v>
      </c>
      <c r="AL202" s="10">
        <v>3</v>
      </c>
      <c r="AM202" s="10">
        <v>3</v>
      </c>
      <c r="AN202" s="10">
        <v>3</v>
      </c>
      <c r="AO202" s="10">
        <v>0</v>
      </c>
      <c r="AP202" s="10">
        <v>0</v>
      </c>
      <c r="AQ202" s="10">
        <v>0</v>
      </c>
      <c r="AR202" s="10">
        <v>0</v>
      </c>
      <c r="AS202" s="11">
        <v>2</v>
      </c>
      <c r="AT202" s="11">
        <v>2</v>
      </c>
      <c r="AU202" s="11">
        <v>2</v>
      </c>
      <c r="AV202" s="11">
        <v>3</v>
      </c>
      <c r="AW202" s="11">
        <v>0</v>
      </c>
      <c r="AX202" s="11">
        <v>0</v>
      </c>
      <c r="AY202" s="7">
        <v>2</v>
      </c>
      <c r="AZ202" s="7">
        <v>0</v>
      </c>
      <c r="BA202" s="7">
        <v>1</v>
      </c>
      <c r="BB202" s="7">
        <v>1</v>
      </c>
      <c r="BC202" s="7">
        <v>0</v>
      </c>
      <c r="BD202" s="7">
        <v>1</v>
      </c>
      <c r="BE202" s="7">
        <v>3</v>
      </c>
      <c r="BF202" s="7">
        <v>2</v>
      </c>
      <c r="BG202" s="12">
        <f>SUM(data__22[[#This Row],[N1]:[N4]],data__22[[#This Row],[N10]:[N13]],data__22[[#This Row],[N16]:[N18]])/11</f>
        <v>2.9090909090909092</v>
      </c>
      <c r="BH202" s="13">
        <f>SUM(data__22[[#This Row],[N8]:[N9]],data__22[[#This Row],[N23]:[N25]])/5</f>
        <v>1.8</v>
      </c>
      <c r="BI202" s="12">
        <f>SUM(data__22[[#This Row],[N5]:[N7]])/3</f>
        <v>2.3333333333333335</v>
      </c>
      <c r="BJ202" s="12">
        <f>SUM(data__22[[#This Row],[N14]:[N15]],data__22[[#This Row],[N19]:[N22]],data__22[[#This Row],[N26]:[N28]])/9</f>
        <v>0.66666666666666663</v>
      </c>
      <c r="BK202" s="12">
        <f>SUM(data__22[[#This Row],[N29]:[N33]])/5</f>
        <v>0.8</v>
      </c>
      <c r="BL202" s="12">
        <f>SUM(data__22[[#This Row],[N34]:[N36]])/3</f>
        <v>2</v>
      </c>
    </row>
    <row r="203" spans="1:64" x14ac:dyDescent="0.3">
      <c r="A203" s="7">
        <v>22</v>
      </c>
      <c r="B203" s="7" t="s">
        <v>70</v>
      </c>
      <c r="C203" s="7" t="s">
        <v>96</v>
      </c>
      <c r="D203" s="7" t="s">
        <v>72</v>
      </c>
      <c r="E203" s="7" t="s">
        <v>114</v>
      </c>
      <c r="F203" s="7" t="s">
        <v>74</v>
      </c>
      <c r="G203" s="7" t="s">
        <v>439</v>
      </c>
      <c r="H203" s="7" t="s">
        <v>98</v>
      </c>
      <c r="I203" s="7" t="s">
        <v>76</v>
      </c>
      <c r="J203" s="7" t="s">
        <v>77</v>
      </c>
      <c r="K203" s="7" t="s">
        <v>122</v>
      </c>
      <c r="L203" s="8" t="s">
        <v>82</v>
      </c>
      <c r="M203" s="8" t="s">
        <v>132</v>
      </c>
      <c r="N203" s="8" t="s">
        <v>79</v>
      </c>
      <c r="O203" s="8" t="s">
        <v>179</v>
      </c>
      <c r="P203" s="8" t="s">
        <v>79</v>
      </c>
      <c r="Q203" s="8" t="s">
        <v>83</v>
      </c>
      <c r="R203" s="8" t="s">
        <v>79</v>
      </c>
      <c r="S203" s="8" t="s">
        <v>82</v>
      </c>
      <c r="T203" s="8" t="s">
        <v>106</v>
      </c>
      <c r="U203" s="8" t="s">
        <v>87</v>
      </c>
      <c r="V203" s="8" t="s">
        <v>237</v>
      </c>
      <c r="W203" s="9">
        <v>2</v>
      </c>
      <c r="X203" s="9">
        <v>3</v>
      </c>
      <c r="Y203" s="9">
        <v>1</v>
      </c>
      <c r="Z203" s="9">
        <v>2</v>
      </c>
      <c r="AA203" s="9">
        <v>2</v>
      </c>
      <c r="AB203" s="9">
        <v>2</v>
      </c>
      <c r="AC203" s="9">
        <v>2</v>
      </c>
      <c r="AD203" s="9">
        <v>3</v>
      </c>
      <c r="AE203" s="9">
        <v>0</v>
      </c>
      <c r="AF203" s="9">
        <v>3</v>
      </c>
      <c r="AG203" s="9">
        <v>3</v>
      </c>
      <c r="AH203" s="9">
        <v>3</v>
      </c>
      <c r="AI203" s="9">
        <v>3</v>
      </c>
      <c r="AJ203" s="9">
        <v>3</v>
      </c>
      <c r="AK203" s="9">
        <v>3</v>
      </c>
      <c r="AL203" s="10">
        <v>2</v>
      </c>
      <c r="AM203" s="10">
        <v>3</v>
      </c>
      <c r="AN203" s="10">
        <v>3</v>
      </c>
      <c r="AO203" s="10">
        <v>3</v>
      </c>
      <c r="AP203" s="10">
        <v>3</v>
      </c>
      <c r="AQ203" s="10">
        <v>0</v>
      </c>
      <c r="AR203" s="10">
        <v>0</v>
      </c>
      <c r="AS203" s="11">
        <v>3</v>
      </c>
      <c r="AT203" s="11">
        <v>3</v>
      </c>
      <c r="AU203" s="11">
        <v>3</v>
      </c>
      <c r="AV203" s="11">
        <v>1</v>
      </c>
      <c r="AW203" s="11">
        <v>0</v>
      </c>
      <c r="AX203" s="11">
        <v>0</v>
      </c>
      <c r="AY203" s="7">
        <v>3</v>
      </c>
      <c r="AZ203" s="7">
        <v>3</v>
      </c>
      <c r="BA203" s="7">
        <v>3</v>
      </c>
      <c r="BB203" s="7">
        <v>3</v>
      </c>
      <c r="BC203" s="7">
        <v>3</v>
      </c>
      <c r="BD203" s="7">
        <v>1</v>
      </c>
      <c r="BE203" s="7">
        <v>1</v>
      </c>
      <c r="BF203" s="7">
        <v>1</v>
      </c>
      <c r="BG203" s="12">
        <f>SUM(data__22[[#This Row],[N1]:[N4]],data__22[[#This Row],[N10]:[N13]],data__22[[#This Row],[N16]:[N18]])/11</f>
        <v>2.5454545454545454</v>
      </c>
      <c r="BH203" s="13">
        <f>SUM(data__22[[#This Row],[N8]:[N9]],data__22[[#This Row],[N23]:[N25]])/5</f>
        <v>2.4</v>
      </c>
      <c r="BI203" s="12">
        <f>SUM(data__22[[#This Row],[N5]:[N7]])/3</f>
        <v>2</v>
      </c>
      <c r="BJ203" s="12">
        <f>SUM(data__22[[#This Row],[N14]:[N15]],data__22[[#This Row],[N19]:[N22]],data__22[[#This Row],[N26]:[N28]])/9</f>
        <v>1.4444444444444444</v>
      </c>
      <c r="BK203" s="12">
        <f>SUM(data__22[[#This Row],[N29]:[N33]])/5</f>
        <v>3</v>
      </c>
      <c r="BL203" s="12">
        <f>SUM(data__22[[#This Row],[N34]:[N36]])/3</f>
        <v>1</v>
      </c>
    </row>
    <row r="204" spans="1:64" x14ac:dyDescent="0.3">
      <c r="A204" s="7">
        <v>21</v>
      </c>
      <c r="B204" s="7" t="s">
        <v>70</v>
      </c>
      <c r="C204" s="7" t="s">
        <v>157</v>
      </c>
      <c r="D204" s="7" t="s">
        <v>97</v>
      </c>
      <c r="E204" s="7" t="s">
        <v>108</v>
      </c>
      <c r="F204" s="7" t="s">
        <v>74</v>
      </c>
      <c r="G204" s="7" t="s">
        <v>439</v>
      </c>
      <c r="H204" s="7" t="s">
        <v>98</v>
      </c>
      <c r="I204" s="7" t="s">
        <v>76</v>
      </c>
      <c r="J204" s="7" t="s">
        <v>77</v>
      </c>
      <c r="K204" s="7" t="s">
        <v>131</v>
      </c>
      <c r="L204" s="8" t="s">
        <v>82</v>
      </c>
      <c r="M204" s="8" t="s">
        <v>132</v>
      </c>
      <c r="N204" s="8" t="s">
        <v>82</v>
      </c>
      <c r="O204" s="8" t="s">
        <v>117</v>
      </c>
      <c r="P204" s="8" t="s">
        <v>82</v>
      </c>
      <c r="Q204" s="8" t="s">
        <v>83</v>
      </c>
      <c r="R204" s="8" t="s">
        <v>82</v>
      </c>
      <c r="S204" s="8" t="s">
        <v>82</v>
      </c>
      <c r="T204" s="8" t="s">
        <v>106</v>
      </c>
      <c r="U204" s="8" t="s">
        <v>141</v>
      </c>
      <c r="V204" s="8" t="s">
        <v>112</v>
      </c>
      <c r="W204" s="9">
        <v>3</v>
      </c>
      <c r="X204" s="9">
        <v>3</v>
      </c>
      <c r="Y204" s="9">
        <v>3</v>
      </c>
      <c r="Z204" s="9">
        <v>3</v>
      </c>
      <c r="AA204" s="9">
        <v>0</v>
      </c>
      <c r="AB204" s="9">
        <v>0</v>
      </c>
      <c r="AC204" s="9">
        <v>0</v>
      </c>
      <c r="AD204" s="9">
        <v>3</v>
      </c>
      <c r="AE204" s="9">
        <v>3</v>
      </c>
      <c r="AF204" s="9">
        <v>0</v>
      </c>
      <c r="AG204" s="9">
        <v>3</v>
      </c>
      <c r="AH204" s="9">
        <v>3</v>
      </c>
      <c r="AI204" s="9">
        <v>3</v>
      </c>
      <c r="AJ204" s="9">
        <v>0</v>
      </c>
      <c r="AK204" s="9">
        <v>0</v>
      </c>
      <c r="AL204" s="10">
        <v>3</v>
      </c>
      <c r="AM204" s="10">
        <v>3</v>
      </c>
      <c r="AN204" s="10">
        <v>3</v>
      </c>
      <c r="AO204" s="10">
        <v>0</v>
      </c>
      <c r="AP204" s="10">
        <v>0</v>
      </c>
      <c r="AQ204" s="10">
        <v>0</v>
      </c>
      <c r="AR204" s="10">
        <v>0</v>
      </c>
      <c r="AS204" s="11">
        <v>2</v>
      </c>
      <c r="AT204" s="11">
        <v>2</v>
      </c>
      <c r="AU204" s="11">
        <v>2</v>
      </c>
      <c r="AV204" s="11">
        <v>2</v>
      </c>
      <c r="AW204" s="11">
        <v>0</v>
      </c>
      <c r="AX204" s="11">
        <v>0</v>
      </c>
      <c r="AY204" s="7">
        <v>3</v>
      </c>
      <c r="AZ204" s="7">
        <v>3</v>
      </c>
      <c r="BA204" s="7">
        <v>3</v>
      </c>
      <c r="BB204" s="7">
        <v>3</v>
      </c>
      <c r="BC204" s="7">
        <v>3</v>
      </c>
      <c r="BD204" s="7">
        <v>0</v>
      </c>
      <c r="BE204" s="7">
        <v>0</v>
      </c>
      <c r="BF204" s="7">
        <v>0</v>
      </c>
      <c r="BG204" s="12">
        <f>SUM(data__22[[#This Row],[N1]:[N4]],data__22[[#This Row],[N10]:[N13]],data__22[[#This Row],[N16]:[N18]])/11</f>
        <v>2.7272727272727271</v>
      </c>
      <c r="BH204" s="13">
        <f>SUM(data__22[[#This Row],[N8]:[N9]],data__22[[#This Row],[N23]:[N25]])/5</f>
        <v>2.4</v>
      </c>
      <c r="BI204" s="12">
        <f>SUM(data__22[[#This Row],[N5]:[N7]])/3</f>
        <v>0</v>
      </c>
      <c r="BJ204" s="12">
        <f>SUM(data__22[[#This Row],[N14]:[N15]],data__22[[#This Row],[N19]:[N22]],data__22[[#This Row],[N26]:[N28]])/9</f>
        <v>0.22222222222222221</v>
      </c>
      <c r="BK204" s="12">
        <f>SUM(data__22[[#This Row],[N29]:[N33]])/5</f>
        <v>3</v>
      </c>
      <c r="BL204" s="12">
        <f>SUM(data__22[[#This Row],[N34]:[N36]])/3</f>
        <v>0</v>
      </c>
    </row>
    <row r="205" spans="1:64" x14ac:dyDescent="0.3">
      <c r="A205" s="7">
        <v>20</v>
      </c>
      <c r="B205" s="7" t="s">
        <v>70</v>
      </c>
      <c r="C205" s="7" t="s">
        <v>157</v>
      </c>
      <c r="D205" s="7" t="s">
        <v>149</v>
      </c>
      <c r="E205" s="7" t="s">
        <v>114</v>
      </c>
      <c r="F205" s="7" t="s">
        <v>74</v>
      </c>
      <c r="G205" s="7" t="s">
        <v>99</v>
      </c>
      <c r="H205" s="7" t="s">
        <v>136</v>
      </c>
      <c r="I205" s="7" t="s">
        <v>76</v>
      </c>
      <c r="J205" s="7" t="s">
        <v>77</v>
      </c>
      <c r="K205" s="7" t="s">
        <v>122</v>
      </c>
      <c r="L205" s="8" t="s">
        <v>82</v>
      </c>
      <c r="M205" s="8" t="s">
        <v>132</v>
      </c>
      <c r="N205" s="8" t="s">
        <v>79</v>
      </c>
      <c r="O205" s="8" t="s">
        <v>117</v>
      </c>
      <c r="P205" s="8" t="s">
        <v>82</v>
      </c>
      <c r="Q205" s="8" t="s">
        <v>83</v>
      </c>
      <c r="R205" s="8" t="s">
        <v>79</v>
      </c>
      <c r="S205" s="8" t="s">
        <v>82</v>
      </c>
      <c r="T205" s="8" t="s">
        <v>106</v>
      </c>
      <c r="U205" s="8" t="s">
        <v>141</v>
      </c>
      <c r="V205" s="8" t="s">
        <v>112</v>
      </c>
      <c r="W205" s="9">
        <v>2</v>
      </c>
      <c r="X205" s="9">
        <v>1</v>
      </c>
      <c r="Y205" s="9">
        <v>2</v>
      </c>
      <c r="Z205" s="9">
        <v>3</v>
      </c>
      <c r="AA205" s="9">
        <v>2</v>
      </c>
      <c r="AB205" s="9">
        <v>3</v>
      </c>
      <c r="AC205" s="9">
        <v>2</v>
      </c>
      <c r="AD205" s="9">
        <v>0</v>
      </c>
      <c r="AE205" s="9">
        <v>2</v>
      </c>
      <c r="AF205" s="9">
        <v>3</v>
      </c>
      <c r="AG205" s="9">
        <v>3</v>
      </c>
      <c r="AH205" s="9">
        <v>3</v>
      </c>
      <c r="AI205" s="9">
        <v>2</v>
      </c>
      <c r="AJ205" s="9">
        <v>2</v>
      </c>
      <c r="AK205" s="9">
        <v>3</v>
      </c>
      <c r="AL205" s="10">
        <v>3</v>
      </c>
      <c r="AM205" s="10">
        <v>3</v>
      </c>
      <c r="AN205" s="10">
        <v>3</v>
      </c>
      <c r="AO205" s="10">
        <v>0</v>
      </c>
      <c r="AP205" s="10">
        <v>0</v>
      </c>
      <c r="AQ205" s="10">
        <v>0</v>
      </c>
      <c r="AR205" s="10">
        <v>0</v>
      </c>
      <c r="AS205" s="11">
        <v>2</v>
      </c>
      <c r="AT205" s="11">
        <v>0</v>
      </c>
      <c r="AU205" s="11">
        <v>1</v>
      </c>
      <c r="AV205" s="11">
        <v>0</v>
      </c>
      <c r="AW205" s="11">
        <v>0</v>
      </c>
      <c r="AX205" s="11">
        <v>0</v>
      </c>
      <c r="AY205" s="7">
        <v>3</v>
      </c>
      <c r="AZ205" s="7">
        <v>3</v>
      </c>
      <c r="BA205" s="7">
        <v>3</v>
      </c>
      <c r="BB205" s="7">
        <v>3</v>
      </c>
      <c r="BC205" s="7">
        <v>3</v>
      </c>
      <c r="BD205" s="7">
        <v>0</v>
      </c>
      <c r="BE205" s="7">
        <v>0</v>
      </c>
      <c r="BF205" s="7">
        <v>3</v>
      </c>
      <c r="BG205" s="12">
        <f>SUM(data__22[[#This Row],[N1]:[N4]],data__22[[#This Row],[N10]:[N13]],data__22[[#This Row],[N16]:[N18]])/11</f>
        <v>2.5454545454545454</v>
      </c>
      <c r="BH205" s="13">
        <f>SUM(data__22[[#This Row],[N8]:[N9]],data__22[[#This Row],[N23]:[N25]])/5</f>
        <v>1</v>
      </c>
      <c r="BI205" s="12">
        <f>SUM(data__22[[#This Row],[N5]:[N7]])/3</f>
        <v>2.3333333333333335</v>
      </c>
      <c r="BJ205" s="12">
        <f>SUM(data__22[[#This Row],[N14]:[N15]],data__22[[#This Row],[N19]:[N22]],data__22[[#This Row],[N26]:[N28]])/9</f>
        <v>0.55555555555555558</v>
      </c>
      <c r="BK205" s="12">
        <f>SUM(data__22[[#This Row],[N29]:[N33]])/5</f>
        <v>3</v>
      </c>
      <c r="BL205" s="12">
        <f>SUM(data__22[[#This Row],[N34]:[N36]])/3</f>
        <v>1</v>
      </c>
    </row>
    <row r="206" spans="1:64" x14ac:dyDescent="0.3">
      <c r="A206" s="7">
        <v>24</v>
      </c>
      <c r="B206" s="7" t="s">
        <v>70</v>
      </c>
      <c r="C206" s="7" t="s">
        <v>113</v>
      </c>
      <c r="D206" s="7" t="s">
        <v>72</v>
      </c>
      <c r="E206" s="7" t="s">
        <v>108</v>
      </c>
      <c r="F206" s="7" t="s">
        <v>98</v>
      </c>
      <c r="G206" s="7" t="s">
        <v>440</v>
      </c>
      <c r="H206" s="7" t="s">
        <v>98</v>
      </c>
      <c r="I206" s="7" t="s">
        <v>76</v>
      </c>
      <c r="J206" s="7" t="s">
        <v>77</v>
      </c>
      <c r="K206" s="7" t="s">
        <v>131</v>
      </c>
      <c r="L206" s="8" t="s">
        <v>79</v>
      </c>
      <c r="M206" s="8" t="s">
        <v>80</v>
      </c>
      <c r="N206" s="8" t="s">
        <v>79</v>
      </c>
      <c r="O206" s="8" t="s">
        <v>117</v>
      </c>
      <c r="P206" s="8" t="s">
        <v>79</v>
      </c>
      <c r="Q206" s="8" t="s">
        <v>118</v>
      </c>
      <c r="R206" s="8" t="s">
        <v>79</v>
      </c>
      <c r="S206" s="8" t="s">
        <v>82</v>
      </c>
      <c r="T206" s="8" t="s">
        <v>86</v>
      </c>
      <c r="U206" s="8" t="s">
        <v>141</v>
      </c>
      <c r="V206" s="8" t="s">
        <v>112</v>
      </c>
      <c r="W206" s="9">
        <v>0</v>
      </c>
      <c r="X206" s="9">
        <v>3</v>
      </c>
      <c r="Y206" s="9">
        <v>2</v>
      </c>
      <c r="Z206" s="9">
        <v>3</v>
      </c>
      <c r="AA206" s="9">
        <v>3</v>
      </c>
      <c r="AB206" s="9">
        <v>3</v>
      </c>
      <c r="AC206" s="9">
        <v>3</v>
      </c>
      <c r="AD206" s="9">
        <v>0</v>
      </c>
      <c r="AE206" s="9">
        <v>0</v>
      </c>
      <c r="AF206" s="9">
        <v>1</v>
      </c>
      <c r="AG206" s="9">
        <v>3</v>
      </c>
      <c r="AH206" s="9">
        <v>2</v>
      </c>
      <c r="AI206" s="9">
        <v>3</v>
      </c>
      <c r="AJ206" s="9">
        <v>2</v>
      </c>
      <c r="AK206" s="9">
        <v>2</v>
      </c>
      <c r="AL206" s="10">
        <v>3</v>
      </c>
      <c r="AM206" s="10">
        <v>3</v>
      </c>
      <c r="AN206" s="10">
        <v>3</v>
      </c>
      <c r="AO206" s="10">
        <v>1</v>
      </c>
      <c r="AP206" s="10">
        <v>0</v>
      </c>
      <c r="AQ206" s="10">
        <v>0</v>
      </c>
      <c r="AR206" s="10">
        <v>0</v>
      </c>
      <c r="AS206" s="11">
        <v>1</v>
      </c>
      <c r="AT206" s="11">
        <v>1</v>
      </c>
      <c r="AU206" s="11">
        <v>2</v>
      </c>
      <c r="AV206" s="11">
        <v>2</v>
      </c>
      <c r="AW206" s="11">
        <v>2</v>
      </c>
      <c r="AX206" s="11">
        <v>1</v>
      </c>
      <c r="AY206" s="7">
        <v>3</v>
      </c>
      <c r="AZ206" s="7">
        <v>3</v>
      </c>
      <c r="BA206" s="7">
        <v>2</v>
      </c>
      <c r="BB206" s="7">
        <v>3</v>
      </c>
      <c r="BC206" s="7">
        <v>2</v>
      </c>
      <c r="BD206" s="7">
        <v>2</v>
      </c>
      <c r="BE206" s="7">
        <v>2</v>
      </c>
      <c r="BF206" s="7">
        <v>2</v>
      </c>
      <c r="BG206" s="12">
        <f>SUM(data__22[[#This Row],[N1]:[N4]],data__22[[#This Row],[N10]:[N13]],data__22[[#This Row],[N16]:[N18]])/11</f>
        <v>2.3636363636363638</v>
      </c>
      <c r="BH206" s="13">
        <f>SUM(data__22[[#This Row],[N8]:[N9]],data__22[[#This Row],[N23]:[N25]])/5</f>
        <v>0.8</v>
      </c>
      <c r="BI206" s="12">
        <f>SUM(data__22[[#This Row],[N5]:[N7]])/3</f>
        <v>3</v>
      </c>
      <c r="BJ206" s="12">
        <f>SUM(data__22[[#This Row],[N14]:[N15]],data__22[[#This Row],[N19]:[N22]],data__22[[#This Row],[N26]:[N28]])/9</f>
        <v>1.1111111111111112</v>
      </c>
      <c r="BK206" s="12">
        <f>SUM(data__22[[#This Row],[N29]:[N33]])/5</f>
        <v>2.6</v>
      </c>
      <c r="BL206" s="12">
        <f>SUM(data__22[[#This Row],[N34]:[N36]])/3</f>
        <v>2</v>
      </c>
    </row>
    <row r="207" spans="1:64" x14ac:dyDescent="0.3">
      <c r="A207" s="7">
        <v>21</v>
      </c>
      <c r="B207" s="7" t="s">
        <v>70</v>
      </c>
      <c r="C207" s="7" t="s">
        <v>71</v>
      </c>
      <c r="D207" s="7" t="s">
        <v>72</v>
      </c>
      <c r="E207" s="7" t="s">
        <v>108</v>
      </c>
      <c r="F207" s="7" t="s">
        <v>74</v>
      </c>
      <c r="G207" s="7" t="s">
        <v>439</v>
      </c>
      <c r="H207" s="7" t="s">
        <v>74</v>
      </c>
      <c r="I207" s="7" t="s">
        <v>76</v>
      </c>
      <c r="J207" s="7" t="s">
        <v>77</v>
      </c>
      <c r="K207" s="7" t="s">
        <v>78</v>
      </c>
      <c r="L207" s="8" t="s">
        <v>79</v>
      </c>
      <c r="M207" s="8" t="s">
        <v>80</v>
      </c>
      <c r="N207" s="8" t="s">
        <v>79</v>
      </c>
      <c r="O207" s="8" t="s">
        <v>81</v>
      </c>
      <c r="P207" s="8" t="s">
        <v>82</v>
      </c>
      <c r="Q207" s="8" t="s">
        <v>103</v>
      </c>
      <c r="R207" s="8" t="s">
        <v>82</v>
      </c>
      <c r="S207" s="8" t="s">
        <v>82</v>
      </c>
      <c r="T207" s="8" t="s">
        <v>106</v>
      </c>
      <c r="U207" s="8" t="s">
        <v>87</v>
      </c>
      <c r="V207" s="8" t="s">
        <v>112</v>
      </c>
      <c r="W207" s="9">
        <v>3</v>
      </c>
      <c r="X207" s="9">
        <v>3</v>
      </c>
      <c r="Y207" s="9">
        <v>3</v>
      </c>
      <c r="Z207" s="9">
        <v>3</v>
      </c>
      <c r="AA207" s="9">
        <v>2</v>
      </c>
      <c r="AB207" s="9">
        <v>2</v>
      </c>
      <c r="AC207" s="9">
        <v>2</v>
      </c>
      <c r="AD207" s="9">
        <v>2</v>
      </c>
      <c r="AE207" s="9">
        <v>2</v>
      </c>
      <c r="AF207" s="9">
        <v>2</v>
      </c>
      <c r="AG207" s="9">
        <v>3</v>
      </c>
      <c r="AH207" s="9">
        <v>3</v>
      </c>
      <c r="AI207" s="9">
        <v>3</v>
      </c>
      <c r="AJ207" s="9">
        <v>3</v>
      </c>
      <c r="AK207" s="9">
        <v>3</v>
      </c>
      <c r="AL207" s="10">
        <v>3</v>
      </c>
      <c r="AM207" s="10">
        <v>3</v>
      </c>
      <c r="AN207" s="10">
        <v>3</v>
      </c>
      <c r="AO207" s="10">
        <v>3</v>
      </c>
      <c r="AP207" s="10">
        <v>3</v>
      </c>
      <c r="AQ207" s="10">
        <v>3</v>
      </c>
      <c r="AR207" s="10">
        <v>3</v>
      </c>
      <c r="AS207" s="11">
        <v>2</v>
      </c>
      <c r="AT207" s="11">
        <v>2</v>
      </c>
      <c r="AU207" s="11">
        <v>2</v>
      </c>
      <c r="AV207" s="11">
        <v>2</v>
      </c>
      <c r="AW207" s="11">
        <v>2</v>
      </c>
      <c r="AX207" s="11">
        <v>2</v>
      </c>
      <c r="AY207" s="7">
        <v>2</v>
      </c>
      <c r="AZ207" s="7">
        <v>2</v>
      </c>
      <c r="BA207" s="7">
        <v>2</v>
      </c>
      <c r="BB207" s="7">
        <v>2</v>
      </c>
      <c r="BC207" s="7">
        <v>2</v>
      </c>
      <c r="BD207" s="7">
        <v>2</v>
      </c>
      <c r="BE207" s="7">
        <v>2</v>
      </c>
      <c r="BF207" s="7">
        <v>2</v>
      </c>
      <c r="BG207" s="12">
        <f>SUM(data__22[[#This Row],[N1]:[N4]],data__22[[#This Row],[N10]:[N13]],data__22[[#This Row],[N16]:[N18]])/11</f>
        <v>2.9090909090909092</v>
      </c>
      <c r="BH207" s="13">
        <f>SUM(data__22[[#This Row],[N8]:[N9]],data__22[[#This Row],[N23]:[N25]])/5</f>
        <v>2</v>
      </c>
      <c r="BI207" s="12">
        <f>SUM(data__22[[#This Row],[N5]:[N7]])/3</f>
        <v>2</v>
      </c>
      <c r="BJ207" s="12">
        <f>SUM(data__22[[#This Row],[N14]:[N15]],data__22[[#This Row],[N19]:[N22]],data__22[[#This Row],[N26]:[N28]])/9</f>
        <v>2.6666666666666665</v>
      </c>
      <c r="BK207" s="12">
        <f>SUM(data__22[[#This Row],[N29]:[N33]])/5</f>
        <v>2</v>
      </c>
      <c r="BL207" s="12">
        <f>SUM(data__22[[#This Row],[N34]:[N36]])/3</f>
        <v>2</v>
      </c>
    </row>
    <row r="208" spans="1:64" x14ac:dyDescent="0.3">
      <c r="A208" s="7">
        <v>25</v>
      </c>
      <c r="B208" s="7" t="s">
        <v>128</v>
      </c>
      <c r="C208" s="7" t="s">
        <v>71</v>
      </c>
      <c r="D208" s="7" t="s">
        <v>72</v>
      </c>
      <c r="E208" s="7" t="s">
        <v>73</v>
      </c>
      <c r="F208" s="7" t="s">
        <v>98</v>
      </c>
      <c r="G208" s="7" t="s">
        <v>439</v>
      </c>
      <c r="H208" s="7" t="s">
        <v>98</v>
      </c>
      <c r="I208" s="7" t="s">
        <v>76</v>
      </c>
      <c r="J208" s="7" t="s">
        <v>101</v>
      </c>
      <c r="K208" s="7" t="s">
        <v>78</v>
      </c>
      <c r="L208" s="8" t="s">
        <v>79</v>
      </c>
      <c r="M208" s="8" t="s">
        <v>80</v>
      </c>
      <c r="N208" s="8" t="s">
        <v>79</v>
      </c>
      <c r="O208" s="8" t="s">
        <v>117</v>
      </c>
      <c r="P208" s="8" t="s">
        <v>79</v>
      </c>
      <c r="Q208" s="8" t="s">
        <v>83</v>
      </c>
      <c r="R208" s="8" t="s">
        <v>79</v>
      </c>
      <c r="S208" s="8" t="s">
        <v>79</v>
      </c>
      <c r="T208" s="8" t="s">
        <v>148</v>
      </c>
      <c r="U208" s="8" t="s">
        <v>141</v>
      </c>
      <c r="V208" s="8" t="s">
        <v>127</v>
      </c>
      <c r="W208" s="9">
        <v>1</v>
      </c>
      <c r="X208" s="9">
        <v>1</v>
      </c>
      <c r="Y208" s="9">
        <v>1</v>
      </c>
      <c r="Z208" s="9">
        <v>1</v>
      </c>
      <c r="AA208" s="9">
        <v>1</v>
      </c>
      <c r="AB208" s="9">
        <v>0</v>
      </c>
      <c r="AC208" s="9">
        <v>1</v>
      </c>
      <c r="AD208" s="9">
        <v>1</v>
      </c>
      <c r="AE208" s="9">
        <v>0</v>
      </c>
      <c r="AF208" s="9">
        <v>0</v>
      </c>
      <c r="AG208" s="9">
        <v>1</v>
      </c>
      <c r="AH208" s="9">
        <v>1</v>
      </c>
      <c r="AI208" s="9">
        <v>0</v>
      </c>
      <c r="AJ208" s="9">
        <v>1</v>
      </c>
      <c r="AK208" s="9">
        <v>2</v>
      </c>
      <c r="AL208" s="10">
        <v>1</v>
      </c>
      <c r="AM208" s="10">
        <v>1</v>
      </c>
      <c r="AN208" s="10">
        <v>1</v>
      </c>
      <c r="AO208" s="10">
        <v>0</v>
      </c>
      <c r="AP208" s="10">
        <v>1</v>
      </c>
      <c r="AQ208" s="10">
        <v>1</v>
      </c>
      <c r="AR208" s="10">
        <v>1</v>
      </c>
      <c r="AS208" s="11">
        <v>1</v>
      </c>
      <c r="AT208" s="11">
        <v>0</v>
      </c>
      <c r="AU208" s="11">
        <v>1</v>
      </c>
      <c r="AV208" s="11">
        <v>1</v>
      </c>
      <c r="AW208" s="11">
        <v>1</v>
      </c>
      <c r="AX208" s="11">
        <v>1</v>
      </c>
      <c r="AY208" s="7">
        <v>1</v>
      </c>
      <c r="AZ208" s="7">
        <v>1</v>
      </c>
      <c r="BA208" s="7">
        <v>1</v>
      </c>
      <c r="BB208" s="7">
        <v>1</v>
      </c>
      <c r="BC208" s="7">
        <v>2</v>
      </c>
      <c r="BD208" s="7">
        <v>2</v>
      </c>
      <c r="BE208" s="7">
        <v>2</v>
      </c>
      <c r="BF208" s="7">
        <v>3</v>
      </c>
      <c r="BG208" s="12">
        <f>SUM(data__22[[#This Row],[N1]:[N4]],data__22[[#This Row],[N10]:[N13]],data__22[[#This Row],[N16]:[N18]])/11</f>
        <v>0.81818181818181823</v>
      </c>
      <c r="BH208" s="13">
        <f>SUM(data__22[[#This Row],[N8]:[N9]],data__22[[#This Row],[N23]:[N25]])/5</f>
        <v>0.6</v>
      </c>
      <c r="BI208" s="12">
        <f>SUM(data__22[[#This Row],[N5]:[N7]])/3</f>
        <v>0.66666666666666663</v>
      </c>
      <c r="BJ208" s="12">
        <f>SUM(data__22[[#This Row],[N14]:[N15]],data__22[[#This Row],[N19]:[N22]],data__22[[#This Row],[N26]:[N28]])/9</f>
        <v>1</v>
      </c>
      <c r="BK208" s="12">
        <f>SUM(data__22[[#This Row],[N29]:[N33]])/5</f>
        <v>1.2</v>
      </c>
      <c r="BL208" s="12">
        <f>SUM(data__22[[#This Row],[N34]:[N36]])/3</f>
        <v>2.3333333333333335</v>
      </c>
    </row>
    <row r="209" spans="1:64" x14ac:dyDescent="0.3">
      <c r="A209" s="7">
        <v>22</v>
      </c>
      <c r="B209" s="7" t="s">
        <v>128</v>
      </c>
      <c r="C209" s="7" t="s">
        <v>113</v>
      </c>
      <c r="D209" s="7" t="s">
        <v>97</v>
      </c>
      <c r="E209" s="7" t="s">
        <v>108</v>
      </c>
      <c r="F209" s="7" t="s">
        <v>136</v>
      </c>
      <c r="G209" s="7" t="s">
        <v>440</v>
      </c>
      <c r="H209" s="7" t="s">
        <v>98</v>
      </c>
      <c r="I209" s="7" t="s">
        <v>76</v>
      </c>
      <c r="J209" s="7" t="s">
        <v>77</v>
      </c>
      <c r="K209" s="7" t="s">
        <v>78</v>
      </c>
      <c r="L209" s="8" t="s">
        <v>79</v>
      </c>
      <c r="M209" s="8" t="s">
        <v>80</v>
      </c>
      <c r="N209" s="8" t="s">
        <v>79</v>
      </c>
      <c r="O209" s="8" t="s">
        <v>138</v>
      </c>
      <c r="P209" s="8" t="s">
        <v>82</v>
      </c>
      <c r="Q209" s="8" t="s">
        <v>83</v>
      </c>
      <c r="R209" s="8" t="s">
        <v>79</v>
      </c>
      <c r="S209" s="8" t="s">
        <v>79</v>
      </c>
      <c r="T209" s="8" t="s">
        <v>86</v>
      </c>
      <c r="U209" s="8" t="s">
        <v>141</v>
      </c>
      <c r="V209" s="8" t="s">
        <v>112</v>
      </c>
      <c r="W209" s="9">
        <v>1</v>
      </c>
      <c r="X209" s="9">
        <v>2</v>
      </c>
      <c r="Y209" s="9">
        <v>2</v>
      </c>
      <c r="Z209" s="9">
        <v>1</v>
      </c>
      <c r="AA209" s="9">
        <v>2</v>
      </c>
      <c r="AB209" s="9">
        <v>1</v>
      </c>
      <c r="AC209" s="9">
        <v>2</v>
      </c>
      <c r="AD209" s="9">
        <v>2</v>
      </c>
      <c r="AE209" s="9">
        <v>2</v>
      </c>
      <c r="AF209" s="9">
        <v>2</v>
      </c>
      <c r="AG209" s="9">
        <v>1</v>
      </c>
      <c r="AH209" s="9">
        <v>2</v>
      </c>
      <c r="AI209" s="9">
        <v>2</v>
      </c>
      <c r="AJ209" s="9">
        <v>2</v>
      </c>
      <c r="AK209" s="9">
        <v>2</v>
      </c>
      <c r="AL209" s="10">
        <v>1</v>
      </c>
      <c r="AM209" s="10">
        <v>2</v>
      </c>
      <c r="AN209" s="10">
        <v>2</v>
      </c>
      <c r="AO209" s="10">
        <v>2</v>
      </c>
      <c r="AP209" s="10">
        <v>1</v>
      </c>
      <c r="AQ209" s="10">
        <v>2</v>
      </c>
      <c r="AR209" s="10">
        <v>1</v>
      </c>
      <c r="AS209" s="11">
        <v>1</v>
      </c>
      <c r="AT209" s="11">
        <v>2</v>
      </c>
      <c r="AU209" s="11">
        <v>1</v>
      </c>
      <c r="AV209" s="11">
        <v>2</v>
      </c>
      <c r="AW209" s="11">
        <v>1</v>
      </c>
      <c r="AX209" s="11">
        <v>2</v>
      </c>
      <c r="AY209" s="7">
        <v>1</v>
      </c>
      <c r="AZ209" s="7">
        <v>2</v>
      </c>
      <c r="BA209" s="7">
        <v>1</v>
      </c>
      <c r="BB209" s="7">
        <v>2</v>
      </c>
      <c r="BC209" s="7">
        <v>2</v>
      </c>
      <c r="BD209" s="7">
        <v>1</v>
      </c>
      <c r="BE209" s="7">
        <v>2</v>
      </c>
      <c r="BF209" s="7">
        <v>1</v>
      </c>
      <c r="BG209" s="12">
        <f>SUM(data__22[[#This Row],[N1]:[N4]],data__22[[#This Row],[N10]:[N13]],data__22[[#This Row],[N16]:[N18]])/11</f>
        <v>1.6363636363636365</v>
      </c>
      <c r="BH209" s="13">
        <f>SUM(data__22[[#This Row],[N8]:[N9]],data__22[[#This Row],[N23]:[N25]])/5</f>
        <v>1.6</v>
      </c>
      <c r="BI209" s="12">
        <f>SUM(data__22[[#This Row],[N5]:[N7]])/3</f>
        <v>1.6666666666666667</v>
      </c>
      <c r="BJ209" s="12">
        <f>SUM(data__22[[#This Row],[N14]:[N15]],data__22[[#This Row],[N19]:[N22]],data__22[[#This Row],[N26]:[N28]])/9</f>
        <v>1.6666666666666667</v>
      </c>
      <c r="BK209" s="12">
        <f>SUM(data__22[[#This Row],[N29]:[N33]])/5</f>
        <v>1.6</v>
      </c>
      <c r="BL209" s="12">
        <f>SUM(data__22[[#This Row],[N34]:[N36]])/3</f>
        <v>1.3333333333333333</v>
      </c>
    </row>
    <row r="210" spans="1:64" x14ac:dyDescent="0.3">
      <c r="A210" s="7">
        <v>23</v>
      </c>
      <c r="B210" s="7" t="s">
        <v>70</v>
      </c>
      <c r="C210" s="7" t="s">
        <v>113</v>
      </c>
      <c r="D210" s="7" t="s">
        <v>149</v>
      </c>
      <c r="E210" s="7" t="s">
        <v>108</v>
      </c>
      <c r="F210" s="7" t="s">
        <v>100</v>
      </c>
      <c r="G210" s="7" t="s">
        <v>440</v>
      </c>
      <c r="H210" s="7" t="s">
        <v>98</v>
      </c>
      <c r="I210" s="7" t="s">
        <v>76</v>
      </c>
      <c r="J210" s="7" t="s">
        <v>77</v>
      </c>
      <c r="K210" s="7" t="s">
        <v>122</v>
      </c>
      <c r="L210" s="8" t="s">
        <v>79</v>
      </c>
      <c r="M210" s="8" t="s">
        <v>132</v>
      </c>
      <c r="N210" s="8" t="s">
        <v>79</v>
      </c>
      <c r="O210" s="8" t="s">
        <v>81</v>
      </c>
      <c r="P210" s="8" t="s">
        <v>79</v>
      </c>
      <c r="Q210" s="8" t="s">
        <v>83</v>
      </c>
      <c r="R210" s="8" t="s">
        <v>79</v>
      </c>
      <c r="S210" s="8" t="s">
        <v>79</v>
      </c>
      <c r="T210" s="8" t="s">
        <v>86</v>
      </c>
      <c r="U210" s="8" t="s">
        <v>141</v>
      </c>
      <c r="V210" s="8" t="s">
        <v>112</v>
      </c>
      <c r="W210" s="9">
        <v>1</v>
      </c>
      <c r="X210" s="9">
        <v>2</v>
      </c>
      <c r="Y210" s="9">
        <v>3</v>
      </c>
      <c r="Z210" s="9">
        <v>2</v>
      </c>
      <c r="AA210" s="9">
        <v>1</v>
      </c>
      <c r="AB210" s="9">
        <v>0</v>
      </c>
      <c r="AC210" s="9">
        <v>2</v>
      </c>
      <c r="AD210" s="9">
        <v>3</v>
      </c>
      <c r="AE210" s="9">
        <v>3</v>
      </c>
      <c r="AF210" s="9">
        <v>2</v>
      </c>
      <c r="AG210" s="9">
        <v>2</v>
      </c>
      <c r="AH210" s="9">
        <v>2</v>
      </c>
      <c r="AI210" s="9">
        <v>2</v>
      </c>
      <c r="AJ210" s="9">
        <v>2</v>
      </c>
      <c r="AK210" s="9">
        <v>2</v>
      </c>
      <c r="AL210" s="10">
        <v>1</v>
      </c>
      <c r="AM210" s="10">
        <v>1</v>
      </c>
      <c r="AN210" s="10">
        <v>2</v>
      </c>
      <c r="AO210" s="10">
        <v>2</v>
      </c>
      <c r="AP210" s="10">
        <v>1</v>
      </c>
      <c r="AQ210" s="10">
        <v>1</v>
      </c>
      <c r="AR210" s="10">
        <v>0</v>
      </c>
      <c r="AS210" s="11">
        <v>1</v>
      </c>
      <c r="AT210" s="11">
        <v>2</v>
      </c>
      <c r="AU210" s="11">
        <v>1</v>
      </c>
      <c r="AV210" s="11">
        <v>2</v>
      </c>
      <c r="AW210" s="11">
        <v>1</v>
      </c>
      <c r="AX210" s="11">
        <v>2</v>
      </c>
      <c r="AY210" s="7">
        <v>1</v>
      </c>
      <c r="AZ210" s="7">
        <v>2</v>
      </c>
      <c r="BA210" s="7">
        <v>1</v>
      </c>
      <c r="BB210" s="7">
        <v>2</v>
      </c>
      <c r="BC210" s="7">
        <v>1</v>
      </c>
      <c r="BD210" s="7">
        <v>2</v>
      </c>
      <c r="BE210" s="7">
        <v>1</v>
      </c>
      <c r="BF210" s="7">
        <v>0</v>
      </c>
      <c r="BG210" s="12">
        <f>SUM(data__22[[#This Row],[N1]:[N4]],data__22[[#This Row],[N10]:[N13]],data__22[[#This Row],[N16]:[N18]])/11</f>
        <v>1.8181818181818181</v>
      </c>
      <c r="BH210" s="13">
        <f>SUM(data__22[[#This Row],[N8]:[N9]],data__22[[#This Row],[N23]:[N25]])/5</f>
        <v>2</v>
      </c>
      <c r="BI210" s="12">
        <f>SUM(data__22[[#This Row],[N5]:[N7]])/3</f>
        <v>1</v>
      </c>
      <c r="BJ210" s="12">
        <f>SUM(data__22[[#This Row],[N14]:[N15]],data__22[[#This Row],[N19]:[N22]],data__22[[#This Row],[N26]:[N28]])/9</f>
        <v>1.4444444444444444</v>
      </c>
      <c r="BK210" s="12">
        <f>SUM(data__22[[#This Row],[N29]:[N33]])/5</f>
        <v>1.4</v>
      </c>
      <c r="BL210" s="12">
        <f>SUM(data__22[[#This Row],[N34]:[N36]])/3</f>
        <v>1</v>
      </c>
    </row>
    <row r="211" spans="1:64" x14ac:dyDescent="0.3">
      <c r="A211" s="7">
        <v>24</v>
      </c>
      <c r="B211" s="7" t="s">
        <v>70</v>
      </c>
      <c r="C211" s="7" t="s">
        <v>71</v>
      </c>
      <c r="D211" s="7" t="s">
        <v>72</v>
      </c>
      <c r="E211" s="7" t="s">
        <v>108</v>
      </c>
      <c r="F211" s="7" t="s">
        <v>136</v>
      </c>
      <c r="G211" s="7" t="s">
        <v>99</v>
      </c>
      <c r="H211" s="7" t="s">
        <v>98</v>
      </c>
      <c r="I211" s="7" t="s">
        <v>99</v>
      </c>
      <c r="J211" s="7" t="s">
        <v>77</v>
      </c>
      <c r="K211" s="7" t="s">
        <v>78</v>
      </c>
      <c r="L211" s="8" t="s">
        <v>79</v>
      </c>
      <c r="M211" s="8" t="s">
        <v>102</v>
      </c>
      <c r="N211" s="8" t="s">
        <v>79</v>
      </c>
      <c r="O211" s="8" t="s">
        <v>179</v>
      </c>
      <c r="P211" s="8" t="s">
        <v>79</v>
      </c>
      <c r="Q211" s="8" t="s">
        <v>83</v>
      </c>
      <c r="R211" s="8" t="s">
        <v>79</v>
      </c>
      <c r="S211" s="8" t="s">
        <v>79</v>
      </c>
      <c r="T211" s="8" t="s">
        <v>106</v>
      </c>
      <c r="U211" s="8" t="s">
        <v>141</v>
      </c>
      <c r="V211" s="8" t="s">
        <v>127</v>
      </c>
      <c r="W211" s="9">
        <v>1</v>
      </c>
      <c r="X211" s="9">
        <v>2</v>
      </c>
      <c r="Y211" s="9">
        <v>2</v>
      </c>
      <c r="Z211" s="9">
        <v>1</v>
      </c>
      <c r="AA211" s="9">
        <v>2</v>
      </c>
      <c r="AB211" s="9">
        <v>2</v>
      </c>
      <c r="AC211" s="9">
        <v>2</v>
      </c>
      <c r="AD211" s="9">
        <v>2</v>
      </c>
      <c r="AE211" s="9">
        <v>1</v>
      </c>
      <c r="AF211" s="9">
        <v>1</v>
      </c>
      <c r="AG211" s="9">
        <v>2</v>
      </c>
      <c r="AH211" s="9">
        <v>2</v>
      </c>
      <c r="AI211" s="9">
        <v>2</v>
      </c>
      <c r="AJ211" s="9">
        <v>1</v>
      </c>
      <c r="AK211" s="9">
        <v>2</v>
      </c>
      <c r="AL211" s="10">
        <v>1</v>
      </c>
      <c r="AM211" s="10">
        <v>0</v>
      </c>
      <c r="AN211" s="10">
        <v>1</v>
      </c>
      <c r="AO211" s="10">
        <v>1</v>
      </c>
      <c r="AP211" s="10">
        <v>2</v>
      </c>
      <c r="AQ211" s="10">
        <v>2</v>
      </c>
      <c r="AR211" s="10">
        <v>0</v>
      </c>
      <c r="AS211" s="11">
        <v>1</v>
      </c>
      <c r="AT211" s="11">
        <v>1</v>
      </c>
      <c r="AU211" s="11">
        <v>0</v>
      </c>
      <c r="AV211" s="11">
        <v>1</v>
      </c>
      <c r="AW211" s="11">
        <v>2</v>
      </c>
      <c r="AX211" s="11">
        <v>2</v>
      </c>
      <c r="AY211" s="7">
        <v>1</v>
      </c>
      <c r="AZ211" s="7">
        <v>2</v>
      </c>
      <c r="BA211" s="7">
        <v>2</v>
      </c>
      <c r="BB211" s="7">
        <v>2</v>
      </c>
      <c r="BC211" s="7">
        <v>1</v>
      </c>
      <c r="BD211" s="7">
        <v>2</v>
      </c>
      <c r="BE211" s="7">
        <v>2</v>
      </c>
      <c r="BF211" s="7">
        <v>1</v>
      </c>
      <c r="BG211" s="12">
        <f>SUM(data__22[[#This Row],[N1]:[N4]],data__22[[#This Row],[N10]:[N13]],data__22[[#This Row],[N16]:[N18]])/11</f>
        <v>1.3636363636363635</v>
      </c>
      <c r="BH211" s="13">
        <f>SUM(data__22[[#This Row],[N8]:[N9]],data__22[[#This Row],[N23]:[N25]])/5</f>
        <v>1</v>
      </c>
      <c r="BI211" s="12">
        <f>SUM(data__22[[#This Row],[N5]:[N7]])/3</f>
        <v>2</v>
      </c>
      <c r="BJ211" s="12">
        <f>SUM(data__22[[#This Row],[N14]:[N15]],data__22[[#This Row],[N19]:[N22]],data__22[[#This Row],[N26]:[N28]])/9</f>
        <v>1.4444444444444444</v>
      </c>
      <c r="BK211" s="12">
        <f>SUM(data__22[[#This Row],[N29]:[N33]])/5</f>
        <v>1.6</v>
      </c>
      <c r="BL211" s="12">
        <f>SUM(data__22[[#This Row],[N34]:[N36]])/3</f>
        <v>1.6666666666666667</v>
      </c>
    </row>
    <row r="212" spans="1:64" x14ac:dyDescent="0.3">
      <c r="A212" s="7">
        <v>24</v>
      </c>
      <c r="B212" s="7" t="s">
        <v>70</v>
      </c>
      <c r="C212" s="7" t="s">
        <v>113</v>
      </c>
      <c r="D212" s="7" t="s">
        <v>72</v>
      </c>
      <c r="E212" s="7" t="s">
        <v>108</v>
      </c>
      <c r="F212" s="7" t="s">
        <v>136</v>
      </c>
      <c r="G212" s="7" t="s">
        <v>439</v>
      </c>
      <c r="H212" s="7" t="s">
        <v>98</v>
      </c>
      <c r="I212" s="7" t="s">
        <v>76</v>
      </c>
      <c r="J212" s="7" t="s">
        <v>101</v>
      </c>
      <c r="K212" s="7" t="s">
        <v>78</v>
      </c>
      <c r="L212" s="8" t="s">
        <v>79</v>
      </c>
      <c r="M212" s="8" t="s">
        <v>80</v>
      </c>
      <c r="N212" s="8" t="s">
        <v>79</v>
      </c>
      <c r="O212" s="8" t="s">
        <v>109</v>
      </c>
      <c r="P212" s="8" t="s">
        <v>79</v>
      </c>
      <c r="Q212" s="8" t="s">
        <v>83</v>
      </c>
      <c r="R212" s="8" t="s">
        <v>79</v>
      </c>
      <c r="S212" s="8" t="s">
        <v>79</v>
      </c>
      <c r="T212" s="8" t="s">
        <v>148</v>
      </c>
      <c r="U212" s="8" t="s">
        <v>87</v>
      </c>
      <c r="V212" s="8" t="s">
        <v>160</v>
      </c>
      <c r="W212" s="9">
        <v>1</v>
      </c>
      <c r="X212" s="9">
        <v>2</v>
      </c>
      <c r="Y212" s="9">
        <v>2</v>
      </c>
      <c r="Z212" s="9">
        <v>1</v>
      </c>
      <c r="AA212" s="9">
        <v>2</v>
      </c>
      <c r="AB212" s="9">
        <v>2</v>
      </c>
      <c r="AC212" s="9">
        <v>2</v>
      </c>
      <c r="AD212" s="9">
        <v>1</v>
      </c>
      <c r="AE212" s="9">
        <v>2</v>
      </c>
      <c r="AF212" s="9">
        <v>1</v>
      </c>
      <c r="AG212" s="9">
        <v>2</v>
      </c>
      <c r="AH212" s="9">
        <v>2</v>
      </c>
      <c r="AI212" s="9">
        <v>1</v>
      </c>
      <c r="AJ212" s="9">
        <v>1</v>
      </c>
      <c r="AK212" s="9">
        <v>2</v>
      </c>
      <c r="AL212" s="10">
        <v>2</v>
      </c>
      <c r="AM212" s="10">
        <v>1</v>
      </c>
      <c r="AN212" s="10">
        <v>2</v>
      </c>
      <c r="AO212" s="10">
        <v>2</v>
      </c>
      <c r="AP212" s="10">
        <v>1</v>
      </c>
      <c r="AQ212" s="10">
        <v>1</v>
      </c>
      <c r="AR212" s="10">
        <v>2</v>
      </c>
      <c r="AS212" s="11">
        <v>1</v>
      </c>
      <c r="AT212" s="11">
        <v>0</v>
      </c>
      <c r="AU212" s="11">
        <v>1</v>
      </c>
      <c r="AV212" s="11">
        <v>1</v>
      </c>
      <c r="AW212" s="11">
        <v>0</v>
      </c>
      <c r="AX212" s="11">
        <v>2</v>
      </c>
      <c r="AY212" s="7">
        <v>1</v>
      </c>
      <c r="AZ212" s="7">
        <v>2</v>
      </c>
      <c r="BA212" s="7">
        <v>2</v>
      </c>
      <c r="BB212" s="7">
        <v>1</v>
      </c>
      <c r="BC212" s="7">
        <v>1</v>
      </c>
      <c r="BD212" s="7">
        <v>2</v>
      </c>
      <c r="BE212" s="7">
        <v>1</v>
      </c>
      <c r="BF212" s="7">
        <v>2</v>
      </c>
      <c r="BG212" s="12">
        <f>SUM(data__22[[#This Row],[N1]:[N4]],data__22[[#This Row],[N10]:[N13]],data__22[[#This Row],[N16]:[N18]])/11</f>
        <v>1.5454545454545454</v>
      </c>
      <c r="BH212" s="13">
        <f>SUM(data__22[[#This Row],[N8]:[N9]],data__22[[#This Row],[N23]:[N25]])/5</f>
        <v>1</v>
      </c>
      <c r="BI212" s="12">
        <f>SUM(data__22[[#This Row],[N5]:[N7]])/3</f>
        <v>2</v>
      </c>
      <c r="BJ212" s="12">
        <f>SUM(data__22[[#This Row],[N14]:[N15]],data__22[[#This Row],[N19]:[N22]],data__22[[#This Row],[N26]:[N28]])/9</f>
        <v>1.3333333333333333</v>
      </c>
      <c r="BK212" s="12">
        <f>SUM(data__22[[#This Row],[N29]:[N33]])/5</f>
        <v>1.4</v>
      </c>
      <c r="BL212" s="12">
        <f>SUM(data__22[[#This Row],[N34]:[N36]])/3</f>
        <v>1.6666666666666667</v>
      </c>
    </row>
    <row r="213" spans="1:64" x14ac:dyDescent="0.3">
      <c r="A213" s="7">
        <v>22</v>
      </c>
      <c r="B213" s="7" t="s">
        <v>128</v>
      </c>
      <c r="C213" s="7" t="s">
        <v>113</v>
      </c>
      <c r="D213" s="7" t="s">
        <v>97</v>
      </c>
      <c r="E213" s="7" t="s">
        <v>73</v>
      </c>
      <c r="F213" s="7" t="s">
        <v>98</v>
      </c>
      <c r="G213" s="7" t="s">
        <v>440</v>
      </c>
      <c r="H213" s="7" t="s">
        <v>165</v>
      </c>
      <c r="I213" s="7" t="s">
        <v>76</v>
      </c>
      <c r="J213" s="7" t="s">
        <v>77</v>
      </c>
      <c r="K213" s="7" t="s">
        <v>122</v>
      </c>
      <c r="L213" s="8" t="s">
        <v>79</v>
      </c>
      <c r="M213" s="8" t="s">
        <v>132</v>
      </c>
      <c r="N213" s="8" t="s">
        <v>79</v>
      </c>
      <c r="O213" s="8" t="s">
        <v>109</v>
      </c>
      <c r="P213" s="8" t="s">
        <v>79</v>
      </c>
      <c r="Q213" s="8" t="s">
        <v>83</v>
      </c>
      <c r="R213" s="8" t="s">
        <v>79</v>
      </c>
      <c r="S213" s="8" t="s">
        <v>79</v>
      </c>
      <c r="T213" s="8" t="s">
        <v>106</v>
      </c>
      <c r="U213" s="8" t="s">
        <v>120</v>
      </c>
      <c r="V213" s="8" t="s">
        <v>127</v>
      </c>
      <c r="W213" s="9">
        <v>1</v>
      </c>
      <c r="X213" s="9">
        <v>2</v>
      </c>
      <c r="Y213" s="9">
        <v>2</v>
      </c>
      <c r="Z213" s="9">
        <v>1</v>
      </c>
      <c r="AA213" s="9">
        <v>1</v>
      </c>
      <c r="AB213" s="9">
        <v>2</v>
      </c>
      <c r="AC213" s="9">
        <v>2</v>
      </c>
      <c r="AD213" s="9">
        <v>2</v>
      </c>
      <c r="AE213" s="9">
        <v>1</v>
      </c>
      <c r="AF213" s="9">
        <v>1</v>
      </c>
      <c r="AG213" s="9">
        <v>1</v>
      </c>
      <c r="AH213" s="9">
        <v>2</v>
      </c>
      <c r="AI213" s="9">
        <v>2</v>
      </c>
      <c r="AJ213" s="9">
        <v>2</v>
      </c>
      <c r="AK213" s="9">
        <v>1</v>
      </c>
      <c r="AL213" s="10">
        <v>1</v>
      </c>
      <c r="AM213" s="10">
        <v>0</v>
      </c>
      <c r="AN213" s="10">
        <v>2</v>
      </c>
      <c r="AO213" s="10">
        <v>1</v>
      </c>
      <c r="AP213" s="10">
        <v>3</v>
      </c>
      <c r="AQ213" s="10">
        <v>3</v>
      </c>
      <c r="AR213" s="10">
        <v>3</v>
      </c>
      <c r="AS213" s="11">
        <v>1</v>
      </c>
      <c r="AT213" s="11">
        <v>2</v>
      </c>
      <c r="AU213" s="11">
        <v>2</v>
      </c>
      <c r="AV213" s="11">
        <v>1</v>
      </c>
      <c r="AW213" s="11">
        <v>1</v>
      </c>
      <c r="AX213" s="11">
        <v>3</v>
      </c>
      <c r="AY213" s="7">
        <v>1</v>
      </c>
      <c r="AZ213" s="7">
        <v>0</v>
      </c>
      <c r="BA213" s="7">
        <v>1</v>
      </c>
      <c r="BB213" s="7">
        <v>1</v>
      </c>
      <c r="BC213" s="7">
        <v>2</v>
      </c>
      <c r="BD213" s="7">
        <v>0</v>
      </c>
      <c r="BE213" s="7">
        <v>1</v>
      </c>
      <c r="BF213" s="7">
        <v>1</v>
      </c>
      <c r="BG213" s="12">
        <f>SUM(data__22[[#This Row],[N1]:[N4]],data__22[[#This Row],[N10]:[N13]],data__22[[#This Row],[N16]:[N18]])/11</f>
        <v>1.3636363636363635</v>
      </c>
      <c r="BH213" s="13">
        <f>SUM(data__22[[#This Row],[N8]:[N9]],data__22[[#This Row],[N23]:[N25]])/5</f>
        <v>1.6</v>
      </c>
      <c r="BI213" s="12">
        <f>SUM(data__22[[#This Row],[N5]:[N7]])/3</f>
        <v>1.6666666666666667</v>
      </c>
      <c r="BJ213" s="12">
        <f>SUM(data__22[[#This Row],[N14]:[N15]],data__22[[#This Row],[N19]:[N22]],data__22[[#This Row],[N26]:[N28]])/9</f>
        <v>2</v>
      </c>
      <c r="BK213" s="12">
        <f>SUM(data__22[[#This Row],[N29]:[N33]])/5</f>
        <v>1</v>
      </c>
      <c r="BL213" s="12">
        <f>SUM(data__22[[#This Row],[N34]:[N36]])/3</f>
        <v>0.66666666666666663</v>
      </c>
    </row>
    <row r="214" spans="1:64" x14ac:dyDescent="0.3">
      <c r="A214" s="7">
        <v>23</v>
      </c>
      <c r="B214" s="7" t="s">
        <v>70</v>
      </c>
      <c r="C214" s="7" t="s">
        <v>96</v>
      </c>
      <c r="D214" s="7" t="s">
        <v>149</v>
      </c>
      <c r="E214" s="7" t="s">
        <v>73</v>
      </c>
      <c r="F214" s="7" t="s">
        <v>136</v>
      </c>
      <c r="G214" s="7" t="s">
        <v>99</v>
      </c>
      <c r="H214" s="7" t="s">
        <v>98</v>
      </c>
      <c r="I214" s="7" t="s">
        <v>439</v>
      </c>
      <c r="J214" s="7" t="s">
        <v>77</v>
      </c>
      <c r="K214" s="7" t="s">
        <v>122</v>
      </c>
      <c r="L214" s="8" t="s">
        <v>79</v>
      </c>
      <c r="M214" s="8" t="s">
        <v>80</v>
      </c>
      <c r="N214" s="8" t="s">
        <v>79</v>
      </c>
      <c r="O214" s="8" t="s">
        <v>81</v>
      </c>
      <c r="P214" s="8" t="s">
        <v>79</v>
      </c>
      <c r="Q214" s="8" t="s">
        <v>83</v>
      </c>
      <c r="R214" s="8" t="s">
        <v>82</v>
      </c>
      <c r="S214" s="8" t="s">
        <v>79</v>
      </c>
      <c r="T214" s="8" t="s">
        <v>106</v>
      </c>
      <c r="U214" s="8" t="s">
        <v>87</v>
      </c>
      <c r="V214" s="8" t="s">
        <v>112</v>
      </c>
      <c r="W214" s="9">
        <v>1</v>
      </c>
      <c r="X214" s="9">
        <v>2</v>
      </c>
      <c r="Y214" s="9">
        <v>2</v>
      </c>
      <c r="Z214" s="9">
        <v>2</v>
      </c>
      <c r="AA214" s="9">
        <v>1</v>
      </c>
      <c r="AB214" s="9">
        <v>1</v>
      </c>
      <c r="AC214" s="9">
        <v>2</v>
      </c>
      <c r="AD214" s="9">
        <v>2</v>
      </c>
      <c r="AE214" s="9">
        <v>1</v>
      </c>
      <c r="AF214" s="9">
        <v>2</v>
      </c>
      <c r="AG214" s="9">
        <v>2</v>
      </c>
      <c r="AH214" s="9">
        <v>1</v>
      </c>
      <c r="AI214" s="9">
        <v>2</v>
      </c>
      <c r="AJ214" s="9">
        <v>2</v>
      </c>
      <c r="AK214" s="9">
        <v>1</v>
      </c>
      <c r="AL214" s="10">
        <v>1</v>
      </c>
      <c r="AM214" s="10">
        <v>2</v>
      </c>
      <c r="AN214" s="10">
        <v>2</v>
      </c>
      <c r="AO214" s="10">
        <v>2</v>
      </c>
      <c r="AP214" s="10">
        <v>1</v>
      </c>
      <c r="AQ214" s="10">
        <v>2</v>
      </c>
      <c r="AR214" s="10">
        <v>2</v>
      </c>
      <c r="AS214" s="11">
        <v>0</v>
      </c>
      <c r="AT214" s="11">
        <v>1</v>
      </c>
      <c r="AU214" s="11">
        <v>1</v>
      </c>
      <c r="AV214" s="11">
        <v>2</v>
      </c>
      <c r="AW214" s="11">
        <v>2</v>
      </c>
      <c r="AX214" s="11">
        <v>0</v>
      </c>
      <c r="AY214" s="7">
        <v>1</v>
      </c>
      <c r="AZ214" s="7">
        <v>2</v>
      </c>
      <c r="BA214" s="7">
        <v>2</v>
      </c>
      <c r="BB214" s="7">
        <v>2</v>
      </c>
      <c r="BC214" s="7">
        <v>1</v>
      </c>
      <c r="BD214" s="7">
        <v>2</v>
      </c>
      <c r="BE214" s="7">
        <v>1</v>
      </c>
      <c r="BF214" s="7">
        <v>2</v>
      </c>
      <c r="BG214" s="12">
        <f>SUM(data__22[[#This Row],[N1]:[N4]],data__22[[#This Row],[N10]:[N13]],data__22[[#This Row],[N16]:[N18]])/11</f>
        <v>1.7272727272727273</v>
      </c>
      <c r="BH214" s="13">
        <f>SUM(data__22[[#This Row],[N8]:[N9]],data__22[[#This Row],[N23]:[N25]])/5</f>
        <v>1</v>
      </c>
      <c r="BI214" s="12">
        <f>SUM(data__22[[#This Row],[N5]:[N7]])/3</f>
        <v>1.3333333333333333</v>
      </c>
      <c r="BJ214" s="12">
        <f>SUM(data__22[[#This Row],[N14]:[N15]],data__22[[#This Row],[N19]:[N22]],data__22[[#This Row],[N26]:[N28]])/9</f>
        <v>1.5555555555555556</v>
      </c>
      <c r="BK214" s="12">
        <f>SUM(data__22[[#This Row],[N29]:[N33]])/5</f>
        <v>1.6</v>
      </c>
      <c r="BL214" s="12">
        <f>SUM(data__22[[#This Row],[N34]:[N36]])/3</f>
        <v>1.6666666666666667</v>
      </c>
    </row>
    <row r="215" spans="1:64" x14ac:dyDescent="0.3">
      <c r="A215" s="7">
        <v>25</v>
      </c>
      <c r="B215" s="7" t="s">
        <v>70</v>
      </c>
      <c r="C215" s="7" t="s">
        <v>71</v>
      </c>
      <c r="D215" s="7" t="s">
        <v>97</v>
      </c>
      <c r="E215" s="7" t="s">
        <v>114</v>
      </c>
      <c r="F215" s="7" t="s">
        <v>100</v>
      </c>
      <c r="G215" s="7" t="s">
        <v>440</v>
      </c>
      <c r="H215" s="7" t="s">
        <v>100</v>
      </c>
      <c r="I215" s="7" t="s">
        <v>76</v>
      </c>
      <c r="J215" s="7" t="s">
        <v>101</v>
      </c>
      <c r="K215" s="7" t="s">
        <v>78</v>
      </c>
      <c r="L215" s="8" t="s">
        <v>79</v>
      </c>
      <c r="M215" s="8" t="s">
        <v>132</v>
      </c>
      <c r="N215" s="8" t="s">
        <v>79</v>
      </c>
      <c r="O215" s="8" t="s">
        <v>117</v>
      </c>
      <c r="P215" s="8" t="s">
        <v>79</v>
      </c>
      <c r="Q215" s="8" t="s">
        <v>83</v>
      </c>
      <c r="R215" s="8" t="s">
        <v>79</v>
      </c>
      <c r="S215" s="8" t="s">
        <v>79</v>
      </c>
      <c r="T215" s="8" t="s">
        <v>148</v>
      </c>
      <c r="U215" s="8" t="s">
        <v>87</v>
      </c>
      <c r="V215" s="8" t="s">
        <v>127</v>
      </c>
      <c r="W215" s="9">
        <v>1</v>
      </c>
      <c r="X215" s="9">
        <v>2</v>
      </c>
      <c r="Y215" s="9">
        <v>2</v>
      </c>
      <c r="Z215" s="9">
        <v>1</v>
      </c>
      <c r="AA215" s="9">
        <v>1</v>
      </c>
      <c r="AB215" s="9">
        <v>2</v>
      </c>
      <c r="AC215" s="9">
        <v>2</v>
      </c>
      <c r="AD215" s="9">
        <v>1</v>
      </c>
      <c r="AE215" s="9">
        <v>2</v>
      </c>
      <c r="AF215" s="9">
        <v>2</v>
      </c>
      <c r="AG215" s="9">
        <v>1</v>
      </c>
      <c r="AH215" s="9">
        <v>2</v>
      </c>
      <c r="AI215" s="9">
        <v>2</v>
      </c>
      <c r="AJ215" s="9">
        <v>1</v>
      </c>
      <c r="AK215" s="9">
        <v>2</v>
      </c>
      <c r="AL215" s="10">
        <v>1</v>
      </c>
      <c r="AM215" s="10">
        <v>2</v>
      </c>
      <c r="AN215" s="10">
        <v>2</v>
      </c>
      <c r="AO215" s="10">
        <v>1</v>
      </c>
      <c r="AP215" s="10">
        <v>2</v>
      </c>
      <c r="AQ215" s="10">
        <v>2</v>
      </c>
      <c r="AR215" s="10">
        <v>2</v>
      </c>
      <c r="AS215" s="11">
        <v>2</v>
      </c>
      <c r="AT215" s="11">
        <v>1</v>
      </c>
      <c r="AU215" s="11">
        <v>2</v>
      </c>
      <c r="AV215" s="11">
        <v>2</v>
      </c>
      <c r="AW215" s="11">
        <v>2</v>
      </c>
      <c r="AX215" s="11">
        <v>1</v>
      </c>
      <c r="AY215" s="7">
        <v>2</v>
      </c>
      <c r="AZ215" s="7">
        <v>2</v>
      </c>
      <c r="BA215" s="7">
        <v>1</v>
      </c>
      <c r="BB215" s="7">
        <v>2</v>
      </c>
      <c r="BC215" s="7">
        <v>1</v>
      </c>
      <c r="BD215" s="7">
        <v>2</v>
      </c>
      <c r="BE215" s="7">
        <v>1</v>
      </c>
      <c r="BF215" s="7">
        <v>2</v>
      </c>
      <c r="BG215" s="12">
        <f>SUM(data__22[[#This Row],[N1]:[N4]],data__22[[#This Row],[N10]:[N13]],data__22[[#This Row],[N16]:[N18]])/11</f>
        <v>1.6363636363636365</v>
      </c>
      <c r="BH215" s="13">
        <f>SUM(data__22[[#This Row],[N8]:[N9]],data__22[[#This Row],[N23]:[N25]])/5</f>
        <v>1.6</v>
      </c>
      <c r="BI215" s="12">
        <f>SUM(data__22[[#This Row],[N5]:[N7]])/3</f>
        <v>1.6666666666666667</v>
      </c>
      <c r="BJ215" s="12">
        <f>SUM(data__22[[#This Row],[N14]:[N15]],data__22[[#This Row],[N19]:[N22]],data__22[[#This Row],[N26]:[N28]])/9</f>
        <v>1.6666666666666667</v>
      </c>
      <c r="BK215" s="12">
        <f>SUM(data__22[[#This Row],[N29]:[N33]])/5</f>
        <v>1.6</v>
      </c>
      <c r="BL215" s="12">
        <f>SUM(data__22[[#This Row],[N34]:[N36]])/3</f>
        <v>1.6666666666666667</v>
      </c>
    </row>
    <row r="216" spans="1:64" x14ac:dyDescent="0.3">
      <c r="A216" s="7">
        <v>24</v>
      </c>
      <c r="B216" s="7" t="s">
        <v>70</v>
      </c>
      <c r="C216" s="7" t="s">
        <v>113</v>
      </c>
      <c r="D216" s="7" t="s">
        <v>72</v>
      </c>
      <c r="E216" s="7" t="s">
        <v>73</v>
      </c>
      <c r="F216" s="7" t="s">
        <v>136</v>
      </c>
      <c r="G216" s="7" t="s">
        <v>440</v>
      </c>
      <c r="H216" s="7" t="s">
        <v>98</v>
      </c>
      <c r="I216" s="7" t="s">
        <v>76</v>
      </c>
      <c r="J216" s="7" t="s">
        <v>101</v>
      </c>
      <c r="K216" s="7" t="s">
        <v>122</v>
      </c>
      <c r="L216" s="8" t="s">
        <v>79</v>
      </c>
      <c r="M216" s="8" t="s">
        <v>80</v>
      </c>
      <c r="N216" s="8" t="s">
        <v>79</v>
      </c>
      <c r="O216" s="8" t="s">
        <v>109</v>
      </c>
      <c r="P216" s="8" t="s">
        <v>79</v>
      </c>
      <c r="Q216" s="8" t="s">
        <v>83</v>
      </c>
      <c r="R216" s="8" t="s">
        <v>79</v>
      </c>
      <c r="S216" s="8" t="s">
        <v>79</v>
      </c>
      <c r="T216" s="8" t="s">
        <v>148</v>
      </c>
      <c r="U216" s="8" t="s">
        <v>141</v>
      </c>
      <c r="V216" s="8" t="s">
        <v>112</v>
      </c>
      <c r="W216" s="9">
        <v>1</v>
      </c>
      <c r="X216" s="9">
        <v>2</v>
      </c>
      <c r="Y216" s="9">
        <v>2</v>
      </c>
      <c r="Z216" s="9">
        <v>3</v>
      </c>
      <c r="AA216" s="9">
        <v>2</v>
      </c>
      <c r="AB216" s="9">
        <v>3</v>
      </c>
      <c r="AC216" s="9">
        <v>1</v>
      </c>
      <c r="AD216" s="9">
        <v>2</v>
      </c>
      <c r="AE216" s="9">
        <v>3</v>
      </c>
      <c r="AF216" s="9">
        <v>1</v>
      </c>
      <c r="AG216" s="9">
        <v>0</v>
      </c>
      <c r="AH216" s="9">
        <v>0</v>
      </c>
      <c r="AI216" s="9">
        <v>0</v>
      </c>
      <c r="AJ216" s="9">
        <v>2</v>
      </c>
      <c r="AK216" s="9">
        <v>2</v>
      </c>
      <c r="AL216" s="10">
        <v>2</v>
      </c>
      <c r="AM216" s="10">
        <v>2</v>
      </c>
      <c r="AN216" s="10">
        <v>1</v>
      </c>
      <c r="AO216" s="10">
        <v>2</v>
      </c>
      <c r="AP216" s="10">
        <v>2</v>
      </c>
      <c r="AQ216" s="10">
        <v>1</v>
      </c>
      <c r="AR216" s="10">
        <v>1</v>
      </c>
      <c r="AS216" s="11">
        <v>1</v>
      </c>
      <c r="AT216" s="11">
        <v>2</v>
      </c>
      <c r="AU216" s="11">
        <v>2</v>
      </c>
      <c r="AV216" s="11">
        <v>1</v>
      </c>
      <c r="AW216" s="11">
        <v>2</v>
      </c>
      <c r="AX216" s="11">
        <v>2</v>
      </c>
      <c r="AY216" s="7">
        <v>2</v>
      </c>
      <c r="AZ216" s="7">
        <v>2</v>
      </c>
      <c r="BA216" s="7">
        <v>1</v>
      </c>
      <c r="BB216" s="7">
        <v>2</v>
      </c>
      <c r="BC216" s="7">
        <v>2</v>
      </c>
      <c r="BD216" s="7">
        <v>1</v>
      </c>
      <c r="BE216" s="7">
        <v>2</v>
      </c>
      <c r="BF216" s="7">
        <v>1</v>
      </c>
      <c r="BG216" s="12">
        <f>SUM(data__22[[#This Row],[N1]:[N4]],data__22[[#This Row],[N10]:[N13]],data__22[[#This Row],[N16]:[N18]])/11</f>
        <v>1.2727272727272727</v>
      </c>
      <c r="BH216" s="13">
        <f>SUM(data__22[[#This Row],[N8]:[N9]],data__22[[#This Row],[N23]:[N25]])/5</f>
        <v>2</v>
      </c>
      <c r="BI216" s="12">
        <f>SUM(data__22[[#This Row],[N5]:[N7]])/3</f>
        <v>2</v>
      </c>
      <c r="BJ216" s="12">
        <f>SUM(data__22[[#This Row],[N14]:[N15]],data__22[[#This Row],[N19]:[N22]],data__22[[#This Row],[N26]:[N28]])/9</f>
        <v>1.6666666666666667</v>
      </c>
      <c r="BK216" s="12">
        <f>SUM(data__22[[#This Row],[N29]:[N33]])/5</f>
        <v>1.8</v>
      </c>
      <c r="BL216" s="12">
        <f>SUM(data__22[[#This Row],[N34]:[N36]])/3</f>
        <v>1.3333333333333333</v>
      </c>
    </row>
    <row r="217" spans="1:64" x14ac:dyDescent="0.3">
      <c r="A217" s="7">
        <v>23</v>
      </c>
      <c r="B217" s="7" t="s">
        <v>70</v>
      </c>
      <c r="C217" s="7" t="s">
        <v>113</v>
      </c>
      <c r="D217" s="7" t="s">
        <v>97</v>
      </c>
      <c r="E217" s="7" t="s">
        <v>108</v>
      </c>
      <c r="F217" s="7" t="s">
        <v>98</v>
      </c>
      <c r="G217" s="7" t="s">
        <v>99</v>
      </c>
      <c r="H217" s="7" t="s">
        <v>100</v>
      </c>
      <c r="I217" s="7" t="s">
        <v>76</v>
      </c>
      <c r="J217" s="7" t="s">
        <v>77</v>
      </c>
      <c r="K217" s="7" t="s">
        <v>122</v>
      </c>
      <c r="L217" s="8" t="s">
        <v>79</v>
      </c>
      <c r="M217" s="8" t="s">
        <v>80</v>
      </c>
      <c r="N217" s="8" t="s">
        <v>79</v>
      </c>
      <c r="O217" s="8" t="s">
        <v>109</v>
      </c>
      <c r="P217" s="8" t="s">
        <v>79</v>
      </c>
      <c r="Q217" s="8" t="s">
        <v>83</v>
      </c>
      <c r="R217" s="8" t="s">
        <v>79</v>
      </c>
      <c r="S217" s="8" t="s">
        <v>79</v>
      </c>
      <c r="T217" s="8" t="s">
        <v>148</v>
      </c>
      <c r="U217" s="8" t="s">
        <v>141</v>
      </c>
      <c r="V217" s="8" t="s">
        <v>127</v>
      </c>
      <c r="W217" s="9">
        <v>2</v>
      </c>
      <c r="X217" s="9">
        <v>1</v>
      </c>
      <c r="Y217" s="9">
        <v>2</v>
      </c>
      <c r="Z217" s="9">
        <v>2</v>
      </c>
      <c r="AA217" s="9">
        <v>1</v>
      </c>
      <c r="AB217" s="9">
        <v>2</v>
      </c>
      <c r="AC217" s="9">
        <v>1</v>
      </c>
      <c r="AD217" s="9">
        <v>1</v>
      </c>
      <c r="AE217" s="9">
        <v>2</v>
      </c>
      <c r="AF217" s="9">
        <v>1</v>
      </c>
      <c r="AG217" s="9">
        <v>2</v>
      </c>
      <c r="AH217" s="9">
        <v>1</v>
      </c>
      <c r="AI217" s="9">
        <v>2</v>
      </c>
      <c r="AJ217" s="9">
        <v>1</v>
      </c>
      <c r="AK217" s="9">
        <v>1</v>
      </c>
      <c r="AL217" s="10">
        <v>1</v>
      </c>
      <c r="AM217" s="10">
        <v>2</v>
      </c>
      <c r="AN217" s="10">
        <v>2</v>
      </c>
      <c r="AO217" s="10">
        <v>2</v>
      </c>
      <c r="AP217" s="10">
        <v>1</v>
      </c>
      <c r="AQ217" s="10">
        <v>2</v>
      </c>
      <c r="AR217" s="10">
        <v>2</v>
      </c>
      <c r="AS217" s="11">
        <v>1</v>
      </c>
      <c r="AT217" s="11">
        <v>0</v>
      </c>
      <c r="AU217" s="11">
        <v>1</v>
      </c>
      <c r="AV217" s="11">
        <v>1</v>
      </c>
      <c r="AW217" s="11">
        <v>2</v>
      </c>
      <c r="AX217" s="11">
        <v>2</v>
      </c>
      <c r="AY217" s="7">
        <v>1</v>
      </c>
      <c r="AZ217" s="7">
        <v>3</v>
      </c>
      <c r="BA217" s="7">
        <v>2</v>
      </c>
      <c r="BB217" s="7">
        <v>2</v>
      </c>
      <c r="BC217" s="7">
        <v>2</v>
      </c>
      <c r="BD217" s="7">
        <v>2</v>
      </c>
      <c r="BE217" s="7">
        <v>1</v>
      </c>
      <c r="BF217" s="7">
        <v>2</v>
      </c>
      <c r="BG217" s="12">
        <f>SUM(data__22[[#This Row],[N1]:[N4]],data__22[[#This Row],[N10]:[N13]],data__22[[#This Row],[N16]:[N18]])/11</f>
        <v>1.6363636363636365</v>
      </c>
      <c r="BH217" s="13">
        <f>SUM(data__22[[#This Row],[N8]:[N9]],data__22[[#This Row],[N23]:[N25]])/5</f>
        <v>1</v>
      </c>
      <c r="BI217" s="12">
        <f>SUM(data__22[[#This Row],[N5]:[N7]])/3</f>
        <v>1.3333333333333333</v>
      </c>
      <c r="BJ217" s="12">
        <f>SUM(data__22[[#This Row],[N14]:[N15]],data__22[[#This Row],[N19]:[N22]],data__22[[#This Row],[N26]:[N28]])/9</f>
        <v>1.5555555555555556</v>
      </c>
      <c r="BK217" s="12">
        <f>SUM(data__22[[#This Row],[N29]:[N33]])/5</f>
        <v>2</v>
      </c>
      <c r="BL217" s="12">
        <f>SUM(data__22[[#This Row],[N34]:[N36]])/3</f>
        <v>1.6666666666666667</v>
      </c>
    </row>
    <row r="218" spans="1:64" x14ac:dyDescent="0.3">
      <c r="A218" s="7">
        <v>22</v>
      </c>
      <c r="B218" s="7" t="s">
        <v>128</v>
      </c>
      <c r="C218" s="7" t="s">
        <v>96</v>
      </c>
      <c r="D218" s="7" t="s">
        <v>149</v>
      </c>
      <c r="E218" s="7" t="s">
        <v>73</v>
      </c>
      <c r="F218" s="7" t="s">
        <v>74</v>
      </c>
      <c r="G218" s="7" t="s">
        <v>439</v>
      </c>
      <c r="H218" s="7" t="s">
        <v>136</v>
      </c>
      <c r="I218" s="7" t="s">
        <v>439</v>
      </c>
      <c r="J218" s="7" t="s">
        <v>77</v>
      </c>
      <c r="K218" s="7" t="s">
        <v>122</v>
      </c>
      <c r="L218" s="8" t="s">
        <v>79</v>
      </c>
      <c r="M218" s="8" t="s">
        <v>80</v>
      </c>
      <c r="N218" s="8" t="s">
        <v>79</v>
      </c>
      <c r="O218" s="8" t="s">
        <v>179</v>
      </c>
      <c r="P218" s="8" t="s">
        <v>79</v>
      </c>
      <c r="Q218" s="8" t="s">
        <v>118</v>
      </c>
      <c r="R218" s="8" t="s">
        <v>79</v>
      </c>
      <c r="S218" s="8" t="s">
        <v>79</v>
      </c>
      <c r="T218" s="8" t="s">
        <v>106</v>
      </c>
      <c r="U218" s="8" t="s">
        <v>120</v>
      </c>
      <c r="V218" s="8" t="s">
        <v>127</v>
      </c>
      <c r="W218" s="9">
        <v>2</v>
      </c>
      <c r="X218" s="9">
        <v>2</v>
      </c>
      <c r="Y218" s="9">
        <v>1</v>
      </c>
      <c r="Z218" s="9">
        <v>2</v>
      </c>
      <c r="AA218" s="9">
        <v>1</v>
      </c>
      <c r="AB218" s="9">
        <v>1</v>
      </c>
      <c r="AC218" s="9">
        <v>2</v>
      </c>
      <c r="AD218" s="9">
        <v>2</v>
      </c>
      <c r="AE218" s="9">
        <v>1</v>
      </c>
      <c r="AF218" s="9">
        <v>2</v>
      </c>
      <c r="AG218" s="9">
        <v>2</v>
      </c>
      <c r="AH218" s="9">
        <v>1</v>
      </c>
      <c r="AI218" s="9">
        <v>1</v>
      </c>
      <c r="AJ218" s="9">
        <v>2</v>
      </c>
      <c r="AK218" s="9">
        <v>2</v>
      </c>
      <c r="AL218" s="10">
        <v>1</v>
      </c>
      <c r="AM218" s="10">
        <v>2</v>
      </c>
      <c r="AN218" s="10">
        <v>1</v>
      </c>
      <c r="AO218" s="10">
        <v>1</v>
      </c>
      <c r="AP218" s="10">
        <v>2</v>
      </c>
      <c r="AQ218" s="10">
        <v>2</v>
      </c>
      <c r="AR218" s="10">
        <v>2</v>
      </c>
      <c r="AS218" s="11">
        <v>1</v>
      </c>
      <c r="AT218" s="11">
        <v>0</v>
      </c>
      <c r="AU218" s="11">
        <v>3</v>
      </c>
      <c r="AV218" s="11">
        <v>3</v>
      </c>
      <c r="AW218" s="11">
        <v>1</v>
      </c>
      <c r="AX218" s="11">
        <v>2</v>
      </c>
      <c r="AY218" s="7">
        <v>1</v>
      </c>
      <c r="AZ218" s="7">
        <v>2</v>
      </c>
      <c r="BA218" s="7">
        <v>2</v>
      </c>
      <c r="BB218" s="7">
        <v>1</v>
      </c>
      <c r="BC218" s="7">
        <v>1</v>
      </c>
      <c r="BD218" s="7">
        <v>2</v>
      </c>
      <c r="BE218" s="7">
        <v>1</v>
      </c>
      <c r="BF218" s="7">
        <v>2</v>
      </c>
      <c r="BG218" s="12">
        <f>SUM(data__22[[#This Row],[N1]:[N4]],data__22[[#This Row],[N10]:[N13]],data__22[[#This Row],[N16]:[N18]])/11</f>
        <v>1.5454545454545454</v>
      </c>
      <c r="BH218" s="13">
        <f>SUM(data__22[[#This Row],[N8]:[N9]],data__22[[#This Row],[N23]:[N25]])/5</f>
        <v>1.4</v>
      </c>
      <c r="BI218" s="12">
        <f>SUM(data__22[[#This Row],[N5]:[N7]])/3</f>
        <v>1.3333333333333333</v>
      </c>
      <c r="BJ218" s="12">
        <f>SUM(data__22[[#This Row],[N14]:[N15]],data__22[[#This Row],[N19]:[N22]],data__22[[#This Row],[N26]:[N28]])/9</f>
        <v>1.8888888888888888</v>
      </c>
      <c r="BK218" s="12">
        <f>SUM(data__22[[#This Row],[N29]:[N33]])/5</f>
        <v>1.4</v>
      </c>
      <c r="BL218" s="12">
        <f>SUM(data__22[[#This Row],[N34]:[N36]])/3</f>
        <v>1.6666666666666667</v>
      </c>
    </row>
    <row r="219" spans="1:64" x14ac:dyDescent="0.3">
      <c r="A219" s="7">
        <v>23</v>
      </c>
      <c r="B219" s="7" t="s">
        <v>70</v>
      </c>
      <c r="C219" s="7" t="s">
        <v>96</v>
      </c>
      <c r="D219" s="7" t="s">
        <v>72</v>
      </c>
      <c r="E219" s="7" t="s">
        <v>114</v>
      </c>
      <c r="F219" s="7" t="s">
        <v>100</v>
      </c>
      <c r="G219" s="7" t="s">
        <v>439</v>
      </c>
      <c r="H219" s="7" t="s">
        <v>100</v>
      </c>
      <c r="I219" s="7" t="s">
        <v>439</v>
      </c>
      <c r="J219" s="7" t="s">
        <v>77</v>
      </c>
      <c r="K219" s="7" t="s">
        <v>78</v>
      </c>
      <c r="L219" s="8" t="s">
        <v>79</v>
      </c>
      <c r="M219" s="8" t="s">
        <v>80</v>
      </c>
      <c r="N219" s="8" t="s">
        <v>82</v>
      </c>
      <c r="O219" s="8" t="s">
        <v>81</v>
      </c>
      <c r="P219" s="8" t="s">
        <v>79</v>
      </c>
      <c r="Q219" s="8" t="s">
        <v>83</v>
      </c>
      <c r="R219" s="8" t="s">
        <v>82</v>
      </c>
      <c r="S219" s="8" t="s">
        <v>79</v>
      </c>
      <c r="T219" s="8" t="s">
        <v>86</v>
      </c>
      <c r="U219" s="8" t="s">
        <v>87</v>
      </c>
      <c r="V219" s="8" t="s">
        <v>127</v>
      </c>
      <c r="W219" s="9">
        <v>1</v>
      </c>
      <c r="X219" s="9">
        <v>2</v>
      </c>
      <c r="Y219" s="9">
        <v>2</v>
      </c>
      <c r="Z219" s="9">
        <v>1</v>
      </c>
      <c r="AA219" s="9">
        <v>1</v>
      </c>
      <c r="AB219" s="9">
        <v>2</v>
      </c>
      <c r="AC219" s="9">
        <v>1</v>
      </c>
      <c r="AD219" s="9">
        <v>3</v>
      </c>
      <c r="AE219" s="9">
        <v>2</v>
      </c>
      <c r="AF219" s="9">
        <v>2</v>
      </c>
      <c r="AG219" s="9">
        <v>2</v>
      </c>
      <c r="AH219" s="9">
        <v>1</v>
      </c>
      <c r="AI219" s="9">
        <v>2</v>
      </c>
      <c r="AJ219" s="9">
        <v>2</v>
      </c>
      <c r="AK219" s="9">
        <v>2</v>
      </c>
      <c r="AL219" s="10">
        <v>1</v>
      </c>
      <c r="AM219" s="10">
        <v>2</v>
      </c>
      <c r="AN219" s="10">
        <v>2</v>
      </c>
      <c r="AO219" s="10">
        <v>2</v>
      </c>
      <c r="AP219" s="10">
        <v>1</v>
      </c>
      <c r="AQ219" s="10">
        <v>2</v>
      </c>
      <c r="AR219" s="10">
        <v>1</v>
      </c>
      <c r="AS219" s="11">
        <v>2</v>
      </c>
      <c r="AT219" s="11">
        <v>1</v>
      </c>
      <c r="AU219" s="11">
        <v>1</v>
      </c>
      <c r="AV219" s="11">
        <v>2</v>
      </c>
      <c r="AW219" s="11">
        <v>1</v>
      </c>
      <c r="AX219" s="11">
        <v>2</v>
      </c>
      <c r="AY219" s="7">
        <v>1</v>
      </c>
      <c r="AZ219" s="7">
        <v>2</v>
      </c>
      <c r="BA219" s="7">
        <v>2</v>
      </c>
      <c r="BB219" s="7">
        <v>1</v>
      </c>
      <c r="BC219" s="7">
        <v>1</v>
      </c>
      <c r="BD219" s="7">
        <v>2</v>
      </c>
      <c r="BE219" s="7">
        <v>2</v>
      </c>
      <c r="BF219" s="7">
        <v>1</v>
      </c>
      <c r="BG219" s="12">
        <f>SUM(data__22[[#This Row],[N1]:[N4]],data__22[[#This Row],[N10]:[N13]],data__22[[#This Row],[N16]:[N18]])/11</f>
        <v>1.6363636363636365</v>
      </c>
      <c r="BH219" s="13">
        <f>SUM(data__22[[#This Row],[N8]:[N9]],data__22[[#This Row],[N23]:[N25]])/5</f>
        <v>1.8</v>
      </c>
      <c r="BI219" s="12">
        <f>SUM(data__22[[#This Row],[N5]:[N7]])/3</f>
        <v>1.3333333333333333</v>
      </c>
      <c r="BJ219" s="12">
        <f>SUM(data__22[[#This Row],[N14]:[N15]],data__22[[#This Row],[N19]:[N22]],data__22[[#This Row],[N26]:[N28]])/9</f>
        <v>1.6666666666666667</v>
      </c>
      <c r="BK219" s="12">
        <f>SUM(data__22[[#This Row],[N29]:[N33]])/5</f>
        <v>1.4</v>
      </c>
      <c r="BL219" s="12">
        <f>SUM(data__22[[#This Row],[N34]:[N36]])/3</f>
        <v>1.6666666666666667</v>
      </c>
    </row>
    <row r="220" spans="1:64" x14ac:dyDescent="0.3">
      <c r="A220" s="7">
        <v>23</v>
      </c>
      <c r="B220" s="7" t="s">
        <v>70</v>
      </c>
      <c r="C220" s="7" t="s">
        <v>96</v>
      </c>
      <c r="D220" s="7" t="s">
        <v>72</v>
      </c>
      <c r="E220" s="7" t="s">
        <v>114</v>
      </c>
      <c r="F220" s="7" t="s">
        <v>100</v>
      </c>
      <c r="G220" s="7" t="s">
        <v>439</v>
      </c>
      <c r="H220" s="7" t="s">
        <v>100</v>
      </c>
      <c r="I220" s="7" t="s">
        <v>439</v>
      </c>
      <c r="J220" s="7" t="s">
        <v>77</v>
      </c>
      <c r="K220" s="7" t="s">
        <v>122</v>
      </c>
      <c r="L220" s="8" t="s">
        <v>79</v>
      </c>
      <c r="M220" s="8" t="s">
        <v>80</v>
      </c>
      <c r="N220" s="8" t="s">
        <v>79</v>
      </c>
      <c r="O220" s="8" t="s">
        <v>81</v>
      </c>
      <c r="P220" s="8" t="s">
        <v>79</v>
      </c>
      <c r="Q220" s="8" t="s">
        <v>118</v>
      </c>
      <c r="R220" s="8" t="s">
        <v>79</v>
      </c>
      <c r="S220" s="8" t="s">
        <v>79</v>
      </c>
      <c r="T220" s="8" t="s">
        <v>148</v>
      </c>
      <c r="U220" s="8" t="s">
        <v>87</v>
      </c>
      <c r="V220" s="8" t="s">
        <v>127</v>
      </c>
      <c r="W220" s="9">
        <v>2</v>
      </c>
      <c r="X220" s="9">
        <v>1</v>
      </c>
      <c r="Y220" s="9">
        <v>1</v>
      </c>
      <c r="Z220" s="9">
        <v>2</v>
      </c>
      <c r="AA220" s="9">
        <v>1</v>
      </c>
      <c r="AB220" s="9">
        <v>2</v>
      </c>
      <c r="AC220" s="9">
        <v>2</v>
      </c>
      <c r="AD220" s="9">
        <v>2</v>
      </c>
      <c r="AE220" s="9">
        <v>1</v>
      </c>
      <c r="AF220" s="9">
        <v>2</v>
      </c>
      <c r="AG220" s="9">
        <v>2</v>
      </c>
      <c r="AH220" s="9">
        <v>1</v>
      </c>
      <c r="AI220" s="9">
        <v>1</v>
      </c>
      <c r="AJ220" s="9">
        <v>2</v>
      </c>
      <c r="AK220" s="9">
        <v>2</v>
      </c>
      <c r="AL220" s="10">
        <v>1</v>
      </c>
      <c r="AM220" s="10">
        <v>2</v>
      </c>
      <c r="AN220" s="10">
        <v>2</v>
      </c>
      <c r="AO220" s="10">
        <v>1</v>
      </c>
      <c r="AP220" s="10">
        <v>2</v>
      </c>
      <c r="AQ220" s="10">
        <v>2</v>
      </c>
      <c r="AR220" s="10">
        <v>1</v>
      </c>
      <c r="AS220" s="11">
        <v>2</v>
      </c>
      <c r="AT220" s="11">
        <v>2</v>
      </c>
      <c r="AU220" s="11">
        <v>2</v>
      </c>
      <c r="AV220" s="11">
        <v>2</v>
      </c>
      <c r="AW220" s="11">
        <v>2</v>
      </c>
      <c r="AX220" s="11">
        <v>2</v>
      </c>
      <c r="AY220" s="7">
        <v>2</v>
      </c>
      <c r="AZ220" s="7">
        <v>2</v>
      </c>
      <c r="BA220" s="7">
        <v>1</v>
      </c>
      <c r="BB220" s="7">
        <v>1</v>
      </c>
      <c r="BC220" s="7">
        <v>2</v>
      </c>
      <c r="BD220" s="7">
        <v>2</v>
      </c>
      <c r="BE220" s="7">
        <v>2</v>
      </c>
      <c r="BF220" s="7">
        <v>2</v>
      </c>
      <c r="BG220" s="12">
        <f>SUM(data__22[[#This Row],[N1]:[N4]],data__22[[#This Row],[N10]:[N13]],data__22[[#This Row],[N16]:[N18]])/11</f>
        <v>1.5454545454545454</v>
      </c>
      <c r="BH220" s="13">
        <f>SUM(data__22[[#This Row],[N8]:[N9]],data__22[[#This Row],[N23]:[N25]])/5</f>
        <v>1.8</v>
      </c>
      <c r="BI220" s="12">
        <f>SUM(data__22[[#This Row],[N5]:[N7]])/3</f>
        <v>1.6666666666666667</v>
      </c>
      <c r="BJ220" s="12">
        <f>SUM(data__22[[#This Row],[N14]:[N15]],data__22[[#This Row],[N19]:[N22]],data__22[[#This Row],[N26]:[N28]])/9</f>
        <v>1.7777777777777777</v>
      </c>
      <c r="BK220" s="12">
        <f>SUM(data__22[[#This Row],[N29]:[N33]])/5</f>
        <v>1.6</v>
      </c>
      <c r="BL220" s="12">
        <f>SUM(data__22[[#This Row],[N34]:[N36]])/3</f>
        <v>2</v>
      </c>
    </row>
    <row r="221" spans="1:64" x14ac:dyDescent="0.3">
      <c r="A221" s="7">
        <v>23</v>
      </c>
      <c r="B221" s="7" t="s">
        <v>70</v>
      </c>
      <c r="C221" s="7" t="s">
        <v>96</v>
      </c>
      <c r="D221" s="7" t="s">
        <v>149</v>
      </c>
      <c r="E221" s="7" t="s">
        <v>108</v>
      </c>
      <c r="F221" s="7" t="s">
        <v>98</v>
      </c>
      <c r="G221" s="7" t="s">
        <v>439</v>
      </c>
      <c r="H221" s="7" t="s">
        <v>100</v>
      </c>
      <c r="I221" s="7" t="s">
        <v>439</v>
      </c>
      <c r="J221" s="7" t="s">
        <v>77</v>
      </c>
      <c r="K221" s="7" t="s">
        <v>122</v>
      </c>
      <c r="L221" s="8" t="s">
        <v>79</v>
      </c>
      <c r="M221" s="8" t="s">
        <v>80</v>
      </c>
      <c r="N221" s="8" t="s">
        <v>79</v>
      </c>
      <c r="O221" s="8" t="s">
        <v>109</v>
      </c>
      <c r="P221" s="8" t="s">
        <v>79</v>
      </c>
      <c r="Q221" s="8" t="s">
        <v>83</v>
      </c>
      <c r="R221" s="8" t="s">
        <v>79</v>
      </c>
      <c r="S221" s="8" t="s">
        <v>79</v>
      </c>
      <c r="T221" s="8" t="s">
        <v>148</v>
      </c>
      <c r="U221" s="8" t="s">
        <v>120</v>
      </c>
      <c r="V221" s="8" t="s">
        <v>127</v>
      </c>
      <c r="W221" s="9">
        <v>1</v>
      </c>
      <c r="X221" s="9">
        <v>2</v>
      </c>
      <c r="Y221" s="9">
        <v>2</v>
      </c>
      <c r="Z221" s="9">
        <v>2</v>
      </c>
      <c r="AA221" s="9">
        <v>1</v>
      </c>
      <c r="AB221" s="9">
        <v>2</v>
      </c>
      <c r="AC221" s="9">
        <v>2</v>
      </c>
      <c r="AD221" s="9">
        <v>1</v>
      </c>
      <c r="AE221" s="9">
        <v>1</v>
      </c>
      <c r="AF221" s="9">
        <v>2</v>
      </c>
      <c r="AG221" s="9">
        <v>2</v>
      </c>
      <c r="AH221" s="9">
        <v>1</v>
      </c>
      <c r="AI221" s="9">
        <v>2</v>
      </c>
      <c r="AJ221" s="9">
        <v>2</v>
      </c>
      <c r="AK221" s="9">
        <v>1</v>
      </c>
      <c r="AL221" s="10">
        <v>1</v>
      </c>
      <c r="AM221" s="10">
        <v>2</v>
      </c>
      <c r="AN221" s="10">
        <v>2</v>
      </c>
      <c r="AO221" s="10">
        <v>2</v>
      </c>
      <c r="AP221" s="10">
        <v>1</v>
      </c>
      <c r="AQ221" s="10">
        <v>1</v>
      </c>
      <c r="AR221" s="10">
        <v>2</v>
      </c>
      <c r="AS221" s="11">
        <v>1</v>
      </c>
      <c r="AT221" s="11">
        <v>0</v>
      </c>
      <c r="AU221" s="11">
        <v>1</v>
      </c>
      <c r="AV221" s="11">
        <v>1</v>
      </c>
      <c r="AW221" s="11">
        <v>1</v>
      </c>
      <c r="AX221" s="11">
        <v>1</v>
      </c>
      <c r="AY221" s="7">
        <v>1</v>
      </c>
      <c r="AZ221" s="7">
        <v>2</v>
      </c>
      <c r="BA221" s="7">
        <v>2</v>
      </c>
      <c r="BB221" s="7">
        <v>2</v>
      </c>
      <c r="BC221" s="7">
        <v>2</v>
      </c>
      <c r="BD221" s="7">
        <v>1</v>
      </c>
      <c r="BE221" s="7">
        <v>2</v>
      </c>
      <c r="BF221" s="7">
        <v>2</v>
      </c>
      <c r="BG221" s="12">
        <f>SUM(data__22[[#This Row],[N1]:[N4]],data__22[[#This Row],[N10]:[N13]],data__22[[#This Row],[N16]:[N18]])/11</f>
        <v>1.7272727272727273</v>
      </c>
      <c r="BH221" s="13">
        <f>SUM(data__22[[#This Row],[N8]:[N9]],data__22[[#This Row],[N23]:[N25]])/5</f>
        <v>0.8</v>
      </c>
      <c r="BI221" s="12">
        <f>SUM(data__22[[#This Row],[N5]:[N7]])/3</f>
        <v>1.6666666666666667</v>
      </c>
      <c r="BJ221" s="12">
        <f>SUM(data__22[[#This Row],[N14]:[N15]],data__22[[#This Row],[N19]:[N22]],data__22[[#This Row],[N26]:[N28]])/9</f>
        <v>1.3333333333333333</v>
      </c>
      <c r="BK221" s="12">
        <f>SUM(data__22[[#This Row],[N29]:[N33]])/5</f>
        <v>1.8</v>
      </c>
      <c r="BL221" s="12">
        <f>SUM(data__22[[#This Row],[N34]:[N36]])/3</f>
        <v>1.6666666666666667</v>
      </c>
    </row>
    <row r="222" spans="1:64" x14ac:dyDescent="0.3">
      <c r="A222" s="7">
        <v>22</v>
      </c>
      <c r="B222" s="7" t="s">
        <v>70</v>
      </c>
      <c r="C222" s="7" t="s">
        <v>96</v>
      </c>
      <c r="D222" s="7" t="s">
        <v>149</v>
      </c>
      <c r="E222" s="7" t="s">
        <v>108</v>
      </c>
      <c r="F222" s="7" t="s">
        <v>98</v>
      </c>
      <c r="G222" s="7" t="s">
        <v>440</v>
      </c>
      <c r="H222" s="7" t="s">
        <v>165</v>
      </c>
      <c r="I222" s="7" t="s">
        <v>439</v>
      </c>
      <c r="J222" s="7" t="s">
        <v>77</v>
      </c>
      <c r="K222" s="7" t="s">
        <v>122</v>
      </c>
      <c r="L222" s="8" t="s">
        <v>79</v>
      </c>
      <c r="M222" s="8" t="s">
        <v>80</v>
      </c>
      <c r="N222" s="8" t="s">
        <v>82</v>
      </c>
      <c r="O222" s="8" t="s">
        <v>81</v>
      </c>
      <c r="P222" s="8" t="s">
        <v>79</v>
      </c>
      <c r="Q222" s="8" t="s">
        <v>83</v>
      </c>
      <c r="R222" s="8" t="s">
        <v>79</v>
      </c>
      <c r="S222" s="8" t="s">
        <v>79</v>
      </c>
      <c r="T222" s="8" t="s">
        <v>148</v>
      </c>
      <c r="U222" s="8" t="s">
        <v>141</v>
      </c>
      <c r="V222" s="8" t="s">
        <v>127</v>
      </c>
      <c r="W222" s="9">
        <v>1</v>
      </c>
      <c r="X222" s="9">
        <v>2</v>
      </c>
      <c r="Y222" s="9">
        <v>1</v>
      </c>
      <c r="Z222" s="9">
        <v>2</v>
      </c>
      <c r="AA222" s="9">
        <v>2</v>
      </c>
      <c r="AB222" s="9">
        <v>2</v>
      </c>
      <c r="AC222" s="9">
        <v>2</v>
      </c>
      <c r="AD222" s="9">
        <v>1</v>
      </c>
      <c r="AE222" s="9">
        <v>2</v>
      </c>
      <c r="AF222" s="9">
        <v>2</v>
      </c>
      <c r="AG222" s="9">
        <v>1</v>
      </c>
      <c r="AH222" s="9">
        <v>2</v>
      </c>
      <c r="AI222" s="9">
        <v>2</v>
      </c>
      <c r="AJ222" s="9">
        <v>2</v>
      </c>
      <c r="AK222" s="9">
        <v>2</v>
      </c>
      <c r="AL222" s="10">
        <v>1</v>
      </c>
      <c r="AM222" s="10">
        <v>2</v>
      </c>
      <c r="AN222" s="10">
        <v>1</v>
      </c>
      <c r="AO222" s="10">
        <v>0</v>
      </c>
      <c r="AP222" s="10">
        <v>0</v>
      </c>
      <c r="AQ222" s="10">
        <v>1</v>
      </c>
      <c r="AR222" s="10">
        <v>1</v>
      </c>
      <c r="AS222" s="11">
        <v>2</v>
      </c>
      <c r="AT222" s="11">
        <v>1</v>
      </c>
      <c r="AU222" s="11">
        <v>2</v>
      </c>
      <c r="AV222" s="11">
        <v>1</v>
      </c>
      <c r="AW222" s="11">
        <v>2</v>
      </c>
      <c r="AX222" s="11">
        <v>1</v>
      </c>
      <c r="AY222" s="7">
        <v>1</v>
      </c>
      <c r="AZ222" s="7">
        <v>2</v>
      </c>
      <c r="BA222" s="7">
        <v>2</v>
      </c>
      <c r="BB222" s="7">
        <v>2</v>
      </c>
      <c r="BC222" s="7">
        <v>2</v>
      </c>
      <c r="BD222" s="7">
        <v>1</v>
      </c>
      <c r="BE222" s="7">
        <v>1</v>
      </c>
      <c r="BF222" s="7">
        <v>0</v>
      </c>
      <c r="BG222" s="12">
        <f>SUM(data__22[[#This Row],[N1]:[N4]],data__22[[#This Row],[N10]:[N13]],data__22[[#This Row],[N16]:[N18]])/11</f>
        <v>1.5454545454545454</v>
      </c>
      <c r="BH222" s="13">
        <f>SUM(data__22[[#This Row],[N8]:[N9]],data__22[[#This Row],[N23]:[N25]])/5</f>
        <v>1.6</v>
      </c>
      <c r="BI222" s="12">
        <f>SUM(data__22[[#This Row],[N5]:[N7]])/3</f>
        <v>2</v>
      </c>
      <c r="BJ222" s="12">
        <f>SUM(data__22[[#This Row],[N14]:[N15]],data__22[[#This Row],[N19]:[N22]],data__22[[#This Row],[N26]:[N28]])/9</f>
        <v>1.1111111111111112</v>
      </c>
      <c r="BK222" s="12">
        <f>SUM(data__22[[#This Row],[N29]:[N33]])/5</f>
        <v>1.8</v>
      </c>
      <c r="BL222" s="12">
        <f>SUM(data__22[[#This Row],[N34]:[N36]])/3</f>
        <v>0.66666666666666663</v>
      </c>
    </row>
    <row r="223" spans="1:64" x14ac:dyDescent="0.3">
      <c r="A223" s="7">
        <v>23</v>
      </c>
      <c r="B223" s="7" t="s">
        <v>70</v>
      </c>
      <c r="C223" s="7" t="s">
        <v>113</v>
      </c>
      <c r="D223" s="7" t="s">
        <v>149</v>
      </c>
      <c r="E223" s="7" t="s">
        <v>114</v>
      </c>
      <c r="F223" s="7" t="s">
        <v>136</v>
      </c>
      <c r="G223" s="7" t="s">
        <v>440</v>
      </c>
      <c r="H223" s="7" t="s">
        <v>98</v>
      </c>
      <c r="I223" s="7" t="s">
        <v>76</v>
      </c>
      <c r="J223" s="7" t="s">
        <v>77</v>
      </c>
      <c r="K223" s="7" t="s">
        <v>122</v>
      </c>
      <c r="L223" s="8" t="s">
        <v>79</v>
      </c>
      <c r="M223" s="8" t="s">
        <v>80</v>
      </c>
      <c r="N223" s="8" t="s">
        <v>79</v>
      </c>
      <c r="O223" s="8" t="s">
        <v>81</v>
      </c>
      <c r="P223" s="8" t="s">
        <v>79</v>
      </c>
      <c r="Q223" s="8" t="s">
        <v>83</v>
      </c>
      <c r="R223" s="8" t="s">
        <v>79</v>
      </c>
      <c r="S223" s="8" t="s">
        <v>79</v>
      </c>
      <c r="T223" s="8" t="s">
        <v>148</v>
      </c>
      <c r="U223" s="8" t="s">
        <v>120</v>
      </c>
      <c r="V223" s="8" t="s">
        <v>112</v>
      </c>
      <c r="W223" s="9">
        <v>1</v>
      </c>
      <c r="X223" s="9">
        <v>2</v>
      </c>
      <c r="Y223" s="9">
        <v>1</v>
      </c>
      <c r="Z223" s="9">
        <v>0</v>
      </c>
      <c r="AA223" s="9">
        <v>2</v>
      </c>
      <c r="AB223" s="9">
        <v>1</v>
      </c>
      <c r="AC223" s="9">
        <v>1</v>
      </c>
      <c r="AD223" s="9">
        <v>2</v>
      </c>
      <c r="AE223" s="9">
        <v>1</v>
      </c>
      <c r="AF223" s="9">
        <v>2</v>
      </c>
      <c r="AG223" s="9">
        <v>1</v>
      </c>
      <c r="AH223" s="9">
        <v>2</v>
      </c>
      <c r="AI223" s="9">
        <v>1</v>
      </c>
      <c r="AJ223" s="9">
        <v>2</v>
      </c>
      <c r="AK223" s="9">
        <v>2</v>
      </c>
      <c r="AL223" s="10">
        <v>2</v>
      </c>
      <c r="AM223" s="10">
        <v>2</v>
      </c>
      <c r="AN223" s="10">
        <v>1</v>
      </c>
      <c r="AO223" s="10">
        <v>1</v>
      </c>
      <c r="AP223" s="10">
        <v>1</v>
      </c>
      <c r="AQ223" s="10">
        <v>2</v>
      </c>
      <c r="AR223" s="10">
        <v>2</v>
      </c>
      <c r="AS223" s="11">
        <v>1</v>
      </c>
      <c r="AT223" s="11">
        <v>2</v>
      </c>
      <c r="AU223" s="11">
        <v>2</v>
      </c>
      <c r="AV223" s="11">
        <v>2</v>
      </c>
      <c r="AW223" s="11">
        <v>1</v>
      </c>
      <c r="AX223" s="11">
        <v>0</v>
      </c>
      <c r="AY223" s="7">
        <v>1</v>
      </c>
      <c r="AZ223" s="7">
        <v>2</v>
      </c>
      <c r="BA223" s="7">
        <v>2</v>
      </c>
      <c r="BB223" s="7">
        <v>2</v>
      </c>
      <c r="BC223" s="7">
        <v>1</v>
      </c>
      <c r="BD223" s="7">
        <v>1</v>
      </c>
      <c r="BE223" s="7">
        <v>1</v>
      </c>
      <c r="BF223" s="7">
        <v>1</v>
      </c>
      <c r="BG223" s="12">
        <f>SUM(data__22[[#This Row],[N1]:[N4]],data__22[[#This Row],[N10]:[N13]],data__22[[#This Row],[N16]:[N18]])/11</f>
        <v>1.3636363636363635</v>
      </c>
      <c r="BH223" s="13">
        <f>SUM(data__22[[#This Row],[N8]:[N9]],data__22[[#This Row],[N23]:[N25]])/5</f>
        <v>1.6</v>
      </c>
      <c r="BI223" s="12">
        <f>SUM(data__22[[#This Row],[N5]:[N7]])/3</f>
        <v>1.3333333333333333</v>
      </c>
      <c r="BJ223" s="12">
        <f>SUM(data__22[[#This Row],[N14]:[N15]],data__22[[#This Row],[N19]:[N22]],data__22[[#This Row],[N26]:[N28]])/9</f>
        <v>1.4444444444444444</v>
      </c>
      <c r="BK223" s="12">
        <f>SUM(data__22[[#This Row],[N29]:[N33]])/5</f>
        <v>1.6</v>
      </c>
      <c r="BL223" s="12">
        <f>SUM(data__22[[#This Row],[N34]:[N36]])/3</f>
        <v>1</v>
      </c>
    </row>
    <row r="224" spans="1:64" x14ac:dyDescent="0.3">
      <c r="A224" s="7">
        <v>22</v>
      </c>
      <c r="B224" s="7" t="s">
        <v>128</v>
      </c>
      <c r="C224" s="7" t="s">
        <v>96</v>
      </c>
      <c r="D224" s="7" t="s">
        <v>72</v>
      </c>
      <c r="E224" s="7" t="s">
        <v>114</v>
      </c>
      <c r="F224" s="7" t="s">
        <v>100</v>
      </c>
      <c r="G224" s="7" t="s">
        <v>439</v>
      </c>
      <c r="H224" s="7" t="s">
        <v>100</v>
      </c>
      <c r="I224" s="7" t="s">
        <v>76</v>
      </c>
      <c r="J224" s="7" t="s">
        <v>77</v>
      </c>
      <c r="K224" s="7" t="s">
        <v>125</v>
      </c>
      <c r="L224" s="8" t="s">
        <v>79</v>
      </c>
      <c r="M224" s="8" t="s">
        <v>132</v>
      </c>
      <c r="N224" s="8" t="s">
        <v>79</v>
      </c>
      <c r="O224" s="8" t="s">
        <v>133</v>
      </c>
      <c r="P224" s="8" t="s">
        <v>79</v>
      </c>
      <c r="Q224" s="8" t="s">
        <v>118</v>
      </c>
      <c r="R224" s="8" t="s">
        <v>79</v>
      </c>
      <c r="S224" s="8" t="s">
        <v>79</v>
      </c>
      <c r="T224" s="8" t="s">
        <v>106</v>
      </c>
      <c r="U224" s="8" t="s">
        <v>87</v>
      </c>
      <c r="V224" s="8" t="s">
        <v>455</v>
      </c>
      <c r="W224" s="9">
        <v>1</v>
      </c>
      <c r="X224" s="9">
        <v>2</v>
      </c>
      <c r="Y224" s="9">
        <v>2</v>
      </c>
      <c r="Z224" s="9">
        <v>2</v>
      </c>
      <c r="AA224" s="9">
        <v>2</v>
      </c>
      <c r="AB224" s="9">
        <v>1</v>
      </c>
      <c r="AC224" s="9">
        <v>1</v>
      </c>
      <c r="AD224" s="9">
        <v>2</v>
      </c>
      <c r="AE224" s="9">
        <v>1</v>
      </c>
      <c r="AF224" s="9">
        <v>1</v>
      </c>
      <c r="AG224" s="9">
        <v>2</v>
      </c>
      <c r="AH224" s="9">
        <v>2</v>
      </c>
      <c r="AI224" s="9">
        <v>3</v>
      </c>
      <c r="AJ224" s="9">
        <v>2</v>
      </c>
      <c r="AK224" s="9">
        <v>2</v>
      </c>
      <c r="AL224" s="10">
        <v>1</v>
      </c>
      <c r="AM224" s="10">
        <v>2</v>
      </c>
      <c r="AN224" s="10">
        <v>2</v>
      </c>
      <c r="AO224" s="10">
        <v>0</v>
      </c>
      <c r="AP224" s="10">
        <v>1</v>
      </c>
      <c r="AQ224" s="10">
        <v>2</v>
      </c>
      <c r="AR224" s="10">
        <v>2</v>
      </c>
      <c r="AS224" s="11">
        <v>2</v>
      </c>
      <c r="AT224" s="11">
        <v>1</v>
      </c>
      <c r="AU224" s="11">
        <v>2</v>
      </c>
      <c r="AV224" s="11">
        <v>1</v>
      </c>
      <c r="AW224" s="11">
        <v>2</v>
      </c>
      <c r="AX224" s="11">
        <v>1</v>
      </c>
      <c r="AY224" s="7">
        <v>2</v>
      </c>
      <c r="AZ224" s="7">
        <v>1</v>
      </c>
      <c r="BA224" s="7">
        <v>1</v>
      </c>
      <c r="BB224" s="7">
        <v>1</v>
      </c>
      <c r="BC224" s="7">
        <v>2</v>
      </c>
      <c r="BD224" s="7">
        <v>2</v>
      </c>
      <c r="BE224" s="7">
        <v>1</v>
      </c>
      <c r="BF224" s="7">
        <v>1</v>
      </c>
      <c r="BG224" s="12">
        <f>SUM(data__22[[#This Row],[N1]:[N4]],data__22[[#This Row],[N10]:[N13]],data__22[[#This Row],[N16]:[N18]])/11</f>
        <v>1.8181818181818181</v>
      </c>
      <c r="BH224" s="13">
        <f>SUM(data__22[[#This Row],[N8]:[N9]],data__22[[#This Row],[N23]:[N25]])/5</f>
        <v>1.6</v>
      </c>
      <c r="BI224" s="12">
        <f>SUM(data__22[[#This Row],[N5]:[N7]])/3</f>
        <v>1.3333333333333333</v>
      </c>
      <c r="BJ224" s="12">
        <f>SUM(data__22[[#This Row],[N14]:[N15]],data__22[[#This Row],[N19]:[N22]],data__22[[#This Row],[N26]:[N28]])/9</f>
        <v>1.4444444444444444</v>
      </c>
      <c r="BK224" s="12">
        <f>SUM(data__22[[#This Row],[N29]:[N33]])/5</f>
        <v>1.4</v>
      </c>
      <c r="BL224" s="12">
        <f>SUM(data__22[[#This Row],[N34]:[N36]])/3</f>
        <v>1.3333333333333333</v>
      </c>
    </row>
    <row r="225" spans="1:64" x14ac:dyDescent="0.3">
      <c r="A225" s="7">
        <v>23</v>
      </c>
      <c r="B225" s="7" t="s">
        <v>70</v>
      </c>
      <c r="C225" s="7" t="s">
        <v>113</v>
      </c>
      <c r="D225" s="7" t="s">
        <v>97</v>
      </c>
      <c r="E225" s="7" t="s">
        <v>114</v>
      </c>
      <c r="F225" s="7" t="s">
        <v>100</v>
      </c>
      <c r="G225" s="7" t="s">
        <v>440</v>
      </c>
      <c r="H225" s="7" t="s">
        <v>98</v>
      </c>
      <c r="I225" s="7" t="s">
        <v>76</v>
      </c>
      <c r="J225" s="7" t="s">
        <v>77</v>
      </c>
      <c r="K225" s="7" t="s">
        <v>122</v>
      </c>
      <c r="L225" s="8" t="s">
        <v>79</v>
      </c>
      <c r="M225" s="8" t="s">
        <v>80</v>
      </c>
      <c r="N225" s="8" t="s">
        <v>79</v>
      </c>
      <c r="O225" s="8" t="s">
        <v>138</v>
      </c>
      <c r="P225" s="8" t="s">
        <v>79</v>
      </c>
      <c r="Q225" s="8" t="s">
        <v>83</v>
      </c>
      <c r="R225" s="8" t="s">
        <v>79</v>
      </c>
      <c r="S225" s="8" t="s">
        <v>79</v>
      </c>
      <c r="T225" s="8" t="s">
        <v>86</v>
      </c>
      <c r="U225" s="8" t="s">
        <v>87</v>
      </c>
      <c r="V225" s="8" t="s">
        <v>127</v>
      </c>
      <c r="W225" s="9">
        <v>1</v>
      </c>
      <c r="X225" s="9">
        <v>2</v>
      </c>
      <c r="Y225" s="9">
        <v>2</v>
      </c>
      <c r="Z225" s="9">
        <v>1</v>
      </c>
      <c r="AA225" s="9">
        <v>1</v>
      </c>
      <c r="AB225" s="9">
        <v>2</v>
      </c>
      <c r="AC225" s="9">
        <v>2</v>
      </c>
      <c r="AD225" s="9">
        <v>1</v>
      </c>
      <c r="AE225" s="9">
        <v>2</v>
      </c>
      <c r="AF225" s="9">
        <v>2</v>
      </c>
      <c r="AG225" s="9">
        <v>1</v>
      </c>
      <c r="AH225" s="9">
        <v>1</v>
      </c>
      <c r="AI225" s="9">
        <v>3</v>
      </c>
      <c r="AJ225" s="9">
        <v>3</v>
      </c>
      <c r="AK225" s="9">
        <v>3</v>
      </c>
      <c r="AL225" s="10">
        <v>1</v>
      </c>
      <c r="AM225" s="10">
        <v>2</v>
      </c>
      <c r="AN225" s="10">
        <v>2</v>
      </c>
      <c r="AO225" s="10">
        <v>1</v>
      </c>
      <c r="AP225" s="10">
        <v>1</v>
      </c>
      <c r="AQ225" s="10">
        <v>2</v>
      </c>
      <c r="AR225" s="10">
        <v>1</v>
      </c>
      <c r="AS225" s="11">
        <v>2</v>
      </c>
      <c r="AT225" s="11">
        <v>1</v>
      </c>
      <c r="AU225" s="11">
        <v>2</v>
      </c>
      <c r="AV225" s="11">
        <v>2</v>
      </c>
      <c r="AW225" s="11">
        <v>2</v>
      </c>
      <c r="AX225" s="11">
        <v>2</v>
      </c>
      <c r="AY225" s="7">
        <v>2</v>
      </c>
      <c r="AZ225" s="7">
        <v>1</v>
      </c>
      <c r="BA225" s="7">
        <v>1</v>
      </c>
      <c r="BB225" s="7">
        <v>2</v>
      </c>
      <c r="BC225" s="7">
        <v>2</v>
      </c>
      <c r="BD225" s="7">
        <v>1</v>
      </c>
      <c r="BE225" s="7">
        <v>1</v>
      </c>
      <c r="BF225" s="7">
        <v>2</v>
      </c>
      <c r="BG225" s="12">
        <f>SUM(data__22[[#This Row],[N1]:[N4]],data__22[[#This Row],[N10]:[N13]],data__22[[#This Row],[N16]:[N18]])/11</f>
        <v>1.6363636363636365</v>
      </c>
      <c r="BH225" s="13">
        <f>SUM(data__22[[#This Row],[N8]:[N9]],data__22[[#This Row],[N23]:[N25]])/5</f>
        <v>1.6</v>
      </c>
      <c r="BI225" s="12">
        <f>SUM(data__22[[#This Row],[N5]:[N7]])/3</f>
        <v>1.6666666666666667</v>
      </c>
      <c r="BJ225" s="12">
        <f>SUM(data__22[[#This Row],[N14]:[N15]],data__22[[#This Row],[N19]:[N22]],data__22[[#This Row],[N26]:[N28]])/9</f>
        <v>1.8888888888888888</v>
      </c>
      <c r="BK225" s="12">
        <f>SUM(data__22[[#This Row],[N29]:[N33]])/5</f>
        <v>1.6</v>
      </c>
      <c r="BL225" s="12">
        <f>SUM(data__22[[#This Row],[N34]:[N36]])/3</f>
        <v>1.3333333333333333</v>
      </c>
    </row>
    <row r="226" spans="1:64" x14ac:dyDescent="0.3">
      <c r="A226" s="7">
        <v>23</v>
      </c>
      <c r="B226" s="7" t="s">
        <v>128</v>
      </c>
      <c r="C226" s="7" t="s">
        <v>113</v>
      </c>
      <c r="D226" s="7" t="s">
        <v>97</v>
      </c>
      <c r="E226" s="7" t="s">
        <v>114</v>
      </c>
      <c r="F226" s="7" t="s">
        <v>98</v>
      </c>
      <c r="G226" s="7" t="s">
        <v>439</v>
      </c>
      <c r="H226" s="7" t="s">
        <v>100</v>
      </c>
      <c r="I226" s="7" t="s">
        <v>76</v>
      </c>
      <c r="J226" s="7" t="s">
        <v>77</v>
      </c>
      <c r="K226" s="7" t="s">
        <v>122</v>
      </c>
      <c r="L226" s="8" t="s">
        <v>79</v>
      </c>
      <c r="M226" s="8" t="s">
        <v>80</v>
      </c>
      <c r="N226" s="8" t="s">
        <v>79</v>
      </c>
      <c r="O226" s="8" t="s">
        <v>109</v>
      </c>
      <c r="P226" s="8" t="s">
        <v>79</v>
      </c>
      <c r="Q226" s="8" t="s">
        <v>83</v>
      </c>
      <c r="R226" s="8" t="s">
        <v>79</v>
      </c>
      <c r="S226" s="8" t="s">
        <v>79</v>
      </c>
      <c r="T226" s="8" t="s">
        <v>86</v>
      </c>
      <c r="U226" s="8" t="s">
        <v>87</v>
      </c>
      <c r="V226" s="8" t="s">
        <v>127</v>
      </c>
      <c r="W226" s="9">
        <v>2</v>
      </c>
      <c r="X226" s="9">
        <v>2</v>
      </c>
      <c r="Y226" s="9">
        <v>2</v>
      </c>
      <c r="Z226" s="9">
        <v>2</v>
      </c>
      <c r="AA226" s="9">
        <v>2</v>
      </c>
      <c r="AB226" s="9">
        <v>3</v>
      </c>
      <c r="AC226" s="9">
        <v>1</v>
      </c>
      <c r="AD226" s="9">
        <v>2</v>
      </c>
      <c r="AE226" s="9">
        <v>2</v>
      </c>
      <c r="AF226" s="9">
        <v>3</v>
      </c>
      <c r="AG226" s="9">
        <v>2</v>
      </c>
      <c r="AH226" s="9">
        <v>2</v>
      </c>
      <c r="AI226" s="9">
        <v>2</v>
      </c>
      <c r="AJ226" s="9">
        <v>2</v>
      </c>
      <c r="AK226" s="9">
        <v>3</v>
      </c>
      <c r="AL226" s="10">
        <v>2</v>
      </c>
      <c r="AM226" s="10">
        <v>1</v>
      </c>
      <c r="AN226" s="10">
        <v>2</v>
      </c>
      <c r="AO226" s="10">
        <v>2</v>
      </c>
      <c r="AP226" s="10">
        <v>2</v>
      </c>
      <c r="AQ226" s="10">
        <v>1</v>
      </c>
      <c r="AR226" s="10">
        <v>2</v>
      </c>
      <c r="AS226" s="11">
        <v>2</v>
      </c>
      <c r="AT226" s="11">
        <v>2</v>
      </c>
      <c r="AU226" s="11">
        <v>2</v>
      </c>
      <c r="AV226" s="11">
        <v>1</v>
      </c>
      <c r="AW226" s="11">
        <v>3</v>
      </c>
      <c r="AX226" s="11">
        <v>3</v>
      </c>
      <c r="AY226" s="7">
        <v>1</v>
      </c>
      <c r="AZ226" s="7">
        <v>2</v>
      </c>
      <c r="BA226" s="7">
        <v>1</v>
      </c>
      <c r="BB226" s="7">
        <v>1</v>
      </c>
      <c r="BC226" s="7">
        <v>1</v>
      </c>
      <c r="BD226" s="7">
        <v>2</v>
      </c>
      <c r="BE226" s="7">
        <v>2</v>
      </c>
      <c r="BF226" s="7">
        <v>2</v>
      </c>
      <c r="BG226" s="12">
        <f>SUM(data__22[[#This Row],[N1]:[N4]],data__22[[#This Row],[N10]:[N13]],data__22[[#This Row],[N16]:[N18]])/11</f>
        <v>2</v>
      </c>
      <c r="BH226" s="13">
        <f>SUM(data__22[[#This Row],[N8]:[N9]],data__22[[#This Row],[N23]:[N25]])/5</f>
        <v>2</v>
      </c>
      <c r="BI226" s="12">
        <f>SUM(data__22[[#This Row],[N5]:[N7]])/3</f>
        <v>2</v>
      </c>
      <c r="BJ226" s="12">
        <f>SUM(data__22[[#This Row],[N14]:[N15]],data__22[[#This Row],[N19]:[N22]],data__22[[#This Row],[N26]:[N28]])/9</f>
        <v>2.1111111111111112</v>
      </c>
      <c r="BK226" s="12">
        <f>SUM(data__22[[#This Row],[N29]:[N33]])/5</f>
        <v>1.2</v>
      </c>
      <c r="BL226" s="12">
        <f>SUM(data__22[[#This Row],[N34]:[N36]])/3</f>
        <v>2</v>
      </c>
    </row>
    <row r="227" spans="1:64" x14ac:dyDescent="0.3">
      <c r="A227" s="7">
        <v>23</v>
      </c>
      <c r="B227" s="7" t="s">
        <v>128</v>
      </c>
      <c r="C227" s="7" t="s">
        <v>96</v>
      </c>
      <c r="D227" s="7" t="s">
        <v>72</v>
      </c>
      <c r="E227" s="7" t="s">
        <v>108</v>
      </c>
      <c r="F227" s="7" t="s">
        <v>100</v>
      </c>
      <c r="G227" s="7" t="s">
        <v>166</v>
      </c>
      <c r="H227" s="7" t="s">
        <v>98</v>
      </c>
      <c r="I227" s="7" t="s">
        <v>439</v>
      </c>
      <c r="J227" s="7" t="s">
        <v>77</v>
      </c>
      <c r="K227" s="7" t="s">
        <v>122</v>
      </c>
      <c r="L227" s="8" t="s">
        <v>79</v>
      </c>
      <c r="M227" s="8" t="s">
        <v>80</v>
      </c>
      <c r="N227" s="8" t="s">
        <v>79</v>
      </c>
      <c r="O227" s="8" t="s">
        <v>138</v>
      </c>
      <c r="P227" s="8" t="s">
        <v>79</v>
      </c>
      <c r="Q227" s="8" t="s">
        <v>118</v>
      </c>
      <c r="R227" s="8" t="s">
        <v>79</v>
      </c>
      <c r="S227" s="8" t="s">
        <v>82</v>
      </c>
      <c r="T227" s="8" t="s">
        <v>106</v>
      </c>
      <c r="U227" s="8" t="s">
        <v>87</v>
      </c>
      <c r="V227" s="8" t="s">
        <v>127</v>
      </c>
      <c r="W227" s="9">
        <v>1</v>
      </c>
      <c r="X227" s="9">
        <v>0</v>
      </c>
      <c r="Y227" s="9">
        <v>1</v>
      </c>
      <c r="Z227" s="9">
        <v>2</v>
      </c>
      <c r="AA227" s="9">
        <v>1</v>
      </c>
      <c r="AB227" s="9">
        <v>1</v>
      </c>
      <c r="AC227" s="9">
        <v>2</v>
      </c>
      <c r="AD227" s="9">
        <v>2</v>
      </c>
      <c r="AE227" s="9">
        <v>1</v>
      </c>
      <c r="AF227" s="9">
        <v>1</v>
      </c>
      <c r="AG227" s="9">
        <v>2</v>
      </c>
      <c r="AH227" s="9">
        <v>2</v>
      </c>
      <c r="AI227" s="9">
        <v>2</v>
      </c>
      <c r="AJ227" s="9">
        <v>1</v>
      </c>
      <c r="AK227" s="9">
        <v>1</v>
      </c>
      <c r="AL227" s="10">
        <v>1</v>
      </c>
      <c r="AM227" s="10">
        <v>2</v>
      </c>
      <c r="AN227" s="10">
        <v>2</v>
      </c>
      <c r="AO227" s="10">
        <v>1</v>
      </c>
      <c r="AP227" s="10">
        <v>2</v>
      </c>
      <c r="AQ227" s="10">
        <v>2</v>
      </c>
      <c r="AR227" s="10">
        <v>1</v>
      </c>
      <c r="AS227" s="11">
        <v>2</v>
      </c>
      <c r="AT227" s="11">
        <v>2</v>
      </c>
      <c r="AU227" s="11">
        <v>1</v>
      </c>
      <c r="AV227" s="11">
        <v>1</v>
      </c>
      <c r="AW227" s="11">
        <v>2</v>
      </c>
      <c r="AX227" s="11">
        <v>1</v>
      </c>
      <c r="AY227" s="7">
        <v>1</v>
      </c>
      <c r="AZ227" s="7">
        <v>2</v>
      </c>
      <c r="BA227" s="7">
        <v>2</v>
      </c>
      <c r="BB227" s="7">
        <v>1</v>
      </c>
      <c r="BC227" s="7">
        <v>2</v>
      </c>
      <c r="BD227" s="7">
        <v>2</v>
      </c>
      <c r="BE227" s="7">
        <v>2</v>
      </c>
      <c r="BF227" s="7">
        <v>2</v>
      </c>
      <c r="BG227" s="12">
        <f>SUM(data__22[[#This Row],[N1]:[N4]],data__22[[#This Row],[N10]:[N13]],data__22[[#This Row],[N16]:[N18]])/11</f>
        <v>1.4545454545454546</v>
      </c>
      <c r="BH227" s="13">
        <f>SUM(data__22[[#This Row],[N8]:[N9]],data__22[[#This Row],[N23]:[N25]])/5</f>
        <v>1.6</v>
      </c>
      <c r="BI227" s="12">
        <f>SUM(data__22[[#This Row],[N5]:[N7]])/3</f>
        <v>1.3333333333333333</v>
      </c>
      <c r="BJ227" s="12">
        <f>SUM(data__22[[#This Row],[N14]:[N15]],data__22[[#This Row],[N19]:[N22]],data__22[[#This Row],[N26]:[N28]])/9</f>
        <v>1.3333333333333333</v>
      </c>
      <c r="BK227" s="12">
        <f>SUM(data__22[[#This Row],[N29]:[N33]])/5</f>
        <v>1.6</v>
      </c>
      <c r="BL227" s="12">
        <f>SUM(data__22[[#This Row],[N34]:[N36]])/3</f>
        <v>2</v>
      </c>
    </row>
    <row r="228" spans="1:64" x14ac:dyDescent="0.3">
      <c r="A228" s="7">
        <v>23</v>
      </c>
      <c r="B228" s="7" t="s">
        <v>70</v>
      </c>
      <c r="C228" s="7" t="s">
        <v>96</v>
      </c>
      <c r="D228" s="7" t="s">
        <v>72</v>
      </c>
      <c r="E228" s="7" t="s">
        <v>108</v>
      </c>
      <c r="F228" s="7" t="s">
        <v>98</v>
      </c>
      <c r="G228" s="7" t="s">
        <v>440</v>
      </c>
      <c r="H228" s="7" t="s">
        <v>136</v>
      </c>
      <c r="I228" s="7" t="s">
        <v>76</v>
      </c>
      <c r="J228" s="7" t="s">
        <v>77</v>
      </c>
      <c r="K228" s="7" t="s">
        <v>122</v>
      </c>
      <c r="L228" s="8" t="s">
        <v>79</v>
      </c>
      <c r="M228" s="8" t="s">
        <v>80</v>
      </c>
      <c r="N228" s="8" t="s">
        <v>79</v>
      </c>
      <c r="O228" s="8" t="s">
        <v>138</v>
      </c>
      <c r="P228" s="8" t="s">
        <v>79</v>
      </c>
      <c r="Q228" s="8" t="s">
        <v>83</v>
      </c>
      <c r="R228" s="8" t="s">
        <v>79</v>
      </c>
      <c r="S228" s="8" t="s">
        <v>79</v>
      </c>
      <c r="T228" s="8" t="s">
        <v>86</v>
      </c>
      <c r="U228" s="8" t="s">
        <v>87</v>
      </c>
      <c r="V228" s="8" t="s">
        <v>112</v>
      </c>
      <c r="W228" s="9">
        <v>1</v>
      </c>
      <c r="X228" s="9">
        <v>2</v>
      </c>
      <c r="Y228" s="9">
        <v>1</v>
      </c>
      <c r="Z228" s="9">
        <v>2</v>
      </c>
      <c r="AA228" s="9">
        <v>1</v>
      </c>
      <c r="AB228" s="9">
        <v>2</v>
      </c>
      <c r="AC228" s="9">
        <v>1</v>
      </c>
      <c r="AD228" s="9">
        <v>2</v>
      </c>
      <c r="AE228" s="9">
        <v>2</v>
      </c>
      <c r="AF228" s="9">
        <v>1</v>
      </c>
      <c r="AG228" s="9">
        <v>2</v>
      </c>
      <c r="AH228" s="9">
        <v>2</v>
      </c>
      <c r="AI228" s="9">
        <v>1</v>
      </c>
      <c r="AJ228" s="9">
        <v>2</v>
      </c>
      <c r="AK228" s="9">
        <v>3</v>
      </c>
      <c r="AL228" s="10">
        <v>1</v>
      </c>
      <c r="AM228" s="10">
        <v>2</v>
      </c>
      <c r="AN228" s="10">
        <v>1</v>
      </c>
      <c r="AO228" s="10">
        <v>2</v>
      </c>
      <c r="AP228" s="10">
        <v>3</v>
      </c>
      <c r="AQ228" s="10">
        <v>2</v>
      </c>
      <c r="AR228" s="10">
        <v>1</v>
      </c>
      <c r="AS228" s="11">
        <v>0</v>
      </c>
      <c r="AT228" s="11">
        <v>1</v>
      </c>
      <c r="AU228" s="11">
        <v>2</v>
      </c>
      <c r="AV228" s="11">
        <v>1</v>
      </c>
      <c r="AW228" s="11">
        <v>0</v>
      </c>
      <c r="AX228" s="11">
        <v>1</v>
      </c>
      <c r="AY228" s="7">
        <v>1</v>
      </c>
      <c r="AZ228" s="7">
        <v>2</v>
      </c>
      <c r="BA228" s="7">
        <v>2</v>
      </c>
      <c r="BB228" s="7">
        <v>1</v>
      </c>
      <c r="BC228" s="7">
        <v>1</v>
      </c>
      <c r="BD228" s="7">
        <v>1</v>
      </c>
      <c r="BE228" s="7">
        <v>2</v>
      </c>
      <c r="BF228" s="7">
        <v>0</v>
      </c>
      <c r="BG228" s="12">
        <f>SUM(data__22[[#This Row],[N1]:[N4]],data__22[[#This Row],[N10]:[N13]],data__22[[#This Row],[N16]:[N18]])/11</f>
        <v>1.4545454545454546</v>
      </c>
      <c r="BH228" s="13">
        <f>SUM(data__22[[#This Row],[N8]:[N9]],data__22[[#This Row],[N23]:[N25]])/5</f>
        <v>1.4</v>
      </c>
      <c r="BI228" s="12">
        <f>SUM(data__22[[#This Row],[N5]:[N7]])/3</f>
        <v>1.3333333333333333</v>
      </c>
      <c r="BJ228" s="12">
        <f>SUM(data__22[[#This Row],[N14]:[N15]],data__22[[#This Row],[N19]:[N22]],data__22[[#This Row],[N26]:[N28]])/9</f>
        <v>1.6666666666666667</v>
      </c>
      <c r="BK228" s="12">
        <f>SUM(data__22[[#This Row],[N29]:[N33]])/5</f>
        <v>1.4</v>
      </c>
      <c r="BL228" s="12">
        <f>SUM(data__22[[#This Row],[N34]:[N36]])/3</f>
        <v>1</v>
      </c>
    </row>
    <row r="229" spans="1:64" x14ac:dyDescent="0.3">
      <c r="A229" s="7">
        <v>23</v>
      </c>
      <c r="B229" s="7" t="s">
        <v>70</v>
      </c>
      <c r="C229" s="7" t="s">
        <v>113</v>
      </c>
      <c r="D229" s="7" t="s">
        <v>72</v>
      </c>
      <c r="E229" s="7" t="s">
        <v>108</v>
      </c>
      <c r="F229" s="7" t="s">
        <v>136</v>
      </c>
      <c r="G229" s="7" t="s">
        <v>440</v>
      </c>
      <c r="H229" s="7" t="s">
        <v>98</v>
      </c>
      <c r="I229" s="7" t="s">
        <v>76</v>
      </c>
      <c r="J229" s="7" t="s">
        <v>77</v>
      </c>
      <c r="K229" s="7" t="s">
        <v>122</v>
      </c>
      <c r="L229" s="8" t="s">
        <v>79</v>
      </c>
      <c r="M229" s="8" t="s">
        <v>80</v>
      </c>
      <c r="N229" s="8" t="s">
        <v>79</v>
      </c>
      <c r="O229" s="8" t="s">
        <v>138</v>
      </c>
      <c r="P229" s="8" t="s">
        <v>79</v>
      </c>
      <c r="Q229" s="8" t="s">
        <v>83</v>
      </c>
      <c r="R229" s="8" t="s">
        <v>79</v>
      </c>
      <c r="S229" s="8" t="s">
        <v>79</v>
      </c>
      <c r="T229" s="8" t="s">
        <v>148</v>
      </c>
      <c r="U229" s="8" t="s">
        <v>87</v>
      </c>
      <c r="V229" s="8" t="s">
        <v>127</v>
      </c>
      <c r="W229" s="9">
        <v>1</v>
      </c>
      <c r="X229" s="9">
        <v>2</v>
      </c>
      <c r="Y229" s="9">
        <v>2</v>
      </c>
      <c r="Z229" s="9">
        <v>1</v>
      </c>
      <c r="AA229" s="9">
        <v>1</v>
      </c>
      <c r="AB229" s="9">
        <v>0</v>
      </c>
      <c r="AC229" s="9">
        <v>0</v>
      </c>
      <c r="AD229" s="9">
        <v>1</v>
      </c>
      <c r="AE229" s="9">
        <v>2</v>
      </c>
      <c r="AF229" s="9">
        <v>2</v>
      </c>
      <c r="AG229" s="9">
        <v>1</v>
      </c>
      <c r="AH229" s="9">
        <v>2</v>
      </c>
      <c r="AI229" s="9">
        <v>1</v>
      </c>
      <c r="AJ229" s="9">
        <v>1</v>
      </c>
      <c r="AK229" s="9">
        <v>2</v>
      </c>
      <c r="AL229" s="10">
        <v>0</v>
      </c>
      <c r="AM229" s="10">
        <v>1</v>
      </c>
      <c r="AN229" s="10">
        <v>1</v>
      </c>
      <c r="AO229" s="10">
        <v>2</v>
      </c>
      <c r="AP229" s="10">
        <v>0</v>
      </c>
      <c r="AQ229" s="10">
        <v>2</v>
      </c>
      <c r="AR229" s="10">
        <v>2</v>
      </c>
      <c r="AS229" s="11">
        <v>1</v>
      </c>
      <c r="AT229" s="11">
        <v>1</v>
      </c>
      <c r="AU229" s="11">
        <v>2</v>
      </c>
      <c r="AV229" s="11">
        <v>3</v>
      </c>
      <c r="AW229" s="11">
        <v>1</v>
      </c>
      <c r="AX229" s="11">
        <v>1</v>
      </c>
      <c r="AY229" s="7">
        <v>1</v>
      </c>
      <c r="AZ229" s="7">
        <v>1</v>
      </c>
      <c r="BA229" s="7">
        <v>1</v>
      </c>
      <c r="BB229" s="7">
        <v>1</v>
      </c>
      <c r="BC229" s="7">
        <v>2</v>
      </c>
      <c r="BD229" s="7">
        <v>1</v>
      </c>
      <c r="BE229" s="7">
        <v>0</v>
      </c>
      <c r="BF229" s="7">
        <v>1</v>
      </c>
      <c r="BG229" s="12">
        <f>SUM(data__22[[#This Row],[N1]:[N4]],data__22[[#This Row],[N10]:[N13]],data__22[[#This Row],[N16]:[N18]])/11</f>
        <v>1.2727272727272727</v>
      </c>
      <c r="BH229" s="13">
        <f>SUM(data__22[[#This Row],[N8]:[N9]],data__22[[#This Row],[N23]:[N25]])/5</f>
        <v>1.4</v>
      </c>
      <c r="BI229" s="12">
        <f>SUM(data__22[[#This Row],[N5]:[N7]])/3</f>
        <v>0.33333333333333331</v>
      </c>
      <c r="BJ229" s="12">
        <f>SUM(data__22[[#This Row],[N14]:[N15]],data__22[[#This Row],[N19]:[N22]],data__22[[#This Row],[N26]:[N28]])/9</f>
        <v>1.5555555555555556</v>
      </c>
      <c r="BK229" s="12">
        <f>SUM(data__22[[#This Row],[N29]:[N33]])/5</f>
        <v>1.2</v>
      </c>
      <c r="BL229" s="12">
        <f>SUM(data__22[[#This Row],[N34]:[N36]])/3</f>
        <v>0.66666666666666663</v>
      </c>
    </row>
    <row r="230" spans="1:64" x14ac:dyDescent="0.3">
      <c r="A230" s="7">
        <v>23</v>
      </c>
      <c r="B230" s="7" t="s">
        <v>128</v>
      </c>
      <c r="C230" s="7" t="s">
        <v>113</v>
      </c>
      <c r="D230" s="7" t="s">
        <v>149</v>
      </c>
      <c r="E230" s="7" t="s">
        <v>73</v>
      </c>
      <c r="F230" s="7" t="s">
        <v>98</v>
      </c>
      <c r="G230" s="7" t="s">
        <v>439</v>
      </c>
      <c r="H230" s="7" t="s">
        <v>100</v>
      </c>
      <c r="I230" s="7" t="s">
        <v>439</v>
      </c>
      <c r="J230" s="7" t="s">
        <v>77</v>
      </c>
      <c r="K230" s="7" t="s">
        <v>125</v>
      </c>
      <c r="L230" s="8" t="s">
        <v>79</v>
      </c>
      <c r="M230" s="8" t="s">
        <v>80</v>
      </c>
      <c r="N230" s="8" t="s">
        <v>79</v>
      </c>
      <c r="O230" s="8" t="s">
        <v>117</v>
      </c>
      <c r="P230" s="8" t="s">
        <v>79</v>
      </c>
      <c r="Q230" s="8" t="s">
        <v>83</v>
      </c>
      <c r="R230" s="8" t="s">
        <v>79</v>
      </c>
      <c r="S230" s="8" t="s">
        <v>79</v>
      </c>
      <c r="T230" s="8" t="s">
        <v>86</v>
      </c>
      <c r="U230" s="8" t="s">
        <v>87</v>
      </c>
      <c r="V230" s="8" t="s">
        <v>127</v>
      </c>
      <c r="W230" s="9">
        <v>1</v>
      </c>
      <c r="X230" s="9">
        <v>2</v>
      </c>
      <c r="Y230" s="9">
        <v>2</v>
      </c>
      <c r="Z230" s="9">
        <v>1</v>
      </c>
      <c r="AA230" s="9">
        <v>2</v>
      </c>
      <c r="AB230" s="9">
        <v>2</v>
      </c>
      <c r="AC230" s="9">
        <v>1</v>
      </c>
      <c r="AD230" s="9">
        <v>1</v>
      </c>
      <c r="AE230" s="9">
        <v>1</v>
      </c>
      <c r="AF230" s="9">
        <v>2</v>
      </c>
      <c r="AG230" s="9">
        <v>2</v>
      </c>
      <c r="AH230" s="9">
        <v>2</v>
      </c>
      <c r="AI230" s="9">
        <v>3</v>
      </c>
      <c r="AJ230" s="9">
        <v>1</v>
      </c>
      <c r="AK230" s="9">
        <v>2</v>
      </c>
      <c r="AL230" s="10">
        <v>1</v>
      </c>
      <c r="AM230" s="10">
        <v>1</v>
      </c>
      <c r="AN230" s="10">
        <v>1</v>
      </c>
      <c r="AO230" s="10">
        <v>1</v>
      </c>
      <c r="AP230" s="10">
        <v>1</v>
      </c>
      <c r="AQ230" s="10">
        <v>1</v>
      </c>
      <c r="AR230" s="10">
        <v>1</v>
      </c>
      <c r="AS230" s="11">
        <v>1</v>
      </c>
      <c r="AT230" s="11">
        <v>2</v>
      </c>
      <c r="AU230" s="11">
        <v>2</v>
      </c>
      <c r="AV230" s="11">
        <v>1</v>
      </c>
      <c r="AW230" s="11">
        <v>1</v>
      </c>
      <c r="AX230" s="11">
        <v>1</v>
      </c>
      <c r="AY230" s="7">
        <v>2</v>
      </c>
      <c r="AZ230" s="7">
        <v>2</v>
      </c>
      <c r="BA230" s="7">
        <v>1</v>
      </c>
      <c r="BB230" s="7">
        <v>1</v>
      </c>
      <c r="BC230" s="7">
        <v>1</v>
      </c>
      <c r="BD230" s="7">
        <v>1</v>
      </c>
      <c r="BE230" s="7">
        <v>2</v>
      </c>
      <c r="BF230" s="7">
        <v>2</v>
      </c>
      <c r="BG230" s="12">
        <f>SUM(data__22[[#This Row],[N1]:[N4]],data__22[[#This Row],[N10]:[N13]],data__22[[#This Row],[N16]:[N18]])/11</f>
        <v>1.6363636363636365</v>
      </c>
      <c r="BH230" s="13">
        <f>SUM(data__22[[#This Row],[N8]:[N9]],data__22[[#This Row],[N23]:[N25]])/5</f>
        <v>1.4</v>
      </c>
      <c r="BI230" s="12">
        <f>SUM(data__22[[#This Row],[N5]:[N7]])/3</f>
        <v>1.6666666666666667</v>
      </c>
      <c r="BJ230" s="12">
        <f>SUM(data__22[[#This Row],[N14]:[N15]],data__22[[#This Row],[N19]:[N22]],data__22[[#This Row],[N26]:[N28]])/9</f>
        <v>1.1111111111111112</v>
      </c>
      <c r="BK230" s="12">
        <f>SUM(data__22[[#This Row],[N29]:[N33]])/5</f>
        <v>1.4</v>
      </c>
      <c r="BL230" s="12">
        <f>SUM(data__22[[#This Row],[N34]:[N36]])/3</f>
        <v>1.6666666666666667</v>
      </c>
    </row>
    <row r="231" spans="1:64" x14ac:dyDescent="0.3">
      <c r="A231" s="7">
        <v>24</v>
      </c>
      <c r="B231" s="7" t="s">
        <v>70</v>
      </c>
      <c r="C231" s="7" t="s">
        <v>96</v>
      </c>
      <c r="D231" s="7" t="s">
        <v>149</v>
      </c>
      <c r="E231" s="7" t="s">
        <v>73</v>
      </c>
      <c r="F231" s="7" t="s">
        <v>98</v>
      </c>
      <c r="G231" s="7" t="s">
        <v>439</v>
      </c>
      <c r="H231" s="7" t="s">
        <v>100</v>
      </c>
      <c r="I231" s="7" t="s">
        <v>439</v>
      </c>
      <c r="J231" s="7" t="s">
        <v>77</v>
      </c>
      <c r="K231" s="7" t="s">
        <v>122</v>
      </c>
      <c r="L231" s="8" t="s">
        <v>79</v>
      </c>
      <c r="M231" s="8" t="s">
        <v>132</v>
      </c>
      <c r="N231" s="8" t="s">
        <v>79</v>
      </c>
      <c r="O231" s="8" t="s">
        <v>109</v>
      </c>
      <c r="P231" s="8" t="s">
        <v>79</v>
      </c>
      <c r="Q231" s="8" t="s">
        <v>103</v>
      </c>
      <c r="R231" s="8" t="s">
        <v>79</v>
      </c>
      <c r="S231" s="8" t="s">
        <v>79</v>
      </c>
      <c r="T231" s="8" t="s">
        <v>86</v>
      </c>
      <c r="U231" s="8" t="s">
        <v>120</v>
      </c>
      <c r="V231" s="8" t="s">
        <v>112</v>
      </c>
      <c r="W231" s="9">
        <v>1</v>
      </c>
      <c r="X231" s="9">
        <v>2</v>
      </c>
      <c r="Y231" s="9">
        <v>2</v>
      </c>
      <c r="Z231" s="9">
        <v>2</v>
      </c>
      <c r="AA231" s="9">
        <v>1</v>
      </c>
      <c r="AB231" s="9">
        <v>1</v>
      </c>
      <c r="AC231" s="9">
        <v>2</v>
      </c>
      <c r="AD231" s="9">
        <v>2</v>
      </c>
      <c r="AE231" s="9">
        <v>2</v>
      </c>
      <c r="AF231" s="9">
        <v>1</v>
      </c>
      <c r="AG231" s="9">
        <v>1</v>
      </c>
      <c r="AH231" s="9">
        <v>2</v>
      </c>
      <c r="AI231" s="9">
        <v>2</v>
      </c>
      <c r="AJ231" s="9">
        <v>2</v>
      </c>
      <c r="AK231" s="9">
        <v>1</v>
      </c>
      <c r="AL231" s="10">
        <v>1</v>
      </c>
      <c r="AM231" s="10">
        <v>2</v>
      </c>
      <c r="AN231" s="10">
        <v>2</v>
      </c>
      <c r="AO231" s="10">
        <v>2</v>
      </c>
      <c r="AP231" s="10">
        <v>1</v>
      </c>
      <c r="AQ231" s="10">
        <v>1</v>
      </c>
      <c r="AR231" s="10">
        <v>2</v>
      </c>
      <c r="AS231" s="11">
        <v>1</v>
      </c>
      <c r="AT231" s="11">
        <v>2</v>
      </c>
      <c r="AU231" s="11">
        <v>2</v>
      </c>
      <c r="AV231" s="11">
        <v>2</v>
      </c>
      <c r="AW231" s="11">
        <v>1</v>
      </c>
      <c r="AX231" s="11">
        <v>1</v>
      </c>
      <c r="AY231" s="7">
        <v>1</v>
      </c>
      <c r="AZ231" s="7">
        <v>2</v>
      </c>
      <c r="BA231" s="7">
        <v>2</v>
      </c>
      <c r="BB231" s="7">
        <v>2</v>
      </c>
      <c r="BC231" s="7">
        <v>2</v>
      </c>
      <c r="BD231" s="7">
        <v>1</v>
      </c>
      <c r="BE231" s="7">
        <v>1</v>
      </c>
      <c r="BF231" s="7">
        <v>2</v>
      </c>
      <c r="BG231" s="12">
        <f>SUM(data__22[[#This Row],[N1]:[N4]],data__22[[#This Row],[N10]:[N13]],data__22[[#This Row],[N16]:[N18]])/11</f>
        <v>1.6363636363636365</v>
      </c>
      <c r="BH231" s="13">
        <f>SUM(data__22[[#This Row],[N8]:[N9]],data__22[[#This Row],[N23]:[N25]])/5</f>
        <v>1.8</v>
      </c>
      <c r="BI231" s="12">
        <f>SUM(data__22[[#This Row],[N5]:[N7]])/3</f>
        <v>1.3333333333333333</v>
      </c>
      <c r="BJ231" s="12">
        <f>SUM(data__22[[#This Row],[N14]:[N15]],data__22[[#This Row],[N19]:[N22]],data__22[[#This Row],[N26]:[N28]])/9</f>
        <v>1.4444444444444444</v>
      </c>
      <c r="BK231" s="12">
        <f>SUM(data__22[[#This Row],[N29]:[N33]])/5</f>
        <v>1.8</v>
      </c>
      <c r="BL231" s="12">
        <f>SUM(data__22[[#This Row],[N34]:[N36]])/3</f>
        <v>1.3333333333333333</v>
      </c>
    </row>
    <row r="232" spans="1:64" x14ac:dyDescent="0.3">
      <c r="A232" s="7">
        <v>24</v>
      </c>
      <c r="B232" s="7" t="s">
        <v>128</v>
      </c>
      <c r="C232" s="7" t="s">
        <v>113</v>
      </c>
      <c r="D232" s="7" t="s">
        <v>149</v>
      </c>
      <c r="E232" s="7" t="s">
        <v>73</v>
      </c>
      <c r="F232" s="7" t="s">
        <v>98</v>
      </c>
      <c r="G232" s="7" t="s">
        <v>439</v>
      </c>
      <c r="H232" s="7" t="s">
        <v>100</v>
      </c>
      <c r="I232" s="7" t="s">
        <v>439</v>
      </c>
      <c r="J232" s="7" t="s">
        <v>77</v>
      </c>
      <c r="K232" s="7" t="s">
        <v>122</v>
      </c>
      <c r="L232" s="8" t="s">
        <v>79</v>
      </c>
      <c r="M232" s="8" t="s">
        <v>80</v>
      </c>
      <c r="N232" s="8" t="s">
        <v>79</v>
      </c>
      <c r="O232" s="8" t="s">
        <v>138</v>
      </c>
      <c r="P232" s="8" t="s">
        <v>79</v>
      </c>
      <c r="Q232" s="8" t="s">
        <v>118</v>
      </c>
      <c r="R232" s="8" t="s">
        <v>79</v>
      </c>
      <c r="S232" s="8" t="s">
        <v>79</v>
      </c>
      <c r="T232" s="8" t="s">
        <v>86</v>
      </c>
      <c r="U232" s="8" t="s">
        <v>141</v>
      </c>
      <c r="V232" s="8" t="s">
        <v>160</v>
      </c>
      <c r="W232" s="9">
        <v>2</v>
      </c>
      <c r="X232" s="9">
        <v>1</v>
      </c>
      <c r="Y232" s="9">
        <v>1</v>
      </c>
      <c r="Z232" s="9">
        <v>2</v>
      </c>
      <c r="AA232" s="9">
        <v>1</v>
      </c>
      <c r="AB232" s="9">
        <v>1</v>
      </c>
      <c r="AC232" s="9">
        <v>1</v>
      </c>
      <c r="AD232" s="9">
        <v>2</v>
      </c>
      <c r="AE232" s="9">
        <v>2</v>
      </c>
      <c r="AF232" s="9">
        <v>1</v>
      </c>
      <c r="AG232" s="9">
        <v>2</v>
      </c>
      <c r="AH232" s="9">
        <v>2</v>
      </c>
      <c r="AI232" s="9">
        <v>1</v>
      </c>
      <c r="AJ232" s="9">
        <v>1</v>
      </c>
      <c r="AK232" s="9">
        <v>1</v>
      </c>
      <c r="AL232" s="10">
        <v>1</v>
      </c>
      <c r="AM232" s="10">
        <v>2</v>
      </c>
      <c r="AN232" s="10">
        <v>1</v>
      </c>
      <c r="AO232" s="10">
        <v>1</v>
      </c>
      <c r="AP232" s="10">
        <v>1</v>
      </c>
      <c r="AQ232" s="10">
        <v>1</v>
      </c>
      <c r="AR232" s="10">
        <v>1</v>
      </c>
      <c r="AS232" s="11">
        <v>2</v>
      </c>
      <c r="AT232" s="11">
        <v>1</v>
      </c>
      <c r="AU232" s="11">
        <v>1</v>
      </c>
      <c r="AV232" s="11">
        <v>1</v>
      </c>
      <c r="AW232" s="11">
        <v>1</v>
      </c>
      <c r="AX232" s="11">
        <v>2</v>
      </c>
      <c r="AY232" s="7">
        <v>1</v>
      </c>
      <c r="AZ232" s="7">
        <v>2</v>
      </c>
      <c r="BA232" s="7">
        <v>2</v>
      </c>
      <c r="BB232" s="7">
        <v>1</v>
      </c>
      <c r="BC232" s="7">
        <v>1</v>
      </c>
      <c r="BD232" s="7">
        <v>1</v>
      </c>
      <c r="BE232" s="7">
        <v>1</v>
      </c>
      <c r="BF232" s="7">
        <v>2</v>
      </c>
      <c r="BG232" s="12">
        <f>SUM(data__22[[#This Row],[N1]:[N4]],data__22[[#This Row],[N10]:[N13]],data__22[[#This Row],[N16]:[N18]])/11</f>
        <v>1.4545454545454546</v>
      </c>
      <c r="BH232" s="13">
        <f>SUM(data__22[[#This Row],[N8]:[N9]],data__22[[#This Row],[N23]:[N25]])/5</f>
        <v>1.6</v>
      </c>
      <c r="BI232" s="12">
        <f>SUM(data__22[[#This Row],[N5]:[N7]])/3</f>
        <v>1</v>
      </c>
      <c r="BJ232" s="12">
        <f>SUM(data__22[[#This Row],[N14]:[N15]],data__22[[#This Row],[N19]:[N22]],data__22[[#This Row],[N26]:[N28]])/9</f>
        <v>1.1111111111111112</v>
      </c>
      <c r="BK232" s="12">
        <f>SUM(data__22[[#This Row],[N29]:[N33]])/5</f>
        <v>1.4</v>
      </c>
      <c r="BL232" s="12">
        <f>SUM(data__22[[#This Row],[N34]:[N36]])/3</f>
        <v>1.3333333333333333</v>
      </c>
    </row>
    <row r="233" spans="1:64" x14ac:dyDescent="0.3">
      <c r="A233" s="7">
        <v>23</v>
      </c>
      <c r="B233" s="7" t="s">
        <v>70</v>
      </c>
      <c r="C233" s="7" t="s">
        <v>113</v>
      </c>
      <c r="D233" s="7" t="s">
        <v>97</v>
      </c>
      <c r="E233" s="7" t="s">
        <v>108</v>
      </c>
      <c r="F233" s="7" t="s">
        <v>98</v>
      </c>
      <c r="G233" s="7" t="s">
        <v>440</v>
      </c>
      <c r="H233" s="7" t="s">
        <v>100</v>
      </c>
      <c r="I233" s="7" t="s">
        <v>76</v>
      </c>
      <c r="J233" s="7" t="s">
        <v>77</v>
      </c>
      <c r="K233" s="7" t="s">
        <v>122</v>
      </c>
      <c r="L233" s="8" t="s">
        <v>79</v>
      </c>
      <c r="M233" s="8" t="s">
        <v>80</v>
      </c>
      <c r="N233" s="8" t="s">
        <v>79</v>
      </c>
      <c r="O233" s="8" t="s">
        <v>109</v>
      </c>
      <c r="P233" s="8" t="s">
        <v>79</v>
      </c>
      <c r="Q233" s="8" t="s">
        <v>83</v>
      </c>
      <c r="R233" s="8" t="s">
        <v>79</v>
      </c>
      <c r="S233" s="8" t="s">
        <v>79</v>
      </c>
      <c r="T233" s="8" t="s">
        <v>86</v>
      </c>
      <c r="U233" s="8" t="s">
        <v>120</v>
      </c>
      <c r="V233" s="8" t="s">
        <v>127</v>
      </c>
      <c r="W233" s="9">
        <v>2</v>
      </c>
      <c r="X233" s="9">
        <v>1</v>
      </c>
      <c r="Y233" s="9">
        <v>1</v>
      </c>
      <c r="Z233" s="9">
        <v>1</v>
      </c>
      <c r="AA233" s="9">
        <v>2</v>
      </c>
      <c r="AB233" s="9">
        <v>2</v>
      </c>
      <c r="AC233" s="9">
        <v>1</v>
      </c>
      <c r="AD233" s="9">
        <v>1</v>
      </c>
      <c r="AE233" s="9">
        <v>1</v>
      </c>
      <c r="AF233" s="9">
        <v>2</v>
      </c>
      <c r="AG233" s="9">
        <v>2</v>
      </c>
      <c r="AH233" s="9">
        <v>2</v>
      </c>
      <c r="AI233" s="9">
        <v>2</v>
      </c>
      <c r="AJ233" s="9">
        <v>2</v>
      </c>
      <c r="AK233" s="9">
        <v>1</v>
      </c>
      <c r="AL233" s="10">
        <v>1</v>
      </c>
      <c r="AM233" s="10">
        <v>2</v>
      </c>
      <c r="AN233" s="10">
        <v>2</v>
      </c>
      <c r="AO233" s="10">
        <v>1</v>
      </c>
      <c r="AP233" s="10">
        <v>2</v>
      </c>
      <c r="AQ233" s="10">
        <v>2</v>
      </c>
      <c r="AR233" s="10">
        <v>1</v>
      </c>
      <c r="AS233" s="11">
        <v>2</v>
      </c>
      <c r="AT233" s="11">
        <v>2</v>
      </c>
      <c r="AU233" s="11">
        <v>2</v>
      </c>
      <c r="AV233" s="11">
        <v>1</v>
      </c>
      <c r="AW233" s="11">
        <v>2</v>
      </c>
      <c r="AX233" s="11">
        <v>1</v>
      </c>
      <c r="AY233" s="7">
        <v>1</v>
      </c>
      <c r="AZ233" s="7">
        <v>2</v>
      </c>
      <c r="BA233" s="7">
        <v>2</v>
      </c>
      <c r="BB233" s="7">
        <v>2</v>
      </c>
      <c r="BC233" s="7">
        <v>1</v>
      </c>
      <c r="BD233" s="7">
        <v>1</v>
      </c>
      <c r="BE233" s="7">
        <v>2</v>
      </c>
      <c r="BF233" s="7">
        <v>2</v>
      </c>
      <c r="BG233" s="12">
        <f>SUM(data__22[[#This Row],[N1]:[N4]],data__22[[#This Row],[N10]:[N13]],data__22[[#This Row],[N16]:[N18]])/11</f>
        <v>1.6363636363636365</v>
      </c>
      <c r="BH233" s="13">
        <f>SUM(data__22[[#This Row],[N8]:[N9]],data__22[[#This Row],[N23]:[N25]])/5</f>
        <v>1.6</v>
      </c>
      <c r="BI233" s="12">
        <f>SUM(data__22[[#This Row],[N5]:[N7]])/3</f>
        <v>1.6666666666666667</v>
      </c>
      <c r="BJ233" s="12">
        <f>SUM(data__22[[#This Row],[N14]:[N15]],data__22[[#This Row],[N19]:[N22]],data__22[[#This Row],[N26]:[N28]])/9</f>
        <v>1.4444444444444444</v>
      </c>
      <c r="BK233" s="12">
        <f>SUM(data__22[[#This Row],[N29]:[N33]])/5</f>
        <v>1.6</v>
      </c>
      <c r="BL233" s="12">
        <f>SUM(data__22[[#This Row],[N34]:[N36]])/3</f>
        <v>1.6666666666666667</v>
      </c>
    </row>
    <row r="234" spans="1:64" x14ac:dyDescent="0.3">
      <c r="A234" s="7">
        <v>24</v>
      </c>
      <c r="B234" s="7" t="s">
        <v>70</v>
      </c>
      <c r="C234" s="7" t="s">
        <v>113</v>
      </c>
      <c r="D234" s="7" t="s">
        <v>72</v>
      </c>
      <c r="E234" s="7" t="s">
        <v>114</v>
      </c>
      <c r="F234" s="7" t="s">
        <v>98</v>
      </c>
      <c r="G234" s="7" t="s">
        <v>439</v>
      </c>
      <c r="H234" s="7" t="s">
        <v>100</v>
      </c>
      <c r="I234" s="7" t="s">
        <v>166</v>
      </c>
      <c r="J234" s="7" t="s">
        <v>77</v>
      </c>
      <c r="K234" s="7" t="s">
        <v>125</v>
      </c>
      <c r="L234" s="8" t="s">
        <v>79</v>
      </c>
      <c r="M234" s="8" t="s">
        <v>132</v>
      </c>
      <c r="N234" s="8" t="s">
        <v>79</v>
      </c>
      <c r="O234" s="8" t="s">
        <v>109</v>
      </c>
      <c r="P234" s="8" t="s">
        <v>79</v>
      </c>
      <c r="Q234" s="8" t="s">
        <v>118</v>
      </c>
      <c r="R234" s="8" t="s">
        <v>79</v>
      </c>
      <c r="S234" s="8" t="s">
        <v>79</v>
      </c>
      <c r="T234" s="8" t="s">
        <v>106</v>
      </c>
      <c r="U234" s="8" t="s">
        <v>141</v>
      </c>
      <c r="V234" s="8" t="s">
        <v>127</v>
      </c>
      <c r="W234" s="9">
        <v>1</v>
      </c>
      <c r="X234" s="9">
        <v>1</v>
      </c>
      <c r="Y234" s="9">
        <v>2</v>
      </c>
      <c r="Z234" s="9">
        <v>2</v>
      </c>
      <c r="AA234" s="9">
        <v>1</v>
      </c>
      <c r="AB234" s="9">
        <v>1</v>
      </c>
      <c r="AC234" s="9">
        <v>1</v>
      </c>
      <c r="AD234" s="9">
        <v>3</v>
      </c>
      <c r="AE234" s="9">
        <v>3</v>
      </c>
      <c r="AF234" s="9">
        <v>1</v>
      </c>
      <c r="AG234" s="9">
        <v>1</v>
      </c>
      <c r="AH234" s="9">
        <v>1</v>
      </c>
      <c r="AI234" s="9">
        <v>1</v>
      </c>
      <c r="AJ234" s="9">
        <v>2</v>
      </c>
      <c r="AK234" s="9">
        <v>2</v>
      </c>
      <c r="AL234" s="10">
        <v>1</v>
      </c>
      <c r="AM234" s="10">
        <v>1</v>
      </c>
      <c r="AN234" s="10">
        <v>2</v>
      </c>
      <c r="AO234" s="10">
        <v>2</v>
      </c>
      <c r="AP234" s="10">
        <v>2</v>
      </c>
      <c r="AQ234" s="10">
        <v>2</v>
      </c>
      <c r="AR234" s="10">
        <v>1</v>
      </c>
      <c r="AS234" s="11">
        <v>1</v>
      </c>
      <c r="AT234" s="11">
        <v>1</v>
      </c>
      <c r="AU234" s="11">
        <v>1</v>
      </c>
      <c r="AV234" s="11">
        <v>1</v>
      </c>
      <c r="AW234" s="11">
        <v>2</v>
      </c>
      <c r="AX234" s="11">
        <v>2</v>
      </c>
      <c r="AY234" s="7">
        <v>0</v>
      </c>
      <c r="AZ234" s="7">
        <v>1</v>
      </c>
      <c r="BA234" s="7">
        <v>2</v>
      </c>
      <c r="BB234" s="7">
        <v>1</v>
      </c>
      <c r="BC234" s="7">
        <v>1</v>
      </c>
      <c r="BD234" s="7">
        <v>1</v>
      </c>
      <c r="BE234" s="7">
        <v>1</v>
      </c>
      <c r="BF234" s="7">
        <v>1</v>
      </c>
      <c r="BG234" s="12">
        <f>SUM(data__22[[#This Row],[N1]:[N4]],data__22[[#This Row],[N10]:[N13]],data__22[[#This Row],[N16]:[N18]])/11</f>
        <v>1.2727272727272727</v>
      </c>
      <c r="BH234" s="13">
        <f>SUM(data__22[[#This Row],[N8]:[N9]],data__22[[#This Row],[N23]:[N25]])/5</f>
        <v>1.8</v>
      </c>
      <c r="BI234" s="12">
        <f>SUM(data__22[[#This Row],[N5]:[N7]])/3</f>
        <v>1</v>
      </c>
      <c r="BJ234" s="12">
        <f>SUM(data__22[[#This Row],[N14]:[N15]],data__22[[#This Row],[N19]:[N22]],data__22[[#This Row],[N26]:[N28]])/9</f>
        <v>1.7777777777777777</v>
      </c>
      <c r="BK234" s="12">
        <f>SUM(data__22[[#This Row],[N29]:[N33]])/5</f>
        <v>1</v>
      </c>
      <c r="BL234" s="12">
        <f>SUM(data__22[[#This Row],[N34]:[N36]])/3</f>
        <v>1</v>
      </c>
    </row>
    <row r="235" spans="1:64" x14ac:dyDescent="0.3">
      <c r="A235" s="7">
        <v>22</v>
      </c>
      <c r="B235" s="7" t="s">
        <v>70</v>
      </c>
      <c r="C235" s="7" t="s">
        <v>96</v>
      </c>
      <c r="D235" s="7" t="s">
        <v>72</v>
      </c>
      <c r="E235" s="7" t="s">
        <v>73</v>
      </c>
      <c r="F235" s="7" t="s">
        <v>100</v>
      </c>
      <c r="G235" s="7" t="s">
        <v>439</v>
      </c>
      <c r="H235" s="7" t="s">
        <v>100</v>
      </c>
      <c r="I235" s="7" t="s">
        <v>439</v>
      </c>
      <c r="J235" s="7" t="s">
        <v>77</v>
      </c>
      <c r="K235" s="7" t="s">
        <v>122</v>
      </c>
      <c r="L235" s="8" t="s">
        <v>79</v>
      </c>
      <c r="M235" s="8" t="s">
        <v>80</v>
      </c>
      <c r="N235" s="8" t="s">
        <v>79</v>
      </c>
      <c r="O235" s="8" t="s">
        <v>138</v>
      </c>
      <c r="P235" s="8" t="s">
        <v>79</v>
      </c>
      <c r="Q235" s="8" t="s">
        <v>83</v>
      </c>
      <c r="R235" s="8" t="s">
        <v>79</v>
      </c>
      <c r="S235" s="8" t="s">
        <v>79</v>
      </c>
      <c r="T235" s="8" t="s">
        <v>106</v>
      </c>
      <c r="U235" s="8" t="s">
        <v>87</v>
      </c>
      <c r="V235" s="8" t="s">
        <v>112</v>
      </c>
      <c r="W235" s="9">
        <v>1</v>
      </c>
      <c r="X235" s="9">
        <v>2</v>
      </c>
      <c r="Y235" s="9">
        <v>2</v>
      </c>
      <c r="Z235" s="9">
        <v>1</v>
      </c>
      <c r="AA235" s="9">
        <v>1</v>
      </c>
      <c r="AB235" s="9">
        <v>1</v>
      </c>
      <c r="AC235" s="9">
        <v>1</v>
      </c>
      <c r="AD235" s="9">
        <v>2</v>
      </c>
      <c r="AE235" s="9">
        <v>2</v>
      </c>
      <c r="AF235" s="9">
        <v>1</v>
      </c>
      <c r="AG235" s="9">
        <v>1</v>
      </c>
      <c r="AH235" s="9">
        <v>1</v>
      </c>
      <c r="AI235" s="9">
        <v>1</v>
      </c>
      <c r="AJ235" s="9">
        <v>0</v>
      </c>
      <c r="AK235" s="9">
        <v>1</v>
      </c>
      <c r="AL235" s="10">
        <v>1</v>
      </c>
      <c r="AM235" s="10">
        <v>2</v>
      </c>
      <c r="AN235" s="10">
        <v>1</v>
      </c>
      <c r="AO235" s="10">
        <v>0</v>
      </c>
      <c r="AP235" s="10">
        <v>0</v>
      </c>
      <c r="AQ235" s="10">
        <v>0</v>
      </c>
      <c r="AR235" s="10">
        <v>0</v>
      </c>
      <c r="AS235" s="11">
        <v>1</v>
      </c>
      <c r="AT235" s="11">
        <v>1</v>
      </c>
      <c r="AU235" s="11">
        <v>1</v>
      </c>
      <c r="AV235" s="11">
        <v>1</v>
      </c>
      <c r="AW235" s="11">
        <v>1</v>
      </c>
      <c r="AX235" s="11">
        <v>2</v>
      </c>
      <c r="AY235" s="7">
        <v>1</v>
      </c>
      <c r="AZ235" s="7">
        <v>2</v>
      </c>
      <c r="BA235" s="7">
        <v>2</v>
      </c>
      <c r="BB235" s="7">
        <v>2</v>
      </c>
      <c r="BC235" s="7">
        <v>2</v>
      </c>
      <c r="BD235" s="7">
        <v>1</v>
      </c>
      <c r="BE235" s="7">
        <v>0</v>
      </c>
      <c r="BF235" s="7">
        <v>0</v>
      </c>
      <c r="BG235" s="12">
        <f>SUM(data__22[[#This Row],[N1]:[N4]],data__22[[#This Row],[N10]:[N13]],data__22[[#This Row],[N16]:[N18]])/11</f>
        <v>1.2727272727272727</v>
      </c>
      <c r="BH235" s="13">
        <f>SUM(data__22[[#This Row],[N8]:[N9]],data__22[[#This Row],[N23]:[N25]])/5</f>
        <v>1.4</v>
      </c>
      <c r="BI235" s="12">
        <f>SUM(data__22[[#This Row],[N5]:[N7]])/3</f>
        <v>1</v>
      </c>
      <c r="BJ235" s="12">
        <f>SUM(data__22[[#This Row],[N14]:[N15]],data__22[[#This Row],[N19]:[N22]],data__22[[#This Row],[N26]:[N28]])/9</f>
        <v>0.55555555555555558</v>
      </c>
      <c r="BK235" s="12">
        <f>SUM(data__22[[#This Row],[N29]:[N33]])/5</f>
        <v>1.8</v>
      </c>
      <c r="BL235" s="12">
        <f>SUM(data__22[[#This Row],[N34]:[N36]])/3</f>
        <v>0.33333333333333331</v>
      </c>
    </row>
    <row r="236" spans="1:64" x14ac:dyDescent="0.3">
      <c r="A236" s="7">
        <v>23</v>
      </c>
      <c r="B236" s="7" t="s">
        <v>70</v>
      </c>
      <c r="C236" s="7" t="s">
        <v>113</v>
      </c>
      <c r="D236" s="7" t="s">
        <v>72</v>
      </c>
      <c r="E236" s="7" t="s">
        <v>108</v>
      </c>
      <c r="F236" s="7" t="s">
        <v>136</v>
      </c>
      <c r="G236" s="7" t="s">
        <v>439</v>
      </c>
      <c r="H236" s="7" t="s">
        <v>98</v>
      </c>
      <c r="I236" s="7" t="s">
        <v>76</v>
      </c>
      <c r="J236" s="7" t="s">
        <v>77</v>
      </c>
      <c r="K236" s="7" t="s">
        <v>122</v>
      </c>
      <c r="L236" s="8" t="s">
        <v>79</v>
      </c>
      <c r="M236" s="8" t="s">
        <v>80</v>
      </c>
      <c r="N236" s="8" t="s">
        <v>79</v>
      </c>
      <c r="O236" s="8" t="s">
        <v>138</v>
      </c>
      <c r="P236" s="8" t="s">
        <v>79</v>
      </c>
      <c r="Q236" s="8" t="s">
        <v>118</v>
      </c>
      <c r="R236" s="8" t="s">
        <v>79</v>
      </c>
      <c r="S236" s="8" t="s">
        <v>79</v>
      </c>
      <c r="T236" s="8" t="s">
        <v>106</v>
      </c>
      <c r="U236" s="8" t="s">
        <v>87</v>
      </c>
      <c r="V236" s="8" t="s">
        <v>112</v>
      </c>
      <c r="W236" s="9">
        <v>1</v>
      </c>
      <c r="X236" s="9">
        <v>2</v>
      </c>
      <c r="Y236" s="9">
        <v>2</v>
      </c>
      <c r="Z236" s="9">
        <v>2</v>
      </c>
      <c r="AA236" s="9">
        <v>1</v>
      </c>
      <c r="AB236" s="9">
        <v>1</v>
      </c>
      <c r="AC236" s="9">
        <v>2</v>
      </c>
      <c r="AD236" s="9">
        <v>2</v>
      </c>
      <c r="AE236" s="9">
        <v>2</v>
      </c>
      <c r="AF236" s="9">
        <v>2</v>
      </c>
      <c r="AG236" s="9">
        <v>1</v>
      </c>
      <c r="AH236" s="9">
        <v>1</v>
      </c>
      <c r="AI236" s="9">
        <v>1</v>
      </c>
      <c r="AJ236" s="9">
        <v>2</v>
      </c>
      <c r="AK236" s="9">
        <v>2</v>
      </c>
      <c r="AL236" s="10">
        <v>2</v>
      </c>
      <c r="AM236" s="10">
        <v>2</v>
      </c>
      <c r="AN236" s="10">
        <v>1</v>
      </c>
      <c r="AO236" s="10">
        <v>1</v>
      </c>
      <c r="AP236" s="10">
        <v>2</v>
      </c>
      <c r="AQ236" s="10">
        <v>2</v>
      </c>
      <c r="AR236" s="10">
        <v>2</v>
      </c>
      <c r="AS236" s="11">
        <v>1</v>
      </c>
      <c r="AT236" s="11">
        <v>1</v>
      </c>
      <c r="AU236" s="11">
        <v>1</v>
      </c>
      <c r="AV236" s="11">
        <v>2</v>
      </c>
      <c r="AW236" s="11">
        <v>1</v>
      </c>
      <c r="AX236" s="11">
        <v>2</v>
      </c>
      <c r="AY236" s="7">
        <v>1</v>
      </c>
      <c r="AZ236" s="7">
        <v>2</v>
      </c>
      <c r="BA236" s="7">
        <v>2</v>
      </c>
      <c r="BB236" s="7">
        <v>1</v>
      </c>
      <c r="BC236" s="7">
        <v>1</v>
      </c>
      <c r="BD236" s="7">
        <v>1</v>
      </c>
      <c r="BE236" s="7">
        <v>1</v>
      </c>
      <c r="BF236" s="7">
        <v>2</v>
      </c>
      <c r="BG236" s="12">
        <f>SUM(data__22[[#This Row],[N1]:[N4]],data__22[[#This Row],[N10]:[N13]],data__22[[#This Row],[N16]:[N18]])/11</f>
        <v>1.5454545454545454</v>
      </c>
      <c r="BH236" s="13">
        <f>SUM(data__22[[#This Row],[N8]:[N9]],data__22[[#This Row],[N23]:[N25]])/5</f>
        <v>1.4</v>
      </c>
      <c r="BI236" s="12">
        <f>SUM(data__22[[#This Row],[N5]:[N7]])/3</f>
        <v>1.3333333333333333</v>
      </c>
      <c r="BJ236" s="12">
        <f>SUM(data__22[[#This Row],[N14]:[N15]],data__22[[#This Row],[N19]:[N22]],data__22[[#This Row],[N26]:[N28]])/9</f>
        <v>1.7777777777777777</v>
      </c>
      <c r="BK236" s="12">
        <f>SUM(data__22[[#This Row],[N29]:[N33]])/5</f>
        <v>1.4</v>
      </c>
      <c r="BL236" s="12">
        <f>SUM(data__22[[#This Row],[N34]:[N36]])/3</f>
        <v>1.3333333333333333</v>
      </c>
    </row>
    <row r="237" spans="1:64" x14ac:dyDescent="0.3">
      <c r="A237" s="7">
        <v>23</v>
      </c>
      <c r="B237" s="7" t="s">
        <v>70</v>
      </c>
      <c r="C237" s="7" t="s">
        <v>96</v>
      </c>
      <c r="D237" s="7" t="s">
        <v>72</v>
      </c>
      <c r="E237" s="7" t="s">
        <v>108</v>
      </c>
      <c r="F237" s="7" t="s">
        <v>100</v>
      </c>
      <c r="G237" s="7" t="s">
        <v>440</v>
      </c>
      <c r="H237" s="7" t="s">
        <v>100</v>
      </c>
      <c r="I237" s="7" t="s">
        <v>76</v>
      </c>
      <c r="J237" s="7" t="s">
        <v>77</v>
      </c>
      <c r="K237" s="7" t="s">
        <v>122</v>
      </c>
      <c r="L237" s="8" t="s">
        <v>79</v>
      </c>
      <c r="M237" s="8" t="s">
        <v>80</v>
      </c>
      <c r="N237" s="8" t="s">
        <v>79</v>
      </c>
      <c r="O237" s="8" t="s">
        <v>138</v>
      </c>
      <c r="P237" s="8" t="s">
        <v>79</v>
      </c>
      <c r="Q237" s="8" t="s">
        <v>83</v>
      </c>
      <c r="R237" s="8" t="s">
        <v>79</v>
      </c>
      <c r="S237" s="8" t="s">
        <v>79</v>
      </c>
      <c r="T237" s="8" t="s">
        <v>86</v>
      </c>
      <c r="U237" s="8" t="s">
        <v>120</v>
      </c>
      <c r="V237" s="8" t="s">
        <v>127</v>
      </c>
      <c r="W237" s="9">
        <v>2</v>
      </c>
      <c r="X237" s="9">
        <v>2</v>
      </c>
      <c r="Y237" s="9">
        <v>2</v>
      </c>
      <c r="Z237" s="9">
        <v>2</v>
      </c>
      <c r="AA237" s="9">
        <v>3</v>
      </c>
      <c r="AB237" s="9">
        <v>3</v>
      </c>
      <c r="AC237" s="9">
        <v>3</v>
      </c>
      <c r="AD237" s="9">
        <v>3</v>
      </c>
      <c r="AE237" s="9">
        <v>2</v>
      </c>
      <c r="AF237" s="9">
        <v>2</v>
      </c>
      <c r="AG237" s="9">
        <v>2</v>
      </c>
      <c r="AH237" s="9">
        <v>2</v>
      </c>
      <c r="AI237" s="9">
        <v>2</v>
      </c>
      <c r="AJ237" s="9">
        <v>2</v>
      </c>
      <c r="AK237" s="9">
        <v>3</v>
      </c>
      <c r="AL237" s="10">
        <v>2</v>
      </c>
      <c r="AM237" s="10">
        <v>0</v>
      </c>
      <c r="AN237" s="10">
        <v>0</v>
      </c>
      <c r="AO237" s="10">
        <v>2</v>
      </c>
      <c r="AP237" s="10">
        <v>2</v>
      </c>
      <c r="AQ237" s="10">
        <v>1</v>
      </c>
      <c r="AR237" s="10">
        <v>1</v>
      </c>
      <c r="AS237" s="11">
        <v>1</v>
      </c>
      <c r="AT237" s="11">
        <v>2</v>
      </c>
      <c r="AU237" s="11">
        <v>2</v>
      </c>
      <c r="AV237" s="11">
        <v>2</v>
      </c>
      <c r="AW237" s="11">
        <v>1</v>
      </c>
      <c r="AX237" s="11">
        <v>1</v>
      </c>
      <c r="AY237" s="7">
        <v>1</v>
      </c>
      <c r="AZ237" s="7">
        <v>2</v>
      </c>
      <c r="BA237" s="7">
        <v>2</v>
      </c>
      <c r="BB237" s="7">
        <v>1</v>
      </c>
      <c r="BC237" s="7">
        <v>1</v>
      </c>
      <c r="BD237" s="7">
        <v>1</v>
      </c>
      <c r="BE237" s="7">
        <v>1</v>
      </c>
      <c r="BF237" s="7">
        <v>2</v>
      </c>
      <c r="BG237" s="12">
        <f>SUM(data__22[[#This Row],[N1]:[N4]],data__22[[#This Row],[N10]:[N13]],data__22[[#This Row],[N16]:[N18]])/11</f>
        <v>1.6363636363636365</v>
      </c>
      <c r="BH237" s="13">
        <f>SUM(data__22[[#This Row],[N8]:[N9]],data__22[[#This Row],[N23]:[N25]])/5</f>
        <v>2</v>
      </c>
      <c r="BI237" s="12">
        <f>SUM(data__22[[#This Row],[N5]:[N7]])/3</f>
        <v>3</v>
      </c>
      <c r="BJ237" s="12">
        <f>SUM(data__22[[#This Row],[N14]:[N15]],data__22[[#This Row],[N19]:[N22]],data__22[[#This Row],[N26]:[N28]])/9</f>
        <v>1.6666666666666667</v>
      </c>
      <c r="BK237" s="12">
        <f>SUM(data__22[[#This Row],[N29]:[N33]])/5</f>
        <v>1.4</v>
      </c>
      <c r="BL237" s="12">
        <f>SUM(data__22[[#This Row],[N34]:[N36]])/3</f>
        <v>1.3333333333333333</v>
      </c>
    </row>
    <row r="238" spans="1:64" x14ac:dyDescent="0.3">
      <c r="A238" s="7">
        <v>24</v>
      </c>
      <c r="B238" s="7" t="s">
        <v>128</v>
      </c>
      <c r="C238" s="7" t="s">
        <v>113</v>
      </c>
      <c r="D238" s="7" t="s">
        <v>149</v>
      </c>
      <c r="E238" s="7" t="s">
        <v>73</v>
      </c>
      <c r="F238" s="7" t="s">
        <v>98</v>
      </c>
      <c r="G238" s="7" t="s">
        <v>439</v>
      </c>
      <c r="H238" s="7" t="s">
        <v>98</v>
      </c>
      <c r="I238" s="7" t="s">
        <v>166</v>
      </c>
      <c r="J238" s="7" t="s">
        <v>77</v>
      </c>
      <c r="K238" s="7" t="s">
        <v>122</v>
      </c>
      <c r="L238" s="8" t="s">
        <v>79</v>
      </c>
      <c r="M238" s="8" t="s">
        <v>80</v>
      </c>
      <c r="N238" s="8" t="s">
        <v>79</v>
      </c>
      <c r="O238" s="8" t="s">
        <v>138</v>
      </c>
      <c r="P238" s="8" t="s">
        <v>79</v>
      </c>
      <c r="Q238" s="8" t="s">
        <v>118</v>
      </c>
      <c r="R238" s="8" t="s">
        <v>79</v>
      </c>
      <c r="S238" s="8" t="s">
        <v>79</v>
      </c>
      <c r="T238" s="8" t="s">
        <v>86</v>
      </c>
      <c r="U238" s="8" t="s">
        <v>141</v>
      </c>
      <c r="V238" s="8" t="s">
        <v>127</v>
      </c>
      <c r="W238" s="9">
        <v>1</v>
      </c>
      <c r="X238" s="9">
        <v>2</v>
      </c>
      <c r="Y238" s="9">
        <v>2</v>
      </c>
      <c r="Z238" s="9">
        <v>1</v>
      </c>
      <c r="AA238" s="9">
        <v>2</v>
      </c>
      <c r="AB238" s="9">
        <v>2</v>
      </c>
      <c r="AC238" s="9">
        <v>2</v>
      </c>
      <c r="AD238" s="9">
        <v>2</v>
      </c>
      <c r="AE238" s="9">
        <v>1</v>
      </c>
      <c r="AF238" s="9">
        <v>1</v>
      </c>
      <c r="AG238" s="9">
        <v>1</v>
      </c>
      <c r="AH238" s="9">
        <v>2</v>
      </c>
      <c r="AI238" s="9">
        <v>2</v>
      </c>
      <c r="AJ238" s="9">
        <v>2</v>
      </c>
      <c r="AK238" s="9">
        <v>1</v>
      </c>
      <c r="AL238" s="10">
        <v>1</v>
      </c>
      <c r="AM238" s="10">
        <v>2</v>
      </c>
      <c r="AN238" s="10">
        <v>2</v>
      </c>
      <c r="AO238" s="10">
        <v>1</v>
      </c>
      <c r="AP238" s="10">
        <v>1</v>
      </c>
      <c r="AQ238" s="10">
        <v>1</v>
      </c>
      <c r="AR238" s="10">
        <v>1</v>
      </c>
      <c r="AS238" s="11">
        <v>1</v>
      </c>
      <c r="AT238" s="11">
        <v>2</v>
      </c>
      <c r="AU238" s="11">
        <v>1</v>
      </c>
      <c r="AV238" s="11">
        <v>1</v>
      </c>
      <c r="AW238" s="11">
        <v>1</v>
      </c>
      <c r="AX238" s="11">
        <v>1</v>
      </c>
      <c r="AY238" s="7">
        <v>1</v>
      </c>
      <c r="AZ238" s="7">
        <v>2</v>
      </c>
      <c r="BA238" s="7">
        <v>2</v>
      </c>
      <c r="BB238" s="7">
        <v>2</v>
      </c>
      <c r="BC238" s="7">
        <v>2</v>
      </c>
      <c r="BD238" s="7">
        <v>1</v>
      </c>
      <c r="BE238" s="7">
        <v>1</v>
      </c>
      <c r="BF238" s="7">
        <v>1</v>
      </c>
      <c r="BG238" s="12">
        <f>SUM(data__22[[#This Row],[N1]:[N4]],data__22[[#This Row],[N10]:[N13]],data__22[[#This Row],[N16]:[N18]])/11</f>
        <v>1.5454545454545454</v>
      </c>
      <c r="BH238" s="13">
        <f>SUM(data__22[[#This Row],[N8]:[N9]],data__22[[#This Row],[N23]:[N25]])/5</f>
        <v>1.4</v>
      </c>
      <c r="BI238" s="12">
        <f>SUM(data__22[[#This Row],[N5]:[N7]])/3</f>
        <v>2</v>
      </c>
      <c r="BJ238" s="12">
        <f>SUM(data__22[[#This Row],[N14]:[N15]],data__22[[#This Row],[N19]:[N22]],data__22[[#This Row],[N26]:[N28]])/9</f>
        <v>1.1111111111111112</v>
      </c>
      <c r="BK238" s="12">
        <f>SUM(data__22[[#This Row],[N29]:[N33]])/5</f>
        <v>1.8</v>
      </c>
      <c r="BL238" s="12">
        <f>SUM(data__22[[#This Row],[N34]:[N36]])/3</f>
        <v>1</v>
      </c>
    </row>
    <row r="239" spans="1:64" x14ac:dyDescent="0.3">
      <c r="A239" s="7">
        <v>23</v>
      </c>
      <c r="B239" s="7" t="s">
        <v>70</v>
      </c>
      <c r="C239" s="7" t="s">
        <v>113</v>
      </c>
      <c r="D239" s="7" t="s">
        <v>72</v>
      </c>
      <c r="E239" s="7" t="s">
        <v>73</v>
      </c>
      <c r="F239" s="7" t="s">
        <v>100</v>
      </c>
      <c r="G239" s="7" t="s">
        <v>439</v>
      </c>
      <c r="H239" s="7" t="s">
        <v>100</v>
      </c>
      <c r="I239" s="7" t="s">
        <v>76</v>
      </c>
      <c r="J239" s="7" t="s">
        <v>101</v>
      </c>
      <c r="K239" s="7" t="s">
        <v>122</v>
      </c>
      <c r="L239" s="8" t="s">
        <v>79</v>
      </c>
      <c r="M239" s="8" t="s">
        <v>80</v>
      </c>
      <c r="N239" s="8" t="s">
        <v>79</v>
      </c>
      <c r="O239" s="8" t="s">
        <v>138</v>
      </c>
      <c r="P239" s="8" t="s">
        <v>79</v>
      </c>
      <c r="Q239" s="8" t="s">
        <v>83</v>
      </c>
      <c r="R239" s="8" t="s">
        <v>79</v>
      </c>
      <c r="S239" s="8" t="s">
        <v>79</v>
      </c>
      <c r="T239" s="8" t="s">
        <v>86</v>
      </c>
      <c r="U239" s="8" t="s">
        <v>120</v>
      </c>
      <c r="V239" s="8" t="s">
        <v>112</v>
      </c>
      <c r="W239" s="9">
        <v>1</v>
      </c>
      <c r="X239" s="9">
        <v>2</v>
      </c>
      <c r="Y239" s="9">
        <v>2</v>
      </c>
      <c r="Z239" s="9">
        <v>2</v>
      </c>
      <c r="AA239" s="9">
        <v>1</v>
      </c>
      <c r="AB239" s="9">
        <v>1</v>
      </c>
      <c r="AC239" s="9">
        <v>1</v>
      </c>
      <c r="AD239" s="9">
        <v>1</v>
      </c>
      <c r="AE239" s="9">
        <v>1</v>
      </c>
      <c r="AF239" s="9">
        <v>1</v>
      </c>
      <c r="AG239" s="9">
        <v>1</v>
      </c>
      <c r="AH239" s="9">
        <v>1</v>
      </c>
      <c r="AI239" s="9">
        <v>2</v>
      </c>
      <c r="AJ239" s="9">
        <v>2</v>
      </c>
      <c r="AK239" s="9">
        <v>2</v>
      </c>
      <c r="AL239" s="10">
        <v>1</v>
      </c>
      <c r="AM239" s="10">
        <v>1</v>
      </c>
      <c r="AN239" s="10">
        <v>1</v>
      </c>
      <c r="AO239" s="10">
        <v>2</v>
      </c>
      <c r="AP239" s="10">
        <v>1</v>
      </c>
      <c r="AQ239" s="10">
        <v>2</v>
      </c>
      <c r="AR239" s="10">
        <v>1</v>
      </c>
      <c r="AS239" s="11">
        <v>1</v>
      </c>
      <c r="AT239" s="11">
        <v>2</v>
      </c>
      <c r="AU239" s="11">
        <v>2</v>
      </c>
      <c r="AV239" s="11">
        <v>2</v>
      </c>
      <c r="AW239" s="11">
        <v>2</v>
      </c>
      <c r="AX239" s="11">
        <v>1</v>
      </c>
      <c r="AY239" s="7">
        <v>1</v>
      </c>
      <c r="AZ239" s="7">
        <v>2</v>
      </c>
      <c r="BA239" s="7">
        <v>2</v>
      </c>
      <c r="BB239" s="7">
        <v>1</v>
      </c>
      <c r="BC239" s="7">
        <v>1</v>
      </c>
      <c r="BD239" s="7">
        <v>1</v>
      </c>
      <c r="BE239" s="7">
        <v>2</v>
      </c>
      <c r="BF239" s="7">
        <v>1</v>
      </c>
      <c r="BG239" s="12">
        <f>SUM(data__22[[#This Row],[N1]:[N4]],data__22[[#This Row],[N10]:[N13]],data__22[[#This Row],[N16]:[N18]])/11</f>
        <v>1.3636363636363635</v>
      </c>
      <c r="BH239" s="13">
        <f>SUM(data__22[[#This Row],[N8]:[N9]],data__22[[#This Row],[N23]:[N25]])/5</f>
        <v>1.4</v>
      </c>
      <c r="BI239" s="12">
        <f>SUM(data__22[[#This Row],[N5]:[N7]])/3</f>
        <v>1</v>
      </c>
      <c r="BJ239" s="12">
        <f>SUM(data__22[[#This Row],[N14]:[N15]],data__22[[#This Row],[N19]:[N22]],data__22[[#This Row],[N26]:[N28]])/9</f>
        <v>1.6666666666666667</v>
      </c>
      <c r="BK239" s="12">
        <f>SUM(data__22[[#This Row],[N29]:[N33]])/5</f>
        <v>1.4</v>
      </c>
      <c r="BL239" s="12">
        <f>SUM(data__22[[#This Row],[N34]:[N36]])/3</f>
        <v>1.3333333333333333</v>
      </c>
    </row>
    <row r="240" spans="1:64" x14ac:dyDescent="0.3">
      <c r="A240" s="7">
        <v>23</v>
      </c>
      <c r="B240" s="7" t="s">
        <v>162</v>
      </c>
      <c r="C240" s="7" t="s">
        <v>113</v>
      </c>
      <c r="D240" s="7" t="s">
        <v>149</v>
      </c>
      <c r="E240" s="7" t="s">
        <v>108</v>
      </c>
      <c r="F240" s="7" t="s">
        <v>98</v>
      </c>
      <c r="G240" s="7" t="s">
        <v>439</v>
      </c>
      <c r="H240" s="7" t="s">
        <v>98</v>
      </c>
      <c r="I240" s="7" t="s">
        <v>76</v>
      </c>
      <c r="J240" s="7" t="s">
        <v>77</v>
      </c>
      <c r="K240" s="7" t="s">
        <v>122</v>
      </c>
      <c r="L240" s="8" t="s">
        <v>79</v>
      </c>
      <c r="M240" s="8" t="s">
        <v>80</v>
      </c>
      <c r="N240" s="8" t="s">
        <v>79</v>
      </c>
      <c r="O240" s="8" t="s">
        <v>138</v>
      </c>
      <c r="P240" s="8" t="s">
        <v>79</v>
      </c>
      <c r="Q240" s="8" t="s">
        <v>83</v>
      </c>
      <c r="R240" s="8" t="s">
        <v>79</v>
      </c>
      <c r="S240" s="8" t="s">
        <v>79</v>
      </c>
      <c r="T240" s="8" t="s">
        <v>86</v>
      </c>
      <c r="U240" s="8" t="s">
        <v>87</v>
      </c>
      <c r="V240" s="8" t="s">
        <v>127</v>
      </c>
      <c r="W240" s="9">
        <v>2</v>
      </c>
      <c r="X240" s="9">
        <v>1</v>
      </c>
      <c r="Y240" s="9">
        <v>2</v>
      </c>
      <c r="Z240" s="9">
        <v>1</v>
      </c>
      <c r="AA240" s="9">
        <v>1</v>
      </c>
      <c r="AB240" s="9">
        <v>1</v>
      </c>
      <c r="AC240" s="9">
        <v>1</v>
      </c>
      <c r="AD240" s="9">
        <v>2</v>
      </c>
      <c r="AE240" s="9">
        <v>2</v>
      </c>
      <c r="AF240" s="9">
        <v>2</v>
      </c>
      <c r="AG240" s="9">
        <v>1</v>
      </c>
      <c r="AH240" s="9">
        <v>1</v>
      </c>
      <c r="AI240" s="9">
        <v>2</v>
      </c>
      <c r="AJ240" s="9">
        <v>2</v>
      </c>
      <c r="AK240" s="9">
        <v>1</v>
      </c>
      <c r="AL240" s="10">
        <v>1</v>
      </c>
      <c r="AM240" s="10">
        <v>2</v>
      </c>
      <c r="AN240" s="10">
        <v>2</v>
      </c>
      <c r="AO240" s="10">
        <v>1</v>
      </c>
      <c r="AP240" s="10">
        <v>2</v>
      </c>
      <c r="AQ240" s="10">
        <v>2</v>
      </c>
      <c r="AR240" s="10">
        <v>1</v>
      </c>
      <c r="AS240" s="11">
        <v>2</v>
      </c>
      <c r="AT240" s="11">
        <v>2</v>
      </c>
      <c r="AU240" s="11">
        <v>1</v>
      </c>
      <c r="AV240" s="11">
        <v>1</v>
      </c>
      <c r="AW240" s="11">
        <v>1</v>
      </c>
      <c r="AX240" s="11">
        <v>1</v>
      </c>
      <c r="AY240" s="7">
        <v>1</v>
      </c>
      <c r="AZ240" s="7">
        <v>1</v>
      </c>
      <c r="BA240" s="7">
        <v>1</v>
      </c>
      <c r="BB240" s="7">
        <v>1</v>
      </c>
      <c r="BC240" s="7"/>
      <c r="BD240" s="7">
        <v>2</v>
      </c>
      <c r="BE240" s="7">
        <v>2</v>
      </c>
      <c r="BF240" s="7">
        <v>2</v>
      </c>
      <c r="BG240" s="12">
        <f>SUM(data__22[[#This Row],[N1]:[N4]],data__22[[#This Row],[N10]:[N13]],data__22[[#This Row],[N16]:[N18]])/11</f>
        <v>1.5454545454545454</v>
      </c>
      <c r="BH240" s="13">
        <f>SUM(data__22[[#This Row],[N8]:[N9]],data__22[[#This Row],[N23]:[N25]])/5</f>
        <v>1.8</v>
      </c>
      <c r="BI240" s="12">
        <f>SUM(data__22[[#This Row],[N5]:[N7]])/3</f>
        <v>1</v>
      </c>
      <c r="BJ240" s="12">
        <f>SUM(data__22[[#This Row],[N14]:[N15]],data__22[[#This Row],[N19]:[N22]],data__22[[#This Row],[N26]:[N28]])/9</f>
        <v>1.3333333333333333</v>
      </c>
      <c r="BK240" s="12">
        <f>SUM(data__22[[#This Row],[N29]:[N33]])/5</f>
        <v>0.8</v>
      </c>
      <c r="BL240" s="12">
        <f>SUM(data__22[[#This Row],[N34]:[N36]])/3</f>
        <v>2</v>
      </c>
    </row>
    <row r="241" spans="1:64" x14ac:dyDescent="0.3">
      <c r="A241" s="7">
        <v>23</v>
      </c>
      <c r="B241" s="7" t="s">
        <v>128</v>
      </c>
      <c r="C241" s="7" t="s">
        <v>113</v>
      </c>
      <c r="D241" s="7" t="s">
        <v>72</v>
      </c>
      <c r="E241" s="7" t="s">
        <v>108</v>
      </c>
      <c r="F241" s="7" t="s">
        <v>98</v>
      </c>
      <c r="G241" s="7" t="s">
        <v>440</v>
      </c>
      <c r="H241" s="7" t="s">
        <v>100</v>
      </c>
      <c r="I241" s="7" t="s">
        <v>76</v>
      </c>
      <c r="J241" s="7" t="s">
        <v>77</v>
      </c>
      <c r="K241" s="7" t="s">
        <v>122</v>
      </c>
      <c r="L241" s="8" t="s">
        <v>79</v>
      </c>
      <c r="M241" s="8" t="s">
        <v>80</v>
      </c>
      <c r="N241" s="8" t="s">
        <v>79</v>
      </c>
      <c r="O241" s="8" t="s">
        <v>117</v>
      </c>
      <c r="P241" s="8" t="s">
        <v>79</v>
      </c>
      <c r="Q241" s="8" t="s">
        <v>83</v>
      </c>
      <c r="R241" s="8" t="s">
        <v>79</v>
      </c>
      <c r="S241" s="8" t="s">
        <v>79</v>
      </c>
      <c r="T241" s="8" t="s">
        <v>86</v>
      </c>
      <c r="U241" s="8" t="s">
        <v>87</v>
      </c>
      <c r="V241" s="8" t="s">
        <v>112</v>
      </c>
      <c r="W241" s="9">
        <v>1</v>
      </c>
      <c r="X241" s="9">
        <v>2</v>
      </c>
      <c r="Y241" s="9">
        <v>2</v>
      </c>
      <c r="Z241" s="9">
        <v>2</v>
      </c>
      <c r="AA241" s="9">
        <v>2</v>
      </c>
      <c r="AB241" s="9">
        <v>1</v>
      </c>
      <c r="AC241" s="9">
        <v>2</v>
      </c>
      <c r="AD241" s="9">
        <v>2</v>
      </c>
      <c r="AE241" s="9">
        <v>2</v>
      </c>
      <c r="AF241" s="9">
        <v>2</v>
      </c>
      <c r="AG241" s="9">
        <v>2</v>
      </c>
      <c r="AH241" s="9">
        <v>1</v>
      </c>
      <c r="AI241" s="9">
        <v>1</v>
      </c>
      <c r="AJ241" s="9">
        <v>2</v>
      </c>
      <c r="AK241" s="9">
        <v>2</v>
      </c>
      <c r="AL241" s="10">
        <v>2</v>
      </c>
      <c r="AM241" s="10">
        <v>2</v>
      </c>
      <c r="AN241" s="10">
        <v>2</v>
      </c>
      <c r="AO241" s="10">
        <v>2</v>
      </c>
      <c r="AP241" s="10">
        <v>2</v>
      </c>
      <c r="AQ241" s="10">
        <v>2</v>
      </c>
      <c r="AR241" s="10">
        <v>2</v>
      </c>
      <c r="AS241" s="11">
        <v>1</v>
      </c>
      <c r="AT241" s="11">
        <v>2</v>
      </c>
      <c r="AU241" s="11">
        <v>2</v>
      </c>
      <c r="AV241" s="11">
        <v>1</v>
      </c>
      <c r="AW241" s="11">
        <v>2</v>
      </c>
      <c r="AX241" s="11">
        <v>2</v>
      </c>
      <c r="AY241" s="7">
        <v>1</v>
      </c>
      <c r="AZ241" s="7">
        <v>1</v>
      </c>
      <c r="BA241" s="7">
        <v>2</v>
      </c>
      <c r="BB241" s="7">
        <v>2</v>
      </c>
      <c r="BC241" s="7">
        <v>1</v>
      </c>
      <c r="BD241" s="7">
        <v>1</v>
      </c>
      <c r="BE241" s="7">
        <v>1</v>
      </c>
      <c r="BF241" s="7">
        <v>1</v>
      </c>
      <c r="BG241" s="12">
        <f>SUM(data__22[[#This Row],[N1]:[N4]],data__22[[#This Row],[N10]:[N13]],data__22[[#This Row],[N16]:[N18]])/11</f>
        <v>1.7272727272727273</v>
      </c>
      <c r="BH241" s="13">
        <f>SUM(data__22[[#This Row],[N8]:[N9]],data__22[[#This Row],[N23]:[N25]])/5</f>
        <v>1.8</v>
      </c>
      <c r="BI241" s="12">
        <f>SUM(data__22[[#This Row],[N5]:[N7]])/3</f>
        <v>1.6666666666666667</v>
      </c>
      <c r="BJ241" s="12">
        <f>SUM(data__22[[#This Row],[N14]:[N15]],data__22[[#This Row],[N19]:[N22]],data__22[[#This Row],[N26]:[N28]])/9</f>
        <v>1.8888888888888888</v>
      </c>
      <c r="BK241" s="12">
        <f>SUM(data__22[[#This Row],[N29]:[N33]])/5</f>
        <v>1.4</v>
      </c>
      <c r="BL241" s="12">
        <f>SUM(data__22[[#This Row],[N34]:[N36]])/3</f>
        <v>1</v>
      </c>
    </row>
    <row r="242" spans="1:64" x14ac:dyDescent="0.3">
      <c r="A242" s="7">
        <v>23</v>
      </c>
      <c r="B242" s="7" t="s">
        <v>70</v>
      </c>
      <c r="C242" s="7" t="s">
        <v>113</v>
      </c>
      <c r="D242" s="7" t="s">
        <v>97</v>
      </c>
      <c r="E242" s="7" t="s">
        <v>73</v>
      </c>
      <c r="F242" s="7" t="s">
        <v>98</v>
      </c>
      <c r="G242" s="7" t="s">
        <v>166</v>
      </c>
      <c r="H242" s="7" t="s">
        <v>98</v>
      </c>
      <c r="I242" s="7" t="s">
        <v>439</v>
      </c>
      <c r="J242" s="7" t="s">
        <v>77</v>
      </c>
      <c r="K242" s="7" t="s">
        <v>122</v>
      </c>
      <c r="L242" s="8" t="s">
        <v>79</v>
      </c>
      <c r="M242" s="8" t="s">
        <v>80</v>
      </c>
      <c r="N242" s="8" t="s">
        <v>79</v>
      </c>
      <c r="O242" s="8" t="s">
        <v>109</v>
      </c>
      <c r="P242" s="8" t="s">
        <v>79</v>
      </c>
      <c r="Q242" s="8" t="s">
        <v>83</v>
      </c>
      <c r="R242" s="8" t="s">
        <v>79</v>
      </c>
      <c r="S242" s="8" t="s">
        <v>79</v>
      </c>
      <c r="T242" s="8" t="s">
        <v>86</v>
      </c>
      <c r="U242" s="8" t="s">
        <v>87</v>
      </c>
      <c r="V242" s="8" t="s">
        <v>112</v>
      </c>
      <c r="W242" s="9">
        <v>2</v>
      </c>
      <c r="X242" s="9">
        <v>1</v>
      </c>
      <c r="Y242" s="9">
        <v>1</v>
      </c>
      <c r="Z242" s="9">
        <v>1</v>
      </c>
      <c r="AA242" s="9">
        <v>2</v>
      </c>
      <c r="AB242" s="9">
        <v>2</v>
      </c>
      <c r="AC242" s="9">
        <v>3</v>
      </c>
      <c r="AD242" s="9">
        <v>3</v>
      </c>
      <c r="AE242" s="9">
        <v>3</v>
      </c>
      <c r="AF242" s="9">
        <v>1</v>
      </c>
      <c r="AG242" s="9">
        <v>1</v>
      </c>
      <c r="AH242" s="9">
        <v>1</v>
      </c>
      <c r="AI242" s="9">
        <v>2</v>
      </c>
      <c r="AJ242" s="9">
        <v>2</v>
      </c>
      <c r="AK242" s="9">
        <v>2</v>
      </c>
      <c r="AL242" s="10">
        <v>1</v>
      </c>
      <c r="AM242" s="10">
        <v>2</v>
      </c>
      <c r="AN242" s="10">
        <v>2</v>
      </c>
      <c r="AO242" s="10">
        <v>2</v>
      </c>
      <c r="AP242" s="10">
        <v>1</v>
      </c>
      <c r="AQ242" s="10">
        <v>1</v>
      </c>
      <c r="AR242" s="10">
        <v>2</v>
      </c>
      <c r="AS242" s="11">
        <v>1</v>
      </c>
      <c r="AT242" s="11">
        <v>0</v>
      </c>
      <c r="AU242" s="11">
        <v>0</v>
      </c>
      <c r="AV242" s="11">
        <v>0</v>
      </c>
      <c r="AW242" s="11">
        <v>1</v>
      </c>
      <c r="AX242" s="11">
        <v>1</v>
      </c>
      <c r="AY242" s="7">
        <v>1</v>
      </c>
      <c r="AZ242" s="7">
        <v>1</v>
      </c>
      <c r="BA242" s="7">
        <v>2</v>
      </c>
      <c r="BB242" s="7">
        <v>2</v>
      </c>
      <c r="BC242" s="7">
        <v>2</v>
      </c>
      <c r="BD242" s="7">
        <v>1</v>
      </c>
      <c r="BE242" s="7">
        <v>1</v>
      </c>
      <c r="BF242" s="7">
        <v>1</v>
      </c>
      <c r="BG242" s="12">
        <f>SUM(data__22[[#This Row],[N1]:[N4]],data__22[[#This Row],[N10]:[N13]],data__22[[#This Row],[N16]:[N18]])/11</f>
        <v>1.3636363636363635</v>
      </c>
      <c r="BH242" s="13">
        <f>SUM(data__22[[#This Row],[N8]:[N9]],data__22[[#This Row],[N23]:[N25]])/5</f>
        <v>1.4</v>
      </c>
      <c r="BI242" s="12">
        <f>SUM(data__22[[#This Row],[N5]:[N7]])/3</f>
        <v>2.3333333333333335</v>
      </c>
      <c r="BJ242" s="12">
        <f>SUM(data__22[[#This Row],[N14]:[N15]],data__22[[#This Row],[N19]:[N22]],data__22[[#This Row],[N26]:[N28]])/9</f>
        <v>1.3333333333333333</v>
      </c>
      <c r="BK242" s="12">
        <f>SUM(data__22[[#This Row],[N29]:[N33]])/5</f>
        <v>1.6</v>
      </c>
      <c r="BL242" s="12">
        <f>SUM(data__22[[#This Row],[N34]:[N36]])/3</f>
        <v>1</v>
      </c>
    </row>
    <row r="243" spans="1:64" x14ac:dyDescent="0.3">
      <c r="A243" s="7">
        <v>24</v>
      </c>
      <c r="B243" s="7" t="s">
        <v>128</v>
      </c>
      <c r="C243" s="7" t="s">
        <v>113</v>
      </c>
      <c r="D243" s="7" t="s">
        <v>72</v>
      </c>
      <c r="E243" s="7" t="s">
        <v>108</v>
      </c>
      <c r="F243" s="7" t="s">
        <v>98</v>
      </c>
      <c r="G243" s="7" t="s">
        <v>440</v>
      </c>
      <c r="H243" s="7" t="s">
        <v>100</v>
      </c>
      <c r="I243" s="7" t="s">
        <v>76</v>
      </c>
      <c r="J243" s="7" t="s">
        <v>77</v>
      </c>
      <c r="K243" s="7" t="s">
        <v>122</v>
      </c>
      <c r="L243" s="8" t="s">
        <v>79</v>
      </c>
      <c r="M243" s="8" t="s">
        <v>80</v>
      </c>
      <c r="N243" s="8" t="s">
        <v>79</v>
      </c>
      <c r="O243" s="8" t="s">
        <v>117</v>
      </c>
      <c r="P243" s="8" t="s">
        <v>79</v>
      </c>
      <c r="Q243" s="8" t="s">
        <v>118</v>
      </c>
      <c r="R243" s="8" t="s">
        <v>79</v>
      </c>
      <c r="S243" s="8" t="s">
        <v>79</v>
      </c>
      <c r="T243" s="8" t="s">
        <v>86</v>
      </c>
      <c r="U243" s="8" t="s">
        <v>87</v>
      </c>
      <c r="V243" s="8" t="s">
        <v>127</v>
      </c>
      <c r="W243" s="9">
        <v>1</v>
      </c>
      <c r="X243" s="9">
        <v>2</v>
      </c>
      <c r="Y243" s="9">
        <v>2</v>
      </c>
      <c r="Z243" s="9">
        <v>2</v>
      </c>
      <c r="AA243" s="9">
        <v>1</v>
      </c>
      <c r="AB243" s="9">
        <v>1</v>
      </c>
      <c r="AC243" s="9">
        <v>1</v>
      </c>
      <c r="AD243" s="9">
        <v>1</v>
      </c>
      <c r="AE243" s="9">
        <v>1</v>
      </c>
      <c r="AF243" s="9">
        <v>2</v>
      </c>
      <c r="AG243" s="9">
        <v>1</v>
      </c>
      <c r="AH243" s="9">
        <v>1</v>
      </c>
      <c r="AI243" s="9">
        <v>1</v>
      </c>
      <c r="AJ243" s="9">
        <v>1</v>
      </c>
      <c r="AK243" s="9">
        <v>2</v>
      </c>
      <c r="AL243" s="10">
        <v>1</v>
      </c>
      <c r="AM243" s="10">
        <v>2</v>
      </c>
      <c r="AN243" s="10">
        <v>2</v>
      </c>
      <c r="AO243" s="10">
        <v>1</v>
      </c>
      <c r="AP243" s="10">
        <v>1</v>
      </c>
      <c r="AQ243" s="10">
        <v>2</v>
      </c>
      <c r="AR243" s="10">
        <v>1</v>
      </c>
      <c r="AS243" s="11">
        <v>2</v>
      </c>
      <c r="AT243" s="11">
        <v>1</v>
      </c>
      <c r="AU243" s="11">
        <v>2</v>
      </c>
      <c r="AV243" s="11">
        <v>1</v>
      </c>
      <c r="AW243" s="11">
        <v>1</v>
      </c>
      <c r="AX243" s="11">
        <v>2</v>
      </c>
      <c r="AY243" s="7">
        <v>1</v>
      </c>
      <c r="AZ243" s="7">
        <v>2</v>
      </c>
      <c r="BA243" s="7">
        <v>2</v>
      </c>
      <c r="BB243" s="7">
        <v>1</v>
      </c>
      <c r="BC243" s="7">
        <v>1</v>
      </c>
      <c r="BD243" s="7">
        <v>2</v>
      </c>
      <c r="BE243" s="7">
        <v>1</v>
      </c>
      <c r="BF243" s="7">
        <v>1</v>
      </c>
      <c r="BG243" s="12">
        <f>SUM(data__22[[#This Row],[N1]:[N4]],data__22[[#This Row],[N10]:[N13]],data__22[[#This Row],[N16]:[N18]])/11</f>
        <v>1.5454545454545454</v>
      </c>
      <c r="BH243" s="13">
        <f>SUM(data__22[[#This Row],[N8]:[N9]],data__22[[#This Row],[N23]:[N25]])/5</f>
        <v>1.4</v>
      </c>
      <c r="BI243" s="12">
        <f>SUM(data__22[[#This Row],[N5]:[N7]])/3</f>
        <v>1</v>
      </c>
      <c r="BJ243" s="12">
        <f>SUM(data__22[[#This Row],[N14]:[N15]],data__22[[#This Row],[N19]:[N22]],data__22[[#This Row],[N26]:[N28]])/9</f>
        <v>1.3333333333333333</v>
      </c>
      <c r="BK243" s="12">
        <f>SUM(data__22[[#This Row],[N29]:[N33]])/5</f>
        <v>1.4</v>
      </c>
      <c r="BL243" s="12">
        <f>SUM(data__22[[#This Row],[N34]:[N36]])/3</f>
        <v>1.3333333333333333</v>
      </c>
    </row>
    <row r="244" spans="1:64" x14ac:dyDescent="0.3">
      <c r="A244" s="7">
        <v>22</v>
      </c>
      <c r="B244" s="7" t="s">
        <v>70</v>
      </c>
      <c r="C244" s="7" t="s">
        <v>96</v>
      </c>
      <c r="D244" s="7" t="s">
        <v>72</v>
      </c>
      <c r="E244" s="7" t="s">
        <v>114</v>
      </c>
      <c r="F244" s="7" t="s">
        <v>100</v>
      </c>
      <c r="G244" s="7" t="s">
        <v>440</v>
      </c>
      <c r="H244" s="7" t="s">
        <v>100</v>
      </c>
      <c r="I244" s="7" t="s">
        <v>76</v>
      </c>
      <c r="J244" s="7" t="s">
        <v>77</v>
      </c>
      <c r="K244" s="7" t="s">
        <v>122</v>
      </c>
      <c r="L244" s="8" t="s">
        <v>79</v>
      </c>
      <c r="M244" s="8" t="s">
        <v>80</v>
      </c>
      <c r="N244" s="8" t="s">
        <v>79</v>
      </c>
      <c r="O244" s="8" t="s">
        <v>138</v>
      </c>
      <c r="P244" s="8" t="s">
        <v>79</v>
      </c>
      <c r="Q244" s="8" t="s">
        <v>83</v>
      </c>
      <c r="R244" s="8" t="s">
        <v>79</v>
      </c>
      <c r="S244" s="8" t="s">
        <v>79</v>
      </c>
      <c r="T244" s="8" t="s">
        <v>148</v>
      </c>
      <c r="U244" s="8" t="s">
        <v>120</v>
      </c>
      <c r="V244" s="8" t="s">
        <v>127</v>
      </c>
      <c r="W244" s="9">
        <v>1</v>
      </c>
      <c r="X244" s="9">
        <v>2</v>
      </c>
      <c r="Y244" s="9">
        <v>2</v>
      </c>
      <c r="Z244" s="9">
        <v>1</v>
      </c>
      <c r="AA244" s="9">
        <v>1</v>
      </c>
      <c r="AB244" s="9">
        <v>1</v>
      </c>
      <c r="AC244" s="9">
        <v>1</v>
      </c>
      <c r="AD244" s="9">
        <v>2</v>
      </c>
      <c r="AE244" s="9">
        <v>1</v>
      </c>
      <c r="AF244" s="9">
        <v>1</v>
      </c>
      <c r="AG244" s="9">
        <v>1</v>
      </c>
      <c r="AH244" s="9">
        <v>2</v>
      </c>
      <c r="AI244" s="9">
        <v>2</v>
      </c>
      <c r="AJ244" s="9">
        <v>2</v>
      </c>
      <c r="AK244" s="9">
        <v>2</v>
      </c>
      <c r="AL244" s="10">
        <v>1</v>
      </c>
      <c r="AM244" s="10">
        <v>2</v>
      </c>
      <c r="AN244" s="10">
        <v>2</v>
      </c>
      <c r="AO244" s="10">
        <v>1</v>
      </c>
      <c r="AP244" s="10">
        <v>1</v>
      </c>
      <c r="AQ244" s="10">
        <v>1</v>
      </c>
      <c r="AR244" s="10">
        <v>2</v>
      </c>
      <c r="AS244" s="11">
        <v>2</v>
      </c>
      <c r="AT244" s="11">
        <v>2</v>
      </c>
      <c r="AU244" s="11">
        <v>1</v>
      </c>
      <c r="AV244" s="11">
        <v>1</v>
      </c>
      <c r="AW244" s="11">
        <v>2</v>
      </c>
      <c r="AX244" s="11">
        <v>2</v>
      </c>
      <c r="AY244" s="7">
        <v>1</v>
      </c>
      <c r="AZ244" s="7">
        <v>1</v>
      </c>
      <c r="BA244" s="7">
        <v>2</v>
      </c>
      <c r="BB244" s="7">
        <v>2</v>
      </c>
      <c r="BC244" s="7">
        <v>2</v>
      </c>
      <c r="BD244" s="7">
        <v>2</v>
      </c>
      <c r="BE244" s="7">
        <v>1</v>
      </c>
      <c r="BF244" s="7">
        <v>1</v>
      </c>
      <c r="BG244" s="12">
        <f>SUM(data__22[[#This Row],[N1]:[N4]],data__22[[#This Row],[N10]:[N13]],data__22[[#This Row],[N16]:[N18]])/11</f>
        <v>1.5454545454545454</v>
      </c>
      <c r="BH244" s="13">
        <f>SUM(data__22[[#This Row],[N8]:[N9]],data__22[[#This Row],[N23]:[N25]])/5</f>
        <v>1.6</v>
      </c>
      <c r="BI244" s="12">
        <f>SUM(data__22[[#This Row],[N5]:[N7]])/3</f>
        <v>1</v>
      </c>
      <c r="BJ244" s="12">
        <f>SUM(data__22[[#This Row],[N14]:[N15]],data__22[[#This Row],[N19]:[N22]],data__22[[#This Row],[N26]:[N28]])/9</f>
        <v>1.5555555555555556</v>
      </c>
      <c r="BK244" s="12">
        <f>SUM(data__22[[#This Row],[N29]:[N33]])/5</f>
        <v>1.6</v>
      </c>
      <c r="BL244" s="12">
        <f>SUM(data__22[[#This Row],[N34]:[N36]])/3</f>
        <v>1.3333333333333333</v>
      </c>
    </row>
    <row r="245" spans="1:64" x14ac:dyDescent="0.3">
      <c r="A245" s="7">
        <v>23</v>
      </c>
      <c r="B245" s="7" t="s">
        <v>70</v>
      </c>
      <c r="C245" s="7" t="s">
        <v>96</v>
      </c>
      <c r="D245" s="7" t="s">
        <v>72</v>
      </c>
      <c r="E245" s="7" t="s">
        <v>114</v>
      </c>
      <c r="F245" s="7" t="s">
        <v>74</v>
      </c>
      <c r="G245" s="7" t="s">
        <v>439</v>
      </c>
      <c r="H245" s="7" t="s">
        <v>98</v>
      </c>
      <c r="I245" s="7" t="s">
        <v>76</v>
      </c>
      <c r="J245" s="7" t="s">
        <v>77</v>
      </c>
      <c r="K245" s="7" t="s">
        <v>122</v>
      </c>
      <c r="L245" s="8" t="s">
        <v>79</v>
      </c>
      <c r="M245" s="8" t="s">
        <v>80</v>
      </c>
      <c r="N245" s="8" t="s">
        <v>79</v>
      </c>
      <c r="O245" s="8" t="s">
        <v>138</v>
      </c>
      <c r="P245" s="8" t="s">
        <v>79</v>
      </c>
      <c r="Q245" s="8" t="s">
        <v>83</v>
      </c>
      <c r="R245" s="8" t="s">
        <v>79</v>
      </c>
      <c r="S245" s="8" t="s">
        <v>79</v>
      </c>
      <c r="T245" s="8" t="s">
        <v>86</v>
      </c>
      <c r="U245" s="8" t="s">
        <v>141</v>
      </c>
      <c r="V245" s="8" t="s">
        <v>112</v>
      </c>
      <c r="W245" s="9">
        <v>1</v>
      </c>
      <c r="X245" s="9">
        <v>2</v>
      </c>
      <c r="Y245" s="9">
        <v>2</v>
      </c>
      <c r="Z245" s="9">
        <v>1</v>
      </c>
      <c r="AA245" s="9">
        <v>1</v>
      </c>
      <c r="AB245" s="9">
        <v>2</v>
      </c>
      <c r="AC245" s="9">
        <v>1</v>
      </c>
      <c r="AD245" s="9">
        <v>1</v>
      </c>
      <c r="AE245" s="9">
        <v>2</v>
      </c>
      <c r="AF245" s="9">
        <v>2</v>
      </c>
      <c r="AG245" s="9">
        <v>1</v>
      </c>
      <c r="AH245" s="9">
        <v>1</v>
      </c>
      <c r="AI245" s="9">
        <v>2</v>
      </c>
      <c r="AJ245" s="9">
        <v>1</v>
      </c>
      <c r="AK245" s="9">
        <v>1</v>
      </c>
      <c r="AL245" s="10">
        <v>1</v>
      </c>
      <c r="AM245" s="10">
        <v>1</v>
      </c>
      <c r="AN245" s="10">
        <v>1</v>
      </c>
      <c r="AO245" s="10">
        <v>1</v>
      </c>
      <c r="AP245" s="10">
        <v>2</v>
      </c>
      <c r="AQ245" s="10">
        <v>2</v>
      </c>
      <c r="AR245" s="10">
        <v>2</v>
      </c>
      <c r="AS245" s="11">
        <v>1</v>
      </c>
      <c r="AT245" s="11">
        <v>2</v>
      </c>
      <c r="AU245" s="11">
        <v>2</v>
      </c>
      <c r="AV245" s="11">
        <v>2</v>
      </c>
      <c r="AW245" s="11">
        <v>2</v>
      </c>
      <c r="AX245" s="11">
        <v>1</v>
      </c>
      <c r="AY245" s="7">
        <v>1</v>
      </c>
      <c r="AZ245" s="7">
        <v>1</v>
      </c>
      <c r="BA245" s="7">
        <v>1</v>
      </c>
      <c r="BB245" s="7">
        <v>3</v>
      </c>
      <c r="BC245" s="7">
        <v>2</v>
      </c>
      <c r="BD245" s="7">
        <v>3</v>
      </c>
      <c r="BE245" s="7">
        <v>2</v>
      </c>
      <c r="BF245" s="7">
        <v>2</v>
      </c>
      <c r="BG245" s="12">
        <f>SUM(data__22[[#This Row],[N1]:[N4]],data__22[[#This Row],[N10]:[N13]],data__22[[#This Row],[N16]:[N18]])/11</f>
        <v>1.3636363636363635</v>
      </c>
      <c r="BH245" s="13">
        <f>SUM(data__22[[#This Row],[N8]:[N9]],data__22[[#This Row],[N23]:[N25]])/5</f>
        <v>1.6</v>
      </c>
      <c r="BI245" s="12">
        <f>SUM(data__22[[#This Row],[N5]:[N7]])/3</f>
        <v>1.3333333333333333</v>
      </c>
      <c r="BJ245" s="12">
        <f>SUM(data__22[[#This Row],[N14]:[N15]],data__22[[#This Row],[N19]:[N22]],data__22[[#This Row],[N26]:[N28]])/9</f>
        <v>1.5555555555555556</v>
      </c>
      <c r="BK245" s="12">
        <f>SUM(data__22[[#This Row],[N29]:[N33]])/5</f>
        <v>1.6</v>
      </c>
      <c r="BL245" s="12">
        <f>SUM(data__22[[#This Row],[N34]:[N36]])/3</f>
        <v>2.3333333333333335</v>
      </c>
    </row>
    <row r="246" spans="1:64" x14ac:dyDescent="0.3">
      <c r="A246" s="7">
        <v>23</v>
      </c>
      <c r="B246" s="7" t="s">
        <v>70</v>
      </c>
      <c r="C246" s="7" t="s">
        <v>96</v>
      </c>
      <c r="D246" s="7" t="s">
        <v>72</v>
      </c>
      <c r="E246" s="7" t="s">
        <v>73</v>
      </c>
      <c r="F246" s="7" t="s">
        <v>98</v>
      </c>
      <c r="G246" s="7" t="s">
        <v>440</v>
      </c>
      <c r="H246" s="7" t="s">
        <v>98</v>
      </c>
      <c r="I246" s="7" t="s">
        <v>76</v>
      </c>
      <c r="J246" s="7" t="s">
        <v>77</v>
      </c>
      <c r="K246" s="7" t="s">
        <v>122</v>
      </c>
      <c r="L246" s="8" t="s">
        <v>79</v>
      </c>
      <c r="M246" s="8" t="s">
        <v>80</v>
      </c>
      <c r="N246" s="8" t="s">
        <v>79</v>
      </c>
      <c r="O246" s="8" t="s">
        <v>138</v>
      </c>
      <c r="P246" s="8" t="s">
        <v>79</v>
      </c>
      <c r="Q246" s="8" t="s">
        <v>83</v>
      </c>
      <c r="R246" s="8" t="s">
        <v>79</v>
      </c>
      <c r="S246" s="8" t="s">
        <v>79</v>
      </c>
      <c r="T246" s="8" t="s">
        <v>86</v>
      </c>
      <c r="U246" s="8" t="s">
        <v>87</v>
      </c>
      <c r="V246" s="8" t="s">
        <v>127</v>
      </c>
      <c r="W246" s="9">
        <v>1</v>
      </c>
      <c r="X246" s="9">
        <v>2</v>
      </c>
      <c r="Y246" s="9">
        <v>2</v>
      </c>
      <c r="Z246" s="9">
        <v>2</v>
      </c>
      <c r="AA246" s="9">
        <v>2</v>
      </c>
      <c r="AB246" s="9">
        <v>2</v>
      </c>
      <c r="AC246" s="9">
        <v>1</v>
      </c>
      <c r="AD246" s="9">
        <v>1</v>
      </c>
      <c r="AE246" s="9">
        <v>1</v>
      </c>
      <c r="AF246" s="9">
        <v>3</v>
      </c>
      <c r="AG246" s="9">
        <v>2</v>
      </c>
      <c r="AH246" s="9">
        <v>2</v>
      </c>
      <c r="AI246" s="9">
        <v>2</v>
      </c>
      <c r="AJ246" s="9">
        <v>2</v>
      </c>
      <c r="AK246" s="9">
        <v>2</v>
      </c>
      <c r="AL246" s="10">
        <v>1</v>
      </c>
      <c r="AM246" s="10">
        <v>2</v>
      </c>
      <c r="AN246" s="10">
        <v>2</v>
      </c>
      <c r="AO246" s="10">
        <v>2</v>
      </c>
      <c r="AP246" s="10">
        <v>1</v>
      </c>
      <c r="AQ246" s="10">
        <v>1</v>
      </c>
      <c r="AR246" s="10">
        <v>1</v>
      </c>
      <c r="AS246" s="11">
        <v>1</v>
      </c>
      <c r="AT246" s="11">
        <v>1</v>
      </c>
      <c r="AU246" s="11">
        <v>1</v>
      </c>
      <c r="AV246" s="11">
        <v>2</v>
      </c>
      <c r="AW246" s="11">
        <v>1</v>
      </c>
      <c r="AX246" s="11">
        <v>1</v>
      </c>
      <c r="AY246" s="7">
        <v>1</v>
      </c>
      <c r="AZ246" s="7">
        <v>2</v>
      </c>
      <c r="BA246" s="7">
        <v>2</v>
      </c>
      <c r="BB246" s="7">
        <v>2</v>
      </c>
      <c r="BC246" s="7">
        <v>2</v>
      </c>
      <c r="BD246" s="7">
        <v>1</v>
      </c>
      <c r="BE246" s="7">
        <v>1</v>
      </c>
      <c r="BF246" s="7">
        <v>1</v>
      </c>
      <c r="BG246" s="12">
        <f>SUM(data__22[[#This Row],[N1]:[N4]],data__22[[#This Row],[N10]:[N13]],data__22[[#This Row],[N16]:[N18]])/11</f>
        <v>1.9090909090909092</v>
      </c>
      <c r="BH246" s="13">
        <f>SUM(data__22[[#This Row],[N8]:[N9]],data__22[[#This Row],[N23]:[N25]])/5</f>
        <v>1</v>
      </c>
      <c r="BI246" s="12">
        <f>SUM(data__22[[#This Row],[N5]:[N7]])/3</f>
        <v>1.6666666666666667</v>
      </c>
      <c r="BJ246" s="12">
        <f>SUM(data__22[[#This Row],[N14]:[N15]],data__22[[#This Row],[N19]:[N22]],data__22[[#This Row],[N26]:[N28]])/9</f>
        <v>1.4444444444444444</v>
      </c>
      <c r="BK246" s="12">
        <f>SUM(data__22[[#This Row],[N29]:[N33]])/5</f>
        <v>1.8</v>
      </c>
      <c r="BL246" s="12">
        <f>SUM(data__22[[#This Row],[N34]:[N36]])/3</f>
        <v>1</v>
      </c>
    </row>
    <row r="247" spans="1:64" x14ac:dyDescent="0.3">
      <c r="A247" s="7">
        <v>23</v>
      </c>
      <c r="B247" s="7" t="s">
        <v>70</v>
      </c>
      <c r="C247" s="7" t="s">
        <v>96</v>
      </c>
      <c r="D247" s="7" t="s">
        <v>72</v>
      </c>
      <c r="E247" s="7" t="s">
        <v>108</v>
      </c>
      <c r="F247" s="7" t="s">
        <v>98</v>
      </c>
      <c r="G247" s="7" t="s">
        <v>439</v>
      </c>
      <c r="H247" s="7" t="s">
        <v>136</v>
      </c>
      <c r="I247" s="7" t="s">
        <v>76</v>
      </c>
      <c r="J247" s="7" t="s">
        <v>77</v>
      </c>
      <c r="K247" s="7" t="s">
        <v>122</v>
      </c>
      <c r="L247" s="8" t="s">
        <v>79</v>
      </c>
      <c r="M247" s="8" t="s">
        <v>132</v>
      </c>
      <c r="N247" s="8" t="s">
        <v>79</v>
      </c>
      <c r="O247" s="8" t="s">
        <v>117</v>
      </c>
      <c r="P247" s="8" t="s">
        <v>79</v>
      </c>
      <c r="Q247" s="8" t="s">
        <v>83</v>
      </c>
      <c r="R247" s="8" t="s">
        <v>79</v>
      </c>
      <c r="S247" s="8" t="s">
        <v>79</v>
      </c>
      <c r="T247" s="8" t="s">
        <v>148</v>
      </c>
      <c r="U247" s="8" t="s">
        <v>141</v>
      </c>
      <c r="V247" s="8" t="s">
        <v>127</v>
      </c>
      <c r="W247" s="9">
        <v>1</v>
      </c>
      <c r="X247" s="9">
        <v>1</v>
      </c>
      <c r="Y247" s="9">
        <v>1</v>
      </c>
      <c r="Z247" s="9">
        <v>2</v>
      </c>
      <c r="AA247" s="9">
        <v>2</v>
      </c>
      <c r="AB247" s="9">
        <v>2</v>
      </c>
      <c r="AC247" s="9">
        <v>2</v>
      </c>
      <c r="AD247" s="9">
        <v>2</v>
      </c>
      <c r="AE247" s="9">
        <v>2</v>
      </c>
      <c r="AF247" s="9">
        <v>2</v>
      </c>
      <c r="AG247" s="9">
        <v>2</v>
      </c>
      <c r="AH247" s="9">
        <v>3</v>
      </c>
      <c r="AI247" s="9">
        <v>1</v>
      </c>
      <c r="AJ247" s="9">
        <v>1</v>
      </c>
      <c r="AK247" s="9">
        <v>2</v>
      </c>
      <c r="AL247" s="10">
        <v>2</v>
      </c>
      <c r="AM247" s="10">
        <v>2</v>
      </c>
      <c r="AN247" s="10">
        <v>1</v>
      </c>
      <c r="AO247" s="10">
        <v>1</v>
      </c>
      <c r="AP247" s="10">
        <v>2</v>
      </c>
      <c r="AQ247" s="10">
        <v>2</v>
      </c>
      <c r="AR247" s="10">
        <v>1</v>
      </c>
      <c r="AS247" s="11">
        <v>2</v>
      </c>
      <c r="AT247" s="11">
        <v>2</v>
      </c>
      <c r="AU247" s="11">
        <v>2</v>
      </c>
      <c r="AV247" s="11">
        <v>1</v>
      </c>
      <c r="AW247" s="11">
        <v>1</v>
      </c>
      <c r="AX247" s="11">
        <v>1</v>
      </c>
      <c r="AY247" s="7">
        <v>1</v>
      </c>
      <c r="AZ247" s="7">
        <v>1</v>
      </c>
      <c r="BA247" s="7">
        <v>2</v>
      </c>
      <c r="BB247" s="7">
        <v>2</v>
      </c>
      <c r="BC247" s="7">
        <v>1</v>
      </c>
      <c r="BD247" s="7">
        <v>1</v>
      </c>
      <c r="BE247" s="7">
        <v>1</v>
      </c>
      <c r="BF247" s="7">
        <v>1</v>
      </c>
      <c r="BG247" s="12">
        <f>SUM(data__22[[#This Row],[N1]:[N4]],data__22[[#This Row],[N10]:[N13]],data__22[[#This Row],[N16]:[N18]])/11</f>
        <v>1.6363636363636365</v>
      </c>
      <c r="BH247" s="13">
        <f>SUM(data__22[[#This Row],[N8]:[N9]],data__22[[#This Row],[N23]:[N25]])/5</f>
        <v>2</v>
      </c>
      <c r="BI247" s="12">
        <f>SUM(data__22[[#This Row],[N5]:[N7]])/3</f>
        <v>2</v>
      </c>
      <c r="BJ247" s="12">
        <f>SUM(data__22[[#This Row],[N14]:[N15]],data__22[[#This Row],[N19]:[N22]],data__22[[#This Row],[N26]:[N28]])/9</f>
        <v>1.3333333333333333</v>
      </c>
      <c r="BK247" s="12">
        <f>SUM(data__22[[#This Row],[N29]:[N33]])/5</f>
        <v>1.4</v>
      </c>
      <c r="BL247" s="12">
        <f>SUM(data__22[[#This Row],[N34]:[N36]])/3</f>
        <v>1</v>
      </c>
    </row>
    <row r="248" spans="1:64" x14ac:dyDescent="0.3">
      <c r="A248" s="7">
        <v>24</v>
      </c>
      <c r="B248" s="7" t="s">
        <v>128</v>
      </c>
      <c r="C248" s="7" t="s">
        <v>113</v>
      </c>
      <c r="D248" s="7" t="s">
        <v>72</v>
      </c>
      <c r="E248" s="7" t="s">
        <v>73</v>
      </c>
      <c r="F248" s="7" t="s">
        <v>136</v>
      </c>
      <c r="G248" s="7" t="s">
        <v>440</v>
      </c>
      <c r="H248" s="7" t="s">
        <v>100</v>
      </c>
      <c r="I248" s="7" t="s">
        <v>76</v>
      </c>
      <c r="J248" s="7" t="s">
        <v>77</v>
      </c>
      <c r="K248" s="7" t="s">
        <v>122</v>
      </c>
      <c r="L248" s="8" t="s">
        <v>79</v>
      </c>
      <c r="M248" s="8" t="s">
        <v>80</v>
      </c>
      <c r="N248" s="8" t="s">
        <v>79</v>
      </c>
      <c r="O248" s="8" t="s">
        <v>138</v>
      </c>
      <c r="P248" s="8" t="s">
        <v>79</v>
      </c>
      <c r="Q248" s="8" t="s">
        <v>83</v>
      </c>
      <c r="R248" s="8" t="s">
        <v>79</v>
      </c>
      <c r="S248" s="8" t="s">
        <v>79</v>
      </c>
      <c r="T248" s="8" t="s">
        <v>86</v>
      </c>
      <c r="U248" s="8" t="s">
        <v>120</v>
      </c>
      <c r="V248" s="8" t="s">
        <v>127</v>
      </c>
      <c r="W248" s="9">
        <v>1</v>
      </c>
      <c r="X248" s="9">
        <v>2</v>
      </c>
      <c r="Y248" s="9">
        <v>2</v>
      </c>
      <c r="Z248" s="9">
        <v>1</v>
      </c>
      <c r="AA248" s="9">
        <v>2</v>
      </c>
      <c r="AB248" s="9">
        <v>2</v>
      </c>
      <c r="AC248" s="9">
        <v>2</v>
      </c>
      <c r="AD248" s="9">
        <v>2</v>
      </c>
      <c r="AE248" s="9">
        <v>2</v>
      </c>
      <c r="AF248" s="9">
        <v>2</v>
      </c>
      <c r="AG248" s="9">
        <v>2</v>
      </c>
      <c r="AH248" s="9">
        <v>1</v>
      </c>
      <c r="AI248" s="9">
        <v>2</v>
      </c>
      <c r="AJ248" s="9">
        <v>1</v>
      </c>
      <c r="AK248" s="9">
        <v>2</v>
      </c>
      <c r="AL248" s="10">
        <v>1</v>
      </c>
      <c r="AM248" s="10">
        <v>2</v>
      </c>
      <c r="AN248" s="10">
        <v>2</v>
      </c>
      <c r="AO248" s="10">
        <v>2</v>
      </c>
      <c r="AP248" s="10">
        <v>1</v>
      </c>
      <c r="AQ248" s="10">
        <v>1</v>
      </c>
      <c r="AR248" s="10">
        <v>1</v>
      </c>
      <c r="AS248" s="11">
        <v>1</v>
      </c>
      <c r="AT248" s="11">
        <v>0</v>
      </c>
      <c r="AU248" s="11">
        <v>1</v>
      </c>
      <c r="AV248" s="11">
        <v>1</v>
      </c>
      <c r="AW248" s="11">
        <v>1</v>
      </c>
      <c r="AX248" s="11">
        <v>3</v>
      </c>
      <c r="AY248" s="7">
        <v>2</v>
      </c>
      <c r="AZ248" s="7">
        <v>1</v>
      </c>
      <c r="BA248" s="7">
        <v>1</v>
      </c>
      <c r="BB248" s="7">
        <v>1</v>
      </c>
      <c r="BC248" s="7">
        <v>1</v>
      </c>
      <c r="BD248" s="7">
        <v>1</v>
      </c>
      <c r="BE248" s="7">
        <v>2</v>
      </c>
      <c r="BF248" s="7">
        <v>1</v>
      </c>
      <c r="BG248" s="12">
        <f>SUM(data__22[[#This Row],[N1]:[N4]],data__22[[#This Row],[N10]:[N13]],data__22[[#This Row],[N16]:[N18]])/11</f>
        <v>1.6363636363636365</v>
      </c>
      <c r="BH248" s="13">
        <f>SUM(data__22[[#This Row],[N8]:[N9]],data__22[[#This Row],[N23]:[N25]])/5</f>
        <v>1.2</v>
      </c>
      <c r="BI248" s="12">
        <f>SUM(data__22[[#This Row],[N5]:[N7]])/3</f>
        <v>2</v>
      </c>
      <c r="BJ248" s="12">
        <f>SUM(data__22[[#This Row],[N14]:[N15]],data__22[[#This Row],[N19]:[N22]],data__22[[#This Row],[N26]:[N28]])/9</f>
        <v>1.4444444444444444</v>
      </c>
      <c r="BK248" s="12">
        <f>SUM(data__22[[#This Row],[N29]:[N33]])/5</f>
        <v>1.2</v>
      </c>
      <c r="BL248" s="12">
        <f>SUM(data__22[[#This Row],[N34]:[N36]])/3</f>
        <v>1.3333333333333333</v>
      </c>
    </row>
    <row r="249" spans="1:64" x14ac:dyDescent="0.3">
      <c r="A249" s="7">
        <v>24</v>
      </c>
      <c r="B249" s="7" t="s">
        <v>70</v>
      </c>
      <c r="C249" s="7" t="s">
        <v>157</v>
      </c>
      <c r="D249" s="7" t="s">
        <v>149</v>
      </c>
      <c r="E249" s="7" t="s">
        <v>108</v>
      </c>
      <c r="F249" s="7" t="s">
        <v>98</v>
      </c>
      <c r="G249" s="7" t="s">
        <v>440</v>
      </c>
      <c r="H249" s="7" t="s">
        <v>136</v>
      </c>
      <c r="I249" s="7" t="s">
        <v>76</v>
      </c>
      <c r="J249" s="7" t="s">
        <v>77</v>
      </c>
      <c r="K249" s="7" t="s">
        <v>122</v>
      </c>
      <c r="L249" s="8" t="s">
        <v>79</v>
      </c>
      <c r="M249" s="8" t="s">
        <v>132</v>
      </c>
      <c r="N249" s="8" t="s">
        <v>79</v>
      </c>
      <c r="O249" s="8" t="s">
        <v>117</v>
      </c>
      <c r="P249" s="8" t="s">
        <v>79</v>
      </c>
      <c r="Q249" s="8" t="s">
        <v>83</v>
      </c>
      <c r="R249" s="8" t="s">
        <v>79</v>
      </c>
      <c r="S249" s="8" t="s">
        <v>79</v>
      </c>
      <c r="T249" s="8" t="s">
        <v>86</v>
      </c>
      <c r="U249" s="8" t="s">
        <v>87</v>
      </c>
      <c r="V249" s="8" t="s">
        <v>112</v>
      </c>
      <c r="W249" s="9">
        <v>1</v>
      </c>
      <c r="X249" s="9">
        <v>2</v>
      </c>
      <c r="Y249" s="9">
        <v>2</v>
      </c>
      <c r="Z249" s="9">
        <v>2</v>
      </c>
      <c r="AA249" s="9">
        <v>2</v>
      </c>
      <c r="AB249" s="9">
        <v>1</v>
      </c>
      <c r="AC249" s="9">
        <v>1</v>
      </c>
      <c r="AD249" s="9">
        <v>1</v>
      </c>
      <c r="AE249" s="9">
        <v>2</v>
      </c>
      <c r="AF249" s="9">
        <v>2</v>
      </c>
      <c r="AG249" s="9">
        <v>2</v>
      </c>
      <c r="AH249" s="9">
        <v>2</v>
      </c>
      <c r="AI249" s="9">
        <v>2</v>
      </c>
      <c r="AJ249" s="9">
        <v>1</v>
      </c>
      <c r="AK249" s="9">
        <v>1</v>
      </c>
      <c r="AL249" s="10">
        <v>1</v>
      </c>
      <c r="AM249" s="10">
        <v>2</v>
      </c>
      <c r="AN249" s="10">
        <v>2</v>
      </c>
      <c r="AO249" s="10">
        <v>2</v>
      </c>
      <c r="AP249" s="10">
        <v>1</v>
      </c>
      <c r="AQ249" s="10">
        <v>1</v>
      </c>
      <c r="AR249" s="10">
        <v>1</v>
      </c>
      <c r="AS249" s="11">
        <v>1</v>
      </c>
      <c r="AT249" s="11">
        <v>2</v>
      </c>
      <c r="AU249" s="11">
        <v>2</v>
      </c>
      <c r="AV249" s="11">
        <v>1</v>
      </c>
      <c r="AW249" s="11">
        <v>1</v>
      </c>
      <c r="AX249" s="11">
        <v>1</v>
      </c>
      <c r="AY249" s="7">
        <v>1</v>
      </c>
      <c r="AZ249" s="7">
        <v>2</v>
      </c>
      <c r="BA249" s="7">
        <v>2</v>
      </c>
      <c r="BB249" s="7">
        <v>1</v>
      </c>
      <c r="BC249" s="7">
        <v>1</v>
      </c>
      <c r="BD249" s="7">
        <v>1</v>
      </c>
      <c r="BE249" s="7">
        <v>1</v>
      </c>
      <c r="BF249" s="7">
        <v>2</v>
      </c>
      <c r="BG249" s="12">
        <f>SUM(data__22[[#This Row],[N1]:[N4]],data__22[[#This Row],[N10]:[N13]],data__22[[#This Row],[N16]:[N18]])/11</f>
        <v>1.8181818181818181</v>
      </c>
      <c r="BH249" s="13">
        <f>SUM(data__22[[#This Row],[N8]:[N9]],data__22[[#This Row],[N23]:[N25]])/5</f>
        <v>1.6</v>
      </c>
      <c r="BI249" s="12">
        <f>SUM(data__22[[#This Row],[N5]:[N7]])/3</f>
        <v>1.3333333333333333</v>
      </c>
      <c r="BJ249" s="12">
        <f>SUM(data__22[[#This Row],[N14]:[N15]],data__22[[#This Row],[N19]:[N22]],data__22[[#This Row],[N26]:[N28]])/9</f>
        <v>1.1111111111111112</v>
      </c>
      <c r="BK249" s="12">
        <f>SUM(data__22[[#This Row],[N29]:[N33]])/5</f>
        <v>1.4</v>
      </c>
      <c r="BL249" s="12">
        <f>SUM(data__22[[#This Row],[N34]:[N36]])/3</f>
        <v>1.3333333333333333</v>
      </c>
    </row>
    <row r="250" spans="1:64" x14ac:dyDescent="0.3">
      <c r="A250" s="7">
        <v>24</v>
      </c>
      <c r="B250" s="7" t="s">
        <v>70</v>
      </c>
      <c r="C250" s="7" t="s">
        <v>113</v>
      </c>
      <c r="D250" s="7" t="s">
        <v>149</v>
      </c>
      <c r="E250" s="7" t="s">
        <v>108</v>
      </c>
      <c r="F250" s="7" t="s">
        <v>98</v>
      </c>
      <c r="G250" s="7" t="s">
        <v>440</v>
      </c>
      <c r="H250" s="7" t="s">
        <v>100</v>
      </c>
      <c r="I250" s="7" t="s">
        <v>439</v>
      </c>
      <c r="J250" s="7" t="s">
        <v>77</v>
      </c>
      <c r="K250" s="7" t="s">
        <v>122</v>
      </c>
      <c r="L250" s="8" t="s">
        <v>79</v>
      </c>
      <c r="M250" s="8" t="s">
        <v>80</v>
      </c>
      <c r="N250" s="8" t="s">
        <v>79</v>
      </c>
      <c r="O250" s="8" t="s">
        <v>117</v>
      </c>
      <c r="P250" s="8" t="s">
        <v>79</v>
      </c>
      <c r="Q250" s="8" t="s">
        <v>83</v>
      </c>
      <c r="R250" s="8" t="s">
        <v>79</v>
      </c>
      <c r="S250" s="8" t="s">
        <v>79</v>
      </c>
      <c r="T250" s="8" t="s">
        <v>86</v>
      </c>
      <c r="U250" s="8" t="s">
        <v>120</v>
      </c>
      <c r="V250" s="8" t="s">
        <v>127</v>
      </c>
      <c r="W250" s="9">
        <v>1</v>
      </c>
      <c r="X250" s="9">
        <v>2</v>
      </c>
      <c r="Y250" s="9">
        <v>2</v>
      </c>
      <c r="Z250" s="9">
        <v>1</v>
      </c>
      <c r="AA250" s="9">
        <v>2</v>
      </c>
      <c r="AB250" s="9">
        <v>2</v>
      </c>
      <c r="AC250" s="9">
        <v>2</v>
      </c>
      <c r="AD250" s="9">
        <v>1</v>
      </c>
      <c r="AE250" s="9">
        <v>1</v>
      </c>
      <c r="AF250" s="9">
        <v>1</v>
      </c>
      <c r="AG250" s="9">
        <v>2</v>
      </c>
      <c r="AH250" s="9">
        <v>2</v>
      </c>
      <c r="AI250" s="9">
        <v>2</v>
      </c>
      <c r="AJ250" s="9">
        <v>2</v>
      </c>
      <c r="AK250" s="9">
        <v>1</v>
      </c>
      <c r="AL250" s="10">
        <v>1</v>
      </c>
      <c r="AM250" s="10">
        <v>2</v>
      </c>
      <c r="AN250" s="10">
        <v>2</v>
      </c>
      <c r="AO250" s="10">
        <v>1</v>
      </c>
      <c r="AP250" s="10">
        <v>1</v>
      </c>
      <c r="AQ250" s="10">
        <v>1</v>
      </c>
      <c r="AR250" s="10">
        <v>2</v>
      </c>
      <c r="AS250" s="11">
        <v>1</v>
      </c>
      <c r="AT250" s="11">
        <v>2</v>
      </c>
      <c r="AU250" s="11">
        <v>2</v>
      </c>
      <c r="AV250" s="11">
        <v>2</v>
      </c>
      <c r="AW250" s="11">
        <v>2</v>
      </c>
      <c r="AX250" s="11">
        <v>1</v>
      </c>
      <c r="AY250" s="7">
        <v>1</v>
      </c>
      <c r="AZ250" s="7">
        <v>2</v>
      </c>
      <c r="BA250" s="7">
        <v>2</v>
      </c>
      <c r="BB250" s="7">
        <v>1</v>
      </c>
      <c r="BC250" s="7">
        <v>1</v>
      </c>
      <c r="BD250" s="7">
        <v>1</v>
      </c>
      <c r="BE250" s="7">
        <v>2</v>
      </c>
      <c r="BF250" s="7">
        <v>2</v>
      </c>
      <c r="BG250" s="12">
        <f>SUM(data__22[[#This Row],[N1]:[N4]],data__22[[#This Row],[N10]:[N13]],data__22[[#This Row],[N16]:[N18]])/11</f>
        <v>1.6363636363636365</v>
      </c>
      <c r="BH250" s="13">
        <f>SUM(data__22[[#This Row],[N8]:[N9]],data__22[[#This Row],[N23]:[N25]])/5</f>
        <v>1.4</v>
      </c>
      <c r="BI250" s="12">
        <f>SUM(data__22[[#This Row],[N5]:[N7]])/3</f>
        <v>2</v>
      </c>
      <c r="BJ250" s="12">
        <f>SUM(data__22[[#This Row],[N14]:[N15]],data__22[[#This Row],[N19]:[N22]],data__22[[#This Row],[N26]:[N28]])/9</f>
        <v>1.4444444444444444</v>
      </c>
      <c r="BK250" s="12">
        <f>SUM(data__22[[#This Row],[N29]:[N33]])/5</f>
        <v>1.4</v>
      </c>
      <c r="BL250" s="12">
        <f>SUM(data__22[[#This Row],[N34]:[N36]])/3</f>
        <v>1.6666666666666667</v>
      </c>
    </row>
    <row r="251" spans="1:64" x14ac:dyDescent="0.3">
      <c r="A251" s="7">
        <v>23</v>
      </c>
      <c r="B251" s="7" t="s">
        <v>70</v>
      </c>
      <c r="C251" s="7" t="s">
        <v>113</v>
      </c>
      <c r="D251" s="7" t="s">
        <v>72</v>
      </c>
      <c r="E251" s="7" t="s">
        <v>108</v>
      </c>
      <c r="F251" s="7" t="s">
        <v>98</v>
      </c>
      <c r="G251" s="7" t="s">
        <v>440</v>
      </c>
      <c r="H251" s="7" t="s">
        <v>100</v>
      </c>
      <c r="I251" s="7" t="s">
        <v>76</v>
      </c>
      <c r="J251" s="7" t="s">
        <v>77</v>
      </c>
      <c r="K251" s="7" t="s">
        <v>122</v>
      </c>
      <c r="L251" s="8" t="s">
        <v>79</v>
      </c>
      <c r="M251" s="8" t="s">
        <v>80</v>
      </c>
      <c r="N251" s="8" t="s">
        <v>79</v>
      </c>
      <c r="O251" s="8" t="s">
        <v>138</v>
      </c>
      <c r="P251" s="8" t="s">
        <v>79</v>
      </c>
      <c r="Q251" s="8" t="s">
        <v>118</v>
      </c>
      <c r="R251" s="8" t="s">
        <v>79</v>
      </c>
      <c r="S251" s="8" t="s">
        <v>79</v>
      </c>
      <c r="T251" s="8" t="s">
        <v>86</v>
      </c>
      <c r="U251" s="8" t="s">
        <v>141</v>
      </c>
      <c r="V251" s="8" t="s">
        <v>127</v>
      </c>
      <c r="W251" s="9">
        <v>1</v>
      </c>
      <c r="X251" s="9">
        <v>2</v>
      </c>
      <c r="Y251" s="9">
        <v>2</v>
      </c>
      <c r="Z251" s="9">
        <v>2</v>
      </c>
      <c r="AA251" s="9">
        <v>1</v>
      </c>
      <c r="AB251" s="9">
        <v>2</v>
      </c>
      <c r="AC251" s="9">
        <v>2</v>
      </c>
      <c r="AD251" s="9">
        <v>2</v>
      </c>
      <c r="AE251" s="9">
        <v>2</v>
      </c>
      <c r="AF251" s="9">
        <v>2</v>
      </c>
      <c r="AG251" s="9">
        <v>1</v>
      </c>
      <c r="AH251" s="9">
        <v>1</v>
      </c>
      <c r="AI251" s="9">
        <v>1</v>
      </c>
      <c r="AJ251" s="9">
        <v>2</v>
      </c>
      <c r="AK251" s="9">
        <v>2</v>
      </c>
      <c r="AL251" s="10">
        <v>1</v>
      </c>
      <c r="AM251" s="10">
        <v>2</v>
      </c>
      <c r="AN251" s="10">
        <v>2</v>
      </c>
      <c r="AO251" s="10">
        <v>2</v>
      </c>
      <c r="AP251" s="10">
        <v>1</v>
      </c>
      <c r="AQ251" s="10">
        <v>1</v>
      </c>
      <c r="AR251" s="10">
        <v>1</v>
      </c>
      <c r="AS251" s="11">
        <v>1</v>
      </c>
      <c r="AT251" s="11">
        <v>2</v>
      </c>
      <c r="AU251" s="11">
        <v>2</v>
      </c>
      <c r="AV251" s="11">
        <v>2</v>
      </c>
      <c r="AW251" s="11">
        <v>2</v>
      </c>
      <c r="AX251" s="11">
        <v>1</v>
      </c>
      <c r="AY251" s="7">
        <v>1</v>
      </c>
      <c r="AZ251" s="7">
        <v>2</v>
      </c>
      <c r="BA251" s="7">
        <v>2</v>
      </c>
      <c r="BB251" s="7">
        <v>2</v>
      </c>
      <c r="BC251" s="7">
        <v>2</v>
      </c>
      <c r="BD251" s="7">
        <v>2</v>
      </c>
      <c r="BE251" s="7">
        <v>2</v>
      </c>
      <c r="BF251" s="7">
        <v>2</v>
      </c>
      <c r="BG251" s="12">
        <f>SUM(data__22[[#This Row],[N1]:[N4]],data__22[[#This Row],[N10]:[N13]],data__22[[#This Row],[N16]:[N18]])/11</f>
        <v>1.5454545454545454</v>
      </c>
      <c r="BH251" s="13">
        <f>SUM(data__22[[#This Row],[N8]:[N9]],data__22[[#This Row],[N23]:[N25]])/5</f>
        <v>1.8</v>
      </c>
      <c r="BI251" s="12">
        <f>SUM(data__22[[#This Row],[N5]:[N7]])/3</f>
        <v>1.6666666666666667</v>
      </c>
      <c r="BJ251" s="12">
        <f>SUM(data__22[[#This Row],[N14]:[N15]],data__22[[#This Row],[N19]:[N22]],data__22[[#This Row],[N26]:[N28]])/9</f>
        <v>1.5555555555555556</v>
      </c>
      <c r="BK251" s="12">
        <f>SUM(data__22[[#This Row],[N29]:[N33]])/5</f>
        <v>1.8</v>
      </c>
      <c r="BL251" s="12">
        <f>SUM(data__22[[#This Row],[N34]:[N36]])/3</f>
        <v>2</v>
      </c>
    </row>
    <row r="252" spans="1:64" x14ac:dyDescent="0.3">
      <c r="A252" s="7">
        <v>22</v>
      </c>
      <c r="B252" s="7" t="s">
        <v>70</v>
      </c>
      <c r="C252" s="7" t="s">
        <v>113</v>
      </c>
      <c r="D252" s="7" t="s">
        <v>72</v>
      </c>
      <c r="E252" s="7" t="s">
        <v>108</v>
      </c>
      <c r="F252" s="7" t="s">
        <v>98</v>
      </c>
      <c r="G252" s="7" t="s">
        <v>440</v>
      </c>
      <c r="H252" s="7" t="s">
        <v>98</v>
      </c>
      <c r="I252" s="7" t="s">
        <v>76</v>
      </c>
      <c r="J252" s="7" t="s">
        <v>77</v>
      </c>
      <c r="K252" s="7" t="s">
        <v>122</v>
      </c>
      <c r="L252" s="8" t="s">
        <v>79</v>
      </c>
      <c r="M252" s="8" t="s">
        <v>80</v>
      </c>
      <c r="N252" s="8" t="s">
        <v>79</v>
      </c>
      <c r="O252" s="8" t="s">
        <v>179</v>
      </c>
      <c r="P252" s="8" t="s">
        <v>79</v>
      </c>
      <c r="Q252" s="8" t="s">
        <v>118</v>
      </c>
      <c r="R252" s="8" t="s">
        <v>79</v>
      </c>
      <c r="S252" s="8" t="s">
        <v>79</v>
      </c>
      <c r="T252" s="8" t="s">
        <v>86</v>
      </c>
      <c r="U252" s="8" t="s">
        <v>120</v>
      </c>
      <c r="V252" s="8" t="s">
        <v>127</v>
      </c>
      <c r="W252" s="9">
        <v>1</v>
      </c>
      <c r="X252" s="9">
        <v>2</v>
      </c>
      <c r="Y252" s="9">
        <v>2</v>
      </c>
      <c r="Z252" s="9">
        <v>1</v>
      </c>
      <c r="AA252" s="9">
        <v>1</v>
      </c>
      <c r="AB252" s="9">
        <v>2</v>
      </c>
      <c r="AC252" s="9">
        <v>1</v>
      </c>
      <c r="AD252" s="9">
        <v>2</v>
      </c>
      <c r="AE252" s="9">
        <v>2</v>
      </c>
      <c r="AF252" s="9">
        <v>2</v>
      </c>
      <c r="AG252" s="9">
        <v>2</v>
      </c>
      <c r="AH252" s="9">
        <v>1</v>
      </c>
      <c r="AI252" s="9">
        <v>1</v>
      </c>
      <c r="AJ252" s="9">
        <v>2</v>
      </c>
      <c r="AK252" s="9">
        <v>2</v>
      </c>
      <c r="AL252" s="10">
        <v>1</v>
      </c>
      <c r="AM252" s="10">
        <v>1</v>
      </c>
      <c r="AN252" s="10">
        <v>1</v>
      </c>
      <c r="AO252" s="10">
        <v>1</v>
      </c>
      <c r="AP252" s="10">
        <v>2</v>
      </c>
      <c r="AQ252" s="10">
        <v>2</v>
      </c>
      <c r="AR252" s="10">
        <v>2</v>
      </c>
      <c r="AS252" s="11">
        <v>2</v>
      </c>
      <c r="AT252" s="11">
        <v>2</v>
      </c>
      <c r="AU252" s="11">
        <v>1</v>
      </c>
      <c r="AV252" s="11">
        <v>1</v>
      </c>
      <c r="AW252" s="11">
        <v>1</v>
      </c>
      <c r="AX252" s="11">
        <v>1</v>
      </c>
      <c r="AY252" s="7">
        <v>1</v>
      </c>
      <c r="AZ252" s="7">
        <v>2</v>
      </c>
      <c r="BA252" s="7">
        <v>2</v>
      </c>
      <c r="BB252" s="7">
        <v>2</v>
      </c>
      <c r="BC252" s="7">
        <v>1</v>
      </c>
      <c r="BD252" s="7">
        <v>1</v>
      </c>
      <c r="BE252" s="7">
        <v>1</v>
      </c>
      <c r="BF252" s="7">
        <v>2</v>
      </c>
      <c r="BG252" s="12">
        <f>SUM(data__22[[#This Row],[N1]:[N4]],data__22[[#This Row],[N10]:[N13]],data__22[[#This Row],[N16]:[N18]])/11</f>
        <v>1.3636363636363635</v>
      </c>
      <c r="BH252" s="13">
        <f>SUM(data__22[[#This Row],[N8]:[N9]],data__22[[#This Row],[N23]:[N25]])/5</f>
        <v>1.8</v>
      </c>
      <c r="BI252" s="12">
        <f>SUM(data__22[[#This Row],[N5]:[N7]])/3</f>
        <v>1.3333333333333333</v>
      </c>
      <c r="BJ252" s="12">
        <f>SUM(data__22[[#This Row],[N14]:[N15]],data__22[[#This Row],[N19]:[N22]],data__22[[#This Row],[N26]:[N28]])/9</f>
        <v>1.5555555555555556</v>
      </c>
      <c r="BK252" s="12">
        <f>SUM(data__22[[#This Row],[N29]:[N33]])/5</f>
        <v>1.6</v>
      </c>
      <c r="BL252" s="12">
        <f>SUM(data__22[[#This Row],[N34]:[N36]])/3</f>
        <v>1.3333333333333333</v>
      </c>
    </row>
    <row r="253" spans="1:64" x14ac:dyDescent="0.3">
      <c r="A253" s="7">
        <v>22</v>
      </c>
      <c r="B253" s="7" t="s">
        <v>128</v>
      </c>
      <c r="C253" s="7" t="s">
        <v>96</v>
      </c>
      <c r="D253" s="7" t="s">
        <v>72</v>
      </c>
      <c r="E253" s="7" t="s">
        <v>114</v>
      </c>
      <c r="F253" s="7" t="s">
        <v>136</v>
      </c>
      <c r="G253" s="7" t="s">
        <v>440</v>
      </c>
      <c r="H253" s="7" t="s">
        <v>100</v>
      </c>
      <c r="I253" s="7" t="s">
        <v>166</v>
      </c>
      <c r="J253" s="7" t="s">
        <v>77</v>
      </c>
      <c r="K253" s="7" t="s">
        <v>122</v>
      </c>
      <c r="L253" s="8" t="s">
        <v>79</v>
      </c>
      <c r="M253" s="8" t="s">
        <v>80</v>
      </c>
      <c r="N253" s="8" t="s">
        <v>79</v>
      </c>
      <c r="O253" s="8" t="s">
        <v>138</v>
      </c>
      <c r="P253" s="8" t="s">
        <v>79</v>
      </c>
      <c r="Q253" s="8" t="s">
        <v>83</v>
      </c>
      <c r="R253" s="8" t="s">
        <v>79</v>
      </c>
      <c r="S253" s="8" t="s">
        <v>79</v>
      </c>
      <c r="T253" s="8" t="s">
        <v>148</v>
      </c>
      <c r="U253" s="8" t="s">
        <v>120</v>
      </c>
      <c r="V253" s="8" t="s">
        <v>112</v>
      </c>
      <c r="W253" s="9">
        <v>1</v>
      </c>
      <c r="X253" s="9">
        <v>2</v>
      </c>
      <c r="Y253" s="9">
        <v>2</v>
      </c>
      <c r="Z253" s="9">
        <v>1</v>
      </c>
      <c r="AA253" s="9">
        <v>2</v>
      </c>
      <c r="AB253" s="9">
        <v>2</v>
      </c>
      <c r="AC253" s="9">
        <v>1</v>
      </c>
      <c r="AD253" s="9">
        <v>2</v>
      </c>
      <c r="AE253" s="9">
        <v>1</v>
      </c>
      <c r="AF253" s="9">
        <v>2</v>
      </c>
      <c r="AG253" s="9">
        <v>2</v>
      </c>
      <c r="AH253" s="9">
        <v>2</v>
      </c>
      <c r="AI253" s="9">
        <v>2</v>
      </c>
      <c r="AJ253" s="9">
        <v>1</v>
      </c>
      <c r="AK253" s="9">
        <v>2</v>
      </c>
      <c r="AL253" s="10">
        <v>1</v>
      </c>
      <c r="AM253" s="10">
        <v>2</v>
      </c>
      <c r="AN253" s="10">
        <v>2</v>
      </c>
      <c r="AO253" s="10">
        <v>1</v>
      </c>
      <c r="AP253" s="10">
        <v>1</v>
      </c>
      <c r="AQ253" s="10">
        <v>2</v>
      </c>
      <c r="AR253" s="10">
        <v>2</v>
      </c>
      <c r="AS253" s="11">
        <v>1</v>
      </c>
      <c r="AT253" s="11">
        <v>2</v>
      </c>
      <c r="AU253" s="11">
        <v>2</v>
      </c>
      <c r="AV253" s="11">
        <v>1</v>
      </c>
      <c r="AW253" s="11">
        <v>1</v>
      </c>
      <c r="AX253" s="11">
        <v>2</v>
      </c>
      <c r="AY253" s="7">
        <v>1</v>
      </c>
      <c r="AZ253" s="7">
        <v>2</v>
      </c>
      <c r="BA253" s="7">
        <v>2</v>
      </c>
      <c r="BB253" s="7">
        <v>1</v>
      </c>
      <c r="BC253" s="7">
        <v>1</v>
      </c>
      <c r="BD253" s="7">
        <v>1</v>
      </c>
      <c r="BE253" s="7">
        <v>2</v>
      </c>
      <c r="BF253" s="7">
        <v>1</v>
      </c>
      <c r="BG253" s="12">
        <f>SUM(data__22[[#This Row],[N1]:[N4]],data__22[[#This Row],[N10]:[N13]],data__22[[#This Row],[N16]:[N18]])/11</f>
        <v>1.7272727272727273</v>
      </c>
      <c r="BH253" s="13">
        <f>SUM(data__22[[#This Row],[N8]:[N9]],data__22[[#This Row],[N23]:[N25]])/5</f>
        <v>1.6</v>
      </c>
      <c r="BI253" s="12">
        <f>SUM(data__22[[#This Row],[N5]:[N7]])/3</f>
        <v>1.6666666666666667</v>
      </c>
      <c r="BJ253" s="12">
        <f>SUM(data__22[[#This Row],[N14]:[N15]],data__22[[#This Row],[N19]:[N22]],data__22[[#This Row],[N26]:[N28]])/9</f>
        <v>1.4444444444444444</v>
      </c>
      <c r="BK253" s="12">
        <f>SUM(data__22[[#This Row],[N29]:[N33]])/5</f>
        <v>1.4</v>
      </c>
      <c r="BL253" s="12">
        <f>SUM(data__22[[#This Row],[N34]:[N36]])/3</f>
        <v>1.3333333333333333</v>
      </c>
    </row>
    <row r="254" spans="1:64" x14ac:dyDescent="0.3">
      <c r="A254" s="7">
        <v>23</v>
      </c>
      <c r="B254" s="7" t="s">
        <v>70</v>
      </c>
      <c r="C254" s="7" t="s">
        <v>96</v>
      </c>
      <c r="D254" s="7" t="s">
        <v>72</v>
      </c>
      <c r="E254" s="7" t="s">
        <v>108</v>
      </c>
      <c r="F254" s="7" t="s">
        <v>136</v>
      </c>
      <c r="G254" s="7" t="s">
        <v>439</v>
      </c>
      <c r="H254" s="7" t="s">
        <v>100</v>
      </c>
      <c r="I254" s="7" t="s">
        <v>76</v>
      </c>
      <c r="J254" s="7" t="s">
        <v>77</v>
      </c>
      <c r="K254" s="7" t="s">
        <v>122</v>
      </c>
      <c r="L254" s="8" t="s">
        <v>79</v>
      </c>
      <c r="M254" s="8" t="s">
        <v>80</v>
      </c>
      <c r="N254" s="8" t="s">
        <v>79</v>
      </c>
      <c r="O254" s="8" t="s">
        <v>179</v>
      </c>
      <c r="P254" s="8" t="s">
        <v>79</v>
      </c>
      <c r="Q254" s="8" t="s">
        <v>83</v>
      </c>
      <c r="R254" s="8" t="s">
        <v>82</v>
      </c>
      <c r="S254" s="8" t="s">
        <v>79</v>
      </c>
      <c r="T254" s="8" t="s">
        <v>86</v>
      </c>
      <c r="U254" s="8" t="s">
        <v>87</v>
      </c>
      <c r="V254" s="8" t="s">
        <v>127</v>
      </c>
      <c r="W254" s="9">
        <v>1</v>
      </c>
      <c r="X254" s="9">
        <v>2</v>
      </c>
      <c r="Y254" s="9">
        <v>2</v>
      </c>
      <c r="Z254" s="9">
        <v>1</v>
      </c>
      <c r="AA254" s="9">
        <v>2</v>
      </c>
      <c r="AB254" s="9">
        <v>2</v>
      </c>
      <c r="AC254" s="9">
        <v>1</v>
      </c>
      <c r="AD254" s="9">
        <v>2</v>
      </c>
      <c r="AE254" s="9">
        <v>2</v>
      </c>
      <c r="AF254" s="9">
        <v>1</v>
      </c>
      <c r="AG254" s="9">
        <v>2</v>
      </c>
      <c r="AH254" s="9">
        <v>2</v>
      </c>
      <c r="AI254" s="9">
        <v>2</v>
      </c>
      <c r="AJ254" s="9">
        <v>1</v>
      </c>
      <c r="AK254" s="9">
        <v>2</v>
      </c>
      <c r="AL254" s="10">
        <v>1</v>
      </c>
      <c r="AM254" s="10">
        <v>2</v>
      </c>
      <c r="AN254" s="10">
        <v>2</v>
      </c>
      <c r="AO254" s="10">
        <v>1</v>
      </c>
      <c r="AP254" s="10">
        <v>2</v>
      </c>
      <c r="AQ254" s="10">
        <v>2</v>
      </c>
      <c r="AR254" s="10">
        <v>1</v>
      </c>
      <c r="AS254" s="11">
        <v>1</v>
      </c>
      <c r="AT254" s="11">
        <v>1</v>
      </c>
      <c r="AU254" s="11">
        <v>2</v>
      </c>
      <c r="AV254" s="11">
        <v>1</v>
      </c>
      <c r="AW254" s="11">
        <v>1</v>
      </c>
      <c r="AX254" s="11">
        <v>1</v>
      </c>
      <c r="AY254" s="7">
        <v>1</v>
      </c>
      <c r="AZ254" s="7">
        <v>2</v>
      </c>
      <c r="BA254" s="7">
        <v>2</v>
      </c>
      <c r="BB254" s="7">
        <v>2</v>
      </c>
      <c r="BC254" s="7">
        <v>1</v>
      </c>
      <c r="BD254" s="7">
        <v>2</v>
      </c>
      <c r="BE254" s="7">
        <v>2</v>
      </c>
      <c r="BF254" s="7">
        <v>1</v>
      </c>
      <c r="BG254" s="12">
        <f>SUM(data__22[[#This Row],[N1]:[N4]],data__22[[#This Row],[N10]:[N13]],data__22[[#This Row],[N16]:[N18]])/11</f>
        <v>1.6363636363636365</v>
      </c>
      <c r="BH254" s="13">
        <f>SUM(data__22[[#This Row],[N8]:[N9]],data__22[[#This Row],[N23]:[N25]])/5</f>
        <v>1.6</v>
      </c>
      <c r="BI254" s="12">
        <f>SUM(data__22[[#This Row],[N5]:[N7]])/3</f>
        <v>1.6666666666666667</v>
      </c>
      <c r="BJ254" s="12">
        <f>SUM(data__22[[#This Row],[N14]:[N15]],data__22[[#This Row],[N19]:[N22]],data__22[[#This Row],[N26]:[N28]])/9</f>
        <v>1.3333333333333333</v>
      </c>
      <c r="BK254" s="12">
        <f>SUM(data__22[[#This Row],[N29]:[N33]])/5</f>
        <v>1.6</v>
      </c>
      <c r="BL254" s="12">
        <f>SUM(data__22[[#This Row],[N34]:[N36]])/3</f>
        <v>1.6666666666666667</v>
      </c>
    </row>
    <row r="255" spans="1:64" x14ac:dyDescent="0.3">
      <c r="A255" s="7">
        <v>23</v>
      </c>
      <c r="B255" s="7" t="s">
        <v>70</v>
      </c>
      <c r="C255" s="7" t="s">
        <v>113</v>
      </c>
      <c r="D255" s="7" t="s">
        <v>72</v>
      </c>
      <c r="E255" s="7" t="s">
        <v>114</v>
      </c>
      <c r="F255" s="7" t="s">
        <v>74</v>
      </c>
      <c r="G255" s="7" t="s">
        <v>439</v>
      </c>
      <c r="H255" s="7" t="s">
        <v>98</v>
      </c>
      <c r="I255" s="7" t="s">
        <v>76</v>
      </c>
      <c r="J255" s="7" t="s">
        <v>77</v>
      </c>
      <c r="K255" s="7" t="s">
        <v>78</v>
      </c>
      <c r="L255" s="8" t="s">
        <v>79</v>
      </c>
      <c r="M255" s="8" t="s">
        <v>80</v>
      </c>
      <c r="N255" s="8" t="s">
        <v>79</v>
      </c>
      <c r="O255" s="8" t="s">
        <v>179</v>
      </c>
      <c r="P255" s="8" t="s">
        <v>79</v>
      </c>
      <c r="Q255" s="8" t="s">
        <v>83</v>
      </c>
      <c r="R255" s="8" t="s">
        <v>79</v>
      </c>
      <c r="S255" s="8" t="s">
        <v>79</v>
      </c>
      <c r="T255" s="8" t="s">
        <v>86</v>
      </c>
      <c r="U255" s="8" t="s">
        <v>141</v>
      </c>
      <c r="V255" s="8" t="s">
        <v>127</v>
      </c>
      <c r="W255" s="9">
        <v>1</v>
      </c>
      <c r="X255" s="9">
        <v>2</v>
      </c>
      <c r="Y255" s="9">
        <v>2</v>
      </c>
      <c r="Z255" s="9">
        <v>1</v>
      </c>
      <c r="AA255" s="9">
        <v>1</v>
      </c>
      <c r="AB255" s="9">
        <v>1</v>
      </c>
      <c r="AC255" s="9">
        <v>2</v>
      </c>
      <c r="AD255" s="9">
        <v>2</v>
      </c>
      <c r="AE255" s="9">
        <v>2</v>
      </c>
      <c r="AF255" s="9">
        <v>1</v>
      </c>
      <c r="AG255" s="9">
        <v>1</v>
      </c>
      <c r="AH255" s="9">
        <v>1</v>
      </c>
      <c r="AI255" s="9">
        <v>1</v>
      </c>
      <c r="AJ255" s="9">
        <v>2</v>
      </c>
      <c r="AK255" s="9">
        <v>2</v>
      </c>
      <c r="AL255" s="10">
        <v>1</v>
      </c>
      <c r="AM255" s="10">
        <v>2</v>
      </c>
      <c r="AN255" s="10">
        <v>2</v>
      </c>
      <c r="AO255" s="10">
        <v>2</v>
      </c>
      <c r="AP255" s="10">
        <v>1</v>
      </c>
      <c r="AQ255" s="10">
        <v>1</v>
      </c>
      <c r="AR255" s="10">
        <v>1</v>
      </c>
      <c r="AS255" s="11">
        <v>1</v>
      </c>
      <c r="AT255" s="11">
        <v>1</v>
      </c>
      <c r="AU255" s="11">
        <v>1</v>
      </c>
      <c r="AV255" s="11">
        <v>2</v>
      </c>
      <c r="AW255" s="11">
        <v>2</v>
      </c>
      <c r="AX255" s="11">
        <v>2</v>
      </c>
      <c r="AY255" s="7">
        <v>1</v>
      </c>
      <c r="AZ255" s="7">
        <v>2</v>
      </c>
      <c r="BA255" s="7">
        <v>2</v>
      </c>
      <c r="BB255" s="7">
        <v>1</v>
      </c>
      <c r="BC255" s="7">
        <v>1</v>
      </c>
      <c r="BD255" s="7">
        <v>1</v>
      </c>
      <c r="BE255" s="7">
        <v>1</v>
      </c>
      <c r="BF255" s="7">
        <v>2</v>
      </c>
      <c r="BG255" s="12">
        <f>SUM(data__22[[#This Row],[N1]:[N4]],data__22[[#This Row],[N10]:[N13]],data__22[[#This Row],[N16]:[N18]])/11</f>
        <v>1.3636363636363635</v>
      </c>
      <c r="BH255" s="13">
        <f>SUM(data__22[[#This Row],[N8]:[N9]],data__22[[#This Row],[N23]:[N25]])/5</f>
        <v>1.4</v>
      </c>
      <c r="BI255" s="12">
        <f>SUM(data__22[[#This Row],[N5]:[N7]])/3</f>
        <v>1.3333333333333333</v>
      </c>
      <c r="BJ255" s="12">
        <f>SUM(data__22[[#This Row],[N14]:[N15]],data__22[[#This Row],[N19]:[N22]],data__22[[#This Row],[N26]:[N28]])/9</f>
        <v>1.6666666666666667</v>
      </c>
      <c r="BK255" s="12">
        <f>SUM(data__22[[#This Row],[N29]:[N33]])/5</f>
        <v>1.4</v>
      </c>
      <c r="BL255" s="12">
        <f>SUM(data__22[[#This Row],[N34]:[N36]])/3</f>
        <v>1.3333333333333333</v>
      </c>
    </row>
    <row r="256" spans="1:64" x14ac:dyDescent="0.3">
      <c r="A256" s="7">
        <v>23</v>
      </c>
      <c r="B256" s="7" t="s">
        <v>70</v>
      </c>
      <c r="C256" s="7" t="s">
        <v>113</v>
      </c>
      <c r="D256" s="7" t="s">
        <v>72</v>
      </c>
      <c r="E256" s="7" t="s">
        <v>108</v>
      </c>
      <c r="F256" s="7" t="s">
        <v>98</v>
      </c>
      <c r="G256" s="7" t="s">
        <v>440</v>
      </c>
      <c r="H256" s="7" t="s">
        <v>100</v>
      </c>
      <c r="I256" s="7" t="s">
        <v>76</v>
      </c>
      <c r="J256" s="7" t="s">
        <v>77</v>
      </c>
      <c r="K256" s="7" t="s">
        <v>122</v>
      </c>
      <c r="L256" s="8" t="s">
        <v>79</v>
      </c>
      <c r="M256" s="8" t="s">
        <v>80</v>
      </c>
      <c r="N256" s="8" t="s">
        <v>79</v>
      </c>
      <c r="O256" s="8" t="s">
        <v>138</v>
      </c>
      <c r="P256" s="8" t="s">
        <v>79</v>
      </c>
      <c r="Q256" s="8" t="s">
        <v>83</v>
      </c>
      <c r="R256" s="8" t="s">
        <v>79</v>
      </c>
      <c r="S256" s="8" t="s">
        <v>79</v>
      </c>
      <c r="T256" s="8" t="s">
        <v>86</v>
      </c>
      <c r="U256" s="8" t="s">
        <v>141</v>
      </c>
      <c r="V256" s="8" t="s">
        <v>127</v>
      </c>
      <c r="W256" s="9">
        <v>1</v>
      </c>
      <c r="X256" s="9">
        <v>2</v>
      </c>
      <c r="Y256" s="9">
        <v>1</v>
      </c>
      <c r="Z256" s="9">
        <v>1</v>
      </c>
      <c r="AA256" s="9">
        <v>2</v>
      </c>
      <c r="AB256" s="9">
        <v>1</v>
      </c>
      <c r="AC256" s="9">
        <v>1</v>
      </c>
      <c r="AD256" s="9">
        <v>0</v>
      </c>
      <c r="AE256" s="9">
        <v>1</v>
      </c>
      <c r="AF256" s="9">
        <v>1</v>
      </c>
      <c r="AG256" s="9">
        <v>0</v>
      </c>
      <c r="AH256" s="9">
        <v>0</v>
      </c>
      <c r="AI256" s="9">
        <v>0</v>
      </c>
      <c r="AJ256" s="9">
        <v>1</v>
      </c>
      <c r="AK256" s="9">
        <v>1</v>
      </c>
      <c r="AL256" s="10">
        <v>1</v>
      </c>
      <c r="AM256" s="10">
        <v>2</v>
      </c>
      <c r="AN256" s="10">
        <v>2</v>
      </c>
      <c r="AO256" s="10">
        <v>2</v>
      </c>
      <c r="AP256" s="10">
        <v>1</v>
      </c>
      <c r="AQ256" s="10">
        <v>1</v>
      </c>
      <c r="AR256" s="10">
        <v>1</v>
      </c>
      <c r="AS256" s="11">
        <v>2</v>
      </c>
      <c r="AT256" s="11">
        <v>2</v>
      </c>
      <c r="AU256" s="11">
        <v>2</v>
      </c>
      <c r="AV256" s="11">
        <v>1</v>
      </c>
      <c r="AW256" s="11">
        <v>1</v>
      </c>
      <c r="AX256" s="11">
        <v>0</v>
      </c>
      <c r="AY256" s="7">
        <v>1</v>
      </c>
      <c r="AZ256" s="7">
        <v>2</v>
      </c>
      <c r="BA256" s="7">
        <v>2</v>
      </c>
      <c r="BB256" s="7">
        <v>2</v>
      </c>
      <c r="BC256" s="7">
        <v>1</v>
      </c>
      <c r="BD256" s="7">
        <v>1</v>
      </c>
      <c r="BE256" s="7">
        <v>1</v>
      </c>
      <c r="BF256" s="7">
        <v>1</v>
      </c>
      <c r="BG256" s="12">
        <f>SUM(data__22[[#This Row],[N1]:[N4]],data__22[[#This Row],[N10]:[N13]],data__22[[#This Row],[N16]:[N18]])/11</f>
        <v>1</v>
      </c>
      <c r="BH256" s="13">
        <f>SUM(data__22[[#This Row],[N8]:[N9]],data__22[[#This Row],[N23]:[N25]])/5</f>
        <v>1.4</v>
      </c>
      <c r="BI256" s="12">
        <f>SUM(data__22[[#This Row],[N5]:[N7]])/3</f>
        <v>1.3333333333333333</v>
      </c>
      <c r="BJ256" s="12">
        <f>SUM(data__22[[#This Row],[N14]:[N15]],data__22[[#This Row],[N19]:[N22]],data__22[[#This Row],[N26]:[N28]])/9</f>
        <v>1</v>
      </c>
      <c r="BK256" s="12">
        <f>SUM(data__22[[#This Row],[N29]:[N33]])/5</f>
        <v>1.6</v>
      </c>
      <c r="BL256" s="12">
        <f>SUM(data__22[[#This Row],[N34]:[N36]])/3</f>
        <v>1</v>
      </c>
    </row>
    <row r="257" spans="1:64" x14ac:dyDescent="0.3">
      <c r="A257" s="7">
        <v>23</v>
      </c>
      <c r="B257" s="7" t="s">
        <v>70</v>
      </c>
      <c r="C257" s="7" t="s">
        <v>113</v>
      </c>
      <c r="D257" s="7" t="s">
        <v>72</v>
      </c>
      <c r="E257" s="7" t="s">
        <v>108</v>
      </c>
      <c r="F257" s="7" t="s">
        <v>98</v>
      </c>
      <c r="G257" s="7" t="s">
        <v>440</v>
      </c>
      <c r="H257" s="7" t="s">
        <v>98</v>
      </c>
      <c r="I257" s="7" t="s">
        <v>76</v>
      </c>
      <c r="J257" s="7" t="s">
        <v>77</v>
      </c>
      <c r="K257" s="7" t="s">
        <v>122</v>
      </c>
      <c r="L257" s="8" t="s">
        <v>79</v>
      </c>
      <c r="M257" s="8" t="s">
        <v>80</v>
      </c>
      <c r="N257" s="8" t="s">
        <v>79</v>
      </c>
      <c r="O257" s="8" t="s">
        <v>138</v>
      </c>
      <c r="P257" s="8" t="s">
        <v>82</v>
      </c>
      <c r="Q257" s="8" t="s">
        <v>83</v>
      </c>
      <c r="R257" s="8" t="s">
        <v>79</v>
      </c>
      <c r="S257" s="8" t="s">
        <v>79</v>
      </c>
      <c r="T257" s="8" t="s">
        <v>86</v>
      </c>
      <c r="U257" s="8" t="s">
        <v>141</v>
      </c>
      <c r="V257" s="8" t="s">
        <v>112</v>
      </c>
      <c r="W257" s="9">
        <v>1</v>
      </c>
      <c r="X257" s="9">
        <v>2</v>
      </c>
      <c r="Y257" s="9">
        <v>2</v>
      </c>
      <c r="Z257" s="9">
        <v>2</v>
      </c>
      <c r="AA257" s="9">
        <v>1</v>
      </c>
      <c r="AB257" s="9">
        <v>2</v>
      </c>
      <c r="AC257" s="9">
        <v>2</v>
      </c>
      <c r="AD257" s="9">
        <v>1</v>
      </c>
      <c r="AE257" s="9">
        <v>1</v>
      </c>
      <c r="AF257" s="9">
        <v>1</v>
      </c>
      <c r="AG257" s="9">
        <v>1</v>
      </c>
      <c r="AH257" s="9">
        <v>2</v>
      </c>
      <c r="AI257" s="9">
        <v>1</v>
      </c>
      <c r="AJ257" s="9">
        <v>1</v>
      </c>
      <c r="AK257" s="9">
        <v>1</v>
      </c>
      <c r="AL257" s="10">
        <v>1</v>
      </c>
      <c r="AM257" s="10">
        <v>1</v>
      </c>
      <c r="AN257" s="10">
        <v>1</v>
      </c>
      <c r="AO257" s="10">
        <v>1</v>
      </c>
      <c r="AP257" s="10">
        <v>1</v>
      </c>
      <c r="AQ257" s="10">
        <v>1</v>
      </c>
      <c r="AR257" s="10">
        <v>2</v>
      </c>
      <c r="AS257" s="11">
        <v>1</v>
      </c>
      <c r="AT257" s="11">
        <v>2</v>
      </c>
      <c r="AU257" s="11">
        <v>2</v>
      </c>
      <c r="AV257" s="11">
        <v>2</v>
      </c>
      <c r="AW257" s="11">
        <v>1</v>
      </c>
      <c r="AX257" s="11">
        <v>1</v>
      </c>
      <c r="AY257" s="7">
        <v>1</v>
      </c>
      <c r="AZ257" s="7">
        <v>1</v>
      </c>
      <c r="BA257" s="7">
        <v>2</v>
      </c>
      <c r="BB257" s="7">
        <v>0</v>
      </c>
      <c r="BC257" s="7">
        <v>1</v>
      </c>
      <c r="BD257" s="7">
        <v>1</v>
      </c>
      <c r="BE257" s="7">
        <v>2</v>
      </c>
      <c r="BF257" s="7">
        <v>1</v>
      </c>
      <c r="BG257" s="12">
        <f>SUM(data__22[[#This Row],[N1]:[N4]],data__22[[#This Row],[N10]:[N13]],data__22[[#This Row],[N16]:[N18]])/11</f>
        <v>1.3636363636363635</v>
      </c>
      <c r="BH257" s="13">
        <f>SUM(data__22[[#This Row],[N8]:[N9]],data__22[[#This Row],[N23]:[N25]])/5</f>
        <v>1.4</v>
      </c>
      <c r="BI257" s="12">
        <f>SUM(data__22[[#This Row],[N5]:[N7]])/3</f>
        <v>1.6666666666666667</v>
      </c>
      <c r="BJ257" s="12">
        <f>SUM(data__22[[#This Row],[N14]:[N15]],data__22[[#This Row],[N19]:[N22]],data__22[[#This Row],[N26]:[N28]])/9</f>
        <v>1.2222222222222223</v>
      </c>
      <c r="BK257" s="12">
        <f>SUM(data__22[[#This Row],[N29]:[N33]])/5</f>
        <v>1</v>
      </c>
      <c r="BL257" s="12">
        <f>SUM(data__22[[#This Row],[N34]:[N36]])/3</f>
        <v>1.3333333333333333</v>
      </c>
    </row>
    <row r="258" spans="1:64" x14ac:dyDescent="0.3">
      <c r="A258" s="7">
        <v>22</v>
      </c>
      <c r="B258" s="7" t="s">
        <v>70</v>
      </c>
      <c r="C258" s="7" t="s">
        <v>96</v>
      </c>
      <c r="D258" s="7" t="s">
        <v>72</v>
      </c>
      <c r="E258" s="7" t="s">
        <v>108</v>
      </c>
      <c r="F258" s="7" t="s">
        <v>136</v>
      </c>
      <c r="G258" s="7" t="s">
        <v>440</v>
      </c>
      <c r="H258" s="7" t="s">
        <v>98</v>
      </c>
      <c r="I258" s="7" t="s">
        <v>76</v>
      </c>
      <c r="J258" s="7" t="s">
        <v>77</v>
      </c>
      <c r="K258" s="7" t="s">
        <v>122</v>
      </c>
      <c r="L258" s="8" t="s">
        <v>79</v>
      </c>
      <c r="M258" s="8" t="s">
        <v>80</v>
      </c>
      <c r="N258" s="8" t="s">
        <v>79</v>
      </c>
      <c r="O258" s="8" t="s">
        <v>138</v>
      </c>
      <c r="P258" s="8" t="s">
        <v>79</v>
      </c>
      <c r="Q258" s="8" t="s">
        <v>83</v>
      </c>
      <c r="R258" s="8" t="s">
        <v>79</v>
      </c>
      <c r="S258" s="8" t="s">
        <v>79</v>
      </c>
      <c r="T258" s="8" t="s">
        <v>86</v>
      </c>
      <c r="U258" s="8" t="s">
        <v>120</v>
      </c>
      <c r="V258" s="8" t="s">
        <v>127</v>
      </c>
      <c r="W258" s="9">
        <v>1</v>
      </c>
      <c r="X258" s="9">
        <v>2</v>
      </c>
      <c r="Y258" s="9">
        <v>2</v>
      </c>
      <c r="Z258" s="9">
        <v>1</v>
      </c>
      <c r="AA258" s="9">
        <v>1</v>
      </c>
      <c r="AB258" s="9">
        <v>1</v>
      </c>
      <c r="AC258" s="9">
        <v>1</v>
      </c>
      <c r="AD258" s="9">
        <v>2</v>
      </c>
      <c r="AE258" s="9">
        <v>3</v>
      </c>
      <c r="AF258" s="9">
        <v>2</v>
      </c>
      <c r="AG258" s="9">
        <v>2</v>
      </c>
      <c r="AH258" s="9">
        <v>1</v>
      </c>
      <c r="AI258" s="9">
        <v>2</v>
      </c>
      <c r="AJ258" s="9">
        <v>2</v>
      </c>
      <c r="AK258" s="9">
        <v>2</v>
      </c>
      <c r="AL258" s="10">
        <v>1</v>
      </c>
      <c r="AM258" s="10">
        <v>2</v>
      </c>
      <c r="AN258" s="10">
        <v>2</v>
      </c>
      <c r="AO258" s="10">
        <v>2</v>
      </c>
      <c r="AP258" s="10">
        <v>1</v>
      </c>
      <c r="AQ258" s="10">
        <v>1</v>
      </c>
      <c r="AR258" s="10">
        <v>2</v>
      </c>
      <c r="AS258" s="11">
        <v>2</v>
      </c>
      <c r="AT258" s="11">
        <v>2</v>
      </c>
      <c r="AU258" s="11">
        <v>2</v>
      </c>
      <c r="AV258" s="11">
        <v>1</v>
      </c>
      <c r="AW258" s="11">
        <v>1</v>
      </c>
      <c r="AX258" s="11">
        <v>1</v>
      </c>
      <c r="AY258" s="7">
        <v>2</v>
      </c>
      <c r="AZ258" s="7">
        <v>2</v>
      </c>
      <c r="BA258" s="7">
        <v>1</v>
      </c>
      <c r="BB258" s="7">
        <v>1</v>
      </c>
      <c r="BC258" s="7">
        <v>1</v>
      </c>
      <c r="BD258" s="7">
        <v>1</v>
      </c>
      <c r="BE258" s="7">
        <v>1</v>
      </c>
      <c r="BF258" s="7">
        <v>1</v>
      </c>
      <c r="BG258" s="12">
        <f>SUM(data__22[[#This Row],[N1]:[N4]],data__22[[#This Row],[N10]:[N13]],data__22[[#This Row],[N16]:[N18]])/11</f>
        <v>1.6363636363636365</v>
      </c>
      <c r="BH258" s="13">
        <f>SUM(data__22[[#This Row],[N8]:[N9]],data__22[[#This Row],[N23]:[N25]])/5</f>
        <v>2.2000000000000002</v>
      </c>
      <c r="BI258" s="12">
        <f>SUM(data__22[[#This Row],[N5]:[N7]])/3</f>
        <v>1</v>
      </c>
      <c r="BJ258" s="12">
        <f>SUM(data__22[[#This Row],[N14]:[N15]],data__22[[#This Row],[N19]:[N22]],data__22[[#This Row],[N26]:[N28]])/9</f>
        <v>1.4444444444444444</v>
      </c>
      <c r="BK258" s="12">
        <f>SUM(data__22[[#This Row],[N29]:[N33]])/5</f>
        <v>1.4</v>
      </c>
      <c r="BL258" s="12">
        <f>SUM(data__22[[#This Row],[N34]:[N36]])/3</f>
        <v>1</v>
      </c>
    </row>
    <row r="259" spans="1:64" x14ac:dyDescent="0.3">
      <c r="A259" s="7">
        <v>23</v>
      </c>
      <c r="B259" s="7" t="s">
        <v>128</v>
      </c>
      <c r="C259" s="7" t="s">
        <v>113</v>
      </c>
      <c r="D259" s="7" t="s">
        <v>72</v>
      </c>
      <c r="E259" s="7" t="s">
        <v>108</v>
      </c>
      <c r="F259" s="7" t="s">
        <v>98</v>
      </c>
      <c r="G259" s="7" t="s">
        <v>440</v>
      </c>
      <c r="H259" s="7" t="s">
        <v>98</v>
      </c>
      <c r="I259" s="7" t="s">
        <v>76</v>
      </c>
      <c r="J259" s="7" t="s">
        <v>77</v>
      </c>
      <c r="K259" s="7" t="s">
        <v>122</v>
      </c>
      <c r="L259" s="8" t="s">
        <v>79</v>
      </c>
      <c r="M259" s="8" t="s">
        <v>80</v>
      </c>
      <c r="N259" s="8" t="s">
        <v>79</v>
      </c>
      <c r="O259" s="8" t="s">
        <v>138</v>
      </c>
      <c r="P259" s="8" t="s">
        <v>79</v>
      </c>
      <c r="Q259" s="8" t="s">
        <v>83</v>
      </c>
      <c r="R259" s="8" t="s">
        <v>79</v>
      </c>
      <c r="S259" s="8" t="s">
        <v>79</v>
      </c>
      <c r="T259" s="8" t="s">
        <v>86</v>
      </c>
      <c r="U259" s="8" t="s">
        <v>120</v>
      </c>
      <c r="V259" s="8" t="s">
        <v>127</v>
      </c>
      <c r="W259" s="9">
        <v>1</v>
      </c>
      <c r="X259" s="9">
        <v>0</v>
      </c>
      <c r="Y259" s="9">
        <v>0</v>
      </c>
      <c r="Z259" s="9">
        <v>0</v>
      </c>
      <c r="AA259" s="9">
        <v>2</v>
      </c>
      <c r="AB259" s="9">
        <v>2</v>
      </c>
      <c r="AC259" s="9">
        <v>2</v>
      </c>
      <c r="AD259" s="9">
        <v>1</v>
      </c>
      <c r="AE259" s="9">
        <v>2</v>
      </c>
      <c r="AF259" s="9">
        <v>3</v>
      </c>
      <c r="AG259" s="9">
        <v>3</v>
      </c>
      <c r="AH259" s="9">
        <v>3</v>
      </c>
      <c r="AI259" s="9">
        <v>2</v>
      </c>
      <c r="AJ259" s="9">
        <v>2</v>
      </c>
      <c r="AK259" s="9">
        <v>2</v>
      </c>
      <c r="AL259" s="10">
        <v>2</v>
      </c>
      <c r="AM259" s="10">
        <v>1</v>
      </c>
      <c r="AN259" s="10">
        <v>1</v>
      </c>
      <c r="AO259" s="10">
        <v>2</v>
      </c>
      <c r="AP259" s="10">
        <v>2</v>
      </c>
      <c r="AQ259" s="10">
        <v>1</v>
      </c>
      <c r="AR259" s="10">
        <v>2</v>
      </c>
      <c r="AS259" s="11">
        <v>1</v>
      </c>
      <c r="AT259" s="11">
        <v>1</v>
      </c>
      <c r="AU259" s="11">
        <v>2</v>
      </c>
      <c r="AV259" s="11">
        <v>2</v>
      </c>
      <c r="AW259" s="11">
        <v>1</v>
      </c>
      <c r="AX259" s="11">
        <v>1</v>
      </c>
      <c r="AY259" s="7">
        <v>1</v>
      </c>
      <c r="AZ259" s="7">
        <v>2</v>
      </c>
      <c r="BA259" s="7">
        <v>1</v>
      </c>
      <c r="BB259" s="7">
        <v>0</v>
      </c>
      <c r="BC259" s="7">
        <v>0</v>
      </c>
      <c r="BD259" s="7">
        <v>2</v>
      </c>
      <c r="BE259" s="7">
        <v>1</v>
      </c>
      <c r="BF259" s="7">
        <v>1</v>
      </c>
      <c r="BG259" s="12">
        <f>SUM(data__22[[#This Row],[N1]:[N4]],data__22[[#This Row],[N10]:[N13]],data__22[[#This Row],[N16]:[N18]])/11</f>
        <v>1.4545454545454546</v>
      </c>
      <c r="BH259" s="13">
        <f>SUM(data__22[[#This Row],[N8]:[N9]],data__22[[#This Row],[N23]:[N25]])/5</f>
        <v>1.4</v>
      </c>
      <c r="BI259" s="12">
        <f>SUM(data__22[[#This Row],[N5]:[N7]])/3</f>
        <v>2</v>
      </c>
      <c r="BJ259" s="12">
        <f>SUM(data__22[[#This Row],[N14]:[N15]],data__22[[#This Row],[N19]:[N22]],data__22[[#This Row],[N26]:[N28]])/9</f>
        <v>1.6666666666666667</v>
      </c>
      <c r="BK259" s="12">
        <f>SUM(data__22[[#This Row],[N29]:[N33]])/5</f>
        <v>0.8</v>
      </c>
      <c r="BL259" s="12">
        <f>SUM(data__22[[#This Row],[N34]:[N36]])/3</f>
        <v>1.3333333333333333</v>
      </c>
    </row>
    <row r="260" spans="1:64" x14ac:dyDescent="0.3">
      <c r="A260" s="7">
        <v>24</v>
      </c>
      <c r="B260" s="7" t="s">
        <v>70</v>
      </c>
      <c r="C260" s="7" t="s">
        <v>113</v>
      </c>
      <c r="D260" s="7" t="s">
        <v>72</v>
      </c>
      <c r="E260" s="7" t="s">
        <v>73</v>
      </c>
      <c r="F260" s="7" t="s">
        <v>98</v>
      </c>
      <c r="G260" s="7" t="s">
        <v>440</v>
      </c>
      <c r="H260" s="7" t="s">
        <v>100</v>
      </c>
      <c r="I260" s="7" t="s">
        <v>76</v>
      </c>
      <c r="J260" s="7" t="s">
        <v>77</v>
      </c>
      <c r="K260" s="7" t="s">
        <v>122</v>
      </c>
      <c r="L260" s="8" t="s">
        <v>79</v>
      </c>
      <c r="M260" s="8" t="s">
        <v>80</v>
      </c>
      <c r="N260" s="8" t="s">
        <v>79</v>
      </c>
      <c r="O260" s="8" t="s">
        <v>138</v>
      </c>
      <c r="P260" s="8" t="s">
        <v>79</v>
      </c>
      <c r="Q260" s="8" t="s">
        <v>118</v>
      </c>
      <c r="R260" s="8" t="s">
        <v>79</v>
      </c>
      <c r="S260" s="8" t="s">
        <v>79</v>
      </c>
      <c r="T260" s="8" t="s">
        <v>86</v>
      </c>
      <c r="U260" s="8" t="s">
        <v>87</v>
      </c>
      <c r="V260" s="8" t="s">
        <v>112</v>
      </c>
      <c r="W260" s="9">
        <v>1</v>
      </c>
      <c r="X260" s="9">
        <v>2</v>
      </c>
      <c r="Y260" s="9">
        <v>2</v>
      </c>
      <c r="Z260" s="9">
        <v>2</v>
      </c>
      <c r="AA260" s="9">
        <v>2</v>
      </c>
      <c r="AB260" s="9">
        <v>1</v>
      </c>
      <c r="AC260" s="9">
        <v>0</v>
      </c>
      <c r="AD260" s="9">
        <v>0</v>
      </c>
      <c r="AE260" s="9">
        <v>0</v>
      </c>
      <c r="AF260" s="9">
        <v>0</v>
      </c>
      <c r="AG260" s="9">
        <v>2</v>
      </c>
      <c r="AH260" s="9">
        <v>3</v>
      </c>
      <c r="AI260" s="9">
        <v>3</v>
      </c>
      <c r="AJ260" s="9">
        <v>3</v>
      </c>
      <c r="AK260" s="9">
        <v>0</v>
      </c>
      <c r="AL260" s="10">
        <v>1</v>
      </c>
      <c r="AM260" s="10">
        <v>2</v>
      </c>
      <c r="AN260" s="10">
        <v>1</v>
      </c>
      <c r="AO260" s="10">
        <v>0</v>
      </c>
      <c r="AP260" s="10">
        <v>1</v>
      </c>
      <c r="AQ260" s="10">
        <v>2</v>
      </c>
      <c r="AR260" s="10">
        <v>2</v>
      </c>
      <c r="AS260" s="11">
        <v>1</v>
      </c>
      <c r="AT260" s="11">
        <v>1</v>
      </c>
      <c r="AU260" s="11">
        <v>2</v>
      </c>
      <c r="AV260" s="11">
        <v>2</v>
      </c>
      <c r="AW260" s="11">
        <v>1</v>
      </c>
      <c r="AX260" s="11">
        <v>1</v>
      </c>
      <c r="AY260" s="7">
        <v>1</v>
      </c>
      <c r="AZ260" s="7">
        <v>2</v>
      </c>
      <c r="BA260" s="7">
        <v>2</v>
      </c>
      <c r="BB260" s="7">
        <v>1</v>
      </c>
      <c r="BC260" s="7">
        <v>0</v>
      </c>
      <c r="BD260" s="7">
        <v>1</v>
      </c>
      <c r="BE260" s="7">
        <v>1</v>
      </c>
      <c r="BF260" s="7">
        <v>1</v>
      </c>
      <c r="BG260" s="12">
        <f>SUM(data__22[[#This Row],[N1]:[N4]],data__22[[#This Row],[N10]:[N13]],data__22[[#This Row],[N16]:[N18]])/11</f>
        <v>1.7272727272727273</v>
      </c>
      <c r="BH260" s="13">
        <f>SUM(data__22[[#This Row],[N8]:[N9]],data__22[[#This Row],[N23]:[N25]])/5</f>
        <v>0.8</v>
      </c>
      <c r="BI260" s="12">
        <f>SUM(data__22[[#This Row],[N5]:[N7]])/3</f>
        <v>1</v>
      </c>
      <c r="BJ260" s="12">
        <f>SUM(data__22[[#This Row],[N14]:[N15]],data__22[[#This Row],[N19]:[N22]],data__22[[#This Row],[N26]:[N28]])/9</f>
        <v>1.3333333333333333</v>
      </c>
      <c r="BK260" s="12">
        <f>SUM(data__22[[#This Row],[N29]:[N33]])/5</f>
        <v>1.2</v>
      </c>
      <c r="BL260" s="12">
        <f>SUM(data__22[[#This Row],[N34]:[N36]])/3</f>
        <v>1</v>
      </c>
    </row>
    <row r="261" spans="1:64" x14ac:dyDescent="0.3">
      <c r="A261" s="7">
        <v>22</v>
      </c>
      <c r="B261" s="7" t="s">
        <v>70</v>
      </c>
      <c r="C261" s="7" t="s">
        <v>113</v>
      </c>
      <c r="D261" s="7" t="s">
        <v>72</v>
      </c>
      <c r="E261" s="7" t="s">
        <v>108</v>
      </c>
      <c r="F261" s="7" t="s">
        <v>98</v>
      </c>
      <c r="G261" s="7" t="s">
        <v>440</v>
      </c>
      <c r="H261" s="7" t="s">
        <v>98</v>
      </c>
      <c r="I261" s="7" t="s">
        <v>76</v>
      </c>
      <c r="J261" s="7" t="s">
        <v>77</v>
      </c>
      <c r="K261" s="7" t="s">
        <v>122</v>
      </c>
      <c r="L261" s="8" t="s">
        <v>79</v>
      </c>
      <c r="M261" s="8" t="s">
        <v>80</v>
      </c>
      <c r="N261" s="8" t="s">
        <v>79</v>
      </c>
      <c r="O261" s="8" t="s">
        <v>138</v>
      </c>
      <c r="P261" s="8" t="s">
        <v>79</v>
      </c>
      <c r="Q261" s="8" t="s">
        <v>83</v>
      </c>
      <c r="R261" s="8" t="s">
        <v>79</v>
      </c>
      <c r="S261" s="8" t="s">
        <v>82</v>
      </c>
      <c r="T261" s="8" t="s">
        <v>86</v>
      </c>
      <c r="U261" s="8" t="s">
        <v>87</v>
      </c>
      <c r="V261" s="8" t="s">
        <v>127</v>
      </c>
      <c r="W261" s="9">
        <v>1</v>
      </c>
      <c r="X261" s="9">
        <v>2</v>
      </c>
      <c r="Y261" s="9">
        <v>2</v>
      </c>
      <c r="Z261" s="9">
        <v>2</v>
      </c>
      <c r="AA261" s="9">
        <v>2</v>
      </c>
      <c r="AB261" s="9">
        <v>2</v>
      </c>
      <c r="AC261" s="9">
        <v>1</v>
      </c>
      <c r="AD261" s="9">
        <v>1</v>
      </c>
      <c r="AE261" s="9">
        <v>2</v>
      </c>
      <c r="AF261" s="9">
        <v>2</v>
      </c>
      <c r="AG261" s="9">
        <v>1</v>
      </c>
      <c r="AH261" s="9">
        <v>1</v>
      </c>
      <c r="AI261" s="9">
        <v>2</v>
      </c>
      <c r="AJ261" s="9">
        <v>2</v>
      </c>
      <c r="AK261" s="9">
        <v>2</v>
      </c>
      <c r="AL261" s="10">
        <v>1</v>
      </c>
      <c r="AM261" s="10">
        <v>2</v>
      </c>
      <c r="AN261" s="10">
        <v>2</v>
      </c>
      <c r="AO261" s="10">
        <v>2</v>
      </c>
      <c r="AP261" s="10">
        <v>1</v>
      </c>
      <c r="AQ261" s="10">
        <v>1</v>
      </c>
      <c r="AR261" s="10">
        <v>1</v>
      </c>
      <c r="AS261" s="11">
        <v>1</v>
      </c>
      <c r="AT261" s="11">
        <v>1</v>
      </c>
      <c r="AU261" s="11">
        <v>0</v>
      </c>
      <c r="AV261" s="11">
        <v>1</v>
      </c>
      <c r="AW261" s="11">
        <v>2</v>
      </c>
      <c r="AX261" s="11">
        <v>2</v>
      </c>
      <c r="AY261" s="7">
        <v>1</v>
      </c>
      <c r="AZ261" s="7">
        <v>2</v>
      </c>
      <c r="BA261" s="7">
        <v>1</v>
      </c>
      <c r="BB261" s="7">
        <v>1</v>
      </c>
      <c r="BC261" s="7">
        <v>2</v>
      </c>
      <c r="BD261" s="7">
        <v>0</v>
      </c>
      <c r="BE261" s="7">
        <v>1</v>
      </c>
      <c r="BF261" s="7">
        <v>1</v>
      </c>
      <c r="BG261" s="12">
        <f>SUM(data__22[[#This Row],[N1]:[N4]],data__22[[#This Row],[N10]:[N13]],data__22[[#This Row],[N16]:[N18]])/11</f>
        <v>1.6363636363636365</v>
      </c>
      <c r="BH261" s="13">
        <f>SUM(data__22[[#This Row],[N8]:[N9]],data__22[[#This Row],[N23]:[N25]])/5</f>
        <v>1</v>
      </c>
      <c r="BI261" s="12">
        <f>SUM(data__22[[#This Row],[N5]:[N7]])/3</f>
        <v>1.6666666666666667</v>
      </c>
      <c r="BJ261" s="12">
        <f>SUM(data__22[[#This Row],[N14]:[N15]],data__22[[#This Row],[N19]:[N22]],data__22[[#This Row],[N26]:[N28]])/9</f>
        <v>1.5555555555555556</v>
      </c>
      <c r="BK261" s="12">
        <f>SUM(data__22[[#This Row],[N29]:[N33]])/5</f>
        <v>1.4</v>
      </c>
      <c r="BL261" s="12">
        <f>SUM(data__22[[#This Row],[N34]:[N36]])/3</f>
        <v>0.66666666666666663</v>
      </c>
    </row>
    <row r="262" spans="1:64" x14ac:dyDescent="0.3">
      <c r="A262" s="7">
        <v>22</v>
      </c>
      <c r="B262" s="7" t="s">
        <v>128</v>
      </c>
      <c r="C262" s="7" t="s">
        <v>113</v>
      </c>
      <c r="D262" s="7" t="s">
        <v>72</v>
      </c>
      <c r="E262" s="7" t="s">
        <v>73</v>
      </c>
      <c r="F262" s="7" t="s">
        <v>74</v>
      </c>
      <c r="G262" s="7" t="s">
        <v>99</v>
      </c>
      <c r="H262" s="7" t="s">
        <v>136</v>
      </c>
      <c r="I262" s="7" t="s">
        <v>439</v>
      </c>
      <c r="J262" s="7" t="s">
        <v>101</v>
      </c>
      <c r="K262" s="7" t="s">
        <v>78</v>
      </c>
      <c r="L262" s="8" t="s">
        <v>79</v>
      </c>
      <c r="M262" s="8" t="s">
        <v>80</v>
      </c>
      <c r="N262" s="8" t="s">
        <v>79</v>
      </c>
      <c r="O262" s="8" t="s">
        <v>138</v>
      </c>
      <c r="P262" s="8" t="s">
        <v>82</v>
      </c>
      <c r="Q262" s="8" t="s">
        <v>103</v>
      </c>
      <c r="R262" s="8" t="s">
        <v>82</v>
      </c>
      <c r="S262" s="8" t="s">
        <v>82</v>
      </c>
      <c r="T262" s="8" t="s">
        <v>86</v>
      </c>
      <c r="U262" s="8" t="s">
        <v>120</v>
      </c>
      <c r="V262" s="8" t="s">
        <v>455</v>
      </c>
      <c r="W262" s="9">
        <v>1</v>
      </c>
      <c r="X262" s="9">
        <v>2</v>
      </c>
      <c r="Y262" s="9">
        <v>2</v>
      </c>
      <c r="Z262" s="9">
        <v>1</v>
      </c>
      <c r="AA262" s="9">
        <v>0</v>
      </c>
      <c r="AB262" s="9">
        <v>1</v>
      </c>
      <c r="AC262" s="9">
        <v>2</v>
      </c>
      <c r="AD262" s="9">
        <v>2</v>
      </c>
      <c r="AE262" s="9">
        <v>0</v>
      </c>
      <c r="AF262" s="9">
        <v>1</v>
      </c>
      <c r="AG262" s="9">
        <v>1</v>
      </c>
      <c r="AH262" s="9">
        <v>2</v>
      </c>
      <c r="AI262" s="9">
        <v>1</v>
      </c>
      <c r="AJ262" s="9">
        <v>0</v>
      </c>
      <c r="AK262" s="9">
        <v>1</v>
      </c>
      <c r="AL262" s="10">
        <v>1</v>
      </c>
      <c r="AM262" s="10">
        <v>2</v>
      </c>
      <c r="AN262" s="10">
        <v>0</v>
      </c>
      <c r="AO262" s="10">
        <v>1</v>
      </c>
      <c r="AP262" s="10">
        <v>1</v>
      </c>
      <c r="AQ262" s="10">
        <v>0</v>
      </c>
      <c r="AR262" s="10">
        <v>1</v>
      </c>
      <c r="AS262" s="11">
        <v>2</v>
      </c>
      <c r="AT262" s="11">
        <v>2</v>
      </c>
      <c r="AU262" s="11">
        <v>0</v>
      </c>
      <c r="AV262" s="11">
        <v>1</v>
      </c>
      <c r="AW262" s="11">
        <v>2</v>
      </c>
      <c r="AX262" s="11">
        <v>1</v>
      </c>
      <c r="AY262" s="7">
        <v>1</v>
      </c>
      <c r="AZ262" s="7">
        <v>2</v>
      </c>
      <c r="BA262" s="7">
        <v>0</v>
      </c>
      <c r="BB262" s="7">
        <v>2</v>
      </c>
      <c r="BC262" s="7">
        <v>2</v>
      </c>
      <c r="BD262" s="7">
        <v>2</v>
      </c>
      <c r="BE262" s="7">
        <v>1</v>
      </c>
      <c r="BF262" s="7">
        <v>1</v>
      </c>
      <c r="BG262" s="12">
        <f>SUM(data__22[[#This Row],[N1]:[N4]],data__22[[#This Row],[N10]:[N13]],data__22[[#This Row],[N16]:[N18]])/11</f>
        <v>1.2727272727272727</v>
      </c>
      <c r="BH262" s="13">
        <f>SUM(data__22[[#This Row],[N8]:[N9]],data__22[[#This Row],[N23]:[N25]])/5</f>
        <v>1.2</v>
      </c>
      <c r="BI262" s="12">
        <f>SUM(data__22[[#This Row],[N5]:[N7]])/3</f>
        <v>1</v>
      </c>
      <c r="BJ262" s="12">
        <f>SUM(data__22[[#This Row],[N14]:[N15]],data__22[[#This Row],[N19]:[N22]],data__22[[#This Row],[N26]:[N28]])/9</f>
        <v>0.88888888888888884</v>
      </c>
      <c r="BK262" s="12">
        <f>SUM(data__22[[#This Row],[N29]:[N33]])/5</f>
        <v>1.4</v>
      </c>
      <c r="BL262" s="12">
        <f>SUM(data__22[[#This Row],[N34]:[N36]])/3</f>
        <v>1.3333333333333333</v>
      </c>
    </row>
    <row r="263" spans="1:64" x14ac:dyDescent="0.3">
      <c r="A263" s="7">
        <v>24</v>
      </c>
      <c r="B263" s="7" t="s">
        <v>70</v>
      </c>
      <c r="C263" s="7" t="s">
        <v>71</v>
      </c>
      <c r="D263" s="7" t="s">
        <v>72</v>
      </c>
      <c r="E263" s="7" t="s">
        <v>108</v>
      </c>
      <c r="F263" s="7" t="s">
        <v>98</v>
      </c>
      <c r="G263" s="7" t="s">
        <v>166</v>
      </c>
      <c r="H263" s="7" t="s">
        <v>98</v>
      </c>
      <c r="I263" s="7" t="s">
        <v>76</v>
      </c>
      <c r="J263" s="7" t="s">
        <v>77</v>
      </c>
      <c r="K263" s="7" t="s">
        <v>122</v>
      </c>
      <c r="L263" s="8" t="s">
        <v>79</v>
      </c>
      <c r="M263" s="8" t="s">
        <v>80</v>
      </c>
      <c r="N263" s="8" t="s">
        <v>79</v>
      </c>
      <c r="O263" s="8" t="s">
        <v>138</v>
      </c>
      <c r="P263" s="8" t="s">
        <v>79</v>
      </c>
      <c r="Q263" s="8" t="s">
        <v>118</v>
      </c>
      <c r="R263" s="8" t="s">
        <v>79</v>
      </c>
      <c r="S263" s="8" t="s">
        <v>82</v>
      </c>
      <c r="T263" s="8" t="s">
        <v>86</v>
      </c>
      <c r="U263" s="8" t="s">
        <v>120</v>
      </c>
      <c r="V263" s="8" t="s">
        <v>127</v>
      </c>
      <c r="W263" s="9">
        <v>2</v>
      </c>
      <c r="X263" s="9">
        <v>1</v>
      </c>
      <c r="Y263" s="9">
        <v>1</v>
      </c>
      <c r="Z263" s="9">
        <v>1</v>
      </c>
      <c r="AA263" s="9">
        <v>2</v>
      </c>
      <c r="AB263" s="9">
        <v>2</v>
      </c>
      <c r="AC263" s="9">
        <v>1</v>
      </c>
      <c r="AD263" s="9">
        <v>1</v>
      </c>
      <c r="AE263" s="9">
        <v>1</v>
      </c>
      <c r="AF263" s="9">
        <v>2</v>
      </c>
      <c r="AG263" s="9">
        <v>2</v>
      </c>
      <c r="AH263" s="9">
        <v>2</v>
      </c>
      <c r="AI263" s="9">
        <v>1</v>
      </c>
      <c r="AJ263" s="9">
        <v>1</v>
      </c>
      <c r="AK263" s="9">
        <v>2</v>
      </c>
      <c r="AL263" s="10">
        <v>1</v>
      </c>
      <c r="AM263" s="10">
        <v>1</v>
      </c>
      <c r="AN263" s="10">
        <v>0</v>
      </c>
      <c r="AO263" s="10">
        <v>0</v>
      </c>
      <c r="AP263" s="10">
        <v>1</v>
      </c>
      <c r="AQ263" s="10">
        <v>1</v>
      </c>
      <c r="AR263" s="10">
        <v>1</v>
      </c>
      <c r="AS263" s="11">
        <v>1</v>
      </c>
      <c r="AT263" s="11">
        <v>2</v>
      </c>
      <c r="AU263" s="11">
        <v>1</v>
      </c>
      <c r="AV263" s="11">
        <v>1</v>
      </c>
      <c r="AW263" s="11">
        <v>0</v>
      </c>
      <c r="AX263" s="11">
        <v>0</v>
      </c>
      <c r="AY263" s="7">
        <v>1</v>
      </c>
      <c r="AZ263" s="7">
        <v>2</v>
      </c>
      <c r="BA263" s="7">
        <v>2</v>
      </c>
      <c r="BB263" s="7">
        <v>1</v>
      </c>
      <c r="BC263" s="7">
        <v>1</v>
      </c>
      <c r="BD263" s="7">
        <v>1</v>
      </c>
      <c r="BE263" s="7">
        <v>0</v>
      </c>
      <c r="BF263" s="7">
        <v>1</v>
      </c>
      <c r="BG263" s="12">
        <f>SUM(data__22[[#This Row],[N1]:[N4]],data__22[[#This Row],[N10]:[N13]],data__22[[#This Row],[N16]:[N18]])/11</f>
        <v>1.2727272727272727</v>
      </c>
      <c r="BH263" s="13">
        <f>SUM(data__22[[#This Row],[N8]:[N9]],data__22[[#This Row],[N23]:[N25]])/5</f>
        <v>1.2</v>
      </c>
      <c r="BI263" s="12">
        <f>SUM(data__22[[#This Row],[N5]:[N7]])/3</f>
        <v>1.6666666666666667</v>
      </c>
      <c r="BJ263" s="12">
        <f>SUM(data__22[[#This Row],[N14]:[N15]],data__22[[#This Row],[N19]:[N22]],data__22[[#This Row],[N26]:[N28]])/9</f>
        <v>0.77777777777777779</v>
      </c>
      <c r="BK263" s="12">
        <f>SUM(data__22[[#This Row],[N29]:[N33]])/5</f>
        <v>1.4</v>
      </c>
      <c r="BL263" s="12">
        <f>SUM(data__22[[#This Row],[N34]:[N36]])/3</f>
        <v>0.66666666666666663</v>
      </c>
    </row>
    <row r="264" spans="1:64" x14ac:dyDescent="0.3">
      <c r="A264" s="7">
        <v>23</v>
      </c>
      <c r="B264" s="7" t="s">
        <v>70</v>
      </c>
      <c r="C264" s="7" t="s">
        <v>113</v>
      </c>
      <c r="D264" s="7" t="s">
        <v>72</v>
      </c>
      <c r="E264" s="7" t="s">
        <v>73</v>
      </c>
      <c r="F264" s="7" t="s">
        <v>98</v>
      </c>
      <c r="G264" s="7" t="s">
        <v>440</v>
      </c>
      <c r="H264" s="7" t="s">
        <v>98</v>
      </c>
      <c r="I264" s="7" t="s">
        <v>76</v>
      </c>
      <c r="J264" s="7" t="s">
        <v>77</v>
      </c>
      <c r="K264" s="7" t="s">
        <v>125</v>
      </c>
      <c r="L264" s="8" t="s">
        <v>79</v>
      </c>
      <c r="M264" s="8" t="s">
        <v>80</v>
      </c>
      <c r="N264" s="8" t="s">
        <v>79</v>
      </c>
      <c r="O264" s="8" t="s">
        <v>81</v>
      </c>
      <c r="P264" s="8" t="s">
        <v>79</v>
      </c>
      <c r="Q264" s="8" t="s">
        <v>83</v>
      </c>
      <c r="R264" s="8" t="s">
        <v>79</v>
      </c>
      <c r="S264" s="8" t="s">
        <v>79</v>
      </c>
      <c r="T264" s="8" t="s">
        <v>86</v>
      </c>
      <c r="U264" s="8" t="s">
        <v>120</v>
      </c>
      <c r="V264" s="8" t="s">
        <v>127</v>
      </c>
      <c r="W264" s="9">
        <v>1</v>
      </c>
      <c r="X264" s="9">
        <v>2</v>
      </c>
      <c r="Y264" s="9">
        <v>2</v>
      </c>
      <c r="Z264" s="9">
        <v>2</v>
      </c>
      <c r="AA264" s="9">
        <v>1</v>
      </c>
      <c r="AB264" s="9">
        <v>1</v>
      </c>
      <c r="AC264" s="9">
        <v>1</v>
      </c>
      <c r="AD264" s="9">
        <v>2</v>
      </c>
      <c r="AE264" s="9">
        <v>2</v>
      </c>
      <c r="AF264" s="9">
        <v>3</v>
      </c>
      <c r="AG264" s="9">
        <v>3</v>
      </c>
      <c r="AH264" s="9">
        <v>1</v>
      </c>
      <c r="AI264" s="9">
        <v>2</v>
      </c>
      <c r="AJ264" s="9">
        <v>3</v>
      </c>
      <c r="AK264" s="9">
        <v>2</v>
      </c>
      <c r="AL264" s="10">
        <v>1</v>
      </c>
      <c r="AM264" s="10">
        <v>0</v>
      </c>
      <c r="AN264" s="10">
        <v>2</v>
      </c>
      <c r="AO264" s="10">
        <v>1</v>
      </c>
      <c r="AP264" s="10">
        <v>2</v>
      </c>
      <c r="AQ264" s="10">
        <v>1</v>
      </c>
      <c r="AR264" s="10">
        <v>1</v>
      </c>
      <c r="AS264" s="11">
        <v>2</v>
      </c>
      <c r="AT264" s="11">
        <v>2</v>
      </c>
      <c r="AU264" s="11">
        <v>1</v>
      </c>
      <c r="AV264" s="11">
        <v>1</v>
      </c>
      <c r="AW264" s="11">
        <v>2</v>
      </c>
      <c r="AX264" s="11">
        <v>2</v>
      </c>
      <c r="AY264" s="7">
        <v>1</v>
      </c>
      <c r="AZ264" s="7">
        <v>1</v>
      </c>
      <c r="BA264" s="7">
        <v>2</v>
      </c>
      <c r="BB264" s="7">
        <v>0</v>
      </c>
      <c r="BC264" s="7">
        <v>1</v>
      </c>
      <c r="BD264" s="7">
        <v>1</v>
      </c>
      <c r="BE264" s="7">
        <v>2</v>
      </c>
      <c r="BF264" s="7">
        <v>2</v>
      </c>
      <c r="BG264" s="12">
        <f>SUM(data__22[[#This Row],[N1]:[N4]],data__22[[#This Row],[N10]:[N13]],data__22[[#This Row],[N16]:[N18]])/11</f>
        <v>1.7272727272727273</v>
      </c>
      <c r="BH264" s="13">
        <f>SUM(data__22[[#This Row],[N8]:[N9]],data__22[[#This Row],[N23]:[N25]])/5</f>
        <v>1.8</v>
      </c>
      <c r="BI264" s="12">
        <f>SUM(data__22[[#This Row],[N5]:[N7]])/3</f>
        <v>1</v>
      </c>
      <c r="BJ264" s="12">
        <f>SUM(data__22[[#This Row],[N14]:[N15]],data__22[[#This Row],[N19]:[N22]],data__22[[#This Row],[N26]:[N28]])/9</f>
        <v>1.6666666666666667</v>
      </c>
      <c r="BK264" s="12">
        <f>SUM(data__22[[#This Row],[N29]:[N33]])/5</f>
        <v>1</v>
      </c>
      <c r="BL264" s="12">
        <f>SUM(data__22[[#This Row],[N34]:[N36]])/3</f>
        <v>1.6666666666666667</v>
      </c>
    </row>
    <row r="265" spans="1:64" x14ac:dyDescent="0.3">
      <c r="A265" s="7">
        <v>23</v>
      </c>
      <c r="B265" s="7" t="s">
        <v>70</v>
      </c>
      <c r="C265" s="7" t="s">
        <v>113</v>
      </c>
      <c r="D265" s="7" t="s">
        <v>72</v>
      </c>
      <c r="E265" s="7" t="s">
        <v>108</v>
      </c>
      <c r="F265" s="7" t="s">
        <v>98</v>
      </c>
      <c r="G265" s="7" t="s">
        <v>440</v>
      </c>
      <c r="H265" s="7" t="s">
        <v>98</v>
      </c>
      <c r="I265" s="7" t="s">
        <v>439</v>
      </c>
      <c r="J265" s="7" t="s">
        <v>101</v>
      </c>
      <c r="K265" s="7" t="s">
        <v>78</v>
      </c>
      <c r="L265" s="8" t="s">
        <v>79</v>
      </c>
      <c r="M265" s="8" t="s">
        <v>80</v>
      </c>
      <c r="N265" s="8" t="s">
        <v>82</v>
      </c>
      <c r="O265" s="8" t="s">
        <v>179</v>
      </c>
      <c r="P265" s="8" t="s">
        <v>79</v>
      </c>
      <c r="Q265" s="8" t="s">
        <v>83</v>
      </c>
      <c r="R265" s="8" t="s">
        <v>79</v>
      </c>
      <c r="S265" s="8" t="s">
        <v>79</v>
      </c>
      <c r="T265" s="8" t="s">
        <v>86</v>
      </c>
      <c r="U265" s="8" t="s">
        <v>141</v>
      </c>
      <c r="V265" s="8" t="s">
        <v>127</v>
      </c>
      <c r="W265" s="9">
        <v>1</v>
      </c>
      <c r="X265" s="9">
        <v>1</v>
      </c>
      <c r="Y265" s="9">
        <v>1</v>
      </c>
      <c r="Z265" s="9">
        <v>2</v>
      </c>
      <c r="AA265" s="9">
        <v>2</v>
      </c>
      <c r="AB265" s="9">
        <v>1</v>
      </c>
      <c r="AC265" s="9">
        <v>0</v>
      </c>
      <c r="AD265" s="9">
        <v>0</v>
      </c>
      <c r="AE265" s="9">
        <v>2</v>
      </c>
      <c r="AF265" s="9">
        <v>2</v>
      </c>
      <c r="AG265" s="9">
        <v>1</v>
      </c>
      <c r="AH265" s="9">
        <v>0</v>
      </c>
      <c r="AI265" s="9">
        <v>0</v>
      </c>
      <c r="AJ265" s="9">
        <v>0</v>
      </c>
      <c r="AK265" s="9">
        <v>2</v>
      </c>
      <c r="AL265" s="10">
        <v>1</v>
      </c>
      <c r="AM265" s="10">
        <v>0</v>
      </c>
      <c r="AN265" s="10">
        <v>0</v>
      </c>
      <c r="AO265" s="10">
        <v>2</v>
      </c>
      <c r="AP265" s="10">
        <v>2</v>
      </c>
      <c r="AQ265" s="10">
        <v>1</v>
      </c>
      <c r="AR265" s="10">
        <v>1</v>
      </c>
      <c r="AS265" s="11">
        <v>2</v>
      </c>
      <c r="AT265" s="11">
        <v>2</v>
      </c>
      <c r="AU265" s="11">
        <v>1</v>
      </c>
      <c r="AV265" s="11">
        <v>1</v>
      </c>
      <c r="AW265" s="11">
        <v>0</v>
      </c>
      <c r="AX265" s="11">
        <v>0</v>
      </c>
      <c r="AY265" s="7">
        <v>1</v>
      </c>
      <c r="AZ265" s="7">
        <v>2</v>
      </c>
      <c r="BA265" s="7">
        <v>2</v>
      </c>
      <c r="BB265" s="7">
        <v>2</v>
      </c>
      <c r="BC265" s="7">
        <v>1</v>
      </c>
      <c r="BD265" s="7">
        <v>1</v>
      </c>
      <c r="BE265" s="7">
        <v>2</v>
      </c>
      <c r="BF265" s="7">
        <v>2</v>
      </c>
      <c r="BG265" s="12">
        <f>SUM(data__22[[#This Row],[N1]:[N4]],data__22[[#This Row],[N10]:[N13]],data__22[[#This Row],[N16]:[N18]])/11</f>
        <v>0.81818181818181823</v>
      </c>
      <c r="BH265" s="13">
        <f>SUM(data__22[[#This Row],[N8]:[N9]],data__22[[#This Row],[N23]:[N25]])/5</f>
        <v>1.4</v>
      </c>
      <c r="BI265" s="12">
        <f>SUM(data__22[[#This Row],[N5]:[N7]])/3</f>
        <v>1</v>
      </c>
      <c r="BJ265" s="12">
        <f>SUM(data__22[[#This Row],[N14]:[N15]],data__22[[#This Row],[N19]:[N22]],data__22[[#This Row],[N26]:[N28]])/9</f>
        <v>1</v>
      </c>
      <c r="BK265" s="12">
        <f>SUM(data__22[[#This Row],[N29]:[N33]])/5</f>
        <v>1.6</v>
      </c>
      <c r="BL265" s="12">
        <f>SUM(data__22[[#This Row],[N34]:[N36]])/3</f>
        <v>1.6666666666666667</v>
      </c>
    </row>
    <row r="266" spans="1:64" x14ac:dyDescent="0.3">
      <c r="A266" s="7">
        <v>23</v>
      </c>
      <c r="B266" s="7" t="s">
        <v>70</v>
      </c>
      <c r="C266" s="7" t="s">
        <v>113</v>
      </c>
      <c r="D266" s="7" t="s">
        <v>72</v>
      </c>
      <c r="E266" s="7" t="s">
        <v>108</v>
      </c>
      <c r="F266" s="7" t="s">
        <v>136</v>
      </c>
      <c r="G266" s="7" t="s">
        <v>440</v>
      </c>
      <c r="H266" s="7" t="s">
        <v>98</v>
      </c>
      <c r="I266" s="7" t="s">
        <v>76</v>
      </c>
      <c r="J266" s="7" t="s">
        <v>77</v>
      </c>
      <c r="K266" s="7" t="s">
        <v>122</v>
      </c>
      <c r="L266" s="8" t="s">
        <v>79</v>
      </c>
      <c r="M266" s="8" t="s">
        <v>132</v>
      </c>
      <c r="N266" s="8" t="s">
        <v>79</v>
      </c>
      <c r="O266" s="8" t="s">
        <v>133</v>
      </c>
      <c r="P266" s="8" t="s">
        <v>79</v>
      </c>
      <c r="Q266" s="8" t="s">
        <v>83</v>
      </c>
      <c r="R266" s="8" t="s">
        <v>82</v>
      </c>
      <c r="S266" s="8" t="s">
        <v>79</v>
      </c>
      <c r="T266" s="8" t="s">
        <v>86</v>
      </c>
      <c r="U266" s="8" t="s">
        <v>120</v>
      </c>
      <c r="V266" s="8" t="s">
        <v>127</v>
      </c>
      <c r="W266" s="9">
        <v>2</v>
      </c>
      <c r="X266" s="9">
        <v>1</v>
      </c>
      <c r="Y266" s="9">
        <v>1</v>
      </c>
      <c r="Z266" s="9">
        <v>2</v>
      </c>
      <c r="AA266" s="9">
        <v>2</v>
      </c>
      <c r="AB266" s="9">
        <v>1</v>
      </c>
      <c r="AC266" s="9">
        <v>1</v>
      </c>
      <c r="AD266" s="9">
        <v>1</v>
      </c>
      <c r="AE266" s="9">
        <v>1</v>
      </c>
      <c r="AF266" s="9">
        <v>2</v>
      </c>
      <c r="AG266" s="9">
        <v>2</v>
      </c>
      <c r="AH266" s="9">
        <v>2</v>
      </c>
      <c r="AI266" s="9">
        <v>3</v>
      </c>
      <c r="AJ266" s="9">
        <v>3</v>
      </c>
      <c r="AK266" s="9">
        <v>2</v>
      </c>
      <c r="AL266" s="10">
        <v>1</v>
      </c>
      <c r="AM266" s="10">
        <v>0</v>
      </c>
      <c r="AN266" s="10">
        <v>1</v>
      </c>
      <c r="AO266" s="10">
        <v>1</v>
      </c>
      <c r="AP266" s="10">
        <v>2</v>
      </c>
      <c r="AQ266" s="10">
        <v>2</v>
      </c>
      <c r="AR266" s="10">
        <v>2</v>
      </c>
      <c r="AS266" s="11">
        <v>1</v>
      </c>
      <c r="AT266" s="11">
        <v>1</v>
      </c>
      <c r="AU266" s="11">
        <v>1</v>
      </c>
      <c r="AV266" s="11">
        <v>1</v>
      </c>
      <c r="AW266" s="11">
        <v>1</v>
      </c>
      <c r="AX266" s="11">
        <v>2</v>
      </c>
      <c r="AY266" s="7">
        <v>2</v>
      </c>
      <c r="AZ266" s="7">
        <v>2</v>
      </c>
      <c r="BA266" s="7">
        <v>2</v>
      </c>
      <c r="BB266" s="7">
        <v>2</v>
      </c>
      <c r="BC266" s="7">
        <v>2</v>
      </c>
      <c r="BD266" s="7">
        <v>2</v>
      </c>
      <c r="BE266" s="7">
        <v>0</v>
      </c>
      <c r="BF266" s="7">
        <v>0</v>
      </c>
      <c r="BG266" s="12">
        <f>SUM(data__22[[#This Row],[N1]:[N4]],data__22[[#This Row],[N10]:[N13]],data__22[[#This Row],[N16]:[N18]])/11</f>
        <v>1.5454545454545454</v>
      </c>
      <c r="BH266" s="13">
        <f>SUM(data__22[[#This Row],[N8]:[N9]],data__22[[#This Row],[N23]:[N25]])/5</f>
        <v>1</v>
      </c>
      <c r="BI266" s="12">
        <f>SUM(data__22[[#This Row],[N5]:[N7]])/3</f>
        <v>1.3333333333333333</v>
      </c>
      <c r="BJ266" s="12">
        <f>SUM(data__22[[#This Row],[N14]:[N15]],data__22[[#This Row],[N19]:[N22]],data__22[[#This Row],[N26]:[N28]])/9</f>
        <v>1.7777777777777777</v>
      </c>
      <c r="BK266" s="12">
        <f>SUM(data__22[[#This Row],[N29]:[N33]])/5</f>
        <v>2</v>
      </c>
      <c r="BL266" s="12">
        <f>SUM(data__22[[#This Row],[N34]:[N36]])/3</f>
        <v>0.66666666666666663</v>
      </c>
    </row>
    <row r="267" spans="1:64" x14ac:dyDescent="0.3">
      <c r="A267" s="7">
        <v>24</v>
      </c>
      <c r="B267" s="7" t="s">
        <v>128</v>
      </c>
      <c r="C267" s="7" t="s">
        <v>113</v>
      </c>
      <c r="D267" s="7" t="s">
        <v>72</v>
      </c>
      <c r="E267" s="7" t="s">
        <v>73</v>
      </c>
      <c r="F267" s="7" t="s">
        <v>136</v>
      </c>
      <c r="G267" s="7" t="s">
        <v>440</v>
      </c>
      <c r="H267" s="7" t="s">
        <v>98</v>
      </c>
      <c r="I267" s="7" t="s">
        <v>439</v>
      </c>
      <c r="J267" s="7" t="s">
        <v>77</v>
      </c>
      <c r="K267" s="7" t="s">
        <v>122</v>
      </c>
      <c r="L267" s="8" t="s">
        <v>79</v>
      </c>
      <c r="M267" s="8" t="s">
        <v>80</v>
      </c>
      <c r="N267" s="8" t="s">
        <v>79</v>
      </c>
      <c r="O267" s="8" t="s">
        <v>138</v>
      </c>
      <c r="P267" s="8" t="s">
        <v>79</v>
      </c>
      <c r="Q267" s="8" t="s">
        <v>118</v>
      </c>
      <c r="R267" s="8" t="s">
        <v>79</v>
      </c>
      <c r="S267" s="8" t="s">
        <v>79</v>
      </c>
      <c r="T267" s="8" t="s">
        <v>86</v>
      </c>
      <c r="U267" s="8" t="s">
        <v>141</v>
      </c>
      <c r="V267" s="8" t="s">
        <v>127</v>
      </c>
      <c r="W267" s="9">
        <v>2</v>
      </c>
      <c r="X267" s="9">
        <v>1</v>
      </c>
      <c r="Y267" s="9">
        <v>1</v>
      </c>
      <c r="Z267" s="9">
        <v>2</v>
      </c>
      <c r="AA267" s="9">
        <v>2</v>
      </c>
      <c r="AB267" s="9">
        <v>1</v>
      </c>
      <c r="AC267" s="9">
        <v>1</v>
      </c>
      <c r="AD267" s="9">
        <v>1</v>
      </c>
      <c r="AE267" s="9">
        <v>1</v>
      </c>
      <c r="AF267" s="9">
        <v>2</v>
      </c>
      <c r="AG267" s="9">
        <v>2</v>
      </c>
      <c r="AH267" s="9">
        <v>2</v>
      </c>
      <c r="AI267" s="9">
        <v>2</v>
      </c>
      <c r="AJ267" s="9">
        <v>1</v>
      </c>
      <c r="AK267" s="9">
        <v>1</v>
      </c>
      <c r="AL267" s="10">
        <v>1</v>
      </c>
      <c r="AM267" s="10">
        <v>2</v>
      </c>
      <c r="AN267" s="10">
        <v>2</v>
      </c>
      <c r="AO267" s="10">
        <v>1</v>
      </c>
      <c r="AP267" s="10">
        <v>0</v>
      </c>
      <c r="AQ267" s="10">
        <v>1</v>
      </c>
      <c r="AR267" s="10">
        <v>1</v>
      </c>
      <c r="AS267" s="11">
        <v>2</v>
      </c>
      <c r="AT267" s="11">
        <v>2</v>
      </c>
      <c r="AU267" s="11">
        <v>2</v>
      </c>
      <c r="AV267" s="11">
        <v>1</v>
      </c>
      <c r="AW267" s="11">
        <v>1</v>
      </c>
      <c r="AX267" s="11">
        <v>1</v>
      </c>
      <c r="AY267" s="7">
        <v>1</v>
      </c>
      <c r="AZ267" s="7">
        <v>2</v>
      </c>
      <c r="BA267" s="7">
        <v>2</v>
      </c>
      <c r="BB267" s="7">
        <v>1</v>
      </c>
      <c r="BC267" s="7">
        <v>1</v>
      </c>
      <c r="BD267" s="7">
        <v>1</v>
      </c>
      <c r="BE267" s="7">
        <v>2</v>
      </c>
      <c r="BF267" s="7">
        <v>2</v>
      </c>
      <c r="BG267" s="12">
        <f>SUM(data__22[[#This Row],[N1]:[N4]],data__22[[#This Row],[N10]:[N13]],data__22[[#This Row],[N16]:[N18]])/11</f>
        <v>1.7272727272727273</v>
      </c>
      <c r="BH267" s="13">
        <f>SUM(data__22[[#This Row],[N8]:[N9]],data__22[[#This Row],[N23]:[N25]])/5</f>
        <v>1.6</v>
      </c>
      <c r="BI267" s="12">
        <f>SUM(data__22[[#This Row],[N5]:[N7]])/3</f>
        <v>1.3333333333333333</v>
      </c>
      <c r="BJ267" s="12">
        <f>SUM(data__22[[#This Row],[N14]:[N15]],data__22[[#This Row],[N19]:[N22]],data__22[[#This Row],[N26]:[N28]])/9</f>
        <v>0.88888888888888884</v>
      </c>
      <c r="BK267" s="12">
        <f>SUM(data__22[[#This Row],[N29]:[N33]])/5</f>
        <v>1.4</v>
      </c>
      <c r="BL267" s="12">
        <f>SUM(data__22[[#This Row],[N34]:[N36]])/3</f>
        <v>1.6666666666666667</v>
      </c>
    </row>
    <row r="268" spans="1:64" x14ac:dyDescent="0.3">
      <c r="A268" s="7">
        <v>23</v>
      </c>
      <c r="B268" s="7" t="s">
        <v>70</v>
      </c>
      <c r="C268" s="7" t="s">
        <v>96</v>
      </c>
      <c r="D268" s="7" t="s">
        <v>72</v>
      </c>
      <c r="E268" s="7" t="s">
        <v>73</v>
      </c>
      <c r="F268" s="7" t="s">
        <v>136</v>
      </c>
      <c r="G268" s="7" t="s">
        <v>440</v>
      </c>
      <c r="H268" s="7" t="s">
        <v>98</v>
      </c>
      <c r="I268" s="7" t="s">
        <v>76</v>
      </c>
      <c r="J268" s="7" t="s">
        <v>77</v>
      </c>
      <c r="K268" s="7" t="s">
        <v>122</v>
      </c>
      <c r="L268" s="8" t="s">
        <v>79</v>
      </c>
      <c r="M268" s="8" t="s">
        <v>80</v>
      </c>
      <c r="N268" s="8" t="s">
        <v>79</v>
      </c>
      <c r="O268" s="8" t="s">
        <v>81</v>
      </c>
      <c r="P268" s="8" t="s">
        <v>79</v>
      </c>
      <c r="Q268" s="8" t="s">
        <v>83</v>
      </c>
      <c r="R268" s="8" t="s">
        <v>79</v>
      </c>
      <c r="S268" s="8" t="s">
        <v>79</v>
      </c>
      <c r="T268" s="8" t="s">
        <v>86</v>
      </c>
      <c r="U268" s="8" t="s">
        <v>141</v>
      </c>
      <c r="V268" s="8" t="s">
        <v>127</v>
      </c>
      <c r="W268" s="9">
        <v>2</v>
      </c>
      <c r="X268" s="9">
        <v>1</v>
      </c>
      <c r="Y268" s="9">
        <v>2</v>
      </c>
      <c r="Z268" s="9">
        <v>2</v>
      </c>
      <c r="AA268" s="9">
        <v>1</v>
      </c>
      <c r="AB268" s="9">
        <v>1</v>
      </c>
      <c r="AC268" s="9">
        <v>2</v>
      </c>
      <c r="AD268" s="9">
        <v>2</v>
      </c>
      <c r="AE268" s="9">
        <v>2</v>
      </c>
      <c r="AF268" s="9">
        <v>1</v>
      </c>
      <c r="AG268" s="9">
        <v>1</v>
      </c>
      <c r="AH268" s="9">
        <v>2</v>
      </c>
      <c r="AI268" s="9">
        <v>2</v>
      </c>
      <c r="AJ268" s="9">
        <v>2</v>
      </c>
      <c r="AK268" s="9">
        <v>2</v>
      </c>
      <c r="AL268" s="10">
        <v>1</v>
      </c>
      <c r="AM268" s="10">
        <v>2</v>
      </c>
      <c r="AN268" s="10">
        <v>1</v>
      </c>
      <c r="AO268" s="10">
        <v>2</v>
      </c>
      <c r="AP268" s="10">
        <v>1</v>
      </c>
      <c r="AQ268" s="10">
        <v>1</v>
      </c>
      <c r="AR268" s="10">
        <v>2</v>
      </c>
      <c r="AS268" s="11">
        <v>1</v>
      </c>
      <c r="AT268" s="11">
        <v>2</v>
      </c>
      <c r="AU268" s="11">
        <v>2</v>
      </c>
      <c r="AV268" s="11">
        <v>1</v>
      </c>
      <c r="AW268" s="11">
        <v>2</v>
      </c>
      <c r="AX268" s="11">
        <v>1</v>
      </c>
      <c r="AY268" s="7">
        <v>1</v>
      </c>
      <c r="AZ268" s="7">
        <v>1</v>
      </c>
      <c r="BA268" s="7">
        <v>1</v>
      </c>
      <c r="BB268" s="7">
        <v>2</v>
      </c>
      <c r="BC268" s="7">
        <v>2</v>
      </c>
      <c r="BD268" s="7">
        <v>3</v>
      </c>
      <c r="BE268" s="7">
        <v>3</v>
      </c>
      <c r="BF268" s="7">
        <v>2</v>
      </c>
      <c r="BG268" s="12">
        <f>SUM(data__22[[#This Row],[N1]:[N4]],data__22[[#This Row],[N10]:[N13]],data__22[[#This Row],[N16]:[N18]])/11</f>
        <v>1.5454545454545454</v>
      </c>
      <c r="BH268" s="13">
        <f>SUM(data__22[[#This Row],[N8]:[N9]],data__22[[#This Row],[N23]:[N25]])/5</f>
        <v>1.8</v>
      </c>
      <c r="BI268" s="12">
        <f>SUM(data__22[[#This Row],[N5]:[N7]])/3</f>
        <v>1.3333333333333333</v>
      </c>
      <c r="BJ268" s="12">
        <f>SUM(data__22[[#This Row],[N14]:[N15]],data__22[[#This Row],[N19]:[N22]],data__22[[#This Row],[N26]:[N28]])/9</f>
        <v>1.5555555555555556</v>
      </c>
      <c r="BK268" s="12">
        <f>SUM(data__22[[#This Row],[N29]:[N33]])/5</f>
        <v>1.4</v>
      </c>
      <c r="BL268" s="12">
        <f>SUM(data__22[[#This Row],[N34]:[N36]])/3</f>
        <v>2.6666666666666665</v>
      </c>
    </row>
    <row r="269" spans="1:64" x14ac:dyDescent="0.3">
      <c r="A269" s="7">
        <v>23</v>
      </c>
      <c r="B269" s="7" t="s">
        <v>70</v>
      </c>
      <c r="C269" s="7" t="s">
        <v>113</v>
      </c>
      <c r="D269" s="7" t="s">
        <v>149</v>
      </c>
      <c r="E269" s="7" t="s">
        <v>73</v>
      </c>
      <c r="F269" s="7" t="s">
        <v>98</v>
      </c>
      <c r="G269" s="7" t="s">
        <v>440</v>
      </c>
      <c r="H269" s="7" t="s">
        <v>98</v>
      </c>
      <c r="I269" s="7" t="s">
        <v>439</v>
      </c>
      <c r="J269" s="7" t="s">
        <v>77</v>
      </c>
      <c r="K269" s="7" t="s">
        <v>122</v>
      </c>
      <c r="L269" s="8" t="s">
        <v>79</v>
      </c>
      <c r="M269" s="8" t="s">
        <v>80</v>
      </c>
      <c r="N269" s="8" t="s">
        <v>79</v>
      </c>
      <c r="O269" s="8" t="s">
        <v>138</v>
      </c>
      <c r="P269" s="8" t="s">
        <v>79</v>
      </c>
      <c r="Q269" s="8" t="s">
        <v>83</v>
      </c>
      <c r="R269" s="8" t="s">
        <v>79</v>
      </c>
      <c r="S269" s="8" t="s">
        <v>79</v>
      </c>
      <c r="T269" s="8" t="s">
        <v>148</v>
      </c>
      <c r="U269" s="8" t="s">
        <v>141</v>
      </c>
      <c r="V269" s="8" t="s">
        <v>127</v>
      </c>
      <c r="W269" s="9">
        <v>1</v>
      </c>
      <c r="X269" s="9">
        <v>2</v>
      </c>
      <c r="Y269" s="9">
        <v>2</v>
      </c>
      <c r="Z269" s="9">
        <v>2</v>
      </c>
      <c r="AA269" s="9">
        <v>2</v>
      </c>
      <c r="AB269" s="9">
        <v>1</v>
      </c>
      <c r="AC269" s="9">
        <v>1</v>
      </c>
      <c r="AD269" s="9">
        <v>2</v>
      </c>
      <c r="AE269" s="9">
        <v>2</v>
      </c>
      <c r="AF269" s="9">
        <v>2</v>
      </c>
      <c r="AG269" s="9">
        <v>2</v>
      </c>
      <c r="AH269" s="9">
        <v>2</v>
      </c>
      <c r="AI269" s="9">
        <v>1</v>
      </c>
      <c r="AJ269" s="9">
        <v>2</v>
      </c>
      <c r="AK269" s="9">
        <v>1</v>
      </c>
      <c r="AL269" s="10">
        <v>1</v>
      </c>
      <c r="AM269" s="10">
        <v>2</v>
      </c>
      <c r="AN269" s="10">
        <v>2</v>
      </c>
      <c r="AO269" s="10">
        <v>1</v>
      </c>
      <c r="AP269" s="10">
        <v>2</v>
      </c>
      <c r="AQ269" s="10">
        <v>2</v>
      </c>
      <c r="AR269" s="10">
        <v>1</v>
      </c>
      <c r="AS269" s="11">
        <v>1</v>
      </c>
      <c r="AT269" s="11">
        <v>2</v>
      </c>
      <c r="AU269" s="11">
        <v>2</v>
      </c>
      <c r="AV269" s="11">
        <v>1</v>
      </c>
      <c r="AW269" s="11">
        <v>2</v>
      </c>
      <c r="AX269" s="11">
        <v>1</v>
      </c>
      <c r="AY269" s="7">
        <v>2</v>
      </c>
      <c r="AZ269" s="7">
        <v>2</v>
      </c>
      <c r="BA269" s="7">
        <v>1</v>
      </c>
      <c r="BB269" s="7">
        <v>1</v>
      </c>
      <c r="BC269" s="7">
        <v>1</v>
      </c>
      <c r="BD269" s="7">
        <v>2</v>
      </c>
      <c r="BE269" s="7">
        <v>1</v>
      </c>
      <c r="BF269" s="7">
        <v>1</v>
      </c>
      <c r="BG269" s="12">
        <f>SUM(data__22[[#This Row],[N1]:[N4]],data__22[[#This Row],[N10]:[N13]],data__22[[#This Row],[N16]:[N18]])/11</f>
        <v>1.7272727272727273</v>
      </c>
      <c r="BH269" s="13">
        <f>SUM(data__22[[#This Row],[N8]:[N9]],data__22[[#This Row],[N23]:[N25]])/5</f>
        <v>1.8</v>
      </c>
      <c r="BI269" s="12">
        <f>SUM(data__22[[#This Row],[N5]:[N7]])/3</f>
        <v>1.3333333333333333</v>
      </c>
      <c r="BJ269" s="12">
        <f>SUM(data__22[[#This Row],[N14]:[N15]],data__22[[#This Row],[N19]:[N22]],data__22[[#This Row],[N26]:[N28]])/9</f>
        <v>1.4444444444444444</v>
      </c>
      <c r="BK269" s="12">
        <f>SUM(data__22[[#This Row],[N29]:[N33]])/5</f>
        <v>1.4</v>
      </c>
      <c r="BL269" s="12">
        <f>SUM(data__22[[#This Row],[N34]:[N36]])/3</f>
        <v>1.3333333333333333</v>
      </c>
    </row>
    <row r="270" spans="1:64" x14ac:dyDescent="0.3">
      <c r="A270" s="7">
        <v>22</v>
      </c>
      <c r="B270" s="7" t="s">
        <v>70</v>
      </c>
      <c r="C270" s="7" t="s">
        <v>113</v>
      </c>
      <c r="D270" s="7" t="s">
        <v>72</v>
      </c>
      <c r="E270" s="7" t="s">
        <v>73</v>
      </c>
      <c r="F270" s="7" t="s">
        <v>98</v>
      </c>
      <c r="G270" s="7" t="s">
        <v>440</v>
      </c>
      <c r="H270" s="7" t="s">
        <v>98</v>
      </c>
      <c r="I270" s="7" t="s">
        <v>76</v>
      </c>
      <c r="J270" s="7" t="s">
        <v>77</v>
      </c>
      <c r="K270" s="7" t="s">
        <v>122</v>
      </c>
      <c r="L270" s="8" t="s">
        <v>79</v>
      </c>
      <c r="M270" s="8" t="s">
        <v>80</v>
      </c>
      <c r="N270" s="8" t="s">
        <v>79</v>
      </c>
      <c r="O270" s="8" t="s">
        <v>138</v>
      </c>
      <c r="P270" s="8" t="s">
        <v>79</v>
      </c>
      <c r="Q270" s="8" t="s">
        <v>83</v>
      </c>
      <c r="R270" s="8" t="s">
        <v>79</v>
      </c>
      <c r="S270" s="8" t="s">
        <v>79</v>
      </c>
      <c r="T270" s="8" t="s">
        <v>148</v>
      </c>
      <c r="U270" s="8" t="s">
        <v>141</v>
      </c>
      <c r="V270" s="8" t="s">
        <v>160</v>
      </c>
      <c r="W270" s="9">
        <v>1</v>
      </c>
      <c r="X270" s="9">
        <v>2</v>
      </c>
      <c r="Y270" s="9">
        <v>2</v>
      </c>
      <c r="Z270" s="9">
        <v>1</v>
      </c>
      <c r="AA270" s="9">
        <v>2</v>
      </c>
      <c r="AB270" s="9">
        <v>1</v>
      </c>
      <c r="AC270" s="9">
        <v>1</v>
      </c>
      <c r="AD270" s="9">
        <v>1</v>
      </c>
      <c r="AE270" s="9">
        <v>1</v>
      </c>
      <c r="AF270" s="9">
        <v>2</v>
      </c>
      <c r="AG270" s="9">
        <v>3</v>
      </c>
      <c r="AH270" s="9">
        <v>2</v>
      </c>
      <c r="AI270" s="9">
        <v>1</v>
      </c>
      <c r="AJ270" s="9">
        <v>2</v>
      </c>
      <c r="AK270" s="9">
        <v>1</v>
      </c>
      <c r="AL270" s="10">
        <v>1</v>
      </c>
      <c r="AM270" s="10">
        <v>2</v>
      </c>
      <c r="AN270" s="10">
        <v>0</v>
      </c>
      <c r="AO270" s="10">
        <v>1</v>
      </c>
      <c r="AP270" s="10">
        <v>1</v>
      </c>
      <c r="AQ270" s="10">
        <v>1</v>
      </c>
      <c r="AR270" s="10">
        <v>2</v>
      </c>
      <c r="AS270" s="11">
        <v>1</v>
      </c>
      <c r="AT270" s="11">
        <v>2</v>
      </c>
      <c r="AU270" s="11">
        <v>2</v>
      </c>
      <c r="AV270" s="11">
        <v>1</v>
      </c>
      <c r="AW270" s="11">
        <v>2</v>
      </c>
      <c r="AX270" s="11">
        <v>2</v>
      </c>
      <c r="AY270" s="7">
        <v>1</v>
      </c>
      <c r="AZ270" s="7">
        <v>2</v>
      </c>
      <c r="BA270" s="7">
        <v>2</v>
      </c>
      <c r="BB270" s="7">
        <v>2</v>
      </c>
      <c r="BC270" s="7">
        <v>1</v>
      </c>
      <c r="BD270" s="7">
        <v>1</v>
      </c>
      <c r="BE270" s="7">
        <v>2</v>
      </c>
      <c r="BF270" s="7"/>
      <c r="BG270" s="12">
        <f>SUM(data__22[[#This Row],[N1]:[N4]],data__22[[#This Row],[N10]:[N13]],data__22[[#This Row],[N16]:[N18]])/11</f>
        <v>1.5454545454545454</v>
      </c>
      <c r="BH270" s="13">
        <f>SUM(data__22[[#This Row],[N8]:[N9]],data__22[[#This Row],[N23]:[N25]])/5</f>
        <v>1.4</v>
      </c>
      <c r="BI270" s="12">
        <f>SUM(data__22[[#This Row],[N5]:[N7]])/3</f>
        <v>1.3333333333333333</v>
      </c>
      <c r="BJ270" s="12">
        <f>SUM(data__22[[#This Row],[N14]:[N15]],data__22[[#This Row],[N19]:[N22]],data__22[[#This Row],[N26]:[N28]])/9</f>
        <v>1.4444444444444444</v>
      </c>
      <c r="BK270" s="12">
        <f>SUM(data__22[[#This Row],[N29]:[N33]])/5</f>
        <v>1.6</v>
      </c>
      <c r="BL270" s="12">
        <f>SUM(data__22[[#This Row],[N34]:[N36]])/3</f>
        <v>1</v>
      </c>
    </row>
    <row r="271" spans="1:64" x14ac:dyDescent="0.3">
      <c r="A271" s="7">
        <v>22</v>
      </c>
      <c r="B271" s="7" t="s">
        <v>128</v>
      </c>
      <c r="C271" s="7" t="s">
        <v>96</v>
      </c>
      <c r="D271" s="7" t="s">
        <v>72</v>
      </c>
      <c r="E271" s="7" t="s">
        <v>108</v>
      </c>
      <c r="F271" s="7" t="s">
        <v>98</v>
      </c>
      <c r="G271" s="7" t="s">
        <v>440</v>
      </c>
      <c r="H271" s="7" t="s">
        <v>100</v>
      </c>
      <c r="I271" s="7" t="s">
        <v>166</v>
      </c>
      <c r="J271" s="7" t="s">
        <v>77</v>
      </c>
      <c r="K271" s="7" t="s">
        <v>125</v>
      </c>
      <c r="L271" s="8" t="s">
        <v>79</v>
      </c>
      <c r="M271" s="8" t="s">
        <v>132</v>
      </c>
      <c r="N271" s="8" t="s">
        <v>79</v>
      </c>
      <c r="O271" s="8" t="s">
        <v>179</v>
      </c>
      <c r="P271" s="8" t="s">
        <v>79</v>
      </c>
      <c r="Q271" s="8" t="s">
        <v>83</v>
      </c>
      <c r="R271" s="8" t="s">
        <v>79</v>
      </c>
      <c r="S271" s="8" t="s">
        <v>79</v>
      </c>
      <c r="T271" s="8" t="s">
        <v>86</v>
      </c>
      <c r="U271" s="8" t="s">
        <v>120</v>
      </c>
      <c r="V271" s="8" t="s">
        <v>127</v>
      </c>
      <c r="W271" s="9">
        <v>1</v>
      </c>
      <c r="X271" s="9">
        <v>2</v>
      </c>
      <c r="Y271" s="9">
        <v>2</v>
      </c>
      <c r="Z271" s="9">
        <v>1</v>
      </c>
      <c r="AA271" s="9">
        <v>1</v>
      </c>
      <c r="AB271" s="9">
        <v>2</v>
      </c>
      <c r="AC271" s="9">
        <v>1</v>
      </c>
      <c r="AD271" s="9">
        <v>2</v>
      </c>
      <c r="AE271" s="9">
        <v>1</v>
      </c>
      <c r="AF271" s="9">
        <v>0</v>
      </c>
      <c r="AG271" s="9">
        <v>1</v>
      </c>
      <c r="AH271" s="9">
        <v>0</v>
      </c>
      <c r="AI271" s="9">
        <v>1</v>
      </c>
      <c r="AJ271" s="9">
        <v>1</v>
      </c>
      <c r="AK271" s="9">
        <v>0</v>
      </c>
      <c r="AL271" s="10">
        <v>1</v>
      </c>
      <c r="AM271" s="10">
        <v>2</v>
      </c>
      <c r="AN271" s="10">
        <v>1</v>
      </c>
      <c r="AO271" s="10">
        <v>1</v>
      </c>
      <c r="AP271" s="10">
        <v>1</v>
      </c>
      <c r="AQ271" s="10">
        <v>2</v>
      </c>
      <c r="AR271" s="10">
        <v>2</v>
      </c>
      <c r="AS271" s="11">
        <v>1</v>
      </c>
      <c r="AT271" s="11">
        <v>2</v>
      </c>
      <c r="AU271" s="11">
        <v>2</v>
      </c>
      <c r="AV271" s="11">
        <v>2</v>
      </c>
      <c r="AW271" s="11">
        <v>1</v>
      </c>
      <c r="AX271" s="11">
        <v>1</v>
      </c>
      <c r="AY271" s="7">
        <v>1</v>
      </c>
      <c r="AZ271" s="7">
        <v>0</v>
      </c>
      <c r="BA271" s="7">
        <v>1</v>
      </c>
      <c r="BB271" s="7">
        <v>1</v>
      </c>
      <c r="BC271" s="7">
        <v>1</v>
      </c>
      <c r="BD271" s="7">
        <v>0</v>
      </c>
      <c r="BE271" s="7">
        <v>0</v>
      </c>
      <c r="BF271" s="7">
        <v>1</v>
      </c>
      <c r="BG271" s="12">
        <f>SUM(data__22[[#This Row],[N1]:[N4]],data__22[[#This Row],[N10]:[N13]],data__22[[#This Row],[N16]:[N18]])/11</f>
        <v>1.0909090909090908</v>
      </c>
      <c r="BH271" s="13">
        <f>SUM(data__22[[#This Row],[N8]:[N9]],data__22[[#This Row],[N23]:[N25]])/5</f>
        <v>1.6</v>
      </c>
      <c r="BI271" s="12">
        <f>SUM(data__22[[#This Row],[N5]:[N7]])/3</f>
        <v>1.3333333333333333</v>
      </c>
      <c r="BJ271" s="12">
        <f>SUM(data__22[[#This Row],[N14]:[N15]],data__22[[#This Row],[N19]:[N22]],data__22[[#This Row],[N26]:[N28]])/9</f>
        <v>1.2222222222222223</v>
      </c>
      <c r="BK271" s="12">
        <f>SUM(data__22[[#This Row],[N29]:[N33]])/5</f>
        <v>0.8</v>
      </c>
      <c r="BL271" s="12">
        <f>SUM(data__22[[#This Row],[N34]:[N36]])/3</f>
        <v>0.33333333333333331</v>
      </c>
    </row>
    <row r="272" spans="1:64" x14ac:dyDescent="0.3">
      <c r="A272" s="7">
        <v>23</v>
      </c>
      <c r="B272" s="7" t="s">
        <v>70</v>
      </c>
      <c r="C272" s="7" t="s">
        <v>113</v>
      </c>
      <c r="D272" s="7" t="s">
        <v>72</v>
      </c>
      <c r="E272" s="7" t="s">
        <v>108</v>
      </c>
      <c r="F272" s="7" t="s">
        <v>98</v>
      </c>
      <c r="G272" s="7" t="s">
        <v>166</v>
      </c>
      <c r="H272" s="7" t="s">
        <v>136</v>
      </c>
      <c r="I272" s="7" t="s">
        <v>166</v>
      </c>
      <c r="J272" s="7" t="s">
        <v>77</v>
      </c>
      <c r="K272" s="7" t="s">
        <v>125</v>
      </c>
      <c r="L272" s="8" t="s">
        <v>79</v>
      </c>
      <c r="M272" s="8" t="s">
        <v>80</v>
      </c>
      <c r="N272" s="8" t="s">
        <v>79</v>
      </c>
      <c r="O272" s="8" t="s">
        <v>138</v>
      </c>
      <c r="P272" s="8" t="s">
        <v>79</v>
      </c>
      <c r="Q272" s="8" t="s">
        <v>83</v>
      </c>
      <c r="R272" s="8" t="s">
        <v>79</v>
      </c>
      <c r="S272" s="8" t="s">
        <v>79</v>
      </c>
      <c r="T272" s="8" t="s">
        <v>86</v>
      </c>
      <c r="U272" s="8" t="s">
        <v>87</v>
      </c>
      <c r="V272" s="8" t="s">
        <v>127</v>
      </c>
      <c r="W272" s="9">
        <v>1</v>
      </c>
      <c r="X272" s="9">
        <v>2</v>
      </c>
      <c r="Y272" s="9">
        <v>1</v>
      </c>
      <c r="Z272" s="9">
        <v>1</v>
      </c>
      <c r="AA272" s="9">
        <v>2</v>
      </c>
      <c r="AB272" s="9">
        <v>2</v>
      </c>
      <c r="AC272" s="9">
        <v>1</v>
      </c>
      <c r="AD272" s="9">
        <v>1</v>
      </c>
      <c r="AE272" s="9">
        <v>2</v>
      </c>
      <c r="AF272" s="9">
        <v>2</v>
      </c>
      <c r="AG272" s="9">
        <v>1</v>
      </c>
      <c r="AH272" s="9">
        <v>1</v>
      </c>
      <c r="AI272" s="9">
        <v>3</v>
      </c>
      <c r="AJ272" s="9">
        <v>2</v>
      </c>
      <c r="AK272" s="9">
        <v>2</v>
      </c>
      <c r="AL272" s="10">
        <v>2</v>
      </c>
      <c r="AM272" s="10">
        <v>1</v>
      </c>
      <c r="AN272" s="10">
        <v>1</v>
      </c>
      <c r="AO272" s="10">
        <v>1</v>
      </c>
      <c r="AP272" s="10">
        <v>1</v>
      </c>
      <c r="AQ272" s="10">
        <v>2</v>
      </c>
      <c r="AR272" s="10">
        <v>2</v>
      </c>
      <c r="AS272" s="11">
        <v>2</v>
      </c>
      <c r="AT272" s="11">
        <v>1</v>
      </c>
      <c r="AU272" s="11">
        <v>1</v>
      </c>
      <c r="AV272" s="11">
        <v>2</v>
      </c>
      <c r="AW272" s="11">
        <v>2</v>
      </c>
      <c r="AX272" s="11">
        <v>1</v>
      </c>
      <c r="AY272" s="7">
        <v>1</v>
      </c>
      <c r="AZ272" s="7">
        <v>2</v>
      </c>
      <c r="BA272" s="7">
        <v>2</v>
      </c>
      <c r="BB272" s="7">
        <v>1</v>
      </c>
      <c r="BC272" s="7">
        <v>1</v>
      </c>
      <c r="BD272" s="7">
        <v>0</v>
      </c>
      <c r="BE272" s="7">
        <v>1</v>
      </c>
      <c r="BF272" s="7">
        <v>1</v>
      </c>
      <c r="BG272" s="12">
        <f>SUM(data__22[[#This Row],[N1]:[N4]],data__22[[#This Row],[N10]:[N13]],data__22[[#This Row],[N16]:[N18]])/11</f>
        <v>1.4545454545454546</v>
      </c>
      <c r="BH272" s="13">
        <f>SUM(data__22[[#This Row],[N8]:[N9]],data__22[[#This Row],[N23]:[N25]])/5</f>
        <v>1.4</v>
      </c>
      <c r="BI272" s="12">
        <f>SUM(data__22[[#This Row],[N5]:[N7]])/3</f>
        <v>1.6666666666666667</v>
      </c>
      <c r="BJ272" s="12">
        <f>SUM(data__22[[#This Row],[N14]:[N15]],data__22[[#This Row],[N19]:[N22]],data__22[[#This Row],[N26]:[N28]])/9</f>
        <v>1.6666666666666667</v>
      </c>
      <c r="BK272" s="12">
        <f>SUM(data__22[[#This Row],[N29]:[N33]])/5</f>
        <v>1.4</v>
      </c>
      <c r="BL272" s="12">
        <f>SUM(data__22[[#This Row],[N34]:[N36]])/3</f>
        <v>0.66666666666666663</v>
      </c>
    </row>
    <row r="273" spans="1:64" x14ac:dyDescent="0.3">
      <c r="A273" s="7">
        <v>24</v>
      </c>
      <c r="B273" s="7" t="s">
        <v>70</v>
      </c>
      <c r="C273" s="7" t="s">
        <v>113</v>
      </c>
      <c r="D273" s="7" t="s">
        <v>72</v>
      </c>
      <c r="E273" s="7" t="s">
        <v>108</v>
      </c>
      <c r="F273" s="7" t="s">
        <v>136</v>
      </c>
      <c r="G273" s="7" t="s">
        <v>166</v>
      </c>
      <c r="H273" s="7" t="s">
        <v>98</v>
      </c>
      <c r="I273" s="7" t="s">
        <v>76</v>
      </c>
      <c r="J273" s="7" t="s">
        <v>77</v>
      </c>
      <c r="K273" s="7" t="s">
        <v>122</v>
      </c>
      <c r="L273" s="8" t="s">
        <v>79</v>
      </c>
      <c r="M273" s="8" t="s">
        <v>132</v>
      </c>
      <c r="N273" s="8" t="s">
        <v>79</v>
      </c>
      <c r="O273" s="8" t="s">
        <v>109</v>
      </c>
      <c r="P273" s="8" t="s">
        <v>79</v>
      </c>
      <c r="Q273" s="8" t="s">
        <v>118</v>
      </c>
      <c r="R273" s="8" t="s">
        <v>79</v>
      </c>
      <c r="S273" s="8" t="s">
        <v>79</v>
      </c>
      <c r="T273" s="8" t="s">
        <v>106</v>
      </c>
      <c r="U273" s="8" t="s">
        <v>141</v>
      </c>
      <c r="V273" s="8" t="s">
        <v>127</v>
      </c>
      <c r="W273" s="9">
        <v>1</v>
      </c>
      <c r="X273" s="9">
        <v>2</v>
      </c>
      <c r="Y273" s="9">
        <v>1</v>
      </c>
      <c r="Z273" s="9">
        <v>1</v>
      </c>
      <c r="AA273" s="9">
        <v>1</v>
      </c>
      <c r="AB273" s="9">
        <v>2</v>
      </c>
      <c r="AC273" s="9">
        <v>2</v>
      </c>
      <c r="AD273" s="9">
        <v>1</v>
      </c>
      <c r="AE273" s="9">
        <v>1</v>
      </c>
      <c r="AF273" s="9">
        <v>2</v>
      </c>
      <c r="AG273" s="9">
        <v>1</v>
      </c>
      <c r="AH273" s="9">
        <v>1</v>
      </c>
      <c r="AI273" s="9">
        <v>2</v>
      </c>
      <c r="AJ273" s="9">
        <v>2</v>
      </c>
      <c r="AK273" s="9">
        <v>1</v>
      </c>
      <c r="AL273" s="10">
        <v>1</v>
      </c>
      <c r="AM273" s="10">
        <v>1</v>
      </c>
      <c r="AN273" s="10">
        <v>1</v>
      </c>
      <c r="AO273" s="10">
        <v>2</v>
      </c>
      <c r="AP273" s="10">
        <v>2</v>
      </c>
      <c r="AQ273" s="10">
        <v>2</v>
      </c>
      <c r="AR273" s="10">
        <v>1</v>
      </c>
      <c r="AS273" s="11">
        <v>1</v>
      </c>
      <c r="AT273" s="11">
        <v>2</v>
      </c>
      <c r="AU273" s="11">
        <v>2</v>
      </c>
      <c r="AV273" s="11">
        <v>2</v>
      </c>
      <c r="AW273" s="11">
        <v>2</v>
      </c>
      <c r="AX273" s="11">
        <v>1</v>
      </c>
      <c r="AY273" s="7">
        <v>1</v>
      </c>
      <c r="AZ273" s="7">
        <v>2</v>
      </c>
      <c r="BA273" s="7">
        <v>2</v>
      </c>
      <c r="BB273" s="7">
        <v>1</v>
      </c>
      <c r="BC273" s="7">
        <v>1</v>
      </c>
      <c r="BD273" s="7">
        <v>2</v>
      </c>
      <c r="BE273" s="7">
        <v>2</v>
      </c>
      <c r="BF273" s="7">
        <v>2</v>
      </c>
      <c r="BG273" s="12">
        <f>SUM(data__22[[#This Row],[N1]:[N4]],data__22[[#This Row],[N10]:[N13]],data__22[[#This Row],[N16]:[N18]])/11</f>
        <v>1.2727272727272727</v>
      </c>
      <c r="BH273" s="13">
        <f>SUM(data__22[[#This Row],[N8]:[N9]],data__22[[#This Row],[N23]:[N25]])/5</f>
        <v>1.4</v>
      </c>
      <c r="BI273" s="12">
        <f>SUM(data__22[[#This Row],[N5]:[N7]])/3</f>
        <v>1.6666666666666667</v>
      </c>
      <c r="BJ273" s="12">
        <f>SUM(data__22[[#This Row],[N14]:[N15]],data__22[[#This Row],[N19]:[N22]],data__22[[#This Row],[N26]:[N28]])/9</f>
        <v>1.6666666666666667</v>
      </c>
      <c r="BK273" s="12">
        <f>SUM(data__22[[#This Row],[N29]:[N33]])/5</f>
        <v>1.4</v>
      </c>
      <c r="BL273" s="12">
        <f>SUM(data__22[[#This Row],[N34]:[N36]])/3</f>
        <v>2</v>
      </c>
    </row>
    <row r="274" spans="1:64" x14ac:dyDescent="0.3">
      <c r="A274" s="7">
        <v>23</v>
      </c>
      <c r="B274" s="7" t="s">
        <v>128</v>
      </c>
      <c r="C274" s="7" t="s">
        <v>113</v>
      </c>
      <c r="D274" s="7" t="s">
        <v>149</v>
      </c>
      <c r="E274" s="7" t="s">
        <v>114</v>
      </c>
      <c r="F274" s="7" t="s">
        <v>98</v>
      </c>
      <c r="G274" s="7" t="s">
        <v>440</v>
      </c>
      <c r="H274" s="7" t="s">
        <v>98</v>
      </c>
      <c r="I274" s="7" t="s">
        <v>166</v>
      </c>
      <c r="J274" s="7" t="s">
        <v>101</v>
      </c>
      <c r="K274" s="7" t="s">
        <v>122</v>
      </c>
      <c r="L274" s="8" t="s">
        <v>79</v>
      </c>
      <c r="M274" s="8" t="s">
        <v>102</v>
      </c>
      <c r="N274" s="8" t="s">
        <v>79</v>
      </c>
      <c r="O274" s="8" t="s">
        <v>138</v>
      </c>
      <c r="P274" s="8" t="s">
        <v>79</v>
      </c>
      <c r="Q274" s="8" t="s">
        <v>83</v>
      </c>
      <c r="R274" s="8" t="s">
        <v>79</v>
      </c>
      <c r="S274" s="8" t="s">
        <v>79</v>
      </c>
      <c r="T274" s="8" t="s">
        <v>86</v>
      </c>
      <c r="U274" s="8" t="s">
        <v>87</v>
      </c>
      <c r="V274" s="8" t="s">
        <v>127</v>
      </c>
      <c r="W274" s="9">
        <v>1</v>
      </c>
      <c r="X274" s="9">
        <v>2</v>
      </c>
      <c r="Y274" s="9">
        <v>2</v>
      </c>
      <c r="Z274" s="9">
        <v>2</v>
      </c>
      <c r="AA274" s="9">
        <v>1</v>
      </c>
      <c r="AB274" s="9">
        <v>1</v>
      </c>
      <c r="AC274" s="9">
        <v>2</v>
      </c>
      <c r="AD274" s="9">
        <v>2</v>
      </c>
      <c r="AE274" s="9">
        <v>2</v>
      </c>
      <c r="AF274" s="9">
        <v>1</v>
      </c>
      <c r="AG274" s="9">
        <v>1</v>
      </c>
      <c r="AH274" s="9">
        <v>1</v>
      </c>
      <c r="AI274" s="9">
        <v>2</v>
      </c>
      <c r="AJ274" s="9">
        <v>2</v>
      </c>
      <c r="AK274" s="9">
        <v>2</v>
      </c>
      <c r="AL274" s="10">
        <v>2</v>
      </c>
      <c r="AM274" s="10">
        <v>2</v>
      </c>
      <c r="AN274" s="10">
        <v>1</v>
      </c>
      <c r="AO274" s="10">
        <v>1</v>
      </c>
      <c r="AP274" s="10">
        <v>1</v>
      </c>
      <c r="AQ274" s="10">
        <v>2</v>
      </c>
      <c r="AR274" s="10">
        <v>2</v>
      </c>
      <c r="AS274" s="11">
        <v>2</v>
      </c>
      <c r="AT274" s="11">
        <v>1</v>
      </c>
      <c r="AU274" s="11">
        <v>1</v>
      </c>
      <c r="AV274" s="11">
        <v>1</v>
      </c>
      <c r="AW274" s="11">
        <v>1</v>
      </c>
      <c r="AX274" s="11">
        <v>2</v>
      </c>
      <c r="AY274" s="7">
        <v>2</v>
      </c>
      <c r="AZ274" s="7">
        <v>2</v>
      </c>
      <c r="BA274" s="7">
        <v>2</v>
      </c>
      <c r="BB274" s="7">
        <v>1</v>
      </c>
      <c r="BC274" s="7">
        <v>1</v>
      </c>
      <c r="BD274" s="7">
        <v>1</v>
      </c>
      <c r="BE274" s="7">
        <v>1</v>
      </c>
      <c r="BF274" s="7">
        <v>2</v>
      </c>
      <c r="BG274" s="12">
        <f>SUM(data__22[[#This Row],[N1]:[N4]],data__22[[#This Row],[N10]:[N13]],data__22[[#This Row],[N16]:[N18]])/11</f>
        <v>1.5454545454545454</v>
      </c>
      <c r="BH274" s="13">
        <f>SUM(data__22[[#This Row],[N8]:[N9]],data__22[[#This Row],[N23]:[N25]])/5</f>
        <v>1.6</v>
      </c>
      <c r="BI274" s="12">
        <f>SUM(data__22[[#This Row],[N5]:[N7]])/3</f>
        <v>1.3333333333333333</v>
      </c>
      <c r="BJ274" s="12">
        <f>SUM(data__22[[#This Row],[N14]:[N15]],data__22[[#This Row],[N19]:[N22]],data__22[[#This Row],[N26]:[N28]])/9</f>
        <v>1.5555555555555556</v>
      </c>
      <c r="BK274" s="12">
        <f>SUM(data__22[[#This Row],[N29]:[N33]])/5</f>
        <v>1.6</v>
      </c>
      <c r="BL274" s="12">
        <f>SUM(data__22[[#This Row],[N34]:[N36]])/3</f>
        <v>1.3333333333333333</v>
      </c>
    </row>
    <row r="275" spans="1:64" x14ac:dyDescent="0.3">
      <c r="A275" s="7">
        <v>23</v>
      </c>
      <c r="B275" s="7" t="s">
        <v>70</v>
      </c>
      <c r="C275" s="7" t="s">
        <v>113</v>
      </c>
      <c r="D275" s="7" t="s">
        <v>72</v>
      </c>
      <c r="E275" s="7" t="s">
        <v>73</v>
      </c>
      <c r="F275" s="7" t="s">
        <v>74</v>
      </c>
      <c r="G275" s="7" t="s">
        <v>439</v>
      </c>
      <c r="H275" s="7" t="s">
        <v>98</v>
      </c>
      <c r="I275" s="7" t="s">
        <v>439</v>
      </c>
      <c r="J275" s="7" t="s">
        <v>77</v>
      </c>
      <c r="K275" s="7" t="s">
        <v>78</v>
      </c>
      <c r="L275" s="8" t="s">
        <v>79</v>
      </c>
      <c r="M275" s="8" t="s">
        <v>80</v>
      </c>
      <c r="N275" s="8" t="s">
        <v>79</v>
      </c>
      <c r="O275" s="8" t="s">
        <v>109</v>
      </c>
      <c r="P275" s="8" t="s">
        <v>79</v>
      </c>
      <c r="Q275" s="8" t="s">
        <v>83</v>
      </c>
      <c r="R275" s="8" t="s">
        <v>79</v>
      </c>
      <c r="S275" s="8" t="s">
        <v>79</v>
      </c>
      <c r="T275" s="8" t="s">
        <v>148</v>
      </c>
      <c r="U275" s="8" t="s">
        <v>141</v>
      </c>
      <c r="V275" s="8" t="s">
        <v>127</v>
      </c>
      <c r="W275" s="9">
        <v>1</v>
      </c>
      <c r="X275" s="9">
        <v>2</v>
      </c>
      <c r="Y275" s="9">
        <v>2</v>
      </c>
      <c r="Z275" s="9">
        <v>1</v>
      </c>
      <c r="AA275" s="9">
        <v>1</v>
      </c>
      <c r="AB275" s="9">
        <v>2</v>
      </c>
      <c r="AC275" s="9">
        <v>2</v>
      </c>
      <c r="AD275" s="9">
        <v>1</v>
      </c>
      <c r="AE275" s="9">
        <v>1</v>
      </c>
      <c r="AF275" s="9">
        <v>2</v>
      </c>
      <c r="AG275" s="9">
        <v>2</v>
      </c>
      <c r="AH275" s="9">
        <v>1</v>
      </c>
      <c r="AI275" s="9">
        <v>1</v>
      </c>
      <c r="AJ275" s="9">
        <v>2</v>
      </c>
      <c r="AK275" s="9">
        <v>2</v>
      </c>
      <c r="AL275" s="10">
        <v>1</v>
      </c>
      <c r="AM275" s="10">
        <v>2</v>
      </c>
      <c r="AN275" s="10">
        <v>1</v>
      </c>
      <c r="AO275" s="10">
        <v>1</v>
      </c>
      <c r="AP275" s="10">
        <v>1</v>
      </c>
      <c r="AQ275" s="10">
        <v>1</v>
      </c>
      <c r="AR275" s="10">
        <v>1</v>
      </c>
      <c r="AS275" s="11">
        <v>1</v>
      </c>
      <c r="AT275" s="11">
        <v>1</v>
      </c>
      <c r="AU275" s="11">
        <v>1</v>
      </c>
      <c r="AV275" s="11">
        <v>1</v>
      </c>
      <c r="AW275" s="11">
        <v>1</v>
      </c>
      <c r="AX275" s="11">
        <v>1</v>
      </c>
      <c r="AY275" s="7">
        <v>2</v>
      </c>
      <c r="AZ275" s="7">
        <v>2</v>
      </c>
      <c r="BA275" s="7">
        <v>2</v>
      </c>
      <c r="BB275" s="7">
        <v>2</v>
      </c>
      <c r="BC275" s="7">
        <v>1</v>
      </c>
      <c r="BD275" s="7">
        <v>2</v>
      </c>
      <c r="BE275" s="7">
        <v>2</v>
      </c>
      <c r="BF275" s="7">
        <v>2</v>
      </c>
      <c r="BG275" s="12">
        <f>SUM(data__22[[#This Row],[N1]:[N4]],data__22[[#This Row],[N10]:[N13]],data__22[[#This Row],[N16]:[N18]])/11</f>
        <v>1.4545454545454546</v>
      </c>
      <c r="BH275" s="13">
        <f>SUM(data__22[[#This Row],[N8]:[N9]],data__22[[#This Row],[N23]:[N25]])/5</f>
        <v>1</v>
      </c>
      <c r="BI275" s="12">
        <f>SUM(data__22[[#This Row],[N5]:[N7]])/3</f>
        <v>1.6666666666666667</v>
      </c>
      <c r="BJ275" s="12">
        <f>SUM(data__22[[#This Row],[N14]:[N15]],data__22[[#This Row],[N19]:[N22]],data__22[[#This Row],[N26]:[N28]])/9</f>
        <v>1.2222222222222223</v>
      </c>
      <c r="BK275" s="12">
        <f>SUM(data__22[[#This Row],[N29]:[N33]])/5</f>
        <v>1.8</v>
      </c>
      <c r="BL275" s="12">
        <f>SUM(data__22[[#This Row],[N34]:[N36]])/3</f>
        <v>2</v>
      </c>
    </row>
    <row r="276" spans="1:64" x14ac:dyDescent="0.3">
      <c r="A276" s="7">
        <v>23</v>
      </c>
      <c r="B276" s="7" t="s">
        <v>70</v>
      </c>
      <c r="C276" s="7" t="s">
        <v>113</v>
      </c>
      <c r="D276" s="7" t="s">
        <v>72</v>
      </c>
      <c r="E276" s="7" t="s">
        <v>73</v>
      </c>
      <c r="F276" s="7" t="s">
        <v>98</v>
      </c>
      <c r="G276" s="7" t="s">
        <v>440</v>
      </c>
      <c r="H276" s="7" t="s">
        <v>100</v>
      </c>
      <c r="I276" s="7" t="s">
        <v>166</v>
      </c>
      <c r="J276" s="7" t="s">
        <v>77</v>
      </c>
      <c r="K276" s="7" t="s">
        <v>122</v>
      </c>
      <c r="L276" s="8" t="s">
        <v>79</v>
      </c>
      <c r="M276" s="8" t="s">
        <v>80</v>
      </c>
      <c r="N276" s="8" t="s">
        <v>79</v>
      </c>
      <c r="O276" s="8" t="s">
        <v>109</v>
      </c>
      <c r="P276" s="8" t="s">
        <v>79</v>
      </c>
      <c r="Q276" s="8" t="s">
        <v>118</v>
      </c>
      <c r="R276" s="8" t="s">
        <v>79</v>
      </c>
      <c r="S276" s="8" t="s">
        <v>82</v>
      </c>
      <c r="T276" s="8" t="s">
        <v>106</v>
      </c>
      <c r="U276" s="8" t="s">
        <v>120</v>
      </c>
      <c r="V276" s="8" t="s">
        <v>112</v>
      </c>
      <c r="W276" s="9">
        <v>1</v>
      </c>
      <c r="X276" s="9">
        <v>2</v>
      </c>
      <c r="Y276" s="9">
        <v>2</v>
      </c>
      <c r="Z276" s="9">
        <v>1</v>
      </c>
      <c r="AA276" s="9">
        <v>2</v>
      </c>
      <c r="AB276" s="9">
        <v>2</v>
      </c>
      <c r="AC276" s="9">
        <v>1</v>
      </c>
      <c r="AD276" s="9">
        <v>1</v>
      </c>
      <c r="AE276" s="9">
        <v>1</v>
      </c>
      <c r="AF276" s="9">
        <v>2</v>
      </c>
      <c r="AG276" s="9">
        <v>2</v>
      </c>
      <c r="AH276" s="9">
        <v>2</v>
      </c>
      <c r="AI276" s="9">
        <v>1</v>
      </c>
      <c r="AJ276" s="9">
        <v>1</v>
      </c>
      <c r="AK276" s="9">
        <v>1</v>
      </c>
      <c r="AL276" s="10">
        <v>2</v>
      </c>
      <c r="AM276" s="10">
        <v>2</v>
      </c>
      <c r="AN276" s="10">
        <v>2</v>
      </c>
      <c r="AO276" s="10">
        <v>1</v>
      </c>
      <c r="AP276" s="10">
        <v>1</v>
      </c>
      <c r="AQ276" s="10">
        <v>2</v>
      </c>
      <c r="AR276" s="10">
        <v>2</v>
      </c>
      <c r="AS276" s="11">
        <v>1</v>
      </c>
      <c r="AT276" s="11">
        <v>1</v>
      </c>
      <c r="AU276" s="11">
        <v>1</v>
      </c>
      <c r="AV276" s="11">
        <v>2</v>
      </c>
      <c r="AW276" s="11">
        <v>2</v>
      </c>
      <c r="AX276" s="11">
        <v>2</v>
      </c>
      <c r="AY276" s="7">
        <v>1</v>
      </c>
      <c r="AZ276" s="7">
        <v>1</v>
      </c>
      <c r="BA276" s="7">
        <v>2</v>
      </c>
      <c r="BB276" s="7">
        <v>2</v>
      </c>
      <c r="BC276" s="7">
        <v>1</v>
      </c>
      <c r="BD276" s="7">
        <v>2</v>
      </c>
      <c r="BE276" s="7">
        <v>2</v>
      </c>
      <c r="BF276" s="7">
        <v>1</v>
      </c>
      <c r="BG276" s="12">
        <f>SUM(data__22[[#This Row],[N1]:[N4]],data__22[[#This Row],[N10]:[N13]],data__22[[#This Row],[N16]:[N18]])/11</f>
        <v>1.7272727272727273</v>
      </c>
      <c r="BH276" s="13">
        <f>SUM(data__22[[#This Row],[N8]:[N9]],data__22[[#This Row],[N23]:[N25]])/5</f>
        <v>1</v>
      </c>
      <c r="BI276" s="12">
        <f>SUM(data__22[[#This Row],[N5]:[N7]])/3</f>
        <v>1.6666666666666667</v>
      </c>
      <c r="BJ276" s="12">
        <f>SUM(data__22[[#This Row],[N14]:[N15]],data__22[[#This Row],[N19]:[N22]],data__22[[#This Row],[N26]:[N28]])/9</f>
        <v>1.5555555555555556</v>
      </c>
      <c r="BK276" s="12">
        <f>SUM(data__22[[#This Row],[N29]:[N33]])/5</f>
        <v>1.4</v>
      </c>
      <c r="BL276" s="12">
        <f>SUM(data__22[[#This Row],[N34]:[N36]])/3</f>
        <v>1.6666666666666667</v>
      </c>
    </row>
    <row r="277" spans="1:64" x14ac:dyDescent="0.3">
      <c r="A277" s="7">
        <v>23</v>
      </c>
      <c r="B277" s="7" t="s">
        <v>128</v>
      </c>
      <c r="C277" s="7" t="s">
        <v>113</v>
      </c>
      <c r="D277" s="7" t="s">
        <v>72</v>
      </c>
      <c r="E277" s="7" t="s">
        <v>73</v>
      </c>
      <c r="F277" s="7" t="s">
        <v>98</v>
      </c>
      <c r="G277" s="7" t="s">
        <v>440</v>
      </c>
      <c r="H277" s="7" t="s">
        <v>100</v>
      </c>
      <c r="I277" s="7" t="s">
        <v>76</v>
      </c>
      <c r="J277" s="7" t="s">
        <v>77</v>
      </c>
      <c r="K277" s="7" t="s">
        <v>122</v>
      </c>
      <c r="L277" s="8" t="s">
        <v>79</v>
      </c>
      <c r="M277" s="8" t="s">
        <v>132</v>
      </c>
      <c r="N277" s="8" t="s">
        <v>79</v>
      </c>
      <c r="O277" s="8" t="s">
        <v>138</v>
      </c>
      <c r="P277" s="8" t="s">
        <v>79</v>
      </c>
      <c r="Q277" s="8" t="s">
        <v>83</v>
      </c>
      <c r="R277" s="8" t="s">
        <v>79</v>
      </c>
      <c r="S277" s="8" t="s">
        <v>79</v>
      </c>
      <c r="T277" s="8" t="s">
        <v>86</v>
      </c>
      <c r="U277" s="8" t="s">
        <v>141</v>
      </c>
      <c r="V277" s="8" t="s">
        <v>127</v>
      </c>
      <c r="W277" s="9">
        <v>1</v>
      </c>
      <c r="X277" s="9">
        <v>2</v>
      </c>
      <c r="Y277" s="9">
        <v>2</v>
      </c>
      <c r="Z277" s="9">
        <v>2</v>
      </c>
      <c r="AA277" s="9">
        <v>2</v>
      </c>
      <c r="AB277" s="9">
        <v>1</v>
      </c>
      <c r="AC277" s="9">
        <v>2</v>
      </c>
      <c r="AD277" s="9">
        <v>2</v>
      </c>
      <c r="AE277" s="9">
        <v>2</v>
      </c>
      <c r="AF277" s="9">
        <v>2</v>
      </c>
      <c r="AG277" s="9">
        <v>2</v>
      </c>
      <c r="AH277" s="9">
        <v>2</v>
      </c>
      <c r="AI277" s="9">
        <v>1</v>
      </c>
      <c r="AJ277" s="9">
        <v>1</v>
      </c>
      <c r="AK277" s="9">
        <v>1</v>
      </c>
      <c r="AL277" s="10">
        <v>1</v>
      </c>
      <c r="AM277" s="10">
        <v>2</v>
      </c>
      <c r="AN277" s="10">
        <v>2</v>
      </c>
      <c r="AO277" s="10">
        <v>2</v>
      </c>
      <c r="AP277" s="10">
        <v>2</v>
      </c>
      <c r="AQ277" s="10">
        <v>2</v>
      </c>
      <c r="AR277" s="10">
        <v>2</v>
      </c>
      <c r="AS277" s="11">
        <v>1</v>
      </c>
      <c r="AT277" s="11">
        <v>1</v>
      </c>
      <c r="AU277" s="11">
        <v>2</v>
      </c>
      <c r="AV277" s="11">
        <v>2</v>
      </c>
      <c r="AW277" s="11">
        <v>1</v>
      </c>
      <c r="AX277" s="11">
        <v>1</v>
      </c>
      <c r="AY277" s="7">
        <v>1</v>
      </c>
      <c r="AZ277" s="7">
        <v>1</v>
      </c>
      <c r="BA277" s="7">
        <v>1</v>
      </c>
      <c r="BB277" s="7">
        <v>1</v>
      </c>
      <c r="BC277" s="7">
        <v>1</v>
      </c>
      <c r="BD277" s="7">
        <v>2</v>
      </c>
      <c r="BE277" s="7">
        <v>2</v>
      </c>
      <c r="BF277" s="7">
        <v>2</v>
      </c>
      <c r="BG277" s="12">
        <f>SUM(data__22[[#This Row],[N1]:[N4]],data__22[[#This Row],[N10]:[N13]],data__22[[#This Row],[N16]:[N18]])/11</f>
        <v>1.7272727272727273</v>
      </c>
      <c r="BH277" s="13">
        <f>SUM(data__22[[#This Row],[N8]:[N9]],data__22[[#This Row],[N23]:[N25]])/5</f>
        <v>1.6</v>
      </c>
      <c r="BI277" s="12">
        <f>SUM(data__22[[#This Row],[N5]:[N7]])/3</f>
        <v>1.6666666666666667</v>
      </c>
      <c r="BJ277" s="12">
        <f>SUM(data__22[[#This Row],[N14]:[N15]],data__22[[#This Row],[N19]:[N22]],data__22[[#This Row],[N26]:[N28]])/9</f>
        <v>1.5555555555555556</v>
      </c>
      <c r="BK277" s="12">
        <f>SUM(data__22[[#This Row],[N29]:[N33]])/5</f>
        <v>1</v>
      </c>
      <c r="BL277" s="12">
        <f>SUM(data__22[[#This Row],[N34]:[N36]])/3</f>
        <v>2</v>
      </c>
    </row>
    <row r="278" spans="1:64" x14ac:dyDescent="0.3">
      <c r="A278" s="7">
        <v>24</v>
      </c>
      <c r="B278" s="7" t="s">
        <v>70</v>
      </c>
      <c r="C278" s="7" t="s">
        <v>113</v>
      </c>
      <c r="D278" s="7" t="s">
        <v>72</v>
      </c>
      <c r="E278" s="7" t="s">
        <v>108</v>
      </c>
      <c r="F278" s="7" t="s">
        <v>98</v>
      </c>
      <c r="G278" s="7" t="s">
        <v>439</v>
      </c>
      <c r="H278" s="7" t="s">
        <v>136</v>
      </c>
      <c r="I278" s="7" t="s">
        <v>76</v>
      </c>
      <c r="J278" s="7" t="s">
        <v>77</v>
      </c>
      <c r="K278" s="7" t="s">
        <v>122</v>
      </c>
      <c r="L278" s="8" t="s">
        <v>79</v>
      </c>
      <c r="M278" s="8" t="s">
        <v>132</v>
      </c>
      <c r="N278" s="8" t="s">
        <v>79</v>
      </c>
      <c r="O278" s="8" t="s">
        <v>138</v>
      </c>
      <c r="P278" s="8" t="s">
        <v>79</v>
      </c>
      <c r="Q278" s="8" t="s">
        <v>118</v>
      </c>
      <c r="R278" s="8" t="s">
        <v>79</v>
      </c>
      <c r="S278" s="8" t="s">
        <v>79</v>
      </c>
      <c r="T278" s="8" t="s">
        <v>86</v>
      </c>
      <c r="U278" s="8" t="s">
        <v>120</v>
      </c>
      <c r="V278" s="8" t="s">
        <v>112</v>
      </c>
      <c r="W278" s="9">
        <v>1</v>
      </c>
      <c r="X278" s="9">
        <v>2</v>
      </c>
      <c r="Y278" s="9">
        <v>2</v>
      </c>
      <c r="Z278" s="9">
        <v>2</v>
      </c>
      <c r="AA278" s="9">
        <v>2</v>
      </c>
      <c r="AB278" s="9">
        <v>2</v>
      </c>
      <c r="AC278" s="9">
        <v>2</v>
      </c>
      <c r="AD278" s="9">
        <v>2</v>
      </c>
      <c r="AE278" s="9">
        <v>1</v>
      </c>
      <c r="AF278" s="9">
        <v>1</v>
      </c>
      <c r="AG278" s="9">
        <v>1</v>
      </c>
      <c r="AH278" s="9">
        <v>1</v>
      </c>
      <c r="AI278" s="9">
        <v>1</v>
      </c>
      <c r="AJ278" s="9">
        <v>1</v>
      </c>
      <c r="AK278" s="9">
        <v>1</v>
      </c>
      <c r="AL278" s="10">
        <v>2</v>
      </c>
      <c r="AM278" s="10">
        <v>2</v>
      </c>
      <c r="AN278" s="10">
        <v>2</v>
      </c>
      <c r="AO278" s="10">
        <v>1</v>
      </c>
      <c r="AP278" s="10">
        <v>1</v>
      </c>
      <c r="AQ278" s="10">
        <v>1</v>
      </c>
      <c r="AR278" s="10">
        <v>1</v>
      </c>
      <c r="AS278" s="11">
        <v>2</v>
      </c>
      <c r="AT278" s="11">
        <v>2</v>
      </c>
      <c r="AU278" s="11">
        <v>2</v>
      </c>
      <c r="AV278" s="11">
        <v>2</v>
      </c>
      <c r="AW278" s="11">
        <v>1</v>
      </c>
      <c r="AX278" s="11">
        <v>1</v>
      </c>
      <c r="AY278" s="7">
        <v>2</v>
      </c>
      <c r="AZ278" s="7">
        <v>1</v>
      </c>
      <c r="BA278" s="7">
        <v>1</v>
      </c>
      <c r="BB278" s="7">
        <v>1</v>
      </c>
      <c r="BC278" s="7">
        <v>1</v>
      </c>
      <c r="BD278" s="7">
        <v>2</v>
      </c>
      <c r="BE278" s="7">
        <v>1</v>
      </c>
      <c r="BF278" s="7">
        <v>1</v>
      </c>
      <c r="BG278" s="12">
        <f>SUM(data__22[[#This Row],[N1]:[N4]],data__22[[#This Row],[N10]:[N13]],data__22[[#This Row],[N16]:[N18]])/11</f>
        <v>1.5454545454545454</v>
      </c>
      <c r="BH278" s="13">
        <f>SUM(data__22[[#This Row],[N8]:[N9]],data__22[[#This Row],[N23]:[N25]])/5</f>
        <v>1.8</v>
      </c>
      <c r="BI278" s="12">
        <f>SUM(data__22[[#This Row],[N5]:[N7]])/3</f>
        <v>2</v>
      </c>
      <c r="BJ278" s="12">
        <f>SUM(data__22[[#This Row],[N14]:[N15]],data__22[[#This Row],[N19]:[N22]],data__22[[#This Row],[N26]:[N28]])/9</f>
        <v>1.1111111111111112</v>
      </c>
      <c r="BK278" s="12">
        <f>SUM(data__22[[#This Row],[N29]:[N33]])/5</f>
        <v>1.2</v>
      </c>
      <c r="BL278" s="12">
        <f>SUM(data__22[[#This Row],[N34]:[N36]])/3</f>
        <v>1.3333333333333333</v>
      </c>
    </row>
    <row r="279" spans="1:64" x14ac:dyDescent="0.3">
      <c r="A279" s="7">
        <v>23</v>
      </c>
      <c r="B279" s="7" t="s">
        <v>128</v>
      </c>
      <c r="C279" s="7" t="s">
        <v>113</v>
      </c>
      <c r="D279" s="7" t="s">
        <v>72</v>
      </c>
      <c r="E279" s="7" t="s">
        <v>114</v>
      </c>
      <c r="F279" s="7" t="s">
        <v>136</v>
      </c>
      <c r="G279" s="7" t="s">
        <v>439</v>
      </c>
      <c r="H279" s="7" t="s">
        <v>165</v>
      </c>
      <c r="I279" s="7" t="s">
        <v>439</v>
      </c>
      <c r="J279" s="7" t="s">
        <v>77</v>
      </c>
      <c r="K279" s="7" t="s">
        <v>122</v>
      </c>
      <c r="L279" s="8" t="s">
        <v>79</v>
      </c>
      <c r="M279" s="8" t="s">
        <v>80</v>
      </c>
      <c r="N279" s="8" t="s">
        <v>79</v>
      </c>
      <c r="O279" s="8" t="s">
        <v>179</v>
      </c>
      <c r="P279" s="8" t="s">
        <v>79</v>
      </c>
      <c r="Q279" s="8" t="s">
        <v>103</v>
      </c>
      <c r="R279" s="8" t="s">
        <v>82</v>
      </c>
      <c r="S279" s="8" t="s">
        <v>79</v>
      </c>
      <c r="T279" s="8" t="s">
        <v>148</v>
      </c>
      <c r="U279" s="8" t="s">
        <v>120</v>
      </c>
      <c r="V279" s="8" t="s">
        <v>127</v>
      </c>
      <c r="W279" s="9">
        <v>2</v>
      </c>
      <c r="X279" s="9">
        <v>2</v>
      </c>
      <c r="Y279" s="9">
        <v>2</v>
      </c>
      <c r="Z279" s="9">
        <v>2</v>
      </c>
      <c r="AA279" s="9">
        <v>1</v>
      </c>
      <c r="AB279" s="9">
        <v>1</v>
      </c>
      <c r="AC279" s="9">
        <v>2</v>
      </c>
      <c r="AD279" s="9">
        <v>2</v>
      </c>
      <c r="AE279" s="9">
        <v>2</v>
      </c>
      <c r="AF279" s="9">
        <v>1</v>
      </c>
      <c r="AG279" s="9">
        <v>1</v>
      </c>
      <c r="AH279" s="9">
        <v>2</v>
      </c>
      <c r="AI279" s="9">
        <v>2</v>
      </c>
      <c r="AJ279" s="9">
        <v>1</v>
      </c>
      <c r="AK279" s="9">
        <v>1</v>
      </c>
      <c r="AL279" s="10">
        <v>1</v>
      </c>
      <c r="AM279" s="10">
        <v>1</v>
      </c>
      <c r="AN279" s="10">
        <v>1</v>
      </c>
      <c r="AO279" s="10">
        <v>1</v>
      </c>
      <c r="AP279" s="10">
        <v>2</v>
      </c>
      <c r="AQ279" s="10">
        <v>2</v>
      </c>
      <c r="AR279" s="10">
        <v>2</v>
      </c>
      <c r="AS279" s="11">
        <v>2</v>
      </c>
      <c r="AT279" s="11">
        <v>2</v>
      </c>
      <c r="AU279" s="11">
        <v>1</v>
      </c>
      <c r="AV279" s="11">
        <v>1</v>
      </c>
      <c r="AW279" s="11">
        <v>1</v>
      </c>
      <c r="AX279" s="11">
        <v>2</v>
      </c>
      <c r="AY279" s="7">
        <v>1</v>
      </c>
      <c r="AZ279" s="7">
        <v>1</v>
      </c>
      <c r="BA279" s="7">
        <v>1</v>
      </c>
      <c r="BB279" s="7">
        <v>0</v>
      </c>
      <c r="BC279" s="7">
        <v>0</v>
      </c>
      <c r="BD279" s="7">
        <v>2</v>
      </c>
      <c r="BE279" s="7">
        <v>1</v>
      </c>
      <c r="BF279" s="7">
        <v>3</v>
      </c>
      <c r="BG279" s="12">
        <f>SUM(data__22[[#This Row],[N1]:[N4]],data__22[[#This Row],[N10]:[N13]],data__22[[#This Row],[N16]:[N18]])/11</f>
        <v>1.5454545454545454</v>
      </c>
      <c r="BH279" s="13">
        <f>SUM(data__22[[#This Row],[N8]:[N9]],data__22[[#This Row],[N23]:[N25]])/5</f>
        <v>1.8</v>
      </c>
      <c r="BI279" s="12">
        <f>SUM(data__22[[#This Row],[N5]:[N7]])/3</f>
        <v>1.3333333333333333</v>
      </c>
      <c r="BJ279" s="12">
        <f>SUM(data__22[[#This Row],[N14]:[N15]],data__22[[#This Row],[N19]:[N22]],data__22[[#This Row],[N26]:[N28]])/9</f>
        <v>1.4444444444444444</v>
      </c>
      <c r="BK279" s="12">
        <f>SUM(data__22[[#This Row],[N29]:[N33]])/5</f>
        <v>0.6</v>
      </c>
      <c r="BL279" s="12">
        <f>SUM(data__22[[#This Row],[N34]:[N36]])/3</f>
        <v>2</v>
      </c>
    </row>
    <row r="280" spans="1:64" x14ac:dyDescent="0.3">
      <c r="A280" s="7">
        <v>23</v>
      </c>
      <c r="B280" s="7" t="s">
        <v>70</v>
      </c>
      <c r="C280" s="7" t="s">
        <v>71</v>
      </c>
      <c r="D280" s="7" t="s">
        <v>72</v>
      </c>
      <c r="E280" s="7" t="s">
        <v>73</v>
      </c>
      <c r="F280" s="7" t="s">
        <v>136</v>
      </c>
      <c r="G280" s="7" t="s">
        <v>439</v>
      </c>
      <c r="H280" s="7" t="s">
        <v>98</v>
      </c>
      <c r="I280" s="7" t="s">
        <v>76</v>
      </c>
      <c r="J280" s="7" t="s">
        <v>101</v>
      </c>
      <c r="K280" s="7" t="s">
        <v>122</v>
      </c>
      <c r="L280" s="8" t="s">
        <v>79</v>
      </c>
      <c r="M280" s="8" t="s">
        <v>80</v>
      </c>
      <c r="N280" s="8" t="s">
        <v>79</v>
      </c>
      <c r="O280" s="8" t="s">
        <v>109</v>
      </c>
      <c r="P280" s="8" t="s">
        <v>79</v>
      </c>
      <c r="Q280" s="8" t="s">
        <v>83</v>
      </c>
      <c r="R280" s="8" t="s">
        <v>79</v>
      </c>
      <c r="S280" s="8" t="s">
        <v>82</v>
      </c>
      <c r="T280" s="8" t="s">
        <v>148</v>
      </c>
      <c r="U280" s="8" t="s">
        <v>120</v>
      </c>
      <c r="V280" s="8" t="s">
        <v>112</v>
      </c>
      <c r="W280" s="9">
        <v>1</v>
      </c>
      <c r="X280" s="9">
        <v>1</v>
      </c>
      <c r="Y280" s="9">
        <v>1</v>
      </c>
      <c r="Z280" s="9">
        <v>1</v>
      </c>
      <c r="AA280" s="9">
        <v>1</v>
      </c>
      <c r="AB280" s="9">
        <v>1</v>
      </c>
      <c r="AC280" s="9">
        <v>1</v>
      </c>
      <c r="AD280" s="9">
        <v>1</v>
      </c>
      <c r="AE280" s="9">
        <v>1</v>
      </c>
      <c r="AF280" s="9">
        <v>1</v>
      </c>
      <c r="AG280" s="9">
        <v>1</v>
      </c>
      <c r="AH280" s="9">
        <v>1</v>
      </c>
      <c r="AI280" s="9">
        <v>1</v>
      </c>
      <c r="AJ280" s="9">
        <v>1</v>
      </c>
      <c r="AK280" s="9">
        <v>1</v>
      </c>
      <c r="AL280" s="10">
        <v>1</v>
      </c>
      <c r="AM280" s="10">
        <v>1</v>
      </c>
      <c r="AN280" s="10">
        <v>1</v>
      </c>
      <c r="AO280" s="10">
        <v>1</v>
      </c>
      <c r="AP280" s="10">
        <v>1</v>
      </c>
      <c r="AQ280" s="10">
        <v>1</v>
      </c>
      <c r="AR280" s="10">
        <v>1</v>
      </c>
      <c r="AS280" s="11">
        <v>1</v>
      </c>
      <c r="AT280" s="11">
        <v>1</v>
      </c>
      <c r="AU280" s="11">
        <v>1</v>
      </c>
      <c r="AV280" s="11">
        <v>1</v>
      </c>
      <c r="AW280" s="11">
        <v>1</v>
      </c>
      <c r="AX280" s="11">
        <v>1</v>
      </c>
      <c r="AY280" s="7">
        <v>1</v>
      </c>
      <c r="AZ280" s="7">
        <v>1</v>
      </c>
      <c r="BA280" s="7">
        <v>1</v>
      </c>
      <c r="BB280" s="7">
        <v>1</v>
      </c>
      <c r="BC280" s="7">
        <v>1</v>
      </c>
      <c r="BD280" s="7">
        <v>1</v>
      </c>
      <c r="BE280" s="7">
        <v>1</v>
      </c>
      <c r="BF280" s="7">
        <v>1</v>
      </c>
      <c r="BG280" s="12">
        <f>SUM(data__22[[#This Row],[N1]:[N4]],data__22[[#This Row],[N10]:[N13]],data__22[[#This Row],[N16]:[N18]])/11</f>
        <v>1</v>
      </c>
      <c r="BH280" s="13">
        <f>SUM(data__22[[#This Row],[N8]:[N9]],data__22[[#This Row],[N23]:[N25]])/5</f>
        <v>1</v>
      </c>
      <c r="BI280" s="12">
        <f>SUM(data__22[[#This Row],[N5]:[N7]])/3</f>
        <v>1</v>
      </c>
      <c r="BJ280" s="12">
        <f>SUM(data__22[[#This Row],[N14]:[N15]],data__22[[#This Row],[N19]:[N22]],data__22[[#This Row],[N26]:[N28]])/9</f>
        <v>1</v>
      </c>
      <c r="BK280" s="12">
        <f>SUM(data__22[[#This Row],[N29]:[N33]])/5</f>
        <v>1</v>
      </c>
      <c r="BL280" s="12">
        <f>SUM(data__22[[#This Row],[N34]:[N36]])/3</f>
        <v>1</v>
      </c>
    </row>
    <row r="281" spans="1:64" x14ac:dyDescent="0.3">
      <c r="A281" s="7">
        <v>24</v>
      </c>
      <c r="B281" s="7" t="s">
        <v>128</v>
      </c>
      <c r="C281" s="7" t="s">
        <v>113</v>
      </c>
      <c r="D281" s="7" t="s">
        <v>97</v>
      </c>
      <c r="E281" s="7" t="s">
        <v>114</v>
      </c>
      <c r="F281" s="7" t="s">
        <v>74</v>
      </c>
      <c r="G281" s="7" t="s">
        <v>439</v>
      </c>
      <c r="H281" s="7" t="s">
        <v>74</v>
      </c>
      <c r="I281" s="7" t="s">
        <v>76</v>
      </c>
      <c r="J281" s="7" t="s">
        <v>77</v>
      </c>
      <c r="K281" s="7" t="s">
        <v>122</v>
      </c>
      <c r="L281" s="8" t="s">
        <v>79</v>
      </c>
      <c r="M281" s="8" t="s">
        <v>80</v>
      </c>
      <c r="N281" s="8" t="s">
        <v>79</v>
      </c>
      <c r="O281" s="8" t="s">
        <v>81</v>
      </c>
      <c r="P281" s="8" t="s">
        <v>79</v>
      </c>
      <c r="Q281" s="8" t="s">
        <v>83</v>
      </c>
      <c r="R281" s="8" t="s">
        <v>79</v>
      </c>
      <c r="S281" s="8" t="s">
        <v>82</v>
      </c>
      <c r="T281" s="8" t="s">
        <v>86</v>
      </c>
      <c r="U281" s="8" t="s">
        <v>141</v>
      </c>
      <c r="V281" s="8" t="s">
        <v>455</v>
      </c>
      <c r="W281" s="9">
        <v>3</v>
      </c>
      <c r="X281" s="9">
        <v>3</v>
      </c>
      <c r="Y281" s="9">
        <v>3</v>
      </c>
      <c r="Z281" s="9">
        <v>3</v>
      </c>
      <c r="AA281" s="9">
        <v>1</v>
      </c>
      <c r="AB281" s="9">
        <v>2</v>
      </c>
      <c r="AC281" s="9">
        <v>1</v>
      </c>
      <c r="AD281" s="9">
        <v>0</v>
      </c>
      <c r="AE281" s="9">
        <v>0</v>
      </c>
      <c r="AF281" s="9">
        <v>3</v>
      </c>
      <c r="AG281" s="9">
        <v>3</v>
      </c>
      <c r="AH281" s="9">
        <v>3</v>
      </c>
      <c r="AI281" s="9">
        <v>3</v>
      </c>
      <c r="AJ281" s="9">
        <v>0</v>
      </c>
      <c r="AK281" s="9">
        <v>1</v>
      </c>
      <c r="AL281" s="10">
        <v>3</v>
      </c>
      <c r="AM281" s="10">
        <v>3</v>
      </c>
      <c r="AN281" s="10">
        <v>3</v>
      </c>
      <c r="AO281" s="10">
        <v>0</v>
      </c>
      <c r="AP281" s="10">
        <v>0</v>
      </c>
      <c r="AQ281" s="10">
        <v>0</v>
      </c>
      <c r="AR281" s="10">
        <v>0</v>
      </c>
      <c r="AS281" s="11">
        <v>3</v>
      </c>
      <c r="AT281" s="11">
        <v>3</v>
      </c>
      <c r="AU281" s="11">
        <v>1</v>
      </c>
      <c r="AV281" s="11">
        <v>1</v>
      </c>
      <c r="AW281" s="11">
        <v>1</v>
      </c>
      <c r="AX281" s="11">
        <v>0</v>
      </c>
      <c r="AY281" s="7">
        <v>3</v>
      </c>
      <c r="AZ281" s="7">
        <v>3</v>
      </c>
      <c r="BA281" s="7">
        <v>3</v>
      </c>
      <c r="BB281" s="7">
        <v>3</v>
      </c>
      <c r="BC281" s="7">
        <v>3</v>
      </c>
      <c r="BD281" s="7">
        <v>3</v>
      </c>
      <c r="BE281" s="7">
        <v>3</v>
      </c>
      <c r="BF281" s="7">
        <v>3</v>
      </c>
      <c r="BG281" s="12">
        <f>SUM(data__22[[#This Row],[N1]:[N4]],data__22[[#This Row],[N10]:[N13]],data__22[[#This Row],[N16]:[N18]])/11</f>
        <v>3</v>
      </c>
      <c r="BH281" s="13">
        <f>SUM(data__22[[#This Row],[N8]:[N9]],data__22[[#This Row],[N23]:[N25]])/5</f>
        <v>1.4</v>
      </c>
      <c r="BI281" s="12">
        <f>SUM(data__22[[#This Row],[N5]:[N7]])/3</f>
        <v>1.3333333333333333</v>
      </c>
      <c r="BJ281" s="12">
        <f>SUM(data__22[[#This Row],[N14]:[N15]],data__22[[#This Row],[N19]:[N22]],data__22[[#This Row],[N26]:[N28]])/9</f>
        <v>0.33333333333333331</v>
      </c>
      <c r="BK281" s="12">
        <f>SUM(data__22[[#This Row],[N29]:[N33]])/5</f>
        <v>3</v>
      </c>
      <c r="BL281" s="12">
        <f>SUM(data__22[[#This Row],[N34]:[N36]])/3</f>
        <v>3</v>
      </c>
    </row>
    <row r="282" spans="1:64" x14ac:dyDescent="0.3">
      <c r="A282" s="7">
        <v>23</v>
      </c>
      <c r="B282" s="7" t="s">
        <v>128</v>
      </c>
      <c r="C282" s="7" t="s">
        <v>113</v>
      </c>
      <c r="D282" s="7" t="s">
        <v>97</v>
      </c>
      <c r="E282" s="7" t="s">
        <v>114</v>
      </c>
      <c r="F282" s="7" t="s">
        <v>165</v>
      </c>
      <c r="G282" s="7" t="s">
        <v>440</v>
      </c>
      <c r="H282" s="7" t="s">
        <v>136</v>
      </c>
      <c r="I282" s="7" t="s">
        <v>76</v>
      </c>
      <c r="J282" s="7" t="s">
        <v>77</v>
      </c>
      <c r="K282" s="7" t="s">
        <v>125</v>
      </c>
      <c r="L282" s="8" t="s">
        <v>79</v>
      </c>
      <c r="M282" s="8" t="s">
        <v>80</v>
      </c>
      <c r="N282" s="8" t="s">
        <v>82</v>
      </c>
      <c r="O282" s="8" t="s">
        <v>117</v>
      </c>
      <c r="P282" s="8" t="s">
        <v>82</v>
      </c>
      <c r="Q282" s="8" t="s">
        <v>83</v>
      </c>
      <c r="R282" s="8" t="s">
        <v>79</v>
      </c>
      <c r="S282" s="8" t="s">
        <v>82</v>
      </c>
      <c r="T282" s="8" t="s">
        <v>86</v>
      </c>
      <c r="U282" s="8" t="s">
        <v>141</v>
      </c>
      <c r="V282" s="8" t="s">
        <v>457</v>
      </c>
      <c r="W282" s="9">
        <v>1</v>
      </c>
      <c r="X282" s="9">
        <v>1</v>
      </c>
      <c r="Y282" s="9">
        <v>0</v>
      </c>
      <c r="Z282" s="9">
        <v>1</v>
      </c>
      <c r="AA282" s="9">
        <v>0</v>
      </c>
      <c r="AB282" s="9">
        <v>1</v>
      </c>
      <c r="AC282" s="9">
        <v>1</v>
      </c>
      <c r="AD282" s="9">
        <v>0</v>
      </c>
      <c r="AE282" s="9">
        <v>1</v>
      </c>
      <c r="AF282" s="9">
        <v>1</v>
      </c>
      <c r="AG282" s="9">
        <v>1</v>
      </c>
      <c r="AH282" s="9">
        <v>1</v>
      </c>
      <c r="AI282" s="9">
        <v>0</v>
      </c>
      <c r="AJ282" s="9">
        <v>1</v>
      </c>
      <c r="AK282" s="9">
        <v>0</v>
      </c>
      <c r="AL282" s="10">
        <v>1</v>
      </c>
      <c r="AM282" s="10">
        <v>0</v>
      </c>
      <c r="AN282" s="10">
        <v>1</v>
      </c>
      <c r="AO282" s="10">
        <v>2</v>
      </c>
      <c r="AP282" s="10">
        <v>0</v>
      </c>
      <c r="AQ282" s="10">
        <v>1</v>
      </c>
      <c r="AR282" s="10">
        <v>1</v>
      </c>
      <c r="AS282" s="11">
        <v>1</v>
      </c>
      <c r="AT282" s="11">
        <v>0</v>
      </c>
      <c r="AU282" s="11">
        <v>1</v>
      </c>
      <c r="AV282" s="11">
        <v>0</v>
      </c>
      <c r="AW282" s="11">
        <v>1</v>
      </c>
      <c r="AX282" s="11">
        <v>0</v>
      </c>
      <c r="AY282" s="7">
        <v>1</v>
      </c>
      <c r="AZ282" s="7">
        <v>0</v>
      </c>
      <c r="BA282" s="7">
        <v>1</v>
      </c>
      <c r="BB282" s="7">
        <v>1</v>
      </c>
      <c r="BC282" s="7">
        <v>1</v>
      </c>
      <c r="BD282" s="7">
        <v>1</v>
      </c>
      <c r="BE282" s="7">
        <v>1</v>
      </c>
      <c r="BF282" s="7">
        <v>1</v>
      </c>
      <c r="BG282" s="12">
        <f>SUM(data__22[[#This Row],[N1]:[N4]],data__22[[#This Row],[N10]:[N13]],data__22[[#This Row],[N16]:[N18]])/11</f>
        <v>0.72727272727272729</v>
      </c>
      <c r="BH282" s="13">
        <f>SUM(data__22[[#This Row],[N8]:[N9]],data__22[[#This Row],[N23]:[N25]])/5</f>
        <v>0.6</v>
      </c>
      <c r="BI282" s="12">
        <f>SUM(data__22[[#This Row],[N5]:[N7]])/3</f>
        <v>0.66666666666666663</v>
      </c>
      <c r="BJ282" s="12">
        <f>SUM(data__22[[#This Row],[N14]:[N15]],data__22[[#This Row],[N19]:[N22]],data__22[[#This Row],[N26]:[N28]])/9</f>
        <v>0.66666666666666663</v>
      </c>
      <c r="BK282" s="12">
        <f>SUM(data__22[[#This Row],[N29]:[N33]])/5</f>
        <v>0.8</v>
      </c>
      <c r="BL282" s="12">
        <f>SUM(data__22[[#This Row],[N34]:[N36]])/3</f>
        <v>1</v>
      </c>
    </row>
    <row r="283" spans="1:64" x14ac:dyDescent="0.3">
      <c r="A283" s="7">
        <v>22</v>
      </c>
      <c r="B283" s="7" t="s">
        <v>128</v>
      </c>
      <c r="C283" s="7" t="s">
        <v>113</v>
      </c>
      <c r="D283" s="7" t="s">
        <v>97</v>
      </c>
      <c r="E283" s="7" t="s">
        <v>108</v>
      </c>
      <c r="F283" s="7" t="s">
        <v>98</v>
      </c>
      <c r="G283" s="7" t="s">
        <v>440</v>
      </c>
      <c r="H283" s="7" t="s">
        <v>98</v>
      </c>
      <c r="I283" s="7" t="s">
        <v>76</v>
      </c>
      <c r="J283" s="7" t="s">
        <v>77</v>
      </c>
      <c r="K283" s="7" t="s">
        <v>122</v>
      </c>
      <c r="L283" s="8" t="s">
        <v>79</v>
      </c>
      <c r="M283" s="8" t="s">
        <v>80</v>
      </c>
      <c r="N283" s="8" t="s">
        <v>79</v>
      </c>
      <c r="O283" s="8" t="s">
        <v>133</v>
      </c>
      <c r="P283" s="8" t="s">
        <v>79</v>
      </c>
      <c r="Q283" s="8" t="s">
        <v>83</v>
      </c>
      <c r="R283" s="8" t="s">
        <v>79</v>
      </c>
      <c r="S283" s="8" t="s">
        <v>82</v>
      </c>
      <c r="T283" s="8" t="s">
        <v>106</v>
      </c>
      <c r="U283" s="8" t="s">
        <v>87</v>
      </c>
      <c r="V283" s="8" t="s">
        <v>127</v>
      </c>
      <c r="W283" s="9">
        <v>2</v>
      </c>
      <c r="X283" s="9">
        <v>3</v>
      </c>
      <c r="Y283" s="9">
        <v>3</v>
      </c>
      <c r="Z283" s="9">
        <v>3</v>
      </c>
      <c r="AA283" s="9">
        <v>1</v>
      </c>
      <c r="AB283" s="9">
        <v>1</v>
      </c>
      <c r="AC283" s="9">
        <v>1</v>
      </c>
      <c r="AD283" s="9">
        <v>2</v>
      </c>
      <c r="AE283" s="9">
        <v>2</v>
      </c>
      <c r="AF283" s="9">
        <v>3</v>
      </c>
      <c r="AG283" s="9">
        <v>3</v>
      </c>
      <c r="AH283" s="9">
        <v>2</v>
      </c>
      <c r="AI283" s="9">
        <v>2</v>
      </c>
      <c r="AJ283" s="9">
        <v>1</v>
      </c>
      <c r="AK283" s="9">
        <v>3</v>
      </c>
      <c r="AL283" s="10">
        <v>2</v>
      </c>
      <c r="AM283" s="10">
        <v>2</v>
      </c>
      <c r="AN283" s="10">
        <v>3</v>
      </c>
      <c r="AO283" s="10">
        <v>0</v>
      </c>
      <c r="AP283" s="10">
        <v>0</v>
      </c>
      <c r="AQ283" s="10">
        <v>0</v>
      </c>
      <c r="AR283" s="10">
        <v>0</v>
      </c>
      <c r="AS283" s="11">
        <v>1</v>
      </c>
      <c r="AT283" s="11">
        <v>1</v>
      </c>
      <c r="AU283" s="11">
        <v>0</v>
      </c>
      <c r="AV283" s="11">
        <v>1</v>
      </c>
      <c r="AW283" s="11">
        <v>1</v>
      </c>
      <c r="AX283" s="11">
        <v>1</v>
      </c>
      <c r="AY283" s="7">
        <v>3</v>
      </c>
      <c r="AZ283" s="7">
        <v>2</v>
      </c>
      <c r="BA283" s="7">
        <v>3</v>
      </c>
      <c r="BB283" s="7">
        <v>3</v>
      </c>
      <c r="BC283" s="7">
        <v>3</v>
      </c>
      <c r="BD283" s="7">
        <v>1</v>
      </c>
      <c r="BE283" s="7">
        <v>0</v>
      </c>
      <c r="BF283" s="7">
        <v>1</v>
      </c>
      <c r="BG283" s="12">
        <f>SUM(data__22[[#This Row],[N1]:[N4]],data__22[[#This Row],[N10]:[N13]],data__22[[#This Row],[N16]:[N18]])/11</f>
        <v>2.5454545454545454</v>
      </c>
      <c r="BH283" s="13">
        <f>SUM(data__22[[#This Row],[N8]:[N9]],data__22[[#This Row],[N23]:[N25]])/5</f>
        <v>1.2</v>
      </c>
      <c r="BI283" s="12">
        <f>SUM(data__22[[#This Row],[N5]:[N7]])/3</f>
        <v>1</v>
      </c>
      <c r="BJ283" s="12">
        <f>SUM(data__22[[#This Row],[N14]:[N15]],data__22[[#This Row],[N19]:[N22]],data__22[[#This Row],[N26]:[N28]])/9</f>
        <v>0.77777777777777779</v>
      </c>
      <c r="BK283" s="12">
        <f>SUM(data__22[[#This Row],[N29]:[N33]])/5</f>
        <v>2.8</v>
      </c>
      <c r="BL283" s="12">
        <f>SUM(data__22[[#This Row],[N34]:[N36]])/3</f>
        <v>0.66666666666666663</v>
      </c>
    </row>
    <row r="284" spans="1:64" x14ac:dyDescent="0.3">
      <c r="A284" s="7">
        <v>25</v>
      </c>
      <c r="B284" s="7" t="s">
        <v>70</v>
      </c>
      <c r="C284" s="7" t="s">
        <v>71</v>
      </c>
      <c r="D284" s="7" t="s">
        <v>72</v>
      </c>
      <c r="E284" s="7" t="s">
        <v>108</v>
      </c>
      <c r="F284" s="7" t="s">
        <v>74</v>
      </c>
      <c r="G284" s="7" t="s">
        <v>440</v>
      </c>
      <c r="H284" s="7" t="s">
        <v>74</v>
      </c>
      <c r="I284" s="7" t="s">
        <v>76</v>
      </c>
      <c r="J284" s="7" t="s">
        <v>77</v>
      </c>
      <c r="K284" s="7" t="s">
        <v>78</v>
      </c>
      <c r="L284" s="8" t="s">
        <v>79</v>
      </c>
      <c r="M284" s="8" t="s">
        <v>80</v>
      </c>
      <c r="N284" s="8" t="s">
        <v>82</v>
      </c>
      <c r="O284" s="8" t="s">
        <v>117</v>
      </c>
      <c r="P284" s="8" t="s">
        <v>82</v>
      </c>
      <c r="Q284" s="8" t="s">
        <v>83</v>
      </c>
      <c r="R284" s="8" t="s">
        <v>82</v>
      </c>
      <c r="S284" s="8" t="s">
        <v>82</v>
      </c>
      <c r="T284" s="8" t="s">
        <v>106</v>
      </c>
      <c r="U284" s="8" t="s">
        <v>141</v>
      </c>
      <c r="V284" s="8" t="s">
        <v>112</v>
      </c>
      <c r="W284" s="9">
        <v>2</v>
      </c>
      <c r="X284" s="9">
        <v>2</v>
      </c>
      <c r="Y284" s="9">
        <v>2</v>
      </c>
      <c r="Z284" s="9">
        <v>2</v>
      </c>
      <c r="AA284" s="9">
        <v>1</v>
      </c>
      <c r="AB284" s="9">
        <v>1</v>
      </c>
      <c r="AC284" s="9">
        <v>1</v>
      </c>
      <c r="AD284" s="9">
        <v>2</v>
      </c>
      <c r="AE284" s="9">
        <v>2</v>
      </c>
      <c r="AF284" s="9">
        <v>2</v>
      </c>
      <c r="AG284" s="9">
        <v>3</v>
      </c>
      <c r="AH284" s="9">
        <v>3</v>
      </c>
      <c r="AI284" s="9">
        <v>2</v>
      </c>
      <c r="AJ284" s="9">
        <v>1</v>
      </c>
      <c r="AK284" s="9">
        <v>0</v>
      </c>
      <c r="AL284" s="10">
        <v>3</v>
      </c>
      <c r="AM284" s="10">
        <v>3</v>
      </c>
      <c r="AN284" s="10">
        <v>3</v>
      </c>
      <c r="AO284" s="10">
        <v>0</v>
      </c>
      <c r="AP284" s="10">
        <v>0</v>
      </c>
      <c r="AQ284" s="10">
        <v>0</v>
      </c>
      <c r="AR284" s="10">
        <v>0</v>
      </c>
      <c r="AS284" s="11">
        <v>0</v>
      </c>
      <c r="AT284" s="11">
        <v>0</v>
      </c>
      <c r="AU284" s="11">
        <v>0</v>
      </c>
      <c r="AV284" s="11">
        <v>3</v>
      </c>
      <c r="AW284" s="11">
        <v>0</v>
      </c>
      <c r="AX284" s="11">
        <v>0</v>
      </c>
      <c r="AY284" s="7">
        <v>3</v>
      </c>
      <c r="AZ284" s="7">
        <v>3</v>
      </c>
      <c r="BA284" s="7">
        <v>3</v>
      </c>
      <c r="BB284" s="7">
        <v>3</v>
      </c>
      <c r="BC284" s="7">
        <v>3</v>
      </c>
      <c r="BD284" s="7">
        <v>0</v>
      </c>
      <c r="BE284" s="7">
        <v>1</v>
      </c>
      <c r="BF284" s="7">
        <v>1</v>
      </c>
      <c r="BG284" s="12">
        <f>SUM(data__22[[#This Row],[N1]:[N4]],data__22[[#This Row],[N10]:[N13]],data__22[[#This Row],[N16]:[N18]])/11</f>
        <v>2.4545454545454546</v>
      </c>
      <c r="BH284" s="13">
        <f>SUM(data__22[[#This Row],[N8]:[N9]],data__22[[#This Row],[N23]:[N25]])/5</f>
        <v>0.8</v>
      </c>
      <c r="BI284" s="12">
        <f>SUM(data__22[[#This Row],[N5]:[N7]])/3</f>
        <v>1</v>
      </c>
      <c r="BJ284" s="12">
        <f>SUM(data__22[[#This Row],[N14]:[N15]],data__22[[#This Row],[N19]:[N22]],data__22[[#This Row],[N26]:[N28]])/9</f>
        <v>0.44444444444444442</v>
      </c>
      <c r="BK284" s="12">
        <f>SUM(data__22[[#This Row],[N29]:[N33]])/5</f>
        <v>3</v>
      </c>
      <c r="BL284" s="12">
        <f>SUM(data__22[[#This Row],[N34]:[N36]])/3</f>
        <v>0.66666666666666663</v>
      </c>
    </row>
    <row r="285" spans="1:64" x14ac:dyDescent="0.3">
      <c r="A285" s="7">
        <v>24</v>
      </c>
      <c r="B285" s="7" t="s">
        <v>70</v>
      </c>
      <c r="C285" s="7" t="s">
        <v>113</v>
      </c>
      <c r="D285" s="7" t="s">
        <v>97</v>
      </c>
      <c r="E285" s="7" t="s">
        <v>108</v>
      </c>
      <c r="F285" s="7" t="s">
        <v>100</v>
      </c>
      <c r="G285" s="7" t="s">
        <v>440</v>
      </c>
      <c r="H285" s="7" t="s">
        <v>98</v>
      </c>
      <c r="I285" s="7" t="s">
        <v>76</v>
      </c>
      <c r="J285" s="7" t="s">
        <v>77</v>
      </c>
      <c r="K285" s="7" t="s">
        <v>125</v>
      </c>
      <c r="L285" s="8" t="s">
        <v>79</v>
      </c>
      <c r="M285" s="8" t="s">
        <v>80</v>
      </c>
      <c r="N285" s="8" t="s">
        <v>79</v>
      </c>
      <c r="O285" s="8" t="s">
        <v>109</v>
      </c>
      <c r="P285" s="8" t="s">
        <v>82</v>
      </c>
      <c r="Q285" s="8" t="s">
        <v>83</v>
      </c>
      <c r="R285" s="8" t="s">
        <v>82</v>
      </c>
      <c r="S285" s="8" t="s">
        <v>82</v>
      </c>
      <c r="T285" s="8" t="s">
        <v>106</v>
      </c>
      <c r="U285" s="8" t="s">
        <v>87</v>
      </c>
      <c r="V285" s="8" t="s">
        <v>112</v>
      </c>
      <c r="W285" s="9">
        <v>2</v>
      </c>
      <c r="X285" s="9">
        <v>1</v>
      </c>
      <c r="Y285" s="9">
        <v>3</v>
      </c>
      <c r="Z285" s="9">
        <v>2</v>
      </c>
      <c r="AA285" s="9">
        <v>1</v>
      </c>
      <c r="AB285" s="9">
        <v>1</v>
      </c>
      <c r="AC285" s="9">
        <v>1</v>
      </c>
      <c r="AD285" s="9">
        <v>2</v>
      </c>
      <c r="AE285" s="9">
        <v>1</v>
      </c>
      <c r="AF285" s="9">
        <v>2</v>
      </c>
      <c r="AG285" s="9">
        <v>2</v>
      </c>
      <c r="AH285" s="9">
        <v>2</v>
      </c>
      <c r="AI285" s="9">
        <v>2</v>
      </c>
      <c r="AJ285" s="9">
        <v>2</v>
      </c>
      <c r="AK285" s="9">
        <v>1</v>
      </c>
      <c r="AL285" s="10">
        <v>3</v>
      </c>
      <c r="AM285" s="10">
        <v>3</v>
      </c>
      <c r="AN285" s="10">
        <v>3</v>
      </c>
      <c r="AO285" s="10">
        <v>1</v>
      </c>
      <c r="AP285" s="10">
        <v>1</v>
      </c>
      <c r="AQ285" s="10">
        <v>0</v>
      </c>
      <c r="AR285" s="10">
        <v>0</v>
      </c>
      <c r="AS285" s="11">
        <v>1</v>
      </c>
      <c r="AT285" s="11">
        <v>0</v>
      </c>
      <c r="AU285" s="11">
        <v>0</v>
      </c>
      <c r="AV285" s="11">
        <v>2</v>
      </c>
      <c r="AW285" s="11">
        <v>2</v>
      </c>
      <c r="AX285" s="11">
        <v>1</v>
      </c>
      <c r="AY285" s="7">
        <v>3</v>
      </c>
      <c r="AZ285" s="7">
        <v>3</v>
      </c>
      <c r="BA285" s="7">
        <v>2</v>
      </c>
      <c r="BB285" s="7">
        <v>2</v>
      </c>
      <c r="BC285" s="7">
        <v>1</v>
      </c>
      <c r="BD285" s="7">
        <v>1</v>
      </c>
      <c r="BE285" s="7">
        <v>1</v>
      </c>
      <c r="BF285" s="7">
        <v>1</v>
      </c>
      <c r="BG285" s="12">
        <f>SUM(data__22[[#This Row],[N1]:[N4]],data__22[[#This Row],[N10]:[N13]],data__22[[#This Row],[N16]:[N18]])/11</f>
        <v>2.2727272727272729</v>
      </c>
      <c r="BH285" s="13">
        <f>SUM(data__22[[#This Row],[N8]:[N9]],data__22[[#This Row],[N23]:[N25]])/5</f>
        <v>0.8</v>
      </c>
      <c r="BI285" s="12">
        <f>SUM(data__22[[#This Row],[N5]:[N7]])/3</f>
        <v>1</v>
      </c>
      <c r="BJ285" s="12">
        <f>SUM(data__22[[#This Row],[N14]:[N15]],data__22[[#This Row],[N19]:[N22]],data__22[[#This Row],[N26]:[N28]])/9</f>
        <v>1.1111111111111112</v>
      </c>
      <c r="BK285" s="12">
        <f>SUM(data__22[[#This Row],[N29]:[N33]])/5</f>
        <v>2.2000000000000002</v>
      </c>
      <c r="BL285" s="12">
        <f>SUM(data__22[[#This Row],[N34]:[N36]])/3</f>
        <v>1</v>
      </c>
    </row>
    <row r="286" spans="1:64" x14ac:dyDescent="0.3">
      <c r="A286" s="7">
        <v>23</v>
      </c>
      <c r="B286" s="7" t="s">
        <v>70</v>
      </c>
      <c r="C286" s="7" t="s">
        <v>71</v>
      </c>
      <c r="D286" s="7" t="s">
        <v>97</v>
      </c>
      <c r="E286" s="7" t="s">
        <v>108</v>
      </c>
      <c r="F286" s="7" t="s">
        <v>74</v>
      </c>
      <c r="G286" s="7" t="s">
        <v>439</v>
      </c>
      <c r="H286" s="7" t="s">
        <v>136</v>
      </c>
      <c r="I286" s="7" t="s">
        <v>76</v>
      </c>
      <c r="J286" s="7" t="s">
        <v>77</v>
      </c>
      <c r="K286" s="7" t="s">
        <v>125</v>
      </c>
      <c r="L286" s="8" t="s">
        <v>82</v>
      </c>
      <c r="M286" s="8" t="s">
        <v>80</v>
      </c>
      <c r="N286" s="8" t="s">
        <v>79</v>
      </c>
      <c r="O286" s="8" t="s">
        <v>81</v>
      </c>
      <c r="P286" s="8" t="s">
        <v>82</v>
      </c>
      <c r="Q286" s="8" t="s">
        <v>83</v>
      </c>
      <c r="R286" s="8" t="s">
        <v>82</v>
      </c>
      <c r="S286" s="8" t="s">
        <v>82</v>
      </c>
      <c r="T286" s="8" t="s">
        <v>106</v>
      </c>
      <c r="U286" s="8" t="s">
        <v>120</v>
      </c>
      <c r="V286" s="8" t="s">
        <v>457</v>
      </c>
      <c r="W286" s="9">
        <v>3</v>
      </c>
      <c r="X286" s="9">
        <v>3</v>
      </c>
      <c r="Y286" s="9">
        <v>3</v>
      </c>
      <c r="Z286" s="9">
        <v>2</v>
      </c>
      <c r="AA286" s="9">
        <v>2</v>
      </c>
      <c r="AB286" s="9">
        <v>2</v>
      </c>
      <c r="AC286" s="9">
        <v>2</v>
      </c>
      <c r="AD286" s="9">
        <v>2</v>
      </c>
      <c r="AE286" s="9">
        <v>3</v>
      </c>
      <c r="AF286" s="9">
        <v>3</v>
      </c>
      <c r="AG286" s="9">
        <v>2</v>
      </c>
      <c r="AH286" s="9">
        <v>1</v>
      </c>
      <c r="AI286" s="9">
        <v>3</v>
      </c>
      <c r="AJ286" s="9">
        <v>3</v>
      </c>
      <c r="AK286" s="9">
        <v>3</v>
      </c>
      <c r="AL286" s="10">
        <v>1</v>
      </c>
      <c r="AM286" s="10">
        <v>3</v>
      </c>
      <c r="AN286" s="10">
        <v>3</v>
      </c>
      <c r="AO286" s="10">
        <v>1</v>
      </c>
      <c r="AP286" s="10">
        <v>3</v>
      </c>
      <c r="AQ286" s="10">
        <v>2</v>
      </c>
      <c r="AR286" s="10">
        <v>3</v>
      </c>
      <c r="AS286" s="11">
        <v>1</v>
      </c>
      <c r="AT286" s="11">
        <v>1</v>
      </c>
      <c r="AU286" s="11">
        <v>2</v>
      </c>
      <c r="AV286" s="11">
        <v>3</v>
      </c>
      <c r="AW286" s="11">
        <v>1</v>
      </c>
      <c r="AX286" s="11">
        <v>2</v>
      </c>
      <c r="AY286" s="7">
        <v>1</v>
      </c>
      <c r="AZ286" s="7">
        <v>2</v>
      </c>
      <c r="BA286" s="7">
        <v>2</v>
      </c>
      <c r="BB286" s="7">
        <v>1</v>
      </c>
      <c r="BC286" s="7">
        <v>2</v>
      </c>
      <c r="BD286" s="7">
        <v>1</v>
      </c>
      <c r="BE286" s="7">
        <v>1</v>
      </c>
      <c r="BF286" s="7">
        <v>2</v>
      </c>
      <c r="BG286" s="12">
        <f>SUM(data__22[[#This Row],[N1]:[N4]],data__22[[#This Row],[N10]:[N13]],data__22[[#This Row],[N16]:[N18]])/11</f>
        <v>2.4545454545454546</v>
      </c>
      <c r="BH286" s="13">
        <f>SUM(data__22[[#This Row],[N8]:[N9]],data__22[[#This Row],[N23]:[N25]])/5</f>
        <v>1.8</v>
      </c>
      <c r="BI286" s="12">
        <f>SUM(data__22[[#This Row],[N5]:[N7]])/3</f>
        <v>2</v>
      </c>
      <c r="BJ286" s="12">
        <f>SUM(data__22[[#This Row],[N14]:[N15]],data__22[[#This Row],[N19]:[N22]],data__22[[#This Row],[N26]:[N28]])/9</f>
        <v>2.3333333333333335</v>
      </c>
      <c r="BK286" s="12">
        <f>SUM(data__22[[#This Row],[N29]:[N33]])/5</f>
        <v>1.6</v>
      </c>
      <c r="BL286" s="12">
        <f>SUM(data__22[[#This Row],[N34]:[N36]])/3</f>
        <v>1.3333333333333333</v>
      </c>
    </row>
    <row r="287" spans="1:64" x14ac:dyDescent="0.3">
      <c r="A287" s="7">
        <v>21</v>
      </c>
      <c r="B287" s="7" t="s">
        <v>70</v>
      </c>
      <c r="C287" s="7" t="s">
        <v>96</v>
      </c>
      <c r="D287" s="7" t="s">
        <v>72</v>
      </c>
      <c r="E287" s="7" t="s">
        <v>114</v>
      </c>
      <c r="F287" s="7" t="s">
        <v>136</v>
      </c>
      <c r="G287" s="7" t="s">
        <v>440</v>
      </c>
      <c r="H287" s="7" t="s">
        <v>136</v>
      </c>
      <c r="I287" s="7" t="s">
        <v>76</v>
      </c>
      <c r="J287" s="7" t="s">
        <v>77</v>
      </c>
      <c r="K287" s="7" t="s">
        <v>125</v>
      </c>
      <c r="L287" s="8" t="s">
        <v>79</v>
      </c>
      <c r="M287" s="8" t="s">
        <v>80</v>
      </c>
      <c r="N287" s="8" t="s">
        <v>79</v>
      </c>
      <c r="O287" s="8" t="s">
        <v>109</v>
      </c>
      <c r="P287" s="8" t="s">
        <v>79</v>
      </c>
      <c r="Q287" s="8" t="s">
        <v>83</v>
      </c>
      <c r="R287" s="8" t="s">
        <v>82</v>
      </c>
      <c r="S287" s="8" t="s">
        <v>79</v>
      </c>
      <c r="T287" s="8" t="s">
        <v>106</v>
      </c>
      <c r="U287" s="8" t="s">
        <v>120</v>
      </c>
      <c r="V287" s="8" t="s">
        <v>112</v>
      </c>
      <c r="W287" s="9">
        <v>2</v>
      </c>
      <c r="X287" s="9">
        <v>2</v>
      </c>
      <c r="Y287" s="9">
        <v>3</v>
      </c>
      <c r="Z287" s="9">
        <v>1</v>
      </c>
      <c r="AA287" s="9">
        <v>2</v>
      </c>
      <c r="AB287" s="9">
        <v>3</v>
      </c>
      <c r="AC287" s="9">
        <v>2</v>
      </c>
      <c r="AD287" s="9">
        <v>2</v>
      </c>
      <c r="AE287" s="9">
        <v>3</v>
      </c>
      <c r="AF287" s="9">
        <v>1</v>
      </c>
      <c r="AG287" s="9">
        <v>2</v>
      </c>
      <c r="AH287" s="9">
        <v>1</v>
      </c>
      <c r="AI287" s="9">
        <v>2</v>
      </c>
      <c r="AJ287" s="9">
        <v>2</v>
      </c>
      <c r="AK287" s="9">
        <v>3</v>
      </c>
      <c r="AL287" s="10">
        <v>1</v>
      </c>
      <c r="AM287" s="10">
        <v>1</v>
      </c>
      <c r="AN287" s="10">
        <v>2</v>
      </c>
      <c r="AO287" s="10">
        <v>0</v>
      </c>
      <c r="AP287" s="10">
        <v>1</v>
      </c>
      <c r="AQ287" s="10">
        <v>2</v>
      </c>
      <c r="AR287" s="10">
        <v>0</v>
      </c>
      <c r="AS287" s="11">
        <v>1</v>
      </c>
      <c r="AT287" s="11">
        <v>0</v>
      </c>
      <c r="AU287" s="11">
        <v>0</v>
      </c>
      <c r="AV287" s="11">
        <v>0</v>
      </c>
      <c r="AW287" s="11">
        <v>0</v>
      </c>
      <c r="AX287" s="11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2</v>
      </c>
      <c r="BF287" s="7">
        <v>1</v>
      </c>
      <c r="BG287" s="12">
        <f>SUM(data__22[[#This Row],[N1]:[N4]],data__22[[#This Row],[N10]:[N13]],data__22[[#This Row],[N16]:[N18]])/11</f>
        <v>1.6363636363636365</v>
      </c>
      <c r="BH287" s="13">
        <f>SUM(data__22[[#This Row],[N8]:[N9]],data__22[[#This Row],[N23]:[N25]])/5</f>
        <v>1.2</v>
      </c>
      <c r="BI287" s="12">
        <f>SUM(data__22[[#This Row],[N5]:[N7]])/3</f>
        <v>2.3333333333333335</v>
      </c>
      <c r="BJ287" s="12">
        <f>SUM(data__22[[#This Row],[N14]:[N15]],data__22[[#This Row],[N19]:[N22]],data__22[[#This Row],[N26]:[N28]])/9</f>
        <v>0.88888888888888884</v>
      </c>
      <c r="BK287" s="12">
        <f>SUM(data__22[[#This Row],[N29]:[N33]])/5</f>
        <v>0</v>
      </c>
      <c r="BL287" s="12">
        <f>SUM(data__22[[#This Row],[N34]:[N36]])/3</f>
        <v>1</v>
      </c>
    </row>
    <row r="288" spans="1:64" x14ac:dyDescent="0.3">
      <c r="A288" s="7">
        <v>21</v>
      </c>
      <c r="B288" s="7" t="s">
        <v>70</v>
      </c>
      <c r="C288" s="7" t="s">
        <v>96</v>
      </c>
      <c r="D288" s="7" t="s">
        <v>72</v>
      </c>
      <c r="E288" s="7" t="s">
        <v>73</v>
      </c>
      <c r="F288" s="7" t="s">
        <v>74</v>
      </c>
      <c r="G288" s="7" t="s">
        <v>439</v>
      </c>
      <c r="H288" s="7" t="s">
        <v>74</v>
      </c>
      <c r="I288" s="7" t="s">
        <v>76</v>
      </c>
      <c r="J288" s="7" t="s">
        <v>77</v>
      </c>
      <c r="K288" s="7" t="s">
        <v>125</v>
      </c>
      <c r="L288" s="8" t="s">
        <v>79</v>
      </c>
      <c r="M288" s="8" t="s">
        <v>80</v>
      </c>
      <c r="N288" s="8" t="s">
        <v>79</v>
      </c>
      <c r="O288" s="8" t="s">
        <v>109</v>
      </c>
      <c r="P288" s="8" t="s">
        <v>82</v>
      </c>
      <c r="Q288" s="8" t="s">
        <v>83</v>
      </c>
      <c r="R288" s="8" t="s">
        <v>82</v>
      </c>
      <c r="S288" s="8" t="s">
        <v>82</v>
      </c>
      <c r="T288" s="8" t="s">
        <v>106</v>
      </c>
      <c r="U288" s="8" t="s">
        <v>141</v>
      </c>
      <c r="V288" s="8" t="s">
        <v>112</v>
      </c>
      <c r="W288" s="9">
        <v>1</v>
      </c>
      <c r="X288" s="9">
        <v>1</v>
      </c>
      <c r="Y288" s="9">
        <v>1</v>
      </c>
      <c r="Z288" s="9">
        <v>1</v>
      </c>
      <c r="AA288" s="9">
        <v>1</v>
      </c>
      <c r="AB288" s="9">
        <v>2</v>
      </c>
      <c r="AC288" s="9">
        <v>2</v>
      </c>
      <c r="AD288" s="9">
        <v>3</v>
      </c>
      <c r="AE288" s="9">
        <v>3</v>
      </c>
      <c r="AF288" s="9">
        <v>3</v>
      </c>
      <c r="AG288" s="9">
        <v>3</v>
      </c>
      <c r="AH288" s="9">
        <v>3</v>
      </c>
      <c r="AI288" s="9">
        <v>2</v>
      </c>
      <c r="AJ288" s="9">
        <v>3</v>
      </c>
      <c r="AK288" s="9">
        <v>3</v>
      </c>
      <c r="AL288" s="10">
        <v>3</v>
      </c>
      <c r="AM288" s="10">
        <v>3</v>
      </c>
      <c r="AN288" s="10">
        <v>3</v>
      </c>
      <c r="AO288" s="10">
        <v>2</v>
      </c>
      <c r="AP288" s="10">
        <v>2</v>
      </c>
      <c r="AQ288" s="10">
        <v>1</v>
      </c>
      <c r="AR288" s="10">
        <v>2</v>
      </c>
      <c r="AS288" s="11">
        <v>1</v>
      </c>
      <c r="AT288" s="11">
        <v>1</v>
      </c>
      <c r="AU288" s="11">
        <v>1</v>
      </c>
      <c r="AV288" s="11">
        <v>1</v>
      </c>
      <c r="AW288" s="11">
        <v>1</v>
      </c>
      <c r="AX288" s="11">
        <v>1</v>
      </c>
      <c r="AY288" s="7">
        <v>2</v>
      </c>
      <c r="AZ288" s="7">
        <v>2</v>
      </c>
      <c r="BA288" s="7">
        <v>3</v>
      </c>
      <c r="BB288" s="7">
        <v>2</v>
      </c>
      <c r="BC288" s="7">
        <v>2</v>
      </c>
      <c r="BD288" s="7">
        <v>3</v>
      </c>
      <c r="BE288" s="7">
        <v>2</v>
      </c>
      <c r="BF288" s="7">
        <v>2</v>
      </c>
      <c r="BG288" s="12">
        <f>SUM(data__22[[#This Row],[N1]:[N4]],data__22[[#This Row],[N10]:[N13]],data__22[[#This Row],[N16]:[N18]])/11</f>
        <v>2.1818181818181817</v>
      </c>
      <c r="BH288" s="13">
        <f>SUM(data__22[[#This Row],[N8]:[N9]],data__22[[#This Row],[N23]:[N25]])/5</f>
        <v>1.8</v>
      </c>
      <c r="BI288" s="12">
        <f>SUM(data__22[[#This Row],[N5]:[N7]])/3</f>
        <v>1.6666666666666667</v>
      </c>
      <c r="BJ288" s="12">
        <f>SUM(data__22[[#This Row],[N14]:[N15]],data__22[[#This Row],[N19]:[N22]],data__22[[#This Row],[N26]:[N28]])/9</f>
        <v>1.7777777777777777</v>
      </c>
      <c r="BK288" s="12">
        <f>SUM(data__22[[#This Row],[N29]:[N33]])/5</f>
        <v>2.2000000000000002</v>
      </c>
      <c r="BL288" s="12">
        <f>SUM(data__22[[#This Row],[N34]:[N36]])/3</f>
        <v>2.3333333333333335</v>
      </c>
    </row>
    <row r="289" spans="1:64" x14ac:dyDescent="0.3">
      <c r="A289" s="7">
        <v>22</v>
      </c>
      <c r="B289" s="7" t="s">
        <v>70</v>
      </c>
      <c r="C289" s="7" t="s">
        <v>157</v>
      </c>
      <c r="D289" s="7" t="s">
        <v>97</v>
      </c>
      <c r="E289" s="7" t="s">
        <v>108</v>
      </c>
      <c r="F289" s="7" t="s">
        <v>74</v>
      </c>
      <c r="G289" s="7" t="s">
        <v>439</v>
      </c>
      <c r="H289" s="7" t="s">
        <v>74</v>
      </c>
      <c r="I289" s="7" t="s">
        <v>439</v>
      </c>
      <c r="J289" s="7" t="s">
        <v>77</v>
      </c>
      <c r="K289" s="7" t="s">
        <v>131</v>
      </c>
      <c r="L289" s="8" t="s">
        <v>79</v>
      </c>
      <c r="M289" s="8" t="s">
        <v>80</v>
      </c>
      <c r="N289" s="8" t="s">
        <v>79</v>
      </c>
      <c r="O289" s="8" t="s">
        <v>81</v>
      </c>
      <c r="P289" s="8" t="s">
        <v>79</v>
      </c>
      <c r="Q289" s="8" t="s">
        <v>83</v>
      </c>
      <c r="R289" s="8" t="s">
        <v>79</v>
      </c>
      <c r="S289" s="8" t="s">
        <v>82</v>
      </c>
      <c r="T289" s="8" t="s">
        <v>106</v>
      </c>
      <c r="U289" s="8" t="s">
        <v>141</v>
      </c>
      <c r="V289" s="8" t="s">
        <v>455</v>
      </c>
      <c r="W289" s="9">
        <v>1</v>
      </c>
      <c r="X289" s="9">
        <v>1</v>
      </c>
      <c r="Y289" s="9">
        <v>1</v>
      </c>
      <c r="Z289" s="9">
        <v>1</v>
      </c>
      <c r="AA289" s="9">
        <v>1</v>
      </c>
      <c r="AB289" s="9">
        <v>1</v>
      </c>
      <c r="AC289" s="9">
        <v>1</v>
      </c>
      <c r="AD289" s="9">
        <v>1</v>
      </c>
      <c r="AE289" s="9">
        <v>1</v>
      </c>
      <c r="AF289" s="9">
        <v>1</v>
      </c>
      <c r="AG289" s="9">
        <v>1</v>
      </c>
      <c r="AH289" s="9">
        <v>1</v>
      </c>
      <c r="AI289" s="9">
        <v>1</v>
      </c>
      <c r="AJ289" s="9">
        <v>1</v>
      </c>
      <c r="AK289" s="9">
        <v>1</v>
      </c>
      <c r="AL289" s="10">
        <v>1</v>
      </c>
      <c r="AM289" s="10">
        <v>1</v>
      </c>
      <c r="AN289" s="10">
        <v>1</v>
      </c>
      <c r="AO289" s="10">
        <v>1</v>
      </c>
      <c r="AP289" s="10">
        <v>1</v>
      </c>
      <c r="AQ289" s="10">
        <v>1</v>
      </c>
      <c r="AR289" s="10">
        <v>1</v>
      </c>
      <c r="AS289" s="11">
        <v>1</v>
      </c>
      <c r="AT289" s="11">
        <v>1</v>
      </c>
      <c r="AU289" s="11">
        <v>1</v>
      </c>
      <c r="AV289" s="11">
        <v>1</v>
      </c>
      <c r="AW289" s="11">
        <v>1</v>
      </c>
      <c r="AX289" s="11">
        <v>1</v>
      </c>
      <c r="AY289" s="7">
        <v>1</v>
      </c>
      <c r="AZ289" s="7">
        <v>1</v>
      </c>
      <c r="BA289" s="7">
        <v>1</v>
      </c>
      <c r="BB289" s="7">
        <v>1</v>
      </c>
      <c r="BC289" s="7">
        <v>1</v>
      </c>
      <c r="BD289" s="7">
        <v>1</v>
      </c>
      <c r="BE289" s="7">
        <v>1</v>
      </c>
      <c r="BF289" s="7">
        <v>2</v>
      </c>
      <c r="BG289" s="12">
        <f>SUM(data__22[[#This Row],[N1]:[N4]],data__22[[#This Row],[N10]:[N13]],data__22[[#This Row],[N16]:[N18]])/11</f>
        <v>1</v>
      </c>
      <c r="BH289" s="13">
        <f>SUM(data__22[[#This Row],[N8]:[N9]],data__22[[#This Row],[N23]:[N25]])/5</f>
        <v>1</v>
      </c>
      <c r="BI289" s="12">
        <f>SUM(data__22[[#This Row],[N5]:[N7]])/3</f>
        <v>1</v>
      </c>
      <c r="BJ289" s="12">
        <f>SUM(data__22[[#This Row],[N14]:[N15]],data__22[[#This Row],[N19]:[N22]],data__22[[#This Row],[N26]:[N28]])/9</f>
        <v>1</v>
      </c>
      <c r="BK289" s="12">
        <f>SUM(data__22[[#This Row],[N29]:[N33]])/5</f>
        <v>1</v>
      </c>
      <c r="BL289" s="12">
        <f>SUM(data__22[[#This Row],[N34]:[N36]])/3</f>
        <v>1.3333333333333333</v>
      </c>
    </row>
    <row r="290" spans="1:64" x14ac:dyDescent="0.3">
      <c r="A290" s="7">
        <v>20</v>
      </c>
      <c r="B290" s="7" t="s">
        <v>162</v>
      </c>
      <c r="C290" s="7" t="s">
        <v>157</v>
      </c>
      <c r="D290" s="7" t="s">
        <v>72</v>
      </c>
      <c r="E290" s="7" t="s">
        <v>73</v>
      </c>
      <c r="F290" s="7" t="s">
        <v>74</v>
      </c>
      <c r="G290" s="7" t="s">
        <v>99</v>
      </c>
      <c r="H290" s="7" t="s">
        <v>136</v>
      </c>
      <c r="I290" s="7" t="s">
        <v>76</v>
      </c>
      <c r="J290" s="7" t="s">
        <v>77</v>
      </c>
      <c r="K290" s="7" t="s">
        <v>122</v>
      </c>
      <c r="L290" s="8" t="s">
        <v>79</v>
      </c>
      <c r="M290" s="8" t="s">
        <v>80</v>
      </c>
      <c r="N290" s="8" t="s">
        <v>79</v>
      </c>
      <c r="O290" s="8" t="s">
        <v>81</v>
      </c>
      <c r="P290" s="8" t="s">
        <v>82</v>
      </c>
      <c r="Q290" s="8" t="s">
        <v>83</v>
      </c>
      <c r="R290" s="8" t="s">
        <v>82</v>
      </c>
      <c r="S290" s="8" t="s">
        <v>82</v>
      </c>
      <c r="T290" s="8" t="s">
        <v>106</v>
      </c>
      <c r="U290" s="8" t="s">
        <v>141</v>
      </c>
      <c r="V290" s="8" t="s">
        <v>112</v>
      </c>
      <c r="W290" s="9">
        <v>3</v>
      </c>
      <c r="X290" s="9">
        <v>3</v>
      </c>
      <c r="Y290" s="9">
        <v>3</v>
      </c>
      <c r="Z290" s="9">
        <v>3</v>
      </c>
      <c r="AA290" s="9">
        <v>1</v>
      </c>
      <c r="AB290" s="9">
        <v>1</v>
      </c>
      <c r="AC290" s="9">
        <v>1</v>
      </c>
      <c r="AD290" s="9">
        <v>3</v>
      </c>
      <c r="AE290" s="9">
        <v>3</v>
      </c>
      <c r="AF290" s="9">
        <v>1</v>
      </c>
      <c r="AG290" s="9">
        <v>3</v>
      </c>
      <c r="AH290" s="9">
        <v>3</v>
      </c>
      <c r="AI290" s="9">
        <v>3</v>
      </c>
      <c r="AJ290" s="9">
        <v>1</v>
      </c>
      <c r="AK290" s="9">
        <v>1</v>
      </c>
      <c r="AL290" s="10">
        <v>3</v>
      </c>
      <c r="AM290" s="10">
        <v>3</v>
      </c>
      <c r="AN290" s="10">
        <v>3</v>
      </c>
      <c r="AO290" s="10">
        <v>3</v>
      </c>
      <c r="AP290" s="10">
        <v>3</v>
      </c>
      <c r="AQ290" s="10">
        <v>3</v>
      </c>
      <c r="AR290" s="10">
        <v>3</v>
      </c>
      <c r="AS290" s="11">
        <v>3</v>
      </c>
      <c r="AT290" s="11">
        <v>3</v>
      </c>
      <c r="AU290" s="11">
        <v>3</v>
      </c>
      <c r="AV290" s="11">
        <v>3</v>
      </c>
      <c r="AW290" s="11">
        <v>3</v>
      </c>
      <c r="AX290" s="11">
        <v>3</v>
      </c>
      <c r="AY290" s="7">
        <v>3</v>
      </c>
      <c r="AZ290" s="7">
        <v>3</v>
      </c>
      <c r="BA290" s="7">
        <v>3</v>
      </c>
      <c r="BB290" s="7">
        <v>3</v>
      </c>
      <c r="BC290" s="7">
        <v>3</v>
      </c>
      <c r="BD290" s="7">
        <v>3</v>
      </c>
      <c r="BE290" s="7">
        <v>3</v>
      </c>
      <c r="BF290" s="7">
        <v>3</v>
      </c>
      <c r="BG290" s="12">
        <f>SUM(data__22[[#This Row],[N1]:[N4]],data__22[[#This Row],[N10]:[N13]],data__22[[#This Row],[N16]:[N18]])/11</f>
        <v>2.8181818181818183</v>
      </c>
      <c r="BH290" s="13">
        <f>SUM(data__22[[#This Row],[N8]:[N9]],data__22[[#This Row],[N23]:[N25]])/5</f>
        <v>3</v>
      </c>
      <c r="BI290" s="12">
        <f>SUM(data__22[[#This Row],[N5]:[N7]])/3</f>
        <v>1</v>
      </c>
      <c r="BJ290" s="12">
        <f>SUM(data__22[[#This Row],[N14]:[N15]],data__22[[#This Row],[N19]:[N22]],data__22[[#This Row],[N26]:[N28]])/9</f>
        <v>2.5555555555555554</v>
      </c>
      <c r="BK290" s="12">
        <f>SUM(data__22[[#This Row],[N29]:[N33]])/5</f>
        <v>3</v>
      </c>
      <c r="BL290" s="12">
        <f>SUM(data__22[[#This Row],[N34]:[N36]])/3</f>
        <v>3</v>
      </c>
    </row>
    <row r="291" spans="1:64" x14ac:dyDescent="0.3">
      <c r="A291" s="7">
        <v>21</v>
      </c>
      <c r="B291" s="7" t="s">
        <v>128</v>
      </c>
      <c r="C291" s="7" t="s">
        <v>157</v>
      </c>
      <c r="D291" s="7" t="s">
        <v>72</v>
      </c>
      <c r="E291" s="7" t="s">
        <v>114</v>
      </c>
      <c r="F291" s="7" t="s">
        <v>136</v>
      </c>
      <c r="G291" s="7" t="s">
        <v>440</v>
      </c>
      <c r="H291" s="7" t="s">
        <v>98</v>
      </c>
      <c r="I291" s="7" t="s">
        <v>76</v>
      </c>
      <c r="J291" s="7" t="s">
        <v>77</v>
      </c>
      <c r="K291" s="7" t="s">
        <v>125</v>
      </c>
      <c r="L291" s="8" t="s">
        <v>79</v>
      </c>
      <c r="M291" s="8" t="s">
        <v>80</v>
      </c>
      <c r="N291" s="8" t="s">
        <v>79</v>
      </c>
      <c r="O291" s="8" t="s">
        <v>109</v>
      </c>
      <c r="P291" s="8" t="s">
        <v>82</v>
      </c>
      <c r="Q291" s="8" t="s">
        <v>83</v>
      </c>
      <c r="R291" s="8" t="s">
        <v>79</v>
      </c>
      <c r="S291" s="8" t="s">
        <v>79</v>
      </c>
      <c r="T291" s="8" t="s">
        <v>106</v>
      </c>
      <c r="U291" s="8" t="s">
        <v>120</v>
      </c>
      <c r="V291" s="8" t="s">
        <v>112</v>
      </c>
      <c r="W291" s="9">
        <v>1</v>
      </c>
      <c r="X291" s="9">
        <v>2</v>
      </c>
      <c r="Y291" s="9">
        <v>1</v>
      </c>
      <c r="Z291" s="9">
        <v>1</v>
      </c>
      <c r="AA291" s="9">
        <v>2</v>
      </c>
      <c r="AB291" s="9">
        <v>1</v>
      </c>
      <c r="AC291" s="9">
        <v>2</v>
      </c>
      <c r="AD291" s="9">
        <v>2</v>
      </c>
      <c r="AE291" s="9">
        <v>2</v>
      </c>
      <c r="AF291" s="9">
        <v>1</v>
      </c>
      <c r="AG291" s="9">
        <v>2</v>
      </c>
      <c r="AH291" s="9">
        <v>2</v>
      </c>
      <c r="AI291" s="9">
        <v>2</v>
      </c>
      <c r="AJ291" s="9">
        <v>1</v>
      </c>
      <c r="AK291" s="9">
        <v>2</v>
      </c>
      <c r="AL291" s="10">
        <v>1</v>
      </c>
      <c r="AM291" s="10">
        <v>3</v>
      </c>
      <c r="AN291" s="10">
        <v>2</v>
      </c>
      <c r="AO291" s="10">
        <v>2</v>
      </c>
      <c r="AP291" s="10">
        <v>3</v>
      </c>
      <c r="AQ291" s="10">
        <v>2</v>
      </c>
      <c r="AR291" s="10">
        <v>2</v>
      </c>
      <c r="AS291" s="11">
        <v>1</v>
      </c>
      <c r="AT291" s="11">
        <v>1</v>
      </c>
      <c r="AU291" s="11">
        <v>2</v>
      </c>
      <c r="AV291" s="11">
        <v>1</v>
      </c>
      <c r="AW291" s="11">
        <v>1</v>
      </c>
      <c r="AX291" s="11">
        <v>1</v>
      </c>
      <c r="AY291" s="7">
        <v>3</v>
      </c>
      <c r="AZ291" s="7">
        <v>3</v>
      </c>
      <c r="BA291" s="7">
        <v>3</v>
      </c>
      <c r="BB291" s="7">
        <v>3</v>
      </c>
      <c r="BC291" s="7">
        <v>3</v>
      </c>
      <c r="BD291" s="7">
        <v>3</v>
      </c>
      <c r="BE291" s="7">
        <v>3</v>
      </c>
      <c r="BF291" s="7">
        <v>2</v>
      </c>
      <c r="BG291" s="12">
        <f>SUM(data__22[[#This Row],[N1]:[N4]],data__22[[#This Row],[N10]:[N13]],data__22[[#This Row],[N16]:[N18]])/11</f>
        <v>1.6363636363636365</v>
      </c>
      <c r="BH291" s="13">
        <f>SUM(data__22[[#This Row],[N8]:[N9]],data__22[[#This Row],[N23]:[N25]])/5</f>
        <v>1.6</v>
      </c>
      <c r="BI291" s="12">
        <f>SUM(data__22[[#This Row],[N5]:[N7]])/3</f>
        <v>1.6666666666666667</v>
      </c>
      <c r="BJ291" s="12">
        <f>SUM(data__22[[#This Row],[N14]:[N15]],data__22[[#This Row],[N19]:[N22]],data__22[[#This Row],[N26]:[N28]])/9</f>
        <v>1.6666666666666667</v>
      </c>
      <c r="BK291" s="12">
        <f>SUM(data__22[[#This Row],[N29]:[N33]])/5</f>
        <v>3</v>
      </c>
      <c r="BL291" s="12">
        <f>SUM(data__22[[#This Row],[N34]:[N36]])/3</f>
        <v>2.6666666666666665</v>
      </c>
    </row>
    <row r="292" spans="1:64" x14ac:dyDescent="0.3">
      <c r="A292" s="7">
        <v>19</v>
      </c>
      <c r="B292" s="7" t="s">
        <v>70</v>
      </c>
      <c r="C292" s="7" t="s">
        <v>157</v>
      </c>
      <c r="D292" s="7" t="s">
        <v>72</v>
      </c>
      <c r="E292" s="7" t="s">
        <v>114</v>
      </c>
      <c r="F292" s="7" t="s">
        <v>98</v>
      </c>
      <c r="G292" s="7" t="s">
        <v>439</v>
      </c>
      <c r="H292" s="7" t="s">
        <v>98</v>
      </c>
      <c r="I292" s="7" t="s">
        <v>76</v>
      </c>
      <c r="J292" s="7" t="s">
        <v>77</v>
      </c>
      <c r="K292" s="7" t="s">
        <v>122</v>
      </c>
      <c r="L292" s="8" t="s">
        <v>79</v>
      </c>
      <c r="M292" s="8" t="s">
        <v>80</v>
      </c>
      <c r="N292" s="8" t="s">
        <v>82</v>
      </c>
      <c r="O292" s="8" t="s">
        <v>117</v>
      </c>
      <c r="P292" s="8" t="s">
        <v>79</v>
      </c>
      <c r="Q292" s="8" t="s">
        <v>83</v>
      </c>
      <c r="R292" s="8" t="s">
        <v>79</v>
      </c>
      <c r="S292" s="8" t="s">
        <v>82</v>
      </c>
      <c r="T292" s="8" t="s">
        <v>86</v>
      </c>
      <c r="U292" s="8" t="s">
        <v>120</v>
      </c>
      <c r="V292" s="8" t="s">
        <v>160</v>
      </c>
      <c r="W292" s="9">
        <v>2</v>
      </c>
      <c r="X292" s="9">
        <v>2</v>
      </c>
      <c r="Y292" s="9">
        <v>2</v>
      </c>
      <c r="Z292" s="9">
        <v>2</v>
      </c>
      <c r="AA292" s="9">
        <v>2</v>
      </c>
      <c r="AB292" s="9">
        <v>2</v>
      </c>
      <c r="AC292" s="9">
        <v>2</v>
      </c>
      <c r="AD292" s="9">
        <v>2</v>
      </c>
      <c r="AE292" s="9">
        <v>2</v>
      </c>
      <c r="AF292" s="9">
        <v>2</v>
      </c>
      <c r="AG292" s="9">
        <v>2</v>
      </c>
      <c r="AH292" s="9">
        <v>2</v>
      </c>
      <c r="AI292" s="9">
        <v>2</v>
      </c>
      <c r="AJ292" s="9">
        <v>2</v>
      </c>
      <c r="AK292" s="9">
        <v>2</v>
      </c>
      <c r="AL292" s="10">
        <v>3</v>
      </c>
      <c r="AM292" s="10">
        <v>3</v>
      </c>
      <c r="AN292" s="10">
        <v>3</v>
      </c>
      <c r="AO292" s="10">
        <v>3</v>
      </c>
      <c r="AP292" s="10">
        <v>3</v>
      </c>
      <c r="AQ292" s="10">
        <v>3</v>
      </c>
      <c r="AR292" s="10">
        <v>3</v>
      </c>
      <c r="AS292" s="11">
        <v>1</v>
      </c>
      <c r="AT292" s="11">
        <v>1</v>
      </c>
      <c r="AU292" s="11">
        <v>1</v>
      </c>
      <c r="AV292" s="11">
        <v>1</v>
      </c>
      <c r="AW292" s="11">
        <v>1</v>
      </c>
      <c r="AX292" s="11">
        <v>1</v>
      </c>
      <c r="AY292" s="7">
        <v>3</v>
      </c>
      <c r="AZ292" s="7">
        <v>3</v>
      </c>
      <c r="BA292" s="7">
        <v>3</v>
      </c>
      <c r="BB292" s="7">
        <v>3</v>
      </c>
      <c r="BC292" s="7">
        <v>3</v>
      </c>
      <c r="BD292" s="7">
        <v>3</v>
      </c>
      <c r="BE292" s="7">
        <v>3</v>
      </c>
      <c r="BF292" s="7">
        <v>3</v>
      </c>
      <c r="BG292" s="12">
        <f>SUM(data__22[[#This Row],[N1]:[N4]],data__22[[#This Row],[N10]:[N13]],data__22[[#This Row],[N16]:[N18]])/11</f>
        <v>2.2727272727272729</v>
      </c>
      <c r="BH292" s="13">
        <f>SUM(data__22[[#This Row],[N8]:[N9]],data__22[[#This Row],[N23]:[N25]])/5</f>
        <v>1.4</v>
      </c>
      <c r="BI292" s="12">
        <f>SUM(data__22[[#This Row],[N5]:[N7]])/3</f>
        <v>2</v>
      </c>
      <c r="BJ292" s="12">
        <f>SUM(data__22[[#This Row],[N14]:[N15]],data__22[[#This Row],[N19]:[N22]],data__22[[#This Row],[N26]:[N28]])/9</f>
        <v>2.1111111111111112</v>
      </c>
      <c r="BK292" s="12">
        <f>SUM(data__22[[#This Row],[N29]:[N33]])/5</f>
        <v>3</v>
      </c>
      <c r="BL292" s="12">
        <f>SUM(data__22[[#This Row],[N34]:[N36]])/3</f>
        <v>3</v>
      </c>
    </row>
    <row r="293" spans="1:64" x14ac:dyDescent="0.3">
      <c r="A293" s="7">
        <v>19</v>
      </c>
      <c r="B293" s="7" t="s">
        <v>70</v>
      </c>
      <c r="C293" s="7" t="s">
        <v>157</v>
      </c>
      <c r="D293" s="7" t="s">
        <v>72</v>
      </c>
      <c r="E293" s="7" t="s">
        <v>114</v>
      </c>
      <c r="F293" s="7" t="s">
        <v>74</v>
      </c>
      <c r="G293" s="7" t="s">
        <v>440</v>
      </c>
      <c r="H293" s="7" t="s">
        <v>136</v>
      </c>
      <c r="I293" s="7" t="s">
        <v>76</v>
      </c>
      <c r="J293" s="7" t="s">
        <v>77</v>
      </c>
      <c r="K293" s="7" t="s">
        <v>78</v>
      </c>
      <c r="L293" s="8" t="s">
        <v>79</v>
      </c>
      <c r="M293" s="8" t="s">
        <v>80</v>
      </c>
      <c r="N293" s="8" t="s">
        <v>79</v>
      </c>
      <c r="O293" s="8" t="s">
        <v>138</v>
      </c>
      <c r="P293" s="8" t="s">
        <v>79</v>
      </c>
      <c r="Q293" s="8" t="s">
        <v>83</v>
      </c>
      <c r="R293" s="8" t="s">
        <v>79</v>
      </c>
      <c r="S293" s="8" t="s">
        <v>79</v>
      </c>
      <c r="T293" s="8" t="s">
        <v>106</v>
      </c>
      <c r="U293" s="8" t="s">
        <v>87</v>
      </c>
      <c r="V293" s="8" t="s">
        <v>112</v>
      </c>
      <c r="W293" s="9">
        <v>3</v>
      </c>
      <c r="X293" s="9">
        <v>3</v>
      </c>
      <c r="Y293" s="9">
        <v>3</v>
      </c>
      <c r="Z293" s="9">
        <v>3</v>
      </c>
      <c r="AA293" s="9">
        <v>0</v>
      </c>
      <c r="AB293" s="9">
        <v>0</v>
      </c>
      <c r="AC293" s="9">
        <v>0</v>
      </c>
      <c r="AD293" s="9">
        <v>1</v>
      </c>
      <c r="AE293" s="9">
        <v>1</v>
      </c>
      <c r="AF293" s="9">
        <v>1</v>
      </c>
      <c r="AG293" s="9">
        <v>3</v>
      </c>
      <c r="AH293" s="9">
        <v>3</v>
      </c>
      <c r="AI293" s="9">
        <v>3</v>
      </c>
      <c r="AJ293" s="9">
        <v>0</v>
      </c>
      <c r="AK293" s="9">
        <v>0</v>
      </c>
      <c r="AL293" s="10">
        <v>3</v>
      </c>
      <c r="AM293" s="10">
        <v>3</v>
      </c>
      <c r="AN293" s="10">
        <v>3</v>
      </c>
      <c r="AO293" s="10">
        <v>0</v>
      </c>
      <c r="AP293" s="10">
        <v>0</v>
      </c>
      <c r="AQ293" s="10">
        <v>0</v>
      </c>
      <c r="AR293" s="10">
        <v>0</v>
      </c>
      <c r="AS293" s="11">
        <v>3</v>
      </c>
      <c r="AT293" s="11">
        <v>3</v>
      </c>
      <c r="AU293" s="11">
        <v>3</v>
      </c>
      <c r="AV293" s="11">
        <v>0</v>
      </c>
      <c r="AW293" s="11">
        <v>0</v>
      </c>
      <c r="AX293" s="11">
        <v>0</v>
      </c>
      <c r="AY293" s="7"/>
      <c r="AZ293" s="7"/>
      <c r="BA293" s="7"/>
      <c r="BB293" s="7"/>
      <c r="BC293" s="7"/>
      <c r="BD293" s="7"/>
      <c r="BE293" s="7"/>
      <c r="BF293" s="7"/>
      <c r="BG293" s="12">
        <f>SUM(data__22[[#This Row],[N1]:[N4]],data__22[[#This Row],[N10]:[N13]],data__22[[#This Row],[N16]:[N18]])/11</f>
        <v>2.8181818181818183</v>
      </c>
      <c r="BH293" s="13">
        <f>SUM(data__22[[#This Row],[N8]:[N9]],data__22[[#This Row],[N23]:[N25]])/5</f>
        <v>2.2000000000000002</v>
      </c>
      <c r="BI293" s="12">
        <f>SUM(data__22[[#This Row],[N5]:[N7]])/3</f>
        <v>0</v>
      </c>
      <c r="BJ293" s="12">
        <f>SUM(data__22[[#This Row],[N14]:[N15]],data__22[[#This Row],[N19]:[N22]],data__22[[#This Row],[N26]:[N28]])/9</f>
        <v>0</v>
      </c>
      <c r="BK293" s="12">
        <f>SUM(data__22[[#This Row],[N29]:[N33]])/5</f>
        <v>0</v>
      </c>
      <c r="BL293" s="12">
        <f>SUM(data__22[[#This Row],[N34]:[N36]])/3</f>
        <v>0</v>
      </c>
    </row>
    <row r="294" spans="1:64" x14ac:dyDescent="0.3">
      <c r="A294" s="7">
        <v>21</v>
      </c>
      <c r="B294" s="7" t="s">
        <v>70</v>
      </c>
      <c r="C294" s="7" t="s">
        <v>157</v>
      </c>
      <c r="D294" s="7" t="s">
        <v>97</v>
      </c>
      <c r="E294" s="7" t="s">
        <v>108</v>
      </c>
      <c r="F294" s="7" t="s">
        <v>74</v>
      </c>
      <c r="G294" s="7" t="s">
        <v>439</v>
      </c>
      <c r="H294" s="7" t="s">
        <v>74</v>
      </c>
      <c r="I294" s="7" t="s">
        <v>76</v>
      </c>
      <c r="J294" s="7" t="s">
        <v>77</v>
      </c>
      <c r="K294" s="7" t="s">
        <v>131</v>
      </c>
      <c r="L294" s="8" t="s">
        <v>79</v>
      </c>
      <c r="M294" s="8" t="s">
        <v>80</v>
      </c>
      <c r="N294" s="8" t="s">
        <v>79</v>
      </c>
      <c r="O294" s="8" t="s">
        <v>109</v>
      </c>
      <c r="P294" s="8" t="s">
        <v>79</v>
      </c>
      <c r="Q294" s="8" t="s">
        <v>83</v>
      </c>
      <c r="R294" s="8" t="s">
        <v>79</v>
      </c>
      <c r="S294" s="8" t="s">
        <v>79</v>
      </c>
      <c r="T294" s="8" t="s">
        <v>106</v>
      </c>
      <c r="U294" s="8" t="s">
        <v>141</v>
      </c>
      <c r="V294" s="8" t="s">
        <v>112</v>
      </c>
      <c r="W294" s="9">
        <v>2</v>
      </c>
      <c r="X294" s="9">
        <v>2</v>
      </c>
      <c r="Y294" s="9">
        <v>2</v>
      </c>
      <c r="Z294" s="9">
        <v>2</v>
      </c>
      <c r="AA294" s="9">
        <v>2</v>
      </c>
      <c r="AB294" s="9">
        <v>2</v>
      </c>
      <c r="AC294" s="9">
        <v>2</v>
      </c>
      <c r="AD294" s="9">
        <v>2</v>
      </c>
      <c r="AE294" s="9">
        <v>2</v>
      </c>
      <c r="AF294" s="9">
        <v>2</v>
      </c>
      <c r="AG294" s="9">
        <v>2</v>
      </c>
      <c r="AH294" s="9">
        <v>2</v>
      </c>
      <c r="AI294" s="9">
        <v>2</v>
      </c>
      <c r="AJ294" s="9">
        <v>2</v>
      </c>
      <c r="AK294" s="9">
        <v>2</v>
      </c>
      <c r="AL294" s="10">
        <v>3</v>
      </c>
      <c r="AM294" s="10">
        <v>3</v>
      </c>
      <c r="AN294" s="10">
        <v>3</v>
      </c>
      <c r="AO294" s="10">
        <v>3</v>
      </c>
      <c r="AP294" s="10">
        <v>2</v>
      </c>
      <c r="AQ294" s="10">
        <v>2</v>
      </c>
      <c r="AR294" s="10">
        <v>3</v>
      </c>
      <c r="AS294" s="11">
        <v>2</v>
      </c>
      <c r="AT294" s="11">
        <v>2</v>
      </c>
      <c r="AU294" s="11">
        <v>3</v>
      </c>
      <c r="AV294" s="11">
        <v>2</v>
      </c>
      <c r="AW294" s="11">
        <v>2</v>
      </c>
      <c r="AX294" s="11">
        <v>3</v>
      </c>
      <c r="AY294" s="7">
        <v>3</v>
      </c>
      <c r="AZ294" s="7">
        <v>2</v>
      </c>
      <c r="BA294" s="7">
        <v>2</v>
      </c>
      <c r="BB294" s="7">
        <v>2</v>
      </c>
      <c r="BC294" s="7">
        <v>2</v>
      </c>
      <c r="BD294" s="7">
        <v>2</v>
      </c>
      <c r="BE294" s="7">
        <v>2</v>
      </c>
      <c r="BF294" s="7">
        <v>2</v>
      </c>
      <c r="BG294" s="12">
        <f>SUM(data__22[[#This Row],[N1]:[N4]],data__22[[#This Row],[N10]:[N13]],data__22[[#This Row],[N16]:[N18]])/11</f>
        <v>2.2727272727272729</v>
      </c>
      <c r="BH294" s="13">
        <f>SUM(data__22[[#This Row],[N8]:[N9]],data__22[[#This Row],[N23]:[N25]])/5</f>
        <v>2.2000000000000002</v>
      </c>
      <c r="BI294" s="12">
        <f>SUM(data__22[[#This Row],[N5]:[N7]])/3</f>
        <v>2</v>
      </c>
      <c r="BJ294" s="12">
        <f>SUM(data__22[[#This Row],[N14]:[N15]],data__22[[#This Row],[N19]:[N22]],data__22[[#This Row],[N26]:[N28]])/9</f>
        <v>2.3333333333333335</v>
      </c>
      <c r="BK294" s="12">
        <f>SUM(data__22[[#This Row],[N29]:[N33]])/5</f>
        <v>2.2000000000000002</v>
      </c>
      <c r="BL294" s="12">
        <f>SUM(data__22[[#This Row],[N34]:[N36]])/3</f>
        <v>2</v>
      </c>
    </row>
    <row r="295" spans="1:64" x14ac:dyDescent="0.3">
      <c r="A295" s="7">
        <v>22</v>
      </c>
      <c r="B295" s="7" t="s">
        <v>70</v>
      </c>
      <c r="C295" s="7" t="s">
        <v>157</v>
      </c>
      <c r="D295" s="7" t="s">
        <v>72</v>
      </c>
      <c r="E295" s="7" t="s">
        <v>114</v>
      </c>
      <c r="F295" s="7" t="s">
        <v>98</v>
      </c>
      <c r="G295" s="7" t="s">
        <v>440</v>
      </c>
      <c r="H295" s="7" t="s">
        <v>98</v>
      </c>
      <c r="I295" s="7" t="s">
        <v>76</v>
      </c>
      <c r="J295" s="7" t="s">
        <v>77</v>
      </c>
      <c r="K295" s="7" t="s">
        <v>122</v>
      </c>
      <c r="L295" s="8" t="s">
        <v>79</v>
      </c>
      <c r="M295" s="8" t="s">
        <v>80</v>
      </c>
      <c r="N295" s="8" t="s">
        <v>79</v>
      </c>
      <c r="O295" s="8" t="s">
        <v>117</v>
      </c>
      <c r="P295" s="8" t="s">
        <v>82</v>
      </c>
      <c r="Q295" s="8" t="s">
        <v>83</v>
      </c>
      <c r="R295" s="8" t="s">
        <v>79</v>
      </c>
      <c r="S295" s="8" t="s">
        <v>82</v>
      </c>
      <c r="T295" s="8" t="s">
        <v>86</v>
      </c>
      <c r="U295" s="8" t="s">
        <v>87</v>
      </c>
      <c r="V295" s="8" t="s">
        <v>455</v>
      </c>
      <c r="W295" s="9">
        <v>3</v>
      </c>
      <c r="X295" s="9">
        <v>3</v>
      </c>
      <c r="Y295" s="9">
        <v>3</v>
      </c>
      <c r="Z295" s="9">
        <v>3</v>
      </c>
      <c r="AA295" s="9">
        <v>1</v>
      </c>
      <c r="AB295" s="9">
        <v>1</v>
      </c>
      <c r="AC295" s="9">
        <v>0</v>
      </c>
      <c r="AD295" s="9">
        <v>1</v>
      </c>
      <c r="AE295" s="9">
        <v>1</v>
      </c>
      <c r="AF295" s="9">
        <v>3</v>
      </c>
      <c r="AG295" s="9">
        <v>3</v>
      </c>
      <c r="AH295" s="9">
        <v>3</v>
      </c>
      <c r="AI295" s="9">
        <v>3</v>
      </c>
      <c r="AJ295" s="9">
        <v>0</v>
      </c>
      <c r="AK295" s="9">
        <v>0</v>
      </c>
      <c r="AL295" s="10">
        <v>3</v>
      </c>
      <c r="AM295" s="10">
        <v>3</v>
      </c>
      <c r="AN295" s="10">
        <v>3</v>
      </c>
      <c r="AO295" s="10">
        <v>0</v>
      </c>
      <c r="AP295" s="10">
        <v>0</v>
      </c>
      <c r="AQ295" s="10">
        <v>0</v>
      </c>
      <c r="AR295" s="10">
        <v>0</v>
      </c>
      <c r="AS295" s="11">
        <v>3</v>
      </c>
      <c r="AT295" s="11">
        <v>3</v>
      </c>
      <c r="AU295" s="11">
        <v>3</v>
      </c>
      <c r="AV295" s="11">
        <v>0</v>
      </c>
      <c r="AW295" s="11">
        <v>0</v>
      </c>
      <c r="AX295" s="11">
        <v>0</v>
      </c>
      <c r="AY295" s="7">
        <v>3</v>
      </c>
      <c r="AZ295" s="7">
        <v>3</v>
      </c>
      <c r="BA295" s="7">
        <v>3</v>
      </c>
      <c r="BB295" s="7">
        <v>3</v>
      </c>
      <c r="BC295" s="7">
        <v>3</v>
      </c>
      <c r="BD295" s="7">
        <v>0</v>
      </c>
      <c r="BE295" s="7">
        <v>0</v>
      </c>
      <c r="BF295" s="7">
        <v>0</v>
      </c>
      <c r="BG295" s="12">
        <f>SUM(data__22[[#This Row],[N1]:[N4]],data__22[[#This Row],[N10]:[N13]],data__22[[#This Row],[N16]:[N18]])/11</f>
        <v>3</v>
      </c>
      <c r="BH295" s="13">
        <f>SUM(data__22[[#This Row],[N8]:[N9]],data__22[[#This Row],[N23]:[N25]])/5</f>
        <v>2.2000000000000002</v>
      </c>
      <c r="BI295" s="12">
        <f>SUM(data__22[[#This Row],[N5]:[N7]])/3</f>
        <v>0.66666666666666663</v>
      </c>
      <c r="BJ295" s="12">
        <f>SUM(data__22[[#This Row],[N14]:[N15]],data__22[[#This Row],[N19]:[N22]],data__22[[#This Row],[N26]:[N28]])/9</f>
        <v>0</v>
      </c>
      <c r="BK295" s="12">
        <f>SUM(data__22[[#This Row],[N29]:[N33]])/5</f>
        <v>3</v>
      </c>
      <c r="BL295" s="12">
        <f>SUM(data__22[[#This Row],[N34]:[N36]])/3</f>
        <v>0</v>
      </c>
    </row>
    <row r="296" spans="1:64" x14ac:dyDescent="0.3">
      <c r="A296" s="7">
        <v>20</v>
      </c>
      <c r="B296" s="7" t="s">
        <v>70</v>
      </c>
      <c r="C296" s="7" t="s">
        <v>157</v>
      </c>
      <c r="D296" s="7" t="s">
        <v>72</v>
      </c>
      <c r="E296" s="7" t="s">
        <v>114</v>
      </c>
      <c r="F296" s="7" t="s">
        <v>165</v>
      </c>
      <c r="G296" s="7" t="s">
        <v>438</v>
      </c>
      <c r="H296" s="7" t="s">
        <v>165</v>
      </c>
      <c r="I296" s="7" t="s">
        <v>76</v>
      </c>
      <c r="J296" s="7" t="s">
        <v>77</v>
      </c>
      <c r="K296" s="7" t="s">
        <v>125</v>
      </c>
      <c r="L296" s="8" t="s">
        <v>79</v>
      </c>
      <c r="M296" s="8" t="s">
        <v>102</v>
      </c>
      <c r="N296" s="8" t="s">
        <v>79</v>
      </c>
      <c r="O296" s="8" t="s">
        <v>109</v>
      </c>
      <c r="P296" s="8" t="s">
        <v>79</v>
      </c>
      <c r="Q296" s="8" t="s">
        <v>83</v>
      </c>
      <c r="R296" s="8" t="s">
        <v>79</v>
      </c>
      <c r="S296" s="8" t="s">
        <v>79</v>
      </c>
      <c r="T296" s="8" t="s">
        <v>106</v>
      </c>
      <c r="U296" s="8" t="s">
        <v>141</v>
      </c>
      <c r="V296" s="8" t="s">
        <v>112</v>
      </c>
      <c r="W296" s="9">
        <v>1</v>
      </c>
      <c r="X296" s="9">
        <v>1</v>
      </c>
      <c r="Y296" s="9">
        <v>1</v>
      </c>
      <c r="Z296" s="9">
        <v>1</v>
      </c>
      <c r="AA296" s="9">
        <v>1</v>
      </c>
      <c r="AB296" s="9">
        <v>0</v>
      </c>
      <c r="AC296" s="9">
        <v>1</v>
      </c>
      <c r="AD296" s="9">
        <v>0</v>
      </c>
      <c r="AE296" s="9">
        <v>1</v>
      </c>
      <c r="AF296" s="9">
        <v>1</v>
      </c>
      <c r="AG296" s="9">
        <v>0</v>
      </c>
      <c r="AH296" s="9">
        <v>1</v>
      </c>
      <c r="AI296" s="9">
        <v>1</v>
      </c>
      <c r="AJ296" s="9">
        <v>1</v>
      </c>
      <c r="AK296" s="9">
        <v>2</v>
      </c>
      <c r="AL296" s="10">
        <v>0</v>
      </c>
      <c r="AM296" s="10">
        <v>1</v>
      </c>
      <c r="AN296" s="10">
        <v>2</v>
      </c>
      <c r="AO296" s="10">
        <v>1</v>
      </c>
      <c r="AP296" s="10">
        <v>2</v>
      </c>
      <c r="AQ296" s="10">
        <v>1</v>
      </c>
      <c r="AR296" s="10">
        <v>2</v>
      </c>
      <c r="AS296" s="11">
        <v>1</v>
      </c>
      <c r="AT296" s="11">
        <v>1</v>
      </c>
      <c r="AU296" s="11">
        <v>2</v>
      </c>
      <c r="AV296" s="11">
        <v>0</v>
      </c>
      <c r="AW296" s="11">
        <v>1</v>
      </c>
      <c r="AX296" s="11">
        <v>0</v>
      </c>
      <c r="AY296" s="7">
        <v>1</v>
      </c>
      <c r="AZ296" s="7">
        <v>2</v>
      </c>
      <c r="BA296" s="7">
        <v>1</v>
      </c>
      <c r="BB296" s="7">
        <v>0</v>
      </c>
      <c r="BC296" s="7">
        <v>1</v>
      </c>
      <c r="BD296" s="7">
        <v>1</v>
      </c>
      <c r="BE296" s="7">
        <v>1</v>
      </c>
      <c r="BF296" s="7">
        <v>1</v>
      </c>
      <c r="BG296" s="12">
        <f>SUM(data__22[[#This Row],[N1]:[N4]],data__22[[#This Row],[N10]:[N13]],data__22[[#This Row],[N16]:[N18]])/11</f>
        <v>0.90909090909090906</v>
      </c>
      <c r="BH296" s="13">
        <f>SUM(data__22[[#This Row],[N8]:[N9]],data__22[[#This Row],[N23]:[N25]])/5</f>
        <v>1</v>
      </c>
      <c r="BI296" s="12">
        <f>SUM(data__22[[#This Row],[N5]:[N7]])/3</f>
        <v>0.66666666666666663</v>
      </c>
      <c r="BJ296" s="12">
        <f>SUM(data__22[[#This Row],[N14]:[N15]],data__22[[#This Row],[N19]:[N22]],data__22[[#This Row],[N26]:[N28]])/9</f>
        <v>1.1111111111111112</v>
      </c>
      <c r="BK296" s="12">
        <f>SUM(data__22[[#This Row],[N29]:[N33]])/5</f>
        <v>1</v>
      </c>
      <c r="BL296" s="12">
        <f>SUM(data__22[[#This Row],[N34]:[N36]])/3</f>
        <v>1</v>
      </c>
    </row>
    <row r="297" spans="1:64" x14ac:dyDescent="0.3">
      <c r="A297" s="7">
        <v>21</v>
      </c>
      <c r="B297" s="7" t="s">
        <v>70</v>
      </c>
      <c r="C297" s="7" t="s">
        <v>157</v>
      </c>
      <c r="D297" s="7" t="s">
        <v>97</v>
      </c>
      <c r="E297" s="7" t="s">
        <v>108</v>
      </c>
      <c r="F297" s="7" t="s">
        <v>74</v>
      </c>
      <c r="G297" s="7" t="s">
        <v>439</v>
      </c>
      <c r="H297" s="7" t="s">
        <v>74</v>
      </c>
      <c r="I297" s="7" t="s">
        <v>76</v>
      </c>
      <c r="J297" s="7" t="s">
        <v>77</v>
      </c>
      <c r="K297" s="7" t="s">
        <v>131</v>
      </c>
      <c r="L297" s="8" t="s">
        <v>79</v>
      </c>
      <c r="M297" s="8" t="s">
        <v>80</v>
      </c>
      <c r="N297" s="8" t="s">
        <v>79</v>
      </c>
      <c r="O297" s="8" t="s">
        <v>117</v>
      </c>
      <c r="P297" s="8" t="s">
        <v>82</v>
      </c>
      <c r="Q297" s="8" t="s">
        <v>83</v>
      </c>
      <c r="R297" s="8" t="s">
        <v>82</v>
      </c>
      <c r="S297" s="8" t="s">
        <v>82</v>
      </c>
      <c r="T297" s="8" t="s">
        <v>106</v>
      </c>
      <c r="U297" s="8" t="s">
        <v>87</v>
      </c>
      <c r="V297" s="8" t="s">
        <v>112</v>
      </c>
      <c r="W297" s="9">
        <v>3</v>
      </c>
      <c r="X297" s="9">
        <v>3</v>
      </c>
      <c r="Y297" s="9">
        <v>3</v>
      </c>
      <c r="Z297" s="9">
        <v>3</v>
      </c>
      <c r="AA297" s="9">
        <v>3</v>
      </c>
      <c r="AB297" s="9">
        <v>3</v>
      </c>
      <c r="AC297" s="9">
        <v>3</v>
      </c>
      <c r="AD297" s="9">
        <v>3</v>
      </c>
      <c r="AE297" s="9">
        <v>2</v>
      </c>
      <c r="AF297" s="9">
        <v>2</v>
      </c>
      <c r="AG297" s="9">
        <v>3</v>
      </c>
      <c r="AH297" s="9">
        <v>3</v>
      </c>
      <c r="AI297" s="9">
        <v>3</v>
      </c>
      <c r="AJ297" s="9">
        <v>3</v>
      </c>
      <c r="AK297" s="9">
        <v>3</v>
      </c>
      <c r="AL297" s="10">
        <v>3</v>
      </c>
      <c r="AM297" s="10">
        <v>3</v>
      </c>
      <c r="AN297" s="10">
        <v>3</v>
      </c>
      <c r="AO297" s="10">
        <v>1</v>
      </c>
      <c r="AP297" s="10">
        <v>0</v>
      </c>
      <c r="AQ297" s="10">
        <v>0</v>
      </c>
      <c r="AR297" s="10">
        <v>0</v>
      </c>
      <c r="AS297" s="11">
        <v>2</v>
      </c>
      <c r="AT297" s="11">
        <v>2</v>
      </c>
      <c r="AU297" s="11">
        <v>2</v>
      </c>
      <c r="AV297" s="11">
        <v>2</v>
      </c>
      <c r="AW297" s="11">
        <v>2</v>
      </c>
      <c r="AX297" s="11">
        <v>2</v>
      </c>
      <c r="AY297" s="7">
        <v>3</v>
      </c>
      <c r="AZ297" s="7">
        <v>3</v>
      </c>
      <c r="BA297" s="7"/>
      <c r="BB297" s="7">
        <v>3</v>
      </c>
      <c r="BC297" s="7">
        <v>3</v>
      </c>
      <c r="BD297" s="7">
        <v>1</v>
      </c>
      <c r="BE297" s="7">
        <v>2</v>
      </c>
      <c r="BF297" s="7">
        <v>2</v>
      </c>
      <c r="BG297" s="12">
        <f>SUM(data__22[[#This Row],[N1]:[N4]],data__22[[#This Row],[N10]:[N13]],data__22[[#This Row],[N16]:[N18]])/11</f>
        <v>2.9090909090909092</v>
      </c>
      <c r="BH297" s="13">
        <f>SUM(data__22[[#This Row],[N8]:[N9]],data__22[[#This Row],[N23]:[N25]])/5</f>
        <v>2.2000000000000002</v>
      </c>
      <c r="BI297" s="12">
        <f>SUM(data__22[[#This Row],[N5]:[N7]])/3</f>
        <v>3</v>
      </c>
      <c r="BJ297" s="12">
        <f>SUM(data__22[[#This Row],[N14]:[N15]],data__22[[#This Row],[N19]:[N22]],data__22[[#This Row],[N26]:[N28]])/9</f>
        <v>1.4444444444444444</v>
      </c>
      <c r="BK297" s="12">
        <f>SUM(data__22[[#This Row],[N29]:[N33]])/5</f>
        <v>2.4</v>
      </c>
      <c r="BL297" s="12">
        <f>SUM(data__22[[#This Row],[N34]:[N36]])/3</f>
        <v>1.6666666666666667</v>
      </c>
    </row>
    <row r="298" spans="1:64" x14ac:dyDescent="0.3">
      <c r="A298" s="7">
        <v>21</v>
      </c>
      <c r="B298" s="7" t="s">
        <v>70</v>
      </c>
      <c r="C298" s="7" t="s">
        <v>96</v>
      </c>
      <c r="D298" s="7" t="s">
        <v>72</v>
      </c>
      <c r="E298" s="7" t="s">
        <v>114</v>
      </c>
      <c r="F298" s="7" t="s">
        <v>98</v>
      </c>
      <c r="G298" s="7" t="s">
        <v>440</v>
      </c>
      <c r="H298" s="7" t="s">
        <v>98</v>
      </c>
      <c r="I298" s="7" t="s">
        <v>76</v>
      </c>
      <c r="J298" s="7" t="s">
        <v>77</v>
      </c>
      <c r="K298" s="7" t="s">
        <v>125</v>
      </c>
      <c r="L298" s="8" t="s">
        <v>79</v>
      </c>
      <c r="M298" s="8" t="s">
        <v>80</v>
      </c>
      <c r="N298" s="8" t="s">
        <v>79</v>
      </c>
      <c r="O298" s="8" t="s">
        <v>109</v>
      </c>
      <c r="P298" s="8" t="s">
        <v>82</v>
      </c>
      <c r="Q298" s="8" t="s">
        <v>103</v>
      </c>
      <c r="R298" s="8" t="s">
        <v>79</v>
      </c>
      <c r="S298" s="8" t="s">
        <v>82</v>
      </c>
      <c r="T298" s="8" t="s">
        <v>106</v>
      </c>
      <c r="U298" s="8" t="s">
        <v>141</v>
      </c>
      <c r="V298" s="8" t="s">
        <v>127</v>
      </c>
      <c r="W298" s="9">
        <v>1</v>
      </c>
      <c r="X298" s="9">
        <v>1</v>
      </c>
      <c r="Y298" s="9">
        <v>1</v>
      </c>
      <c r="Z298" s="9">
        <v>1</v>
      </c>
      <c r="AA298" s="9">
        <v>1</v>
      </c>
      <c r="AB298" s="9">
        <v>1</v>
      </c>
      <c r="AC298" s="9">
        <v>1</v>
      </c>
      <c r="AD298" s="9">
        <v>1</v>
      </c>
      <c r="AE298" s="9">
        <v>1</v>
      </c>
      <c r="AF298" s="9">
        <v>2</v>
      </c>
      <c r="AG298" s="9">
        <v>3</v>
      </c>
      <c r="AH298" s="9">
        <v>3</v>
      </c>
      <c r="AI298" s="9">
        <v>3</v>
      </c>
      <c r="AJ298" s="9">
        <v>0</v>
      </c>
      <c r="AK298" s="9">
        <v>0</v>
      </c>
      <c r="AL298" s="10">
        <v>1</v>
      </c>
      <c r="AM298" s="10">
        <v>3</v>
      </c>
      <c r="AN298" s="10">
        <v>3</v>
      </c>
      <c r="AO298" s="10">
        <v>0</v>
      </c>
      <c r="AP298" s="10">
        <v>0</v>
      </c>
      <c r="AQ298" s="10">
        <v>0</v>
      </c>
      <c r="AR298" s="10">
        <v>0</v>
      </c>
      <c r="AS298" s="11">
        <v>2</v>
      </c>
      <c r="AT298" s="11">
        <v>2</v>
      </c>
      <c r="AU298" s="11">
        <v>2</v>
      </c>
      <c r="AV298" s="11">
        <v>2</v>
      </c>
      <c r="AW298" s="11">
        <v>1</v>
      </c>
      <c r="AX298" s="11">
        <v>1</v>
      </c>
      <c r="AY298" s="7">
        <v>3</v>
      </c>
      <c r="AZ298" s="7">
        <v>2</v>
      </c>
      <c r="BA298" s="7">
        <v>3</v>
      </c>
      <c r="BB298" s="7">
        <v>2</v>
      </c>
      <c r="BC298" s="7">
        <v>3</v>
      </c>
      <c r="BD298" s="7">
        <v>1</v>
      </c>
      <c r="BE298" s="7">
        <v>2</v>
      </c>
      <c r="BF298" s="7">
        <v>1</v>
      </c>
      <c r="BG298" s="12">
        <f>SUM(data__22[[#This Row],[N1]:[N4]],data__22[[#This Row],[N10]:[N13]],data__22[[#This Row],[N16]:[N18]])/11</f>
        <v>2</v>
      </c>
      <c r="BH298" s="13">
        <f>SUM(data__22[[#This Row],[N8]:[N9]],data__22[[#This Row],[N23]:[N25]])/5</f>
        <v>1.6</v>
      </c>
      <c r="BI298" s="12">
        <f>SUM(data__22[[#This Row],[N5]:[N7]])/3</f>
        <v>1</v>
      </c>
      <c r="BJ298" s="12">
        <f>SUM(data__22[[#This Row],[N14]:[N15]],data__22[[#This Row],[N19]:[N22]],data__22[[#This Row],[N26]:[N28]])/9</f>
        <v>0.44444444444444442</v>
      </c>
      <c r="BK298" s="12">
        <f>SUM(data__22[[#This Row],[N29]:[N33]])/5</f>
        <v>2.6</v>
      </c>
      <c r="BL298" s="12">
        <f>SUM(data__22[[#This Row],[N34]:[N36]])/3</f>
        <v>1.3333333333333333</v>
      </c>
    </row>
    <row r="299" spans="1:64" x14ac:dyDescent="0.3">
      <c r="A299" s="7">
        <v>22</v>
      </c>
      <c r="B299" s="7" t="s">
        <v>128</v>
      </c>
      <c r="C299" s="7" t="s">
        <v>71</v>
      </c>
      <c r="D299" s="7" t="s">
        <v>72</v>
      </c>
      <c r="E299" s="7" t="s">
        <v>108</v>
      </c>
      <c r="F299" s="7" t="s">
        <v>74</v>
      </c>
      <c r="G299" s="7" t="s">
        <v>439</v>
      </c>
      <c r="H299" s="7" t="s">
        <v>74</v>
      </c>
      <c r="I299" s="7" t="s">
        <v>439</v>
      </c>
      <c r="J299" s="7" t="s">
        <v>101</v>
      </c>
      <c r="K299" s="7" t="s">
        <v>122</v>
      </c>
      <c r="L299" s="8" t="s">
        <v>79</v>
      </c>
      <c r="M299" s="8" t="s">
        <v>80</v>
      </c>
      <c r="N299" s="8" t="s">
        <v>79</v>
      </c>
      <c r="O299" s="8" t="s">
        <v>81</v>
      </c>
      <c r="P299" s="8" t="s">
        <v>79</v>
      </c>
      <c r="Q299" s="8" t="s">
        <v>83</v>
      </c>
      <c r="R299" s="8" t="s">
        <v>79</v>
      </c>
      <c r="S299" s="8" t="s">
        <v>79</v>
      </c>
      <c r="T299" s="8" t="s">
        <v>86</v>
      </c>
      <c r="U299" s="8" t="s">
        <v>120</v>
      </c>
      <c r="V299" s="8" t="s">
        <v>112</v>
      </c>
      <c r="W299" s="9">
        <v>1</v>
      </c>
      <c r="X299" s="9">
        <v>2</v>
      </c>
      <c r="Y299" s="9">
        <v>2</v>
      </c>
      <c r="Z299" s="9">
        <v>1</v>
      </c>
      <c r="AA299" s="9">
        <v>1</v>
      </c>
      <c r="AB299" s="9">
        <v>1</v>
      </c>
      <c r="AC299" s="9">
        <v>2</v>
      </c>
      <c r="AD299" s="9">
        <v>2</v>
      </c>
      <c r="AE299" s="9">
        <v>0</v>
      </c>
      <c r="AF299" s="9">
        <v>0</v>
      </c>
      <c r="AG299" s="9">
        <v>2</v>
      </c>
      <c r="AH299" s="9">
        <v>1</v>
      </c>
      <c r="AI299" s="9">
        <v>0</v>
      </c>
      <c r="AJ299" s="9">
        <v>0</v>
      </c>
      <c r="AK299" s="9">
        <v>0</v>
      </c>
      <c r="AL299" s="10">
        <v>1</v>
      </c>
      <c r="AM299" s="10">
        <v>1</v>
      </c>
      <c r="AN299" s="10">
        <v>1</v>
      </c>
      <c r="AO299" s="10">
        <v>0</v>
      </c>
      <c r="AP299" s="10">
        <v>2</v>
      </c>
      <c r="AQ299" s="10">
        <v>2</v>
      </c>
      <c r="AR299" s="10">
        <v>0</v>
      </c>
      <c r="AS299" s="11">
        <v>1</v>
      </c>
      <c r="AT299" s="11">
        <v>1</v>
      </c>
      <c r="AU299" s="11">
        <v>1</v>
      </c>
      <c r="AV299" s="11">
        <v>1</v>
      </c>
      <c r="AW299" s="11">
        <v>1</v>
      </c>
      <c r="AX299" s="11">
        <v>0</v>
      </c>
      <c r="AY299" s="7">
        <v>3</v>
      </c>
      <c r="AZ299" s="7">
        <v>1</v>
      </c>
      <c r="BA299" s="7">
        <v>2</v>
      </c>
      <c r="BB299" s="7">
        <v>3</v>
      </c>
      <c r="BC299" s="7">
        <v>3</v>
      </c>
      <c r="BD299" s="7">
        <v>2</v>
      </c>
      <c r="BE299" s="7">
        <v>2</v>
      </c>
      <c r="BF299" s="7">
        <v>2</v>
      </c>
      <c r="BG299" s="12">
        <f>SUM(data__22[[#This Row],[N1]:[N4]],data__22[[#This Row],[N10]:[N13]],data__22[[#This Row],[N16]:[N18]])/11</f>
        <v>1.0909090909090908</v>
      </c>
      <c r="BH299" s="13">
        <f>SUM(data__22[[#This Row],[N8]:[N9]],data__22[[#This Row],[N23]:[N25]])/5</f>
        <v>1</v>
      </c>
      <c r="BI299" s="12">
        <f>SUM(data__22[[#This Row],[N5]:[N7]])/3</f>
        <v>1.3333333333333333</v>
      </c>
      <c r="BJ299" s="12">
        <f>SUM(data__22[[#This Row],[N14]:[N15]],data__22[[#This Row],[N19]:[N22]],data__22[[#This Row],[N26]:[N28]])/9</f>
        <v>0.66666666666666663</v>
      </c>
      <c r="BK299" s="12">
        <f>SUM(data__22[[#This Row],[N29]:[N33]])/5</f>
        <v>2.4</v>
      </c>
      <c r="BL299" s="12">
        <f>SUM(data__22[[#This Row],[N34]:[N36]])/3</f>
        <v>2</v>
      </c>
    </row>
    <row r="300" spans="1:64" x14ac:dyDescent="0.3">
      <c r="A300" s="7">
        <v>23</v>
      </c>
      <c r="B300" s="7" t="s">
        <v>128</v>
      </c>
      <c r="C300" s="7" t="s">
        <v>71</v>
      </c>
      <c r="D300" s="7" t="s">
        <v>149</v>
      </c>
      <c r="E300" s="7" t="s">
        <v>108</v>
      </c>
      <c r="F300" s="7" t="s">
        <v>136</v>
      </c>
      <c r="G300" s="7" t="s">
        <v>440</v>
      </c>
      <c r="H300" s="7" t="s">
        <v>136</v>
      </c>
      <c r="I300" s="7" t="s">
        <v>76</v>
      </c>
      <c r="J300" s="7" t="s">
        <v>77</v>
      </c>
      <c r="K300" s="7" t="s">
        <v>78</v>
      </c>
      <c r="L300" s="8" t="s">
        <v>79</v>
      </c>
      <c r="M300" s="8" t="s">
        <v>80</v>
      </c>
      <c r="N300" s="8" t="s">
        <v>79</v>
      </c>
      <c r="O300" s="8" t="s">
        <v>109</v>
      </c>
      <c r="P300" s="8" t="s">
        <v>82</v>
      </c>
      <c r="Q300" s="8" t="s">
        <v>83</v>
      </c>
      <c r="R300" s="8" t="s">
        <v>79</v>
      </c>
      <c r="S300" s="8" t="s">
        <v>79</v>
      </c>
      <c r="T300" s="8" t="s">
        <v>106</v>
      </c>
      <c r="U300" s="8" t="s">
        <v>141</v>
      </c>
      <c r="V300" s="8" t="s">
        <v>112</v>
      </c>
      <c r="W300" s="9">
        <v>3</v>
      </c>
      <c r="X300" s="9">
        <v>3</v>
      </c>
      <c r="Y300" s="9">
        <v>3</v>
      </c>
      <c r="Z300" s="9">
        <v>3</v>
      </c>
      <c r="AA300" s="9">
        <v>0</v>
      </c>
      <c r="AB300" s="9">
        <v>0</v>
      </c>
      <c r="AC300" s="9">
        <v>0</v>
      </c>
      <c r="AD300" s="9">
        <v>2</v>
      </c>
      <c r="AE300" s="9">
        <v>2</v>
      </c>
      <c r="AF300" s="9">
        <v>2</v>
      </c>
      <c r="AG300" s="9">
        <v>2</v>
      </c>
      <c r="AH300" s="9">
        <v>2</v>
      </c>
      <c r="AI300" s="9">
        <v>2</v>
      </c>
      <c r="AJ300" s="9">
        <v>0</v>
      </c>
      <c r="AK300" s="9">
        <v>0</v>
      </c>
      <c r="AL300" s="10">
        <v>3</v>
      </c>
      <c r="AM300" s="10">
        <v>3</v>
      </c>
      <c r="AN300" s="10">
        <v>3</v>
      </c>
      <c r="AO300" s="10">
        <v>0</v>
      </c>
      <c r="AP300" s="10">
        <v>0</v>
      </c>
      <c r="AQ300" s="10">
        <v>0</v>
      </c>
      <c r="AR300" s="10">
        <v>0</v>
      </c>
      <c r="AS300" s="11">
        <v>3</v>
      </c>
      <c r="AT300" s="11">
        <v>3</v>
      </c>
      <c r="AU300" s="11">
        <v>3</v>
      </c>
      <c r="AV300" s="11">
        <v>0</v>
      </c>
      <c r="AW300" s="11">
        <v>0</v>
      </c>
      <c r="AX300" s="11">
        <v>0</v>
      </c>
      <c r="AY300" s="7">
        <v>3</v>
      </c>
      <c r="AZ300" s="7">
        <v>3</v>
      </c>
      <c r="BA300" s="7">
        <v>3</v>
      </c>
      <c r="BB300" s="7">
        <v>3</v>
      </c>
      <c r="BC300" s="7">
        <v>3</v>
      </c>
      <c r="BD300" s="7">
        <v>0</v>
      </c>
      <c r="BE300" s="7">
        <v>0</v>
      </c>
      <c r="BF300" s="7">
        <v>0</v>
      </c>
      <c r="BG300" s="12">
        <f>SUM(data__22[[#This Row],[N1]:[N4]],data__22[[#This Row],[N10]:[N13]],data__22[[#This Row],[N16]:[N18]])/11</f>
        <v>2.6363636363636362</v>
      </c>
      <c r="BH300" s="13">
        <f>SUM(data__22[[#This Row],[N8]:[N9]],data__22[[#This Row],[N23]:[N25]])/5</f>
        <v>2.6</v>
      </c>
      <c r="BI300" s="12">
        <f>SUM(data__22[[#This Row],[N5]:[N7]])/3</f>
        <v>0</v>
      </c>
      <c r="BJ300" s="12">
        <f>SUM(data__22[[#This Row],[N14]:[N15]],data__22[[#This Row],[N19]:[N22]],data__22[[#This Row],[N26]:[N28]])/9</f>
        <v>0</v>
      </c>
      <c r="BK300" s="12">
        <f>SUM(data__22[[#This Row],[N29]:[N33]])/5</f>
        <v>3</v>
      </c>
      <c r="BL300" s="12">
        <f>SUM(data__22[[#This Row],[N34]:[N36]])/3</f>
        <v>0</v>
      </c>
    </row>
    <row r="301" spans="1:64" x14ac:dyDescent="0.3">
      <c r="A301" s="7">
        <v>23</v>
      </c>
      <c r="B301" s="7" t="s">
        <v>128</v>
      </c>
      <c r="C301" s="7" t="s">
        <v>153</v>
      </c>
      <c r="D301" s="7" t="s">
        <v>72</v>
      </c>
      <c r="E301" s="7" t="s">
        <v>114</v>
      </c>
      <c r="F301" s="7" t="s">
        <v>74</v>
      </c>
      <c r="G301" s="7" t="s">
        <v>439</v>
      </c>
      <c r="H301" s="7" t="s">
        <v>74</v>
      </c>
      <c r="I301" s="7" t="s">
        <v>439</v>
      </c>
      <c r="J301" s="7" t="s">
        <v>77</v>
      </c>
      <c r="K301" s="7" t="s">
        <v>122</v>
      </c>
      <c r="L301" s="8" t="s">
        <v>82</v>
      </c>
      <c r="M301" s="8" t="s">
        <v>132</v>
      </c>
      <c r="N301" s="8" t="s">
        <v>79</v>
      </c>
      <c r="O301" s="8" t="s">
        <v>81</v>
      </c>
      <c r="P301" s="8" t="s">
        <v>82</v>
      </c>
      <c r="Q301" s="8" t="s">
        <v>83</v>
      </c>
      <c r="R301" s="8" t="s">
        <v>82</v>
      </c>
      <c r="S301" s="8" t="s">
        <v>82</v>
      </c>
      <c r="T301" s="8" t="s">
        <v>106</v>
      </c>
      <c r="U301" s="8" t="s">
        <v>87</v>
      </c>
      <c r="V301" s="8" t="s">
        <v>112</v>
      </c>
      <c r="W301" s="9">
        <v>3</v>
      </c>
      <c r="X301" s="9">
        <v>3</v>
      </c>
      <c r="Y301" s="9">
        <v>3</v>
      </c>
      <c r="Z301" s="9">
        <v>3</v>
      </c>
      <c r="AA301" s="9">
        <v>3</v>
      </c>
      <c r="AB301" s="9">
        <v>3</v>
      </c>
      <c r="AC301" s="9">
        <v>2</v>
      </c>
      <c r="AD301" s="9">
        <v>2</v>
      </c>
      <c r="AE301" s="9">
        <v>0</v>
      </c>
      <c r="AF301" s="9">
        <v>3</v>
      </c>
      <c r="AG301" s="9">
        <v>1</v>
      </c>
      <c r="AH301" s="9">
        <v>1</v>
      </c>
      <c r="AI301" s="9">
        <v>1</v>
      </c>
      <c r="AJ301" s="9">
        <v>1</v>
      </c>
      <c r="AK301" s="9">
        <v>3</v>
      </c>
      <c r="AL301" s="10">
        <v>3</v>
      </c>
      <c r="AM301" s="10">
        <v>3</v>
      </c>
      <c r="AN301" s="10">
        <v>3</v>
      </c>
      <c r="AO301" s="10">
        <v>0</v>
      </c>
      <c r="AP301" s="10">
        <v>0</v>
      </c>
      <c r="AQ301" s="10">
        <v>0</v>
      </c>
      <c r="AR301" s="10">
        <v>0</v>
      </c>
      <c r="AS301" s="11">
        <v>3</v>
      </c>
      <c r="AT301" s="11">
        <v>3</v>
      </c>
      <c r="AU301" s="11">
        <v>3</v>
      </c>
      <c r="AV301" s="11">
        <v>0</v>
      </c>
      <c r="AW301" s="11">
        <v>0</v>
      </c>
      <c r="AX301" s="11">
        <v>0</v>
      </c>
      <c r="AY301" s="7"/>
      <c r="AZ301" s="7"/>
      <c r="BA301" s="7"/>
      <c r="BB301" s="7"/>
      <c r="BC301" s="7"/>
      <c r="BD301" s="7"/>
      <c r="BE301" s="7"/>
      <c r="BF301" s="7"/>
      <c r="BG301" s="12">
        <f>SUM(data__22[[#This Row],[N1]:[N4]],data__22[[#This Row],[N10]:[N13]],data__22[[#This Row],[N16]:[N18]])/11</f>
        <v>2.4545454545454546</v>
      </c>
      <c r="BH301" s="13">
        <f>SUM(data__22[[#This Row],[N8]:[N9]],data__22[[#This Row],[N23]:[N25]])/5</f>
        <v>2.2000000000000002</v>
      </c>
      <c r="BI301" s="12">
        <f>SUM(data__22[[#This Row],[N5]:[N7]])/3</f>
        <v>2.6666666666666665</v>
      </c>
      <c r="BJ301" s="12">
        <f>SUM(data__22[[#This Row],[N14]:[N15]],data__22[[#This Row],[N19]:[N22]],data__22[[#This Row],[N26]:[N28]])/9</f>
        <v>0.44444444444444442</v>
      </c>
      <c r="BK301" s="12">
        <f>SUM(data__22[[#This Row],[N29]:[N33]])/5</f>
        <v>0</v>
      </c>
      <c r="BL301" s="12">
        <f>SUM(data__22[[#This Row],[N34]:[N36]])/3</f>
        <v>0</v>
      </c>
    </row>
    <row r="302" spans="1:64" x14ac:dyDescent="0.3">
      <c r="A302" s="7">
        <v>21</v>
      </c>
      <c r="B302" s="7" t="s">
        <v>70</v>
      </c>
      <c r="C302" s="7" t="s">
        <v>96</v>
      </c>
      <c r="D302" s="7" t="s">
        <v>72</v>
      </c>
      <c r="E302" s="7" t="s">
        <v>114</v>
      </c>
      <c r="F302" s="7" t="s">
        <v>74</v>
      </c>
      <c r="G302" s="7" t="s">
        <v>438</v>
      </c>
      <c r="H302" s="7" t="s">
        <v>74</v>
      </c>
      <c r="I302" s="7" t="s">
        <v>76</v>
      </c>
      <c r="J302" s="7" t="s">
        <v>101</v>
      </c>
      <c r="K302" s="7" t="s">
        <v>125</v>
      </c>
      <c r="L302" s="8" t="s">
        <v>79</v>
      </c>
      <c r="M302" s="8" t="s">
        <v>80</v>
      </c>
      <c r="N302" s="8" t="s">
        <v>82</v>
      </c>
      <c r="O302" s="8" t="s">
        <v>109</v>
      </c>
      <c r="P302" s="8" t="s">
        <v>82</v>
      </c>
      <c r="Q302" s="8" t="s">
        <v>83</v>
      </c>
      <c r="R302" s="8" t="s">
        <v>79</v>
      </c>
      <c r="S302" s="8" t="s">
        <v>82</v>
      </c>
      <c r="T302" s="8" t="s">
        <v>86</v>
      </c>
      <c r="U302" s="8" t="s">
        <v>87</v>
      </c>
      <c r="V302" s="8" t="s">
        <v>121</v>
      </c>
      <c r="W302" s="9">
        <v>3</v>
      </c>
      <c r="X302" s="9">
        <v>3</v>
      </c>
      <c r="Y302" s="9">
        <v>3</v>
      </c>
      <c r="Z302" s="9">
        <v>3</v>
      </c>
      <c r="AA302" s="9">
        <v>3</v>
      </c>
      <c r="AB302" s="9">
        <v>3</v>
      </c>
      <c r="AC302" s="9">
        <v>3</v>
      </c>
      <c r="AD302" s="9">
        <v>2</v>
      </c>
      <c r="AE302" s="9">
        <v>2</v>
      </c>
      <c r="AF302" s="9">
        <v>2</v>
      </c>
      <c r="AG302" s="9">
        <v>3</v>
      </c>
      <c r="AH302" s="9">
        <v>1</v>
      </c>
      <c r="AI302" s="9">
        <v>1</v>
      </c>
      <c r="AJ302" s="9">
        <v>2</v>
      </c>
      <c r="AK302" s="9">
        <v>0</v>
      </c>
      <c r="AL302" s="10">
        <v>3</v>
      </c>
      <c r="AM302" s="10">
        <v>3</v>
      </c>
      <c r="AN302" s="10">
        <v>3</v>
      </c>
      <c r="AO302" s="10">
        <v>3</v>
      </c>
      <c r="AP302" s="10">
        <v>0</v>
      </c>
      <c r="AQ302" s="10">
        <v>0</v>
      </c>
      <c r="AR302" s="10">
        <v>0</v>
      </c>
      <c r="AS302" s="11">
        <v>3</v>
      </c>
      <c r="AT302" s="11">
        <v>3</v>
      </c>
      <c r="AU302" s="11">
        <v>3</v>
      </c>
      <c r="AV302" s="11">
        <v>0</v>
      </c>
      <c r="AW302" s="11">
        <v>0</v>
      </c>
      <c r="AX302" s="11">
        <v>0</v>
      </c>
      <c r="AY302" s="7">
        <v>3</v>
      </c>
      <c r="AZ302" s="7">
        <v>3</v>
      </c>
      <c r="BA302" s="7">
        <v>3</v>
      </c>
      <c r="BB302" s="7">
        <v>3</v>
      </c>
      <c r="BC302" s="7">
        <v>3</v>
      </c>
      <c r="BD302" s="7">
        <v>0</v>
      </c>
      <c r="BE302" s="7">
        <v>0</v>
      </c>
      <c r="BF302" s="7">
        <v>0</v>
      </c>
      <c r="BG302" s="12">
        <f>SUM(data__22[[#This Row],[N1]:[N4]],data__22[[#This Row],[N10]:[N13]],data__22[[#This Row],[N16]:[N18]])/11</f>
        <v>2.5454545454545454</v>
      </c>
      <c r="BH302" s="13">
        <f>SUM(data__22[[#This Row],[N8]:[N9]],data__22[[#This Row],[N23]:[N25]])/5</f>
        <v>2.6</v>
      </c>
      <c r="BI302" s="12">
        <f>SUM(data__22[[#This Row],[N5]:[N7]])/3</f>
        <v>3</v>
      </c>
      <c r="BJ302" s="12">
        <f>SUM(data__22[[#This Row],[N14]:[N15]],data__22[[#This Row],[N19]:[N22]],data__22[[#This Row],[N26]:[N28]])/9</f>
        <v>0.55555555555555558</v>
      </c>
      <c r="BK302" s="12">
        <f>SUM(data__22[[#This Row],[N29]:[N33]])/5</f>
        <v>3</v>
      </c>
      <c r="BL302" s="12">
        <f>SUM(data__22[[#This Row],[N34]:[N36]])/3</f>
        <v>0</v>
      </c>
    </row>
    <row r="303" spans="1:64" x14ac:dyDescent="0.3">
      <c r="A303" s="7">
        <v>20</v>
      </c>
      <c r="B303" s="7" t="s">
        <v>70</v>
      </c>
      <c r="C303" s="7" t="s">
        <v>157</v>
      </c>
      <c r="D303" s="7" t="s">
        <v>72</v>
      </c>
      <c r="E303" s="7" t="s">
        <v>114</v>
      </c>
      <c r="F303" s="7" t="s">
        <v>98</v>
      </c>
      <c r="G303" s="7" t="s">
        <v>440</v>
      </c>
      <c r="H303" s="7" t="s">
        <v>98</v>
      </c>
      <c r="I303" s="7" t="s">
        <v>76</v>
      </c>
      <c r="J303" s="7" t="s">
        <v>101</v>
      </c>
      <c r="K303" s="7" t="s">
        <v>125</v>
      </c>
      <c r="L303" s="8" t="s">
        <v>79</v>
      </c>
      <c r="M303" s="8" t="s">
        <v>80</v>
      </c>
      <c r="N303" s="8" t="s">
        <v>79</v>
      </c>
      <c r="O303" s="8" t="s">
        <v>133</v>
      </c>
      <c r="P303" s="8" t="s">
        <v>79</v>
      </c>
      <c r="Q303" s="8" t="s">
        <v>118</v>
      </c>
      <c r="R303" s="8" t="s">
        <v>79</v>
      </c>
      <c r="S303" s="8" t="s">
        <v>82</v>
      </c>
      <c r="T303" s="8" t="s">
        <v>106</v>
      </c>
      <c r="U303" s="8" t="s">
        <v>141</v>
      </c>
      <c r="V303" s="8" t="s">
        <v>112</v>
      </c>
      <c r="W303" s="9">
        <v>1</v>
      </c>
      <c r="X303" s="9">
        <v>1</v>
      </c>
      <c r="Y303" s="9">
        <v>1</v>
      </c>
      <c r="Z303" s="9">
        <v>1</v>
      </c>
      <c r="AA303" s="9">
        <v>1</v>
      </c>
      <c r="AB303" s="9">
        <v>1</v>
      </c>
      <c r="AC303" s="9">
        <v>1</v>
      </c>
      <c r="AD303" s="9">
        <v>1</v>
      </c>
      <c r="AE303" s="9">
        <v>1</v>
      </c>
      <c r="AF303" s="9">
        <v>1</v>
      </c>
      <c r="AG303" s="9">
        <v>1</v>
      </c>
      <c r="AH303" s="9">
        <v>1</v>
      </c>
      <c r="AI303" s="9">
        <v>1</v>
      </c>
      <c r="AJ303" s="9">
        <v>1</v>
      </c>
      <c r="AK303" s="9">
        <v>1</v>
      </c>
      <c r="AL303" s="10">
        <v>1</v>
      </c>
      <c r="AM303" s="10">
        <v>1</v>
      </c>
      <c r="AN303" s="10">
        <v>1</v>
      </c>
      <c r="AO303" s="10">
        <v>1</v>
      </c>
      <c r="AP303" s="10">
        <v>1</v>
      </c>
      <c r="AQ303" s="10">
        <v>1</v>
      </c>
      <c r="AR303" s="10">
        <v>1</v>
      </c>
      <c r="AS303" s="11">
        <v>1</v>
      </c>
      <c r="AT303" s="11">
        <v>1</v>
      </c>
      <c r="AU303" s="11">
        <v>1</v>
      </c>
      <c r="AV303" s="11">
        <v>1</v>
      </c>
      <c r="AW303" s="11">
        <v>1</v>
      </c>
      <c r="AX303" s="11">
        <v>0</v>
      </c>
      <c r="AY303" s="7">
        <v>1</v>
      </c>
      <c r="AZ303" s="7">
        <v>1</v>
      </c>
      <c r="BA303" s="7">
        <v>1</v>
      </c>
      <c r="BB303" s="7">
        <v>1</v>
      </c>
      <c r="BC303" s="7">
        <v>1</v>
      </c>
      <c r="BD303" s="7">
        <v>1</v>
      </c>
      <c r="BE303" s="7">
        <v>1</v>
      </c>
      <c r="BF303" s="7">
        <v>1</v>
      </c>
      <c r="BG303" s="12">
        <f>SUM(data__22[[#This Row],[N1]:[N4]],data__22[[#This Row],[N10]:[N13]],data__22[[#This Row],[N16]:[N18]])/11</f>
        <v>1</v>
      </c>
      <c r="BH303" s="13">
        <f>SUM(data__22[[#This Row],[N8]:[N9]],data__22[[#This Row],[N23]:[N25]])/5</f>
        <v>1</v>
      </c>
      <c r="BI303" s="12">
        <f>SUM(data__22[[#This Row],[N5]:[N7]])/3</f>
        <v>1</v>
      </c>
      <c r="BJ303" s="12">
        <f>SUM(data__22[[#This Row],[N14]:[N15]],data__22[[#This Row],[N19]:[N22]],data__22[[#This Row],[N26]:[N28]])/9</f>
        <v>0.88888888888888884</v>
      </c>
      <c r="BK303" s="12">
        <f>SUM(data__22[[#This Row],[N29]:[N33]])/5</f>
        <v>1</v>
      </c>
      <c r="BL303" s="12">
        <f>SUM(data__22[[#This Row],[N34]:[N36]])/3</f>
        <v>1</v>
      </c>
    </row>
    <row r="304" spans="1:64" x14ac:dyDescent="0.3">
      <c r="A304" s="7">
        <v>23</v>
      </c>
      <c r="B304" s="7" t="s">
        <v>70</v>
      </c>
      <c r="C304" s="7" t="s">
        <v>71</v>
      </c>
      <c r="D304" s="7" t="s">
        <v>72</v>
      </c>
      <c r="E304" s="7" t="s">
        <v>73</v>
      </c>
      <c r="F304" s="7" t="s">
        <v>136</v>
      </c>
      <c r="G304" s="7" t="s">
        <v>439</v>
      </c>
      <c r="H304" s="7" t="s">
        <v>136</v>
      </c>
      <c r="I304" s="7" t="s">
        <v>76</v>
      </c>
      <c r="J304" s="7" t="s">
        <v>77</v>
      </c>
      <c r="K304" s="7" t="s">
        <v>125</v>
      </c>
      <c r="L304" s="8" t="s">
        <v>82</v>
      </c>
      <c r="M304" s="8" t="s">
        <v>80</v>
      </c>
      <c r="N304" s="8" t="s">
        <v>79</v>
      </c>
      <c r="O304" s="8" t="s">
        <v>117</v>
      </c>
      <c r="P304" s="8" t="s">
        <v>82</v>
      </c>
      <c r="Q304" s="8" t="s">
        <v>103</v>
      </c>
      <c r="R304" s="8" t="s">
        <v>79</v>
      </c>
      <c r="S304" s="8" t="s">
        <v>82</v>
      </c>
      <c r="T304" s="8" t="s">
        <v>106</v>
      </c>
      <c r="U304" s="8" t="s">
        <v>141</v>
      </c>
      <c r="V304" s="8" t="s">
        <v>112</v>
      </c>
      <c r="W304" s="9">
        <v>2</v>
      </c>
      <c r="X304" s="9">
        <v>3</v>
      </c>
      <c r="Y304" s="9">
        <v>3</v>
      </c>
      <c r="Z304" s="9">
        <v>2</v>
      </c>
      <c r="AA304" s="9">
        <v>2</v>
      </c>
      <c r="AB304" s="9">
        <v>2</v>
      </c>
      <c r="AC304" s="9">
        <v>3</v>
      </c>
      <c r="AD304" s="9">
        <v>1</v>
      </c>
      <c r="AE304" s="9">
        <v>2</v>
      </c>
      <c r="AF304" s="9">
        <v>2</v>
      </c>
      <c r="AG304" s="9">
        <v>3</v>
      </c>
      <c r="AH304" s="9">
        <v>2</v>
      </c>
      <c r="AI304" s="9">
        <v>1</v>
      </c>
      <c r="AJ304" s="9">
        <v>2</v>
      </c>
      <c r="AK304" s="9">
        <v>2</v>
      </c>
      <c r="AL304" s="10">
        <v>3</v>
      </c>
      <c r="AM304" s="10">
        <v>3</v>
      </c>
      <c r="AN304" s="10">
        <v>3</v>
      </c>
      <c r="AO304" s="10">
        <v>0</v>
      </c>
      <c r="AP304" s="10">
        <v>0</v>
      </c>
      <c r="AQ304" s="10">
        <v>0</v>
      </c>
      <c r="AR304" s="10">
        <v>0</v>
      </c>
      <c r="AS304" s="11">
        <v>2</v>
      </c>
      <c r="AT304" s="11">
        <v>2</v>
      </c>
      <c r="AU304" s="11">
        <v>2</v>
      </c>
      <c r="AV304" s="11">
        <v>1</v>
      </c>
      <c r="AW304" s="11">
        <v>0</v>
      </c>
      <c r="AX304" s="11">
        <v>0</v>
      </c>
      <c r="AY304" s="7">
        <v>3</v>
      </c>
      <c r="AZ304" s="7">
        <v>3</v>
      </c>
      <c r="BA304" s="7">
        <v>2</v>
      </c>
      <c r="BB304" s="7">
        <v>2</v>
      </c>
      <c r="BC304" s="7">
        <v>2</v>
      </c>
      <c r="BD304" s="7">
        <v>1</v>
      </c>
      <c r="BE304" s="7">
        <v>2</v>
      </c>
      <c r="BF304" s="7">
        <v>0</v>
      </c>
      <c r="BG304" s="12">
        <f>SUM(data__22[[#This Row],[N1]:[N4]],data__22[[#This Row],[N10]:[N13]],data__22[[#This Row],[N16]:[N18]])/11</f>
        <v>2.4545454545454546</v>
      </c>
      <c r="BH304" s="13">
        <f>SUM(data__22[[#This Row],[N8]:[N9]],data__22[[#This Row],[N23]:[N25]])/5</f>
        <v>1.8</v>
      </c>
      <c r="BI304" s="12">
        <f>SUM(data__22[[#This Row],[N5]:[N7]])/3</f>
        <v>2.3333333333333335</v>
      </c>
      <c r="BJ304" s="12">
        <f>SUM(data__22[[#This Row],[N14]:[N15]],data__22[[#This Row],[N19]:[N22]],data__22[[#This Row],[N26]:[N28]])/9</f>
        <v>0.55555555555555558</v>
      </c>
      <c r="BK304" s="12">
        <f>SUM(data__22[[#This Row],[N29]:[N33]])/5</f>
        <v>2.4</v>
      </c>
      <c r="BL304" s="12">
        <f>SUM(data__22[[#This Row],[N34]:[N36]])/3</f>
        <v>1</v>
      </c>
    </row>
    <row r="305" spans="1:64" x14ac:dyDescent="0.3">
      <c r="A305" s="7">
        <v>20</v>
      </c>
      <c r="B305" s="7" t="s">
        <v>70</v>
      </c>
      <c r="C305" s="7" t="s">
        <v>157</v>
      </c>
      <c r="D305" s="7" t="s">
        <v>97</v>
      </c>
      <c r="E305" s="7" t="s">
        <v>108</v>
      </c>
      <c r="F305" s="7" t="s">
        <v>74</v>
      </c>
      <c r="G305" s="7" t="s">
        <v>439</v>
      </c>
      <c r="H305" s="7" t="s">
        <v>74</v>
      </c>
      <c r="I305" s="7" t="s">
        <v>439</v>
      </c>
      <c r="J305" s="7" t="s">
        <v>77</v>
      </c>
      <c r="K305" s="7" t="s">
        <v>78</v>
      </c>
      <c r="L305" s="8" t="s">
        <v>82</v>
      </c>
      <c r="M305" s="8" t="s">
        <v>80</v>
      </c>
      <c r="N305" s="8" t="s">
        <v>79</v>
      </c>
      <c r="O305" s="8" t="s">
        <v>81</v>
      </c>
      <c r="P305" s="8" t="s">
        <v>82</v>
      </c>
      <c r="Q305" s="8" t="s">
        <v>83</v>
      </c>
      <c r="R305" s="8" t="s">
        <v>82</v>
      </c>
      <c r="S305" s="8" t="s">
        <v>82</v>
      </c>
      <c r="T305" s="8" t="s">
        <v>106</v>
      </c>
      <c r="U305" s="8" t="s">
        <v>141</v>
      </c>
      <c r="V305" s="8" t="s">
        <v>112</v>
      </c>
      <c r="W305" s="9">
        <v>3</v>
      </c>
      <c r="X305" s="9">
        <v>3</v>
      </c>
      <c r="Y305" s="9">
        <v>3</v>
      </c>
      <c r="Z305" s="9">
        <v>3</v>
      </c>
      <c r="AA305" s="9">
        <v>0</v>
      </c>
      <c r="AB305" s="9">
        <v>0</v>
      </c>
      <c r="AC305" s="9">
        <v>0</v>
      </c>
      <c r="AD305" s="9">
        <v>3</v>
      </c>
      <c r="AE305" s="9">
        <v>3</v>
      </c>
      <c r="AF305" s="9">
        <v>3</v>
      </c>
      <c r="AG305" s="9">
        <v>3</v>
      </c>
      <c r="AH305" s="9">
        <v>3</v>
      </c>
      <c r="AI305" s="9">
        <v>3</v>
      </c>
      <c r="AJ305" s="9">
        <v>3</v>
      </c>
      <c r="AK305" s="9">
        <v>3</v>
      </c>
      <c r="AL305" s="10">
        <v>3</v>
      </c>
      <c r="AM305" s="10">
        <v>3</v>
      </c>
      <c r="AN305" s="10">
        <v>3</v>
      </c>
      <c r="AO305" s="10">
        <v>0</v>
      </c>
      <c r="AP305" s="10">
        <v>0</v>
      </c>
      <c r="AQ305" s="10">
        <v>0</v>
      </c>
      <c r="AR305" s="10">
        <v>0</v>
      </c>
      <c r="AS305" s="11">
        <v>3</v>
      </c>
      <c r="AT305" s="11">
        <v>3</v>
      </c>
      <c r="AU305" s="11">
        <v>3</v>
      </c>
      <c r="AV305" s="11">
        <v>0</v>
      </c>
      <c r="AW305" s="11">
        <v>0</v>
      </c>
      <c r="AX305" s="11">
        <v>0</v>
      </c>
      <c r="AY305" s="7">
        <v>3</v>
      </c>
      <c r="AZ305" s="7">
        <v>3</v>
      </c>
      <c r="BA305" s="7">
        <v>3</v>
      </c>
      <c r="BB305" s="7">
        <v>3</v>
      </c>
      <c r="BC305" s="7">
        <v>3</v>
      </c>
      <c r="BD305" s="7">
        <v>0</v>
      </c>
      <c r="BE305" s="7">
        <v>0</v>
      </c>
      <c r="BF305" s="7">
        <v>0</v>
      </c>
      <c r="BG305" s="12">
        <f>SUM(data__22[[#This Row],[N1]:[N4]],data__22[[#This Row],[N10]:[N13]],data__22[[#This Row],[N16]:[N18]])/11</f>
        <v>3</v>
      </c>
      <c r="BH305" s="13">
        <f>SUM(data__22[[#This Row],[N8]:[N9]],data__22[[#This Row],[N23]:[N25]])/5</f>
        <v>3</v>
      </c>
      <c r="BI305" s="12">
        <f>SUM(data__22[[#This Row],[N5]:[N7]])/3</f>
        <v>0</v>
      </c>
      <c r="BJ305" s="12">
        <f>SUM(data__22[[#This Row],[N14]:[N15]],data__22[[#This Row],[N19]:[N22]],data__22[[#This Row],[N26]:[N28]])/9</f>
        <v>0.66666666666666663</v>
      </c>
      <c r="BK305" s="12">
        <f>SUM(data__22[[#This Row],[N29]:[N33]])/5</f>
        <v>3</v>
      </c>
      <c r="BL305" s="12">
        <f>SUM(data__22[[#This Row],[N34]:[N36]])/3</f>
        <v>0</v>
      </c>
    </row>
    <row r="306" spans="1:64" x14ac:dyDescent="0.3">
      <c r="A306" s="7">
        <v>23</v>
      </c>
      <c r="B306" s="7" t="s">
        <v>70</v>
      </c>
      <c r="C306" s="7" t="s">
        <v>71</v>
      </c>
      <c r="D306" s="7" t="s">
        <v>72</v>
      </c>
      <c r="E306" s="7" t="s">
        <v>114</v>
      </c>
      <c r="F306" s="7" t="s">
        <v>136</v>
      </c>
      <c r="G306" s="7" t="s">
        <v>439</v>
      </c>
      <c r="H306" s="7" t="s">
        <v>136</v>
      </c>
      <c r="I306" s="7" t="s">
        <v>76</v>
      </c>
      <c r="J306" s="7" t="s">
        <v>77</v>
      </c>
      <c r="K306" s="7" t="s">
        <v>125</v>
      </c>
      <c r="L306" s="8" t="s">
        <v>79</v>
      </c>
      <c r="M306" s="8" t="s">
        <v>80</v>
      </c>
      <c r="N306" s="8" t="s">
        <v>79</v>
      </c>
      <c r="O306" s="8" t="s">
        <v>109</v>
      </c>
      <c r="P306" s="8" t="s">
        <v>82</v>
      </c>
      <c r="Q306" s="8" t="s">
        <v>83</v>
      </c>
      <c r="R306" s="8" t="s">
        <v>79</v>
      </c>
      <c r="S306" s="8" t="s">
        <v>79</v>
      </c>
      <c r="T306" s="8" t="s">
        <v>86</v>
      </c>
      <c r="U306" s="8" t="s">
        <v>141</v>
      </c>
      <c r="V306" s="8" t="s">
        <v>112</v>
      </c>
      <c r="W306" s="9">
        <v>1</v>
      </c>
      <c r="X306" s="9">
        <v>1</v>
      </c>
      <c r="Y306" s="9">
        <v>1</v>
      </c>
      <c r="Z306" s="9">
        <v>1</v>
      </c>
      <c r="AA306" s="9">
        <v>1</v>
      </c>
      <c r="AB306" s="9">
        <v>1</v>
      </c>
      <c r="AC306" s="9">
        <v>1</v>
      </c>
      <c r="AD306" s="9">
        <v>1</v>
      </c>
      <c r="AE306" s="9">
        <v>1</v>
      </c>
      <c r="AF306" s="9">
        <v>1</v>
      </c>
      <c r="AG306" s="9">
        <v>1</v>
      </c>
      <c r="AH306" s="9">
        <v>1</v>
      </c>
      <c r="AI306" s="9">
        <v>1</v>
      </c>
      <c r="AJ306" s="9">
        <v>1</v>
      </c>
      <c r="AK306" s="9">
        <v>1</v>
      </c>
      <c r="AL306" s="10">
        <v>1</v>
      </c>
      <c r="AM306" s="10">
        <v>1</v>
      </c>
      <c r="AN306" s="10">
        <v>1</v>
      </c>
      <c r="AO306" s="10">
        <v>1</v>
      </c>
      <c r="AP306" s="10">
        <v>1</v>
      </c>
      <c r="AQ306" s="10">
        <v>1</v>
      </c>
      <c r="AR306" s="10">
        <v>1</v>
      </c>
      <c r="AS306" s="11">
        <v>1</v>
      </c>
      <c r="AT306" s="11">
        <v>1</v>
      </c>
      <c r="AU306" s="11">
        <v>1</v>
      </c>
      <c r="AV306" s="11">
        <v>1</v>
      </c>
      <c r="AW306" s="11">
        <v>1</v>
      </c>
      <c r="AX306" s="11">
        <v>1</v>
      </c>
      <c r="AY306" s="7">
        <v>1</v>
      </c>
      <c r="AZ306" s="7">
        <v>1</v>
      </c>
      <c r="BA306" s="7">
        <v>0</v>
      </c>
      <c r="BB306" s="7">
        <v>0</v>
      </c>
      <c r="BC306" s="7">
        <v>0</v>
      </c>
      <c r="BD306" s="7">
        <v>1</v>
      </c>
      <c r="BE306" s="7">
        <v>1</v>
      </c>
      <c r="BF306" s="7">
        <v>1</v>
      </c>
      <c r="BG306" s="12">
        <f>SUM(data__22[[#This Row],[N1]:[N4]],data__22[[#This Row],[N10]:[N13]],data__22[[#This Row],[N16]:[N18]])/11</f>
        <v>1</v>
      </c>
      <c r="BH306" s="13">
        <f>SUM(data__22[[#This Row],[N8]:[N9]],data__22[[#This Row],[N23]:[N25]])/5</f>
        <v>1</v>
      </c>
      <c r="BI306" s="12">
        <f>SUM(data__22[[#This Row],[N5]:[N7]])/3</f>
        <v>1</v>
      </c>
      <c r="BJ306" s="12">
        <f>SUM(data__22[[#This Row],[N14]:[N15]],data__22[[#This Row],[N19]:[N22]],data__22[[#This Row],[N26]:[N28]])/9</f>
        <v>1</v>
      </c>
      <c r="BK306" s="12">
        <f>SUM(data__22[[#This Row],[N29]:[N33]])/5</f>
        <v>0.4</v>
      </c>
      <c r="BL306" s="12">
        <f>SUM(data__22[[#This Row],[N34]:[N36]])/3</f>
        <v>1</v>
      </c>
    </row>
    <row r="307" spans="1:64" x14ac:dyDescent="0.3">
      <c r="A307" s="7">
        <v>23</v>
      </c>
      <c r="B307" s="7" t="s">
        <v>70</v>
      </c>
      <c r="C307" s="7" t="s">
        <v>71</v>
      </c>
      <c r="D307" s="7" t="s">
        <v>72</v>
      </c>
      <c r="E307" s="7" t="s">
        <v>114</v>
      </c>
      <c r="F307" s="7" t="s">
        <v>136</v>
      </c>
      <c r="G307" s="7" t="s">
        <v>440</v>
      </c>
      <c r="H307" s="7" t="s">
        <v>100</v>
      </c>
      <c r="I307" s="7" t="s">
        <v>76</v>
      </c>
      <c r="J307" s="7" t="s">
        <v>77</v>
      </c>
      <c r="K307" s="7" t="s">
        <v>125</v>
      </c>
      <c r="L307" s="8" t="s">
        <v>79</v>
      </c>
      <c r="M307" s="8" t="s">
        <v>102</v>
      </c>
      <c r="N307" s="8" t="s">
        <v>79</v>
      </c>
      <c r="O307" s="8" t="s">
        <v>179</v>
      </c>
      <c r="P307" s="8" t="s">
        <v>82</v>
      </c>
      <c r="Q307" s="8" t="s">
        <v>83</v>
      </c>
      <c r="R307" s="8" t="s">
        <v>79</v>
      </c>
      <c r="S307" s="8" t="s">
        <v>82</v>
      </c>
      <c r="T307" s="8" t="s">
        <v>106</v>
      </c>
      <c r="U307" s="8" t="s">
        <v>141</v>
      </c>
      <c r="V307" s="8" t="s">
        <v>112</v>
      </c>
      <c r="W307" s="9">
        <v>2</v>
      </c>
      <c r="X307" s="9">
        <v>2</v>
      </c>
      <c r="Y307" s="9">
        <v>2</v>
      </c>
      <c r="Z307" s="9">
        <v>2</v>
      </c>
      <c r="AA307" s="9">
        <v>2</v>
      </c>
      <c r="AB307" s="9">
        <v>1</v>
      </c>
      <c r="AC307" s="9">
        <v>1</v>
      </c>
      <c r="AD307" s="9">
        <v>2</v>
      </c>
      <c r="AE307" s="9">
        <v>3</v>
      </c>
      <c r="AF307" s="9">
        <v>2</v>
      </c>
      <c r="AG307" s="9">
        <v>2</v>
      </c>
      <c r="AH307" s="9">
        <v>2</v>
      </c>
      <c r="AI307" s="9">
        <v>3</v>
      </c>
      <c r="AJ307" s="9">
        <v>2</v>
      </c>
      <c r="AK307" s="9">
        <v>2</v>
      </c>
      <c r="AL307" s="10">
        <v>2</v>
      </c>
      <c r="AM307" s="10">
        <v>2</v>
      </c>
      <c r="AN307" s="10">
        <v>3</v>
      </c>
      <c r="AO307" s="10">
        <v>1</v>
      </c>
      <c r="AP307" s="10">
        <v>2</v>
      </c>
      <c r="AQ307" s="10">
        <v>2</v>
      </c>
      <c r="AR307" s="10">
        <v>2</v>
      </c>
      <c r="AS307" s="11">
        <v>2</v>
      </c>
      <c r="AT307" s="11">
        <v>2</v>
      </c>
      <c r="AU307" s="11">
        <v>2</v>
      </c>
      <c r="AV307" s="11">
        <v>2</v>
      </c>
      <c r="AW307" s="11">
        <v>2</v>
      </c>
      <c r="AX307" s="11">
        <v>2</v>
      </c>
      <c r="AY307" s="7">
        <v>2</v>
      </c>
      <c r="AZ307" s="7">
        <v>2</v>
      </c>
      <c r="BA307" s="7">
        <v>2</v>
      </c>
      <c r="BB307" s="7">
        <v>2</v>
      </c>
      <c r="BC307" s="7">
        <v>2</v>
      </c>
      <c r="BD307" s="7">
        <v>1</v>
      </c>
      <c r="BE307" s="7">
        <v>1</v>
      </c>
      <c r="BF307" s="7">
        <v>2</v>
      </c>
      <c r="BG307" s="12">
        <f>SUM(data__22[[#This Row],[N1]:[N4]],data__22[[#This Row],[N10]:[N13]],data__22[[#This Row],[N16]:[N18]])/11</f>
        <v>2.1818181818181817</v>
      </c>
      <c r="BH307" s="13">
        <f>SUM(data__22[[#This Row],[N8]:[N9]],data__22[[#This Row],[N23]:[N25]])/5</f>
        <v>2.2000000000000002</v>
      </c>
      <c r="BI307" s="12">
        <f>SUM(data__22[[#This Row],[N5]:[N7]])/3</f>
        <v>1.3333333333333333</v>
      </c>
      <c r="BJ307" s="12">
        <f>SUM(data__22[[#This Row],[N14]:[N15]],data__22[[#This Row],[N19]:[N22]],data__22[[#This Row],[N26]:[N28]])/9</f>
        <v>1.8888888888888888</v>
      </c>
      <c r="BK307" s="12">
        <f>SUM(data__22[[#This Row],[N29]:[N33]])/5</f>
        <v>2</v>
      </c>
      <c r="BL307" s="12">
        <f>SUM(data__22[[#This Row],[N34]:[N36]])/3</f>
        <v>1.3333333333333333</v>
      </c>
    </row>
    <row r="308" spans="1:64" x14ac:dyDescent="0.3">
      <c r="A308" s="7">
        <v>24</v>
      </c>
      <c r="B308" s="7" t="s">
        <v>70</v>
      </c>
      <c r="C308" s="7" t="s">
        <v>71</v>
      </c>
      <c r="D308" s="7" t="s">
        <v>149</v>
      </c>
      <c r="E308" s="7" t="s">
        <v>108</v>
      </c>
      <c r="F308" s="7" t="s">
        <v>74</v>
      </c>
      <c r="G308" s="7" t="s">
        <v>440</v>
      </c>
      <c r="H308" s="7" t="s">
        <v>136</v>
      </c>
      <c r="I308" s="7" t="s">
        <v>76</v>
      </c>
      <c r="J308" s="7" t="s">
        <v>77</v>
      </c>
      <c r="K308" s="7" t="s">
        <v>122</v>
      </c>
      <c r="L308" s="8" t="s">
        <v>79</v>
      </c>
      <c r="M308" s="8" t="s">
        <v>80</v>
      </c>
      <c r="N308" s="8" t="s">
        <v>79</v>
      </c>
      <c r="O308" s="8" t="s">
        <v>109</v>
      </c>
      <c r="P308" s="8" t="s">
        <v>79</v>
      </c>
      <c r="Q308" s="8" t="s">
        <v>83</v>
      </c>
      <c r="R308" s="8" t="s">
        <v>79</v>
      </c>
      <c r="S308" s="8" t="s">
        <v>82</v>
      </c>
      <c r="T308" s="8" t="s">
        <v>106</v>
      </c>
      <c r="U308" s="8" t="s">
        <v>141</v>
      </c>
      <c r="V308" s="8" t="s">
        <v>112</v>
      </c>
      <c r="W308" s="9">
        <v>1</v>
      </c>
      <c r="X308" s="9">
        <v>3</v>
      </c>
      <c r="Y308" s="9">
        <v>3</v>
      </c>
      <c r="Z308" s="9">
        <v>2</v>
      </c>
      <c r="AA308" s="9">
        <v>3</v>
      </c>
      <c r="AB308" s="9">
        <v>2</v>
      </c>
      <c r="AC308" s="9">
        <v>2</v>
      </c>
      <c r="AD308" s="9">
        <v>1</v>
      </c>
      <c r="AE308" s="9">
        <v>1</v>
      </c>
      <c r="AF308" s="9">
        <v>2</v>
      </c>
      <c r="AG308" s="9">
        <v>2</v>
      </c>
      <c r="AH308" s="9">
        <v>1</v>
      </c>
      <c r="AI308" s="9">
        <v>2</v>
      </c>
      <c r="AJ308" s="9">
        <v>2</v>
      </c>
      <c r="AK308" s="9">
        <v>1</v>
      </c>
      <c r="AL308" s="10">
        <v>1</v>
      </c>
      <c r="AM308" s="10">
        <v>1</v>
      </c>
      <c r="AN308" s="10">
        <v>0</v>
      </c>
      <c r="AO308" s="10">
        <v>1</v>
      </c>
      <c r="AP308" s="10">
        <v>0</v>
      </c>
      <c r="AQ308" s="10">
        <v>1</v>
      </c>
      <c r="AR308" s="10">
        <v>0</v>
      </c>
      <c r="AS308" s="11">
        <v>1</v>
      </c>
      <c r="AT308" s="11">
        <v>0</v>
      </c>
      <c r="AU308" s="11">
        <v>1</v>
      </c>
      <c r="AV308" s="11">
        <v>0</v>
      </c>
      <c r="AW308" s="11">
        <v>1</v>
      </c>
      <c r="AX308" s="11">
        <v>2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12">
        <f>SUM(data__22[[#This Row],[N1]:[N4]],data__22[[#This Row],[N10]:[N13]],data__22[[#This Row],[N16]:[N18]])/11</f>
        <v>1.6363636363636365</v>
      </c>
      <c r="BH308" s="13">
        <f>SUM(data__22[[#This Row],[N8]:[N9]],data__22[[#This Row],[N23]:[N25]])/5</f>
        <v>0.8</v>
      </c>
      <c r="BI308" s="12">
        <f>SUM(data__22[[#This Row],[N5]:[N7]])/3</f>
        <v>2.3333333333333335</v>
      </c>
      <c r="BJ308" s="12">
        <f>SUM(data__22[[#This Row],[N14]:[N15]],data__22[[#This Row],[N19]:[N22]],data__22[[#This Row],[N26]:[N28]])/9</f>
        <v>0.88888888888888884</v>
      </c>
      <c r="BK308" s="12">
        <f>SUM(data__22[[#This Row],[N29]:[N33]])/5</f>
        <v>0</v>
      </c>
      <c r="BL308" s="12">
        <f>SUM(data__22[[#This Row],[N34]:[N36]])/3</f>
        <v>0</v>
      </c>
    </row>
    <row r="309" spans="1:64" x14ac:dyDescent="0.3">
      <c r="A309" s="7">
        <v>21</v>
      </c>
      <c r="B309" s="7" t="s">
        <v>70</v>
      </c>
      <c r="C309" s="7" t="s">
        <v>96</v>
      </c>
      <c r="D309" s="7" t="s">
        <v>149</v>
      </c>
      <c r="E309" s="7" t="s">
        <v>114</v>
      </c>
      <c r="F309" s="7" t="s">
        <v>74</v>
      </c>
      <c r="G309" s="7" t="s">
        <v>440</v>
      </c>
      <c r="H309" s="7" t="s">
        <v>74</v>
      </c>
      <c r="I309" s="7" t="s">
        <v>76</v>
      </c>
      <c r="J309" s="7" t="s">
        <v>77</v>
      </c>
      <c r="K309" s="7" t="s">
        <v>122</v>
      </c>
      <c r="L309" s="8" t="s">
        <v>79</v>
      </c>
      <c r="M309" s="8" t="s">
        <v>80</v>
      </c>
      <c r="N309" s="8" t="s">
        <v>79</v>
      </c>
      <c r="O309" s="8" t="s">
        <v>81</v>
      </c>
      <c r="P309" s="8" t="s">
        <v>79</v>
      </c>
      <c r="Q309" s="8" t="s">
        <v>83</v>
      </c>
      <c r="R309" s="8" t="s">
        <v>79</v>
      </c>
      <c r="S309" s="8" t="s">
        <v>79</v>
      </c>
      <c r="T309" s="8" t="s">
        <v>86</v>
      </c>
      <c r="U309" s="8" t="s">
        <v>120</v>
      </c>
      <c r="V309" s="8" t="s">
        <v>112</v>
      </c>
      <c r="W309" s="9">
        <v>1</v>
      </c>
      <c r="X309" s="9">
        <v>0</v>
      </c>
      <c r="Y309" s="9">
        <v>1</v>
      </c>
      <c r="Z309" s="9">
        <v>0</v>
      </c>
      <c r="AA309" s="9">
        <v>1</v>
      </c>
      <c r="AB309" s="9">
        <v>0</v>
      </c>
      <c r="AC309" s="9">
        <v>1</v>
      </c>
      <c r="AD309" s="9">
        <v>0</v>
      </c>
      <c r="AE309" s="9">
        <v>1</v>
      </c>
      <c r="AF309" s="9">
        <v>0</v>
      </c>
      <c r="AG309" s="9">
        <v>2</v>
      </c>
      <c r="AH309" s="9">
        <v>2</v>
      </c>
      <c r="AI309" s="9">
        <v>0</v>
      </c>
      <c r="AJ309" s="9">
        <v>1</v>
      </c>
      <c r="AK309" s="9">
        <v>0</v>
      </c>
      <c r="AL309" s="10">
        <v>1</v>
      </c>
      <c r="AM309" s="10">
        <v>2</v>
      </c>
      <c r="AN309" s="10">
        <v>0</v>
      </c>
      <c r="AO309" s="10">
        <v>0</v>
      </c>
      <c r="AP309" s="10">
        <v>2</v>
      </c>
      <c r="AQ309" s="10">
        <v>1</v>
      </c>
      <c r="AR309" s="10">
        <v>3</v>
      </c>
      <c r="AS309" s="11">
        <v>0</v>
      </c>
      <c r="AT309" s="11">
        <v>1</v>
      </c>
      <c r="AU309" s="11">
        <v>2</v>
      </c>
      <c r="AV309" s="11">
        <v>0</v>
      </c>
      <c r="AW309" s="11">
        <v>1</v>
      </c>
      <c r="AX309" s="11">
        <v>2</v>
      </c>
      <c r="AY309" s="7">
        <v>0</v>
      </c>
      <c r="AZ309" s="7">
        <v>1</v>
      </c>
      <c r="BA309" s="7">
        <v>2</v>
      </c>
      <c r="BB309" s="7">
        <v>0</v>
      </c>
      <c r="BC309" s="7">
        <v>1</v>
      </c>
      <c r="BD309" s="7">
        <v>1</v>
      </c>
      <c r="BE309" s="7">
        <v>3</v>
      </c>
      <c r="BF309" s="7">
        <v>0</v>
      </c>
      <c r="BG309" s="12">
        <f>SUM(data__22[[#This Row],[N1]:[N4]],data__22[[#This Row],[N10]:[N13]],data__22[[#This Row],[N16]:[N18]])/11</f>
        <v>0.81818181818181823</v>
      </c>
      <c r="BH309" s="13">
        <f>SUM(data__22[[#This Row],[N8]:[N9]],data__22[[#This Row],[N23]:[N25]])/5</f>
        <v>0.8</v>
      </c>
      <c r="BI309" s="12">
        <f>SUM(data__22[[#This Row],[N5]:[N7]])/3</f>
        <v>0.66666666666666663</v>
      </c>
      <c r="BJ309" s="12">
        <f>SUM(data__22[[#This Row],[N14]:[N15]],data__22[[#This Row],[N19]:[N22]],data__22[[#This Row],[N26]:[N28]])/9</f>
        <v>1.1111111111111112</v>
      </c>
      <c r="BK309" s="12">
        <f>SUM(data__22[[#This Row],[N29]:[N33]])/5</f>
        <v>0.8</v>
      </c>
      <c r="BL309" s="12">
        <f>SUM(data__22[[#This Row],[N34]:[N36]])/3</f>
        <v>1.3333333333333333</v>
      </c>
    </row>
    <row r="310" spans="1:64" x14ac:dyDescent="0.3">
      <c r="A310" s="7">
        <v>20</v>
      </c>
      <c r="B310" s="7" t="s">
        <v>70</v>
      </c>
      <c r="C310" s="7" t="s">
        <v>157</v>
      </c>
      <c r="D310" s="7" t="s">
        <v>72</v>
      </c>
      <c r="E310" s="7" t="s">
        <v>114</v>
      </c>
      <c r="F310" s="7" t="s">
        <v>74</v>
      </c>
      <c r="G310" s="7" t="s">
        <v>439</v>
      </c>
      <c r="H310" s="7" t="s">
        <v>98</v>
      </c>
      <c r="I310" s="7" t="s">
        <v>76</v>
      </c>
      <c r="J310" s="7" t="s">
        <v>101</v>
      </c>
      <c r="K310" s="7" t="s">
        <v>125</v>
      </c>
      <c r="L310" s="8" t="s">
        <v>82</v>
      </c>
      <c r="M310" s="8" t="s">
        <v>80</v>
      </c>
      <c r="N310" s="8" t="s">
        <v>79</v>
      </c>
      <c r="O310" s="8" t="s">
        <v>109</v>
      </c>
      <c r="P310" s="8" t="s">
        <v>82</v>
      </c>
      <c r="Q310" s="8" t="s">
        <v>118</v>
      </c>
      <c r="R310" s="8" t="s">
        <v>79</v>
      </c>
      <c r="S310" s="8" t="s">
        <v>79</v>
      </c>
      <c r="T310" s="8" t="s">
        <v>106</v>
      </c>
      <c r="U310" s="8" t="s">
        <v>141</v>
      </c>
      <c r="V310" s="8" t="s">
        <v>127</v>
      </c>
      <c r="W310" s="9">
        <v>3</v>
      </c>
      <c r="X310" s="9">
        <v>3</v>
      </c>
      <c r="Y310" s="9">
        <v>3</v>
      </c>
      <c r="Z310" s="9">
        <v>3</v>
      </c>
      <c r="AA310" s="9">
        <v>3</v>
      </c>
      <c r="AB310" s="9">
        <v>3</v>
      </c>
      <c r="AC310" s="9">
        <v>3</v>
      </c>
      <c r="AD310" s="9">
        <v>3</v>
      </c>
      <c r="AE310" s="9">
        <v>3</v>
      </c>
      <c r="AF310" s="9">
        <v>3</v>
      </c>
      <c r="AG310" s="9">
        <v>3</v>
      </c>
      <c r="AH310" s="9">
        <v>3</v>
      </c>
      <c r="AI310" s="9">
        <v>3</v>
      </c>
      <c r="AJ310" s="9">
        <v>3</v>
      </c>
      <c r="AK310" s="9">
        <v>3</v>
      </c>
      <c r="AL310" s="10">
        <v>3</v>
      </c>
      <c r="AM310" s="10">
        <v>3</v>
      </c>
      <c r="AN310" s="10">
        <v>3</v>
      </c>
      <c r="AO310" s="10">
        <v>3</v>
      </c>
      <c r="AP310" s="10">
        <v>3</v>
      </c>
      <c r="AQ310" s="10">
        <v>3</v>
      </c>
      <c r="AR310" s="10">
        <v>3</v>
      </c>
      <c r="AS310" s="11">
        <v>3</v>
      </c>
      <c r="AT310" s="11">
        <v>3</v>
      </c>
      <c r="AU310" s="11">
        <v>3</v>
      </c>
      <c r="AV310" s="11">
        <v>3</v>
      </c>
      <c r="AW310" s="11">
        <v>3</v>
      </c>
      <c r="AX310" s="11">
        <v>3</v>
      </c>
      <c r="AY310" s="7">
        <v>3</v>
      </c>
      <c r="AZ310" s="7">
        <v>3</v>
      </c>
      <c r="BA310" s="7">
        <v>3</v>
      </c>
      <c r="BB310" s="7">
        <v>3</v>
      </c>
      <c r="BC310" s="7">
        <v>3</v>
      </c>
      <c r="BD310" s="7">
        <v>3</v>
      </c>
      <c r="BE310" s="7">
        <v>3</v>
      </c>
      <c r="BF310" s="7">
        <v>3</v>
      </c>
      <c r="BG310" s="12">
        <f>SUM(data__22[[#This Row],[N1]:[N4]],data__22[[#This Row],[N10]:[N13]],data__22[[#This Row],[N16]:[N18]])/11</f>
        <v>3</v>
      </c>
      <c r="BH310" s="13">
        <f>SUM(data__22[[#This Row],[N8]:[N9]],data__22[[#This Row],[N23]:[N25]])/5</f>
        <v>3</v>
      </c>
      <c r="BI310" s="12">
        <f>SUM(data__22[[#This Row],[N5]:[N7]])/3</f>
        <v>3</v>
      </c>
      <c r="BJ310" s="12">
        <f>SUM(data__22[[#This Row],[N14]:[N15]],data__22[[#This Row],[N19]:[N22]],data__22[[#This Row],[N26]:[N28]])/9</f>
        <v>3</v>
      </c>
      <c r="BK310" s="12">
        <f>SUM(data__22[[#This Row],[N29]:[N33]])/5</f>
        <v>3</v>
      </c>
      <c r="BL310" s="12">
        <f>SUM(data__22[[#This Row],[N34]:[N36]])/3</f>
        <v>3</v>
      </c>
    </row>
    <row r="311" spans="1:64" x14ac:dyDescent="0.3">
      <c r="A311" s="7">
        <v>20</v>
      </c>
      <c r="B311" s="7" t="s">
        <v>70</v>
      </c>
      <c r="C311" s="7" t="s">
        <v>157</v>
      </c>
      <c r="D311" s="7" t="s">
        <v>72</v>
      </c>
      <c r="E311" s="7" t="s">
        <v>108</v>
      </c>
      <c r="F311" s="7" t="s">
        <v>98</v>
      </c>
      <c r="G311" s="7" t="s">
        <v>438</v>
      </c>
      <c r="H311" s="7" t="s">
        <v>100</v>
      </c>
      <c r="I311" s="7" t="s">
        <v>76</v>
      </c>
      <c r="J311" s="7" t="s">
        <v>77</v>
      </c>
      <c r="K311" s="7" t="s">
        <v>78</v>
      </c>
      <c r="L311" s="8" t="s">
        <v>82</v>
      </c>
      <c r="M311" s="8" t="s">
        <v>102</v>
      </c>
      <c r="N311" s="8" t="s">
        <v>79</v>
      </c>
      <c r="O311" s="8" t="s">
        <v>81</v>
      </c>
      <c r="P311" s="8" t="s">
        <v>82</v>
      </c>
      <c r="Q311" s="8" t="s">
        <v>83</v>
      </c>
      <c r="R311" s="8" t="s">
        <v>79</v>
      </c>
      <c r="S311" s="8" t="s">
        <v>79</v>
      </c>
      <c r="T311" s="8" t="s">
        <v>86</v>
      </c>
      <c r="U311" s="8" t="s">
        <v>120</v>
      </c>
      <c r="V311" s="8" t="s">
        <v>112</v>
      </c>
      <c r="W311" s="9">
        <v>0</v>
      </c>
      <c r="X311" s="9">
        <v>0</v>
      </c>
      <c r="Y311" s="9">
        <v>1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7">
        <v>2</v>
      </c>
      <c r="AZ311" s="7">
        <v>1</v>
      </c>
      <c r="BA311" s="7">
        <v>1</v>
      </c>
      <c r="BB311" s="7">
        <v>0</v>
      </c>
      <c r="BC311" s="7">
        <v>2</v>
      </c>
      <c r="BD311" s="7">
        <v>1</v>
      </c>
      <c r="BE311" s="7">
        <v>1</v>
      </c>
      <c r="BF311" s="7">
        <v>3</v>
      </c>
      <c r="BG311" s="12">
        <f>SUM(data__22[[#This Row],[N1]:[N4]],data__22[[#This Row],[N10]:[N13]],data__22[[#This Row],[N16]:[N18]])/11</f>
        <v>9.0909090909090912E-2</v>
      </c>
      <c r="BH311" s="13">
        <f>SUM(data__22[[#This Row],[N8]:[N9]],data__22[[#This Row],[N23]:[N25]])/5</f>
        <v>0</v>
      </c>
      <c r="BI311" s="12">
        <f>SUM(data__22[[#This Row],[N5]:[N7]])/3</f>
        <v>0</v>
      </c>
      <c r="BJ311" s="12">
        <f>SUM(data__22[[#This Row],[N14]:[N15]],data__22[[#This Row],[N19]:[N22]],data__22[[#This Row],[N26]:[N28]])/9</f>
        <v>0</v>
      </c>
      <c r="BK311" s="12">
        <f>SUM(data__22[[#This Row],[N29]:[N33]])/5</f>
        <v>1.2</v>
      </c>
      <c r="BL311" s="12">
        <f>SUM(data__22[[#This Row],[N34]:[N36]])/3</f>
        <v>1.6666666666666667</v>
      </c>
    </row>
    <row r="312" spans="1:64" x14ac:dyDescent="0.3">
      <c r="A312" s="7">
        <v>23</v>
      </c>
      <c r="B312" s="7" t="s">
        <v>70</v>
      </c>
      <c r="C312" s="7" t="s">
        <v>157</v>
      </c>
      <c r="D312" s="7" t="s">
        <v>72</v>
      </c>
      <c r="E312" s="7" t="s">
        <v>114</v>
      </c>
      <c r="F312" s="7" t="s">
        <v>100</v>
      </c>
      <c r="G312" s="7" t="s">
        <v>440</v>
      </c>
      <c r="H312" s="7" t="s">
        <v>100</v>
      </c>
      <c r="I312" s="7" t="s">
        <v>76</v>
      </c>
      <c r="J312" s="7" t="s">
        <v>77</v>
      </c>
      <c r="K312" s="7" t="s">
        <v>125</v>
      </c>
      <c r="L312" s="8" t="s">
        <v>79</v>
      </c>
      <c r="M312" s="8" t="s">
        <v>80</v>
      </c>
      <c r="N312" s="8" t="s">
        <v>82</v>
      </c>
      <c r="O312" s="8" t="s">
        <v>138</v>
      </c>
      <c r="P312" s="8" t="s">
        <v>82</v>
      </c>
      <c r="Q312" s="8" t="s">
        <v>103</v>
      </c>
      <c r="R312" s="8" t="s">
        <v>82</v>
      </c>
      <c r="S312" s="8" t="s">
        <v>82</v>
      </c>
      <c r="T312" s="8" t="s">
        <v>106</v>
      </c>
      <c r="U312" s="8" t="s">
        <v>87</v>
      </c>
      <c r="V312" s="8" t="s">
        <v>455</v>
      </c>
      <c r="W312" s="9">
        <v>1</v>
      </c>
      <c r="X312" s="9">
        <v>1</v>
      </c>
      <c r="Y312" s="9">
        <v>1</v>
      </c>
      <c r="Z312" s="9">
        <v>1</v>
      </c>
      <c r="AA312" s="9">
        <v>1</v>
      </c>
      <c r="AB312" s="9">
        <v>1</v>
      </c>
      <c r="AC312" s="9">
        <v>1</v>
      </c>
      <c r="AD312" s="9">
        <v>1</v>
      </c>
      <c r="AE312" s="9">
        <v>1</v>
      </c>
      <c r="AF312" s="9">
        <v>1</v>
      </c>
      <c r="AG312" s="9">
        <v>1</v>
      </c>
      <c r="AH312" s="9">
        <v>1</v>
      </c>
      <c r="AI312" s="9">
        <v>2</v>
      </c>
      <c r="AJ312" s="9">
        <v>1</v>
      </c>
      <c r="AK312" s="9">
        <v>2</v>
      </c>
      <c r="AL312" s="10">
        <v>1</v>
      </c>
      <c r="AM312" s="10">
        <v>1</v>
      </c>
      <c r="AN312" s="10">
        <v>2</v>
      </c>
      <c r="AO312" s="10">
        <v>0</v>
      </c>
      <c r="AP312" s="10">
        <v>1</v>
      </c>
      <c r="AQ312" s="10">
        <v>2</v>
      </c>
      <c r="AR312" s="10">
        <v>1</v>
      </c>
      <c r="AS312" s="11">
        <v>1</v>
      </c>
      <c r="AT312" s="11">
        <v>2</v>
      </c>
      <c r="AU312" s="11">
        <v>0</v>
      </c>
      <c r="AV312" s="11">
        <v>1</v>
      </c>
      <c r="AW312" s="11">
        <v>1</v>
      </c>
      <c r="AX312" s="11">
        <v>0</v>
      </c>
      <c r="AY312" s="7">
        <v>1</v>
      </c>
      <c r="AZ312" s="7">
        <v>0</v>
      </c>
      <c r="BA312" s="7">
        <v>2</v>
      </c>
      <c r="BB312" s="7">
        <v>1</v>
      </c>
      <c r="BC312" s="7">
        <v>0</v>
      </c>
      <c r="BD312" s="7">
        <v>2</v>
      </c>
      <c r="BE312" s="7">
        <v>1</v>
      </c>
      <c r="BF312" s="7">
        <v>1</v>
      </c>
      <c r="BG312" s="12">
        <f>SUM(data__22[[#This Row],[N1]:[N4]],data__22[[#This Row],[N10]:[N13]],data__22[[#This Row],[N16]:[N18]])/11</f>
        <v>1.1818181818181819</v>
      </c>
      <c r="BH312" s="13">
        <f>SUM(data__22[[#This Row],[N8]:[N9]],data__22[[#This Row],[N23]:[N25]])/5</f>
        <v>1</v>
      </c>
      <c r="BI312" s="12">
        <f>SUM(data__22[[#This Row],[N5]:[N7]])/3</f>
        <v>1</v>
      </c>
      <c r="BJ312" s="12">
        <f>SUM(data__22[[#This Row],[N14]:[N15]],data__22[[#This Row],[N19]:[N22]],data__22[[#This Row],[N26]:[N28]])/9</f>
        <v>1</v>
      </c>
      <c r="BK312" s="12">
        <f>SUM(data__22[[#This Row],[N29]:[N33]])/5</f>
        <v>0.8</v>
      </c>
      <c r="BL312" s="12">
        <f>SUM(data__22[[#This Row],[N34]:[N36]])/3</f>
        <v>1.3333333333333333</v>
      </c>
    </row>
    <row r="313" spans="1:64" x14ac:dyDescent="0.3">
      <c r="A313" s="7">
        <v>20</v>
      </c>
      <c r="B313" s="7" t="s">
        <v>70</v>
      </c>
      <c r="C313" s="7" t="s">
        <v>157</v>
      </c>
      <c r="D313" s="7" t="s">
        <v>149</v>
      </c>
      <c r="E313" s="7" t="s">
        <v>108</v>
      </c>
      <c r="F313" s="7" t="s">
        <v>136</v>
      </c>
      <c r="G313" s="7" t="s">
        <v>99</v>
      </c>
      <c r="H313" s="7" t="s">
        <v>74</v>
      </c>
      <c r="I313" s="7" t="s">
        <v>76</v>
      </c>
      <c r="J313" s="7" t="s">
        <v>77</v>
      </c>
      <c r="K313" s="7" t="s">
        <v>122</v>
      </c>
      <c r="L313" s="8" t="s">
        <v>79</v>
      </c>
      <c r="M313" s="8" t="s">
        <v>102</v>
      </c>
      <c r="N313" s="8" t="s">
        <v>79</v>
      </c>
      <c r="O313" s="8" t="s">
        <v>117</v>
      </c>
      <c r="P313" s="8" t="s">
        <v>79</v>
      </c>
      <c r="Q313" s="8" t="s">
        <v>103</v>
      </c>
      <c r="R313" s="8" t="s">
        <v>79</v>
      </c>
      <c r="S313" s="8" t="s">
        <v>79</v>
      </c>
      <c r="T313" s="8" t="s">
        <v>86</v>
      </c>
      <c r="U313" s="8" t="s">
        <v>141</v>
      </c>
      <c r="V313" s="8" t="s">
        <v>455</v>
      </c>
      <c r="W313" s="9">
        <v>1</v>
      </c>
      <c r="X313" s="9">
        <v>0</v>
      </c>
      <c r="Y313" s="9">
        <v>0</v>
      </c>
      <c r="Z313" s="9">
        <v>3</v>
      </c>
      <c r="AA313" s="9">
        <v>3</v>
      </c>
      <c r="AB313" s="9">
        <v>3</v>
      </c>
      <c r="AC313" s="9">
        <v>2</v>
      </c>
      <c r="AD313" s="9">
        <v>3</v>
      </c>
      <c r="AE313" s="9">
        <v>3</v>
      </c>
      <c r="AF313" s="9">
        <v>3</v>
      </c>
      <c r="AG313" s="9">
        <v>3</v>
      </c>
      <c r="AH313" s="9">
        <v>3</v>
      </c>
      <c r="AI313" s="9">
        <v>3</v>
      </c>
      <c r="AJ313" s="9">
        <v>0</v>
      </c>
      <c r="AK313" s="9">
        <v>3</v>
      </c>
      <c r="AL313" s="10">
        <v>3</v>
      </c>
      <c r="AM313" s="10">
        <v>3</v>
      </c>
      <c r="AN313" s="10">
        <v>3</v>
      </c>
      <c r="AO313" s="10">
        <v>0</v>
      </c>
      <c r="AP313" s="10">
        <v>0</v>
      </c>
      <c r="AQ313" s="10">
        <v>0</v>
      </c>
      <c r="AR313" s="10">
        <v>3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3</v>
      </c>
      <c r="AY313" s="7">
        <v>3</v>
      </c>
      <c r="AZ313" s="7">
        <v>3</v>
      </c>
      <c r="BA313" s="7">
        <v>3</v>
      </c>
      <c r="BB313" s="7">
        <v>3</v>
      </c>
      <c r="BC313" s="7">
        <v>3</v>
      </c>
      <c r="BD313" s="7">
        <v>3</v>
      </c>
      <c r="BE313" s="7">
        <v>3</v>
      </c>
      <c r="BF313" s="7">
        <v>3</v>
      </c>
      <c r="BG313" s="12">
        <f>SUM(data__22[[#This Row],[N1]:[N4]],data__22[[#This Row],[N10]:[N13]],data__22[[#This Row],[N16]:[N18]])/11</f>
        <v>2.2727272727272729</v>
      </c>
      <c r="BH313" s="13">
        <f>SUM(data__22[[#This Row],[N8]:[N9]],data__22[[#This Row],[N23]:[N25]])/5</f>
        <v>1.2</v>
      </c>
      <c r="BI313" s="12">
        <f>SUM(data__22[[#This Row],[N5]:[N7]])/3</f>
        <v>2.6666666666666665</v>
      </c>
      <c r="BJ313" s="12">
        <f>SUM(data__22[[#This Row],[N14]:[N15]],data__22[[#This Row],[N19]:[N22]],data__22[[#This Row],[N26]:[N28]])/9</f>
        <v>1</v>
      </c>
      <c r="BK313" s="12">
        <f>SUM(data__22[[#This Row],[N29]:[N33]])/5</f>
        <v>3</v>
      </c>
      <c r="BL313" s="12">
        <f>SUM(data__22[[#This Row],[N34]:[N36]])/3</f>
        <v>3</v>
      </c>
    </row>
    <row r="314" spans="1:64" x14ac:dyDescent="0.3">
      <c r="A314" s="7">
        <v>21</v>
      </c>
      <c r="B314" s="7" t="s">
        <v>128</v>
      </c>
      <c r="C314" s="7" t="s">
        <v>157</v>
      </c>
      <c r="D314" s="7" t="s">
        <v>72</v>
      </c>
      <c r="E314" s="7" t="s">
        <v>108</v>
      </c>
      <c r="F314" s="7" t="s">
        <v>74</v>
      </c>
      <c r="G314" s="7" t="s">
        <v>439</v>
      </c>
      <c r="H314" s="7" t="s">
        <v>136</v>
      </c>
      <c r="I314" s="7" t="s">
        <v>76</v>
      </c>
      <c r="J314" s="7" t="s">
        <v>77</v>
      </c>
      <c r="K314" s="7" t="s">
        <v>78</v>
      </c>
      <c r="L314" s="8" t="s">
        <v>79</v>
      </c>
      <c r="M314" s="8" t="s">
        <v>80</v>
      </c>
      <c r="N314" s="8" t="s">
        <v>79</v>
      </c>
      <c r="O314" s="8" t="s">
        <v>117</v>
      </c>
      <c r="P314" s="8" t="s">
        <v>79</v>
      </c>
      <c r="Q314" s="8" t="s">
        <v>118</v>
      </c>
      <c r="R314" s="8" t="s">
        <v>82</v>
      </c>
      <c r="S314" s="8" t="s">
        <v>82</v>
      </c>
      <c r="T314" s="8" t="s">
        <v>106</v>
      </c>
      <c r="U314" s="8" t="s">
        <v>87</v>
      </c>
      <c r="V314" s="8" t="s">
        <v>112</v>
      </c>
      <c r="W314" s="9">
        <v>2</v>
      </c>
      <c r="X314" s="9">
        <v>3</v>
      </c>
      <c r="Y314" s="9">
        <v>3</v>
      </c>
      <c r="Z314" s="9">
        <v>3</v>
      </c>
      <c r="AA314" s="9">
        <v>1</v>
      </c>
      <c r="AB314" s="9">
        <v>0</v>
      </c>
      <c r="AC314" s="9">
        <v>0</v>
      </c>
      <c r="AD314" s="9">
        <v>2</v>
      </c>
      <c r="AE314" s="9">
        <v>2</v>
      </c>
      <c r="AF314" s="9">
        <v>0</v>
      </c>
      <c r="AG314" s="9">
        <v>3</v>
      </c>
      <c r="AH314" s="9">
        <v>3</v>
      </c>
      <c r="AI314" s="9">
        <v>2</v>
      </c>
      <c r="AJ314" s="9">
        <v>1</v>
      </c>
      <c r="AK314" s="9">
        <v>1</v>
      </c>
      <c r="AL314" s="10">
        <v>3</v>
      </c>
      <c r="AM314" s="10">
        <v>3</v>
      </c>
      <c r="AN314" s="10">
        <v>3</v>
      </c>
      <c r="AO314" s="10">
        <v>0</v>
      </c>
      <c r="AP314" s="10">
        <v>1</v>
      </c>
      <c r="AQ314" s="10">
        <v>0</v>
      </c>
      <c r="AR314" s="10">
        <v>0</v>
      </c>
      <c r="AS314" s="11">
        <v>3</v>
      </c>
      <c r="AT314" s="11">
        <v>3</v>
      </c>
      <c r="AU314" s="11">
        <v>3</v>
      </c>
      <c r="AV314" s="11">
        <v>3</v>
      </c>
      <c r="AW314" s="11">
        <v>0</v>
      </c>
      <c r="AX314" s="11">
        <v>0</v>
      </c>
      <c r="AY314" s="7">
        <v>3</v>
      </c>
      <c r="AZ314" s="7">
        <v>3</v>
      </c>
      <c r="BA314" s="7">
        <v>3</v>
      </c>
      <c r="BB314" s="7">
        <v>3</v>
      </c>
      <c r="BC314" s="7">
        <v>3</v>
      </c>
      <c r="BD314" s="7">
        <v>1</v>
      </c>
      <c r="BE314" s="7">
        <v>0</v>
      </c>
      <c r="BF314" s="7">
        <v>0</v>
      </c>
      <c r="BG314" s="12">
        <f>SUM(data__22[[#This Row],[N1]:[N4]],data__22[[#This Row],[N10]:[N13]],data__22[[#This Row],[N16]:[N18]])/11</f>
        <v>2.5454545454545454</v>
      </c>
      <c r="BH314" s="13">
        <f>SUM(data__22[[#This Row],[N8]:[N9]],data__22[[#This Row],[N23]:[N25]])/5</f>
        <v>2.6</v>
      </c>
      <c r="BI314" s="12">
        <f>SUM(data__22[[#This Row],[N5]:[N7]])/3</f>
        <v>0.33333333333333331</v>
      </c>
      <c r="BJ314" s="12">
        <f>SUM(data__22[[#This Row],[N14]:[N15]],data__22[[#This Row],[N19]:[N22]],data__22[[#This Row],[N26]:[N28]])/9</f>
        <v>0.66666666666666663</v>
      </c>
      <c r="BK314" s="12">
        <f>SUM(data__22[[#This Row],[N29]:[N33]])/5</f>
        <v>3</v>
      </c>
      <c r="BL314" s="12">
        <f>SUM(data__22[[#This Row],[N34]:[N36]])/3</f>
        <v>0.33333333333333331</v>
      </c>
    </row>
    <row r="315" spans="1:64" x14ac:dyDescent="0.3">
      <c r="A315" s="7">
        <v>19</v>
      </c>
      <c r="B315" s="7" t="s">
        <v>70</v>
      </c>
      <c r="C315" s="7" t="s">
        <v>157</v>
      </c>
      <c r="D315" s="7" t="s">
        <v>97</v>
      </c>
      <c r="E315" s="7" t="s">
        <v>73</v>
      </c>
      <c r="F315" s="7" t="s">
        <v>74</v>
      </c>
      <c r="G315" s="7" t="s">
        <v>440</v>
      </c>
      <c r="H315" s="7" t="s">
        <v>74</v>
      </c>
      <c r="I315" s="7" t="s">
        <v>439</v>
      </c>
      <c r="J315" s="7" t="s">
        <v>101</v>
      </c>
      <c r="K315" s="7" t="s">
        <v>122</v>
      </c>
      <c r="L315" s="8" t="s">
        <v>79</v>
      </c>
      <c r="M315" s="8" t="s">
        <v>102</v>
      </c>
      <c r="N315" s="8" t="s">
        <v>79</v>
      </c>
      <c r="O315" s="8" t="s">
        <v>133</v>
      </c>
      <c r="P315" s="8" t="s">
        <v>79</v>
      </c>
      <c r="Q315" s="8" t="s">
        <v>83</v>
      </c>
      <c r="R315" s="8" t="s">
        <v>79</v>
      </c>
      <c r="S315" s="8" t="s">
        <v>82</v>
      </c>
      <c r="T315" s="8" t="s">
        <v>86</v>
      </c>
      <c r="U315" s="8" t="s">
        <v>87</v>
      </c>
      <c r="V315" s="8" t="s">
        <v>112</v>
      </c>
      <c r="W315" s="9">
        <v>3</v>
      </c>
      <c r="X315" s="9">
        <v>2</v>
      </c>
      <c r="Y315" s="9">
        <v>3</v>
      </c>
      <c r="Z315" s="9">
        <v>3</v>
      </c>
      <c r="AA315" s="9">
        <v>2</v>
      </c>
      <c r="AB315" s="9">
        <v>1</v>
      </c>
      <c r="AC315" s="9">
        <v>1</v>
      </c>
      <c r="AD315" s="9">
        <v>1</v>
      </c>
      <c r="AE315" s="9">
        <v>1</v>
      </c>
      <c r="AF315" s="9">
        <v>3</v>
      </c>
      <c r="AG315" s="9">
        <v>3</v>
      </c>
      <c r="AH315" s="9">
        <v>3</v>
      </c>
      <c r="AI315" s="9">
        <v>3</v>
      </c>
      <c r="AJ315" s="9">
        <v>0</v>
      </c>
      <c r="AK315" s="9">
        <v>2</v>
      </c>
      <c r="AL315" s="10">
        <v>3</v>
      </c>
      <c r="AM315" s="10">
        <v>3</v>
      </c>
      <c r="AN315" s="10">
        <v>3</v>
      </c>
      <c r="AO315" s="10">
        <v>3</v>
      </c>
      <c r="AP315" s="10">
        <v>0</v>
      </c>
      <c r="AQ315" s="10">
        <v>0</v>
      </c>
      <c r="AR315" s="10">
        <v>0</v>
      </c>
      <c r="AS315" s="11">
        <v>3</v>
      </c>
      <c r="AT315" s="11">
        <v>3</v>
      </c>
      <c r="AU315" s="11">
        <v>3</v>
      </c>
      <c r="AV315" s="11">
        <v>3</v>
      </c>
      <c r="AW315" s="11">
        <v>0</v>
      </c>
      <c r="AX315" s="11">
        <v>0</v>
      </c>
      <c r="AY315" s="7">
        <v>3</v>
      </c>
      <c r="AZ315" s="7">
        <v>3</v>
      </c>
      <c r="BA315" s="7">
        <v>3</v>
      </c>
      <c r="BB315" s="7">
        <v>3</v>
      </c>
      <c r="BC315" s="7">
        <v>3</v>
      </c>
      <c r="BD315" s="7">
        <v>1</v>
      </c>
      <c r="BE315" s="7">
        <v>0</v>
      </c>
      <c r="BF315" s="7">
        <v>1</v>
      </c>
      <c r="BG315" s="12">
        <f>SUM(data__22[[#This Row],[N1]:[N4]],data__22[[#This Row],[N10]:[N13]],data__22[[#This Row],[N16]:[N18]])/11</f>
        <v>2.9090909090909092</v>
      </c>
      <c r="BH315" s="13">
        <f>SUM(data__22[[#This Row],[N8]:[N9]],data__22[[#This Row],[N23]:[N25]])/5</f>
        <v>2.2000000000000002</v>
      </c>
      <c r="BI315" s="12">
        <f>SUM(data__22[[#This Row],[N5]:[N7]])/3</f>
        <v>1.3333333333333333</v>
      </c>
      <c r="BJ315" s="12">
        <f>SUM(data__22[[#This Row],[N14]:[N15]],data__22[[#This Row],[N19]:[N22]],data__22[[#This Row],[N26]:[N28]])/9</f>
        <v>0.88888888888888884</v>
      </c>
      <c r="BK315" s="12">
        <f>SUM(data__22[[#This Row],[N29]:[N33]])/5</f>
        <v>3</v>
      </c>
      <c r="BL315" s="12">
        <f>SUM(data__22[[#This Row],[N34]:[N36]])/3</f>
        <v>0.66666666666666663</v>
      </c>
    </row>
    <row r="316" spans="1:64" x14ac:dyDescent="0.3">
      <c r="A316" s="7">
        <v>21</v>
      </c>
      <c r="B316" s="7" t="s">
        <v>128</v>
      </c>
      <c r="C316" s="7" t="s">
        <v>157</v>
      </c>
      <c r="D316" s="7" t="s">
        <v>97</v>
      </c>
      <c r="E316" s="7" t="s">
        <v>114</v>
      </c>
      <c r="F316" s="7" t="s">
        <v>74</v>
      </c>
      <c r="G316" s="7" t="s">
        <v>439</v>
      </c>
      <c r="H316" s="7" t="s">
        <v>74</v>
      </c>
      <c r="I316" s="7" t="s">
        <v>439</v>
      </c>
      <c r="J316" s="7" t="s">
        <v>77</v>
      </c>
      <c r="K316" s="7" t="s">
        <v>122</v>
      </c>
      <c r="L316" s="8" t="s">
        <v>79</v>
      </c>
      <c r="M316" s="8" t="s">
        <v>80</v>
      </c>
      <c r="N316" s="8" t="s">
        <v>79</v>
      </c>
      <c r="O316" s="8" t="s">
        <v>117</v>
      </c>
      <c r="P316" s="8" t="s">
        <v>79</v>
      </c>
      <c r="Q316" s="8" t="s">
        <v>83</v>
      </c>
      <c r="R316" s="8" t="s">
        <v>79</v>
      </c>
      <c r="S316" s="8" t="s">
        <v>82</v>
      </c>
      <c r="T316" s="8" t="s">
        <v>86</v>
      </c>
      <c r="U316" s="8" t="s">
        <v>87</v>
      </c>
      <c r="V316" s="8" t="s">
        <v>112</v>
      </c>
      <c r="W316" s="9">
        <v>1</v>
      </c>
      <c r="X316" s="9">
        <v>3</v>
      </c>
      <c r="Y316" s="9">
        <v>1</v>
      </c>
      <c r="Z316" s="9">
        <v>1</v>
      </c>
      <c r="AA316" s="9">
        <v>1</v>
      </c>
      <c r="AB316" s="9">
        <v>3</v>
      </c>
      <c r="AC316" s="9">
        <v>1</v>
      </c>
      <c r="AD316" s="9">
        <v>1</v>
      </c>
      <c r="AE316" s="9">
        <v>1</v>
      </c>
      <c r="AF316" s="9">
        <v>1</v>
      </c>
      <c r="AG316" s="9">
        <v>1</v>
      </c>
      <c r="AH316" s="9">
        <v>1</v>
      </c>
      <c r="AI316" s="9">
        <v>1</v>
      </c>
      <c r="AJ316" s="9">
        <v>1</v>
      </c>
      <c r="AK316" s="9">
        <v>1</v>
      </c>
      <c r="AL316" s="10">
        <v>2</v>
      </c>
      <c r="AM316" s="10">
        <v>2</v>
      </c>
      <c r="AN316" s="10">
        <v>2</v>
      </c>
      <c r="AO316" s="10">
        <v>2</v>
      </c>
      <c r="AP316" s="10">
        <v>2</v>
      </c>
      <c r="AQ316" s="10">
        <v>2</v>
      </c>
      <c r="AR316" s="10">
        <v>2</v>
      </c>
      <c r="AS316" s="11">
        <v>2</v>
      </c>
      <c r="AT316" s="11">
        <v>2</v>
      </c>
      <c r="AU316" s="11">
        <v>2</v>
      </c>
      <c r="AV316" s="11">
        <v>2</v>
      </c>
      <c r="AW316" s="11">
        <v>2</v>
      </c>
      <c r="AX316" s="11">
        <v>2</v>
      </c>
      <c r="AY316" s="7">
        <v>2</v>
      </c>
      <c r="AZ316" s="7">
        <v>2</v>
      </c>
      <c r="BA316" s="7">
        <v>2</v>
      </c>
      <c r="BB316" s="7">
        <v>2</v>
      </c>
      <c r="BC316" s="7">
        <v>2</v>
      </c>
      <c r="BD316" s="7">
        <v>2</v>
      </c>
      <c r="BE316" s="7">
        <v>2</v>
      </c>
      <c r="BF316" s="7">
        <v>2</v>
      </c>
      <c r="BG316" s="12">
        <f>SUM(data__22[[#This Row],[N1]:[N4]],data__22[[#This Row],[N10]:[N13]],data__22[[#This Row],[N16]:[N18]])/11</f>
        <v>1.4545454545454546</v>
      </c>
      <c r="BH316" s="13">
        <f>SUM(data__22[[#This Row],[N8]:[N9]],data__22[[#This Row],[N23]:[N25]])/5</f>
        <v>1.6</v>
      </c>
      <c r="BI316" s="12">
        <f>SUM(data__22[[#This Row],[N5]:[N7]])/3</f>
        <v>1.6666666666666667</v>
      </c>
      <c r="BJ316" s="12">
        <f>SUM(data__22[[#This Row],[N14]:[N15]],data__22[[#This Row],[N19]:[N22]],data__22[[#This Row],[N26]:[N28]])/9</f>
        <v>1.7777777777777777</v>
      </c>
      <c r="BK316" s="12">
        <f>SUM(data__22[[#This Row],[N29]:[N33]])/5</f>
        <v>2</v>
      </c>
      <c r="BL316" s="12">
        <f>SUM(data__22[[#This Row],[N34]:[N36]])/3</f>
        <v>2</v>
      </c>
    </row>
    <row r="317" spans="1:64" x14ac:dyDescent="0.3">
      <c r="A317" s="7">
        <v>20</v>
      </c>
      <c r="B317" s="7" t="s">
        <v>70</v>
      </c>
      <c r="C317" s="7" t="s">
        <v>157</v>
      </c>
      <c r="D317" s="7" t="s">
        <v>72</v>
      </c>
      <c r="E317" s="7" t="s">
        <v>108</v>
      </c>
      <c r="F317" s="7" t="s">
        <v>98</v>
      </c>
      <c r="G317" s="7" t="s">
        <v>440</v>
      </c>
      <c r="H317" s="7" t="s">
        <v>100</v>
      </c>
      <c r="I317" s="7" t="s">
        <v>76</v>
      </c>
      <c r="J317" s="7" t="s">
        <v>77</v>
      </c>
      <c r="K317" s="7" t="s">
        <v>122</v>
      </c>
      <c r="L317" s="8" t="s">
        <v>79</v>
      </c>
      <c r="M317" s="8" t="s">
        <v>80</v>
      </c>
      <c r="N317" s="8" t="s">
        <v>79</v>
      </c>
      <c r="O317" s="8" t="s">
        <v>117</v>
      </c>
      <c r="P317" s="8" t="s">
        <v>82</v>
      </c>
      <c r="Q317" s="8" t="s">
        <v>83</v>
      </c>
      <c r="R317" s="8" t="s">
        <v>82</v>
      </c>
      <c r="S317" s="8" t="s">
        <v>82</v>
      </c>
      <c r="T317" s="8" t="s">
        <v>106</v>
      </c>
      <c r="U317" s="8" t="s">
        <v>87</v>
      </c>
      <c r="V317" s="8" t="s">
        <v>457</v>
      </c>
      <c r="W317" s="9">
        <v>3</v>
      </c>
      <c r="X317" s="9">
        <v>3</v>
      </c>
      <c r="Y317" s="9">
        <v>3</v>
      </c>
      <c r="Z317" s="9">
        <v>3</v>
      </c>
      <c r="AA317" s="9">
        <v>1</v>
      </c>
      <c r="AB317" s="9">
        <v>1</v>
      </c>
      <c r="AC317" s="9">
        <v>0</v>
      </c>
      <c r="AD317" s="9">
        <v>3</v>
      </c>
      <c r="AE317" s="9">
        <v>3</v>
      </c>
      <c r="AF317" s="9">
        <v>3</v>
      </c>
      <c r="AG317" s="9">
        <v>3</v>
      </c>
      <c r="AH317" s="9">
        <v>3</v>
      </c>
      <c r="AI317" s="9">
        <v>3</v>
      </c>
      <c r="AJ317" s="9">
        <v>1</v>
      </c>
      <c r="AK317" s="9">
        <v>1</v>
      </c>
      <c r="AL317" s="10">
        <v>3</v>
      </c>
      <c r="AM317" s="10">
        <v>3</v>
      </c>
      <c r="AN317" s="10">
        <v>3</v>
      </c>
      <c r="AO317" s="10">
        <v>0</v>
      </c>
      <c r="AP317" s="10">
        <v>0</v>
      </c>
      <c r="AQ317" s="10">
        <v>0</v>
      </c>
      <c r="AR317" s="10">
        <v>0</v>
      </c>
      <c r="AS317" s="11">
        <v>3</v>
      </c>
      <c r="AT317" s="11">
        <v>3</v>
      </c>
      <c r="AU317" s="11">
        <v>3</v>
      </c>
      <c r="AV317" s="11">
        <v>0</v>
      </c>
      <c r="AW317" s="11">
        <v>0</v>
      </c>
      <c r="AX317" s="11">
        <v>0</v>
      </c>
      <c r="AY317" s="7">
        <v>3</v>
      </c>
      <c r="AZ317" s="7">
        <v>3</v>
      </c>
      <c r="BA317" s="7">
        <v>3</v>
      </c>
      <c r="BB317" s="7">
        <v>3</v>
      </c>
      <c r="BC317" s="7">
        <v>3</v>
      </c>
      <c r="BD317" s="7">
        <v>0</v>
      </c>
      <c r="BE317" s="7">
        <v>1</v>
      </c>
      <c r="BF317" s="7">
        <v>1</v>
      </c>
      <c r="BG317" s="12">
        <f>SUM(data__22[[#This Row],[N1]:[N4]],data__22[[#This Row],[N10]:[N13]],data__22[[#This Row],[N16]:[N18]])/11</f>
        <v>3</v>
      </c>
      <c r="BH317" s="13">
        <f>SUM(data__22[[#This Row],[N8]:[N9]],data__22[[#This Row],[N23]:[N25]])/5</f>
        <v>3</v>
      </c>
      <c r="BI317" s="12">
        <f>SUM(data__22[[#This Row],[N5]:[N7]])/3</f>
        <v>0.66666666666666663</v>
      </c>
      <c r="BJ317" s="12">
        <f>SUM(data__22[[#This Row],[N14]:[N15]],data__22[[#This Row],[N19]:[N22]],data__22[[#This Row],[N26]:[N28]])/9</f>
        <v>0.22222222222222221</v>
      </c>
      <c r="BK317" s="12">
        <f>SUM(data__22[[#This Row],[N29]:[N33]])/5</f>
        <v>3</v>
      </c>
      <c r="BL317" s="12">
        <f>SUM(data__22[[#This Row],[N34]:[N36]])/3</f>
        <v>0.66666666666666663</v>
      </c>
    </row>
    <row r="318" spans="1:64" x14ac:dyDescent="0.3">
      <c r="A318" s="7">
        <v>20</v>
      </c>
      <c r="B318" s="7" t="s">
        <v>70</v>
      </c>
      <c r="C318" s="7" t="s">
        <v>157</v>
      </c>
      <c r="D318" s="7" t="s">
        <v>97</v>
      </c>
      <c r="E318" s="7" t="s">
        <v>108</v>
      </c>
      <c r="F318" s="7" t="s">
        <v>74</v>
      </c>
      <c r="G318" s="7" t="s">
        <v>439</v>
      </c>
      <c r="H318" s="7" t="s">
        <v>74</v>
      </c>
      <c r="I318" s="7" t="s">
        <v>439</v>
      </c>
      <c r="J318" s="7" t="s">
        <v>101</v>
      </c>
      <c r="K318" s="7" t="s">
        <v>131</v>
      </c>
      <c r="L318" s="8" t="s">
        <v>82</v>
      </c>
      <c r="M318" s="8" t="s">
        <v>80</v>
      </c>
      <c r="N318" s="8" t="s">
        <v>79</v>
      </c>
      <c r="O318" s="8" t="s">
        <v>81</v>
      </c>
      <c r="P318" s="8" t="s">
        <v>82</v>
      </c>
      <c r="Q318" s="8" t="s">
        <v>83</v>
      </c>
      <c r="R318" s="8" t="s">
        <v>82</v>
      </c>
      <c r="S318" s="8" t="s">
        <v>82</v>
      </c>
      <c r="T318" s="8" t="s">
        <v>106</v>
      </c>
      <c r="U318" s="8" t="s">
        <v>87</v>
      </c>
      <c r="V318" s="8" t="s">
        <v>237</v>
      </c>
      <c r="W318" s="9">
        <v>1</v>
      </c>
      <c r="X318" s="9">
        <v>3</v>
      </c>
      <c r="Y318" s="9">
        <v>3</v>
      </c>
      <c r="Z318" s="9">
        <v>3</v>
      </c>
      <c r="AA318" s="9">
        <v>3</v>
      </c>
      <c r="AB318" s="9">
        <v>3</v>
      </c>
      <c r="AC318" s="9">
        <v>3</v>
      </c>
      <c r="AD318" s="9">
        <v>1</v>
      </c>
      <c r="AE318" s="9">
        <v>0</v>
      </c>
      <c r="AF318" s="9">
        <v>0</v>
      </c>
      <c r="AG318" s="9">
        <v>3</v>
      </c>
      <c r="AH318" s="9">
        <v>3</v>
      </c>
      <c r="AI318" s="9">
        <v>3</v>
      </c>
      <c r="AJ318" s="9">
        <v>3</v>
      </c>
      <c r="AK318" s="9">
        <v>3</v>
      </c>
      <c r="AL318" s="10">
        <v>3</v>
      </c>
      <c r="AM318" s="10">
        <v>3</v>
      </c>
      <c r="AN318" s="10">
        <v>3</v>
      </c>
      <c r="AO318" s="10">
        <v>3</v>
      </c>
      <c r="AP318" s="10">
        <v>3</v>
      </c>
      <c r="AQ318" s="10">
        <v>3</v>
      </c>
      <c r="AR318" s="10">
        <v>3</v>
      </c>
      <c r="AS318" s="11">
        <v>3</v>
      </c>
      <c r="AT318" s="11">
        <v>3</v>
      </c>
      <c r="AU318" s="11">
        <v>3</v>
      </c>
      <c r="AV318" s="11">
        <v>3</v>
      </c>
      <c r="AW318" s="11">
        <v>3</v>
      </c>
      <c r="AX318" s="11">
        <v>3</v>
      </c>
      <c r="AY318" s="7">
        <v>3</v>
      </c>
      <c r="AZ318" s="7">
        <v>3</v>
      </c>
      <c r="BA318" s="7">
        <v>3</v>
      </c>
      <c r="BB318" s="7">
        <v>3</v>
      </c>
      <c r="BC318" s="7">
        <v>3</v>
      </c>
      <c r="BD318" s="7">
        <v>3</v>
      </c>
      <c r="BE318" s="7">
        <v>3</v>
      </c>
      <c r="BF318" s="7">
        <v>3</v>
      </c>
      <c r="BG318" s="12">
        <f>SUM(data__22[[#This Row],[N1]:[N4]],data__22[[#This Row],[N10]:[N13]],data__22[[#This Row],[N16]:[N18]])/11</f>
        <v>2.5454545454545454</v>
      </c>
      <c r="BH318" s="13">
        <f>SUM(data__22[[#This Row],[N8]:[N9]],data__22[[#This Row],[N23]:[N25]])/5</f>
        <v>2</v>
      </c>
      <c r="BI318" s="12">
        <f>SUM(data__22[[#This Row],[N5]:[N7]])/3</f>
        <v>3</v>
      </c>
      <c r="BJ318" s="12">
        <f>SUM(data__22[[#This Row],[N14]:[N15]],data__22[[#This Row],[N19]:[N22]],data__22[[#This Row],[N26]:[N28]])/9</f>
        <v>3</v>
      </c>
      <c r="BK318" s="12">
        <f>SUM(data__22[[#This Row],[N29]:[N33]])/5</f>
        <v>3</v>
      </c>
      <c r="BL318" s="12">
        <f>SUM(data__22[[#This Row],[N34]:[N36]])/3</f>
        <v>3</v>
      </c>
    </row>
    <row r="319" spans="1:64" x14ac:dyDescent="0.3">
      <c r="A319" s="7">
        <v>21</v>
      </c>
      <c r="B319" s="7" t="s">
        <v>70</v>
      </c>
      <c r="C319" s="7" t="s">
        <v>157</v>
      </c>
      <c r="D319" s="7" t="s">
        <v>72</v>
      </c>
      <c r="E319" s="7" t="s">
        <v>114</v>
      </c>
      <c r="F319" s="7" t="s">
        <v>136</v>
      </c>
      <c r="G319" s="7" t="s">
        <v>440</v>
      </c>
      <c r="H319" s="7" t="s">
        <v>136</v>
      </c>
      <c r="I319" s="7" t="s">
        <v>76</v>
      </c>
      <c r="J319" s="7" t="s">
        <v>77</v>
      </c>
      <c r="K319" s="7" t="s">
        <v>125</v>
      </c>
      <c r="L319" s="8" t="s">
        <v>82</v>
      </c>
      <c r="M319" s="8" t="s">
        <v>80</v>
      </c>
      <c r="N319" s="8" t="s">
        <v>79</v>
      </c>
      <c r="O319" s="8" t="s">
        <v>81</v>
      </c>
      <c r="P319" s="8" t="s">
        <v>82</v>
      </c>
      <c r="Q319" s="8" t="s">
        <v>118</v>
      </c>
      <c r="R319" s="8" t="s">
        <v>79</v>
      </c>
      <c r="S319" s="8" t="s">
        <v>79</v>
      </c>
      <c r="T319" s="8" t="s">
        <v>86</v>
      </c>
      <c r="U319" s="8" t="s">
        <v>141</v>
      </c>
      <c r="V319" s="8" t="s">
        <v>112</v>
      </c>
      <c r="W319" s="9">
        <v>1</v>
      </c>
      <c r="X319" s="9">
        <v>1</v>
      </c>
      <c r="Y319" s="9">
        <v>1</v>
      </c>
      <c r="Z319" s="9">
        <v>1</v>
      </c>
      <c r="AA319" s="9">
        <v>1</v>
      </c>
      <c r="AB319" s="9">
        <v>1</v>
      </c>
      <c r="AC319" s="9">
        <v>1</v>
      </c>
      <c r="AD319" s="9">
        <v>1</v>
      </c>
      <c r="AE319" s="9">
        <v>1</v>
      </c>
      <c r="AF319" s="9">
        <v>1</v>
      </c>
      <c r="AG319" s="9">
        <v>1</v>
      </c>
      <c r="AH319" s="9">
        <v>1</v>
      </c>
      <c r="AI319" s="9">
        <v>1</v>
      </c>
      <c r="AJ319" s="9">
        <v>1</v>
      </c>
      <c r="AK319" s="9">
        <v>1</v>
      </c>
      <c r="AL319" s="10">
        <v>1</v>
      </c>
      <c r="AM319" s="10">
        <v>1</v>
      </c>
      <c r="AN319" s="10">
        <v>1</v>
      </c>
      <c r="AO319" s="10">
        <v>1</v>
      </c>
      <c r="AP319" s="10">
        <v>1</v>
      </c>
      <c r="AQ319" s="10">
        <v>1</v>
      </c>
      <c r="AR319" s="10">
        <v>1</v>
      </c>
      <c r="AS319" s="11">
        <v>1</v>
      </c>
      <c r="AT319" s="11">
        <v>1</v>
      </c>
      <c r="AU319" s="11">
        <v>1</v>
      </c>
      <c r="AV319" s="11">
        <v>1</v>
      </c>
      <c r="AW319" s="11">
        <v>1</v>
      </c>
      <c r="AX319" s="11">
        <v>1</v>
      </c>
      <c r="AY319" s="7">
        <v>1</v>
      </c>
      <c r="AZ319" s="7">
        <v>1</v>
      </c>
      <c r="BA319" s="7">
        <v>1</v>
      </c>
      <c r="BB319" s="7">
        <v>1</v>
      </c>
      <c r="BC319" s="7">
        <v>1</v>
      </c>
      <c r="BD319" s="7">
        <v>1</v>
      </c>
      <c r="BE319" s="7">
        <v>1</v>
      </c>
      <c r="BF319" s="7">
        <v>1</v>
      </c>
      <c r="BG319" s="12">
        <f>SUM(data__22[[#This Row],[N1]:[N4]],data__22[[#This Row],[N10]:[N13]],data__22[[#This Row],[N16]:[N18]])/11</f>
        <v>1</v>
      </c>
      <c r="BH319" s="13">
        <f>SUM(data__22[[#This Row],[N8]:[N9]],data__22[[#This Row],[N23]:[N25]])/5</f>
        <v>1</v>
      </c>
      <c r="BI319" s="12">
        <f>SUM(data__22[[#This Row],[N5]:[N7]])/3</f>
        <v>1</v>
      </c>
      <c r="BJ319" s="12">
        <f>SUM(data__22[[#This Row],[N14]:[N15]],data__22[[#This Row],[N19]:[N22]],data__22[[#This Row],[N26]:[N28]])/9</f>
        <v>1</v>
      </c>
      <c r="BK319" s="12">
        <f>SUM(data__22[[#This Row],[N29]:[N33]])/5</f>
        <v>1</v>
      </c>
      <c r="BL319" s="12">
        <f>SUM(data__22[[#This Row],[N34]:[N36]])/3</f>
        <v>1</v>
      </c>
    </row>
    <row r="320" spans="1:64" x14ac:dyDescent="0.3">
      <c r="A320" s="7">
        <v>21</v>
      </c>
      <c r="B320" s="7" t="s">
        <v>70</v>
      </c>
      <c r="C320" s="7" t="s">
        <v>157</v>
      </c>
      <c r="D320" s="7" t="s">
        <v>72</v>
      </c>
      <c r="E320" s="7" t="s">
        <v>108</v>
      </c>
      <c r="F320" s="7" t="s">
        <v>74</v>
      </c>
      <c r="G320" s="7" t="s">
        <v>439</v>
      </c>
      <c r="H320" s="7" t="s">
        <v>100</v>
      </c>
      <c r="I320" s="7" t="s">
        <v>76</v>
      </c>
      <c r="J320" s="7" t="s">
        <v>77</v>
      </c>
      <c r="K320" s="7" t="s">
        <v>125</v>
      </c>
      <c r="L320" s="8" t="s">
        <v>79</v>
      </c>
      <c r="M320" s="8" t="s">
        <v>80</v>
      </c>
      <c r="N320" s="8" t="s">
        <v>82</v>
      </c>
      <c r="O320" s="8" t="s">
        <v>117</v>
      </c>
      <c r="P320" s="8" t="s">
        <v>82</v>
      </c>
      <c r="Q320" s="8" t="s">
        <v>103</v>
      </c>
      <c r="R320" s="8" t="s">
        <v>82</v>
      </c>
      <c r="S320" s="8" t="s">
        <v>79</v>
      </c>
      <c r="T320" s="8" t="s">
        <v>258</v>
      </c>
      <c r="U320" s="8" t="s">
        <v>87</v>
      </c>
      <c r="V320" s="8" t="s">
        <v>112</v>
      </c>
      <c r="W320" s="9">
        <v>2</v>
      </c>
      <c r="X320" s="9">
        <v>3</v>
      </c>
      <c r="Y320" s="9">
        <v>2</v>
      </c>
      <c r="Z320" s="9">
        <v>3</v>
      </c>
      <c r="AA320" s="9">
        <v>2</v>
      </c>
      <c r="AB320" s="9">
        <v>3</v>
      </c>
      <c r="AC320" s="9">
        <v>1</v>
      </c>
      <c r="AD320" s="9">
        <v>1</v>
      </c>
      <c r="AE320" s="9">
        <v>1</v>
      </c>
      <c r="AF320" s="9">
        <v>3</v>
      </c>
      <c r="AG320" s="9">
        <v>3</v>
      </c>
      <c r="AH320" s="9">
        <v>2</v>
      </c>
      <c r="AI320" s="9">
        <v>2</v>
      </c>
      <c r="AJ320" s="9">
        <v>2</v>
      </c>
      <c r="AK320" s="9">
        <v>2</v>
      </c>
      <c r="AL320" s="10">
        <v>2</v>
      </c>
      <c r="AM320" s="10">
        <v>0</v>
      </c>
      <c r="AN320" s="10">
        <v>2</v>
      </c>
      <c r="AO320" s="10">
        <v>2</v>
      </c>
      <c r="AP320" s="10">
        <v>0</v>
      </c>
      <c r="AQ320" s="10">
        <v>0</v>
      </c>
      <c r="AR320" s="10">
        <v>2</v>
      </c>
      <c r="AS320" s="11">
        <v>1</v>
      </c>
      <c r="AT320" s="11">
        <v>1</v>
      </c>
      <c r="AU320" s="11">
        <v>2</v>
      </c>
      <c r="AV320" s="11">
        <v>1</v>
      </c>
      <c r="AW320" s="11">
        <v>0</v>
      </c>
      <c r="AX320" s="11">
        <v>0</v>
      </c>
      <c r="AY320" s="7">
        <v>2</v>
      </c>
      <c r="AZ320" s="7">
        <v>2</v>
      </c>
      <c r="BA320" s="7">
        <v>2</v>
      </c>
      <c r="BB320" s="7">
        <v>2</v>
      </c>
      <c r="BC320" s="7">
        <v>2</v>
      </c>
      <c r="BD320" s="7">
        <v>2</v>
      </c>
      <c r="BE320" s="7">
        <v>2</v>
      </c>
      <c r="BF320" s="7">
        <v>2</v>
      </c>
      <c r="BG320" s="12">
        <f>SUM(data__22[[#This Row],[N1]:[N4]],data__22[[#This Row],[N10]:[N13]],data__22[[#This Row],[N16]:[N18]])/11</f>
        <v>2.1818181818181817</v>
      </c>
      <c r="BH320" s="13">
        <f>SUM(data__22[[#This Row],[N8]:[N9]],data__22[[#This Row],[N23]:[N25]])/5</f>
        <v>1.2</v>
      </c>
      <c r="BI320" s="12">
        <f>SUM(data__22[[#This Row],[N5]:[N7]])/3</f>
        <v>2</v>
      </c>
      <c r="BJ320" s="12">
        <f>SUM(data__22[[#This Row],[N14]:[N15]],data__22[[#This Row],[N19]:[N22]],data__22[[#This Row],[N26]:[N28]])/9</f>
        <v>1</v>
      </c>
      <c r="BK320" s="12">
        <f>SUM(data__22[[#This Row],[N29]:[N33]])/5</f>
        <v>2</v>
      </c>
      <c r="BL320" s="12">
        <f>SUM(data__22[[#This Row],[N34]:[N36]])/3</f>
        <v>2</v>
      </c>
    </row>
    <row r="321" spans="1:64" x14ac:dyDescent="0.3">
      <c r="A321" s="7">
        <v>21</v>
      </c>
      <c r="B321" s="7" t="s">
        <v>70</v>
      </c>
      <c r="C321" s="7" t="s">
        <v>157</v>
      </c>
      <c r="D321" s="7" t="s">
        <v>72</v>
      </c>
      <c r="E321" s="7" t="s">
        <v>73</v>
      </c>
      <c r="F321" s="7" t="s">
        <v>100</v>
      </c>
      <c r="G321" s="7" t="s">
        <v>440</v>
      </c>
      <c r="H321" s="7" t="s">
        <v>136</v>
      </c>
      <c r="I321" s="7" t="s">
        <v>76</v>
      </c>
      <c r="J321" s="7" t="s">
        <v>77</v>
      </c>
      <c r="K321" s="7" t="s">
        <v>125</v>
      </c>
      <c r="L321" s="8" t="s">
        <v>79</v>
      </c>
      <c r="M321" s="8" t="s">
        <v>80</v>
      </c>
      <c r="N321" s="8" t="s">
        <v>79</v>
      </c>
      <c r="O321" s="8" t="s">
        <v>179</v>
      </c>
      <c r="P321" s="8" t="s">
        <v>82</v>
      </c>
      <c r="Q321" s="8" t="s">
        <v>103</v>
      </c>
      <c r="R321" s="8" t="s">
        <v>82</v>
      </c>
      <c r="S321" s="8" t="s">
        <v>82</v>
      </c>
      <c r="T321" s="8" t="s">
        <v>148</v>
      </c>
      <c r="U321" s="8" t="s">
        <v>141</v>
      </c>
      <c r="V321" s="8" t="s">
        <v>112</v>
      </c>
      <c r="W321" s="9">
        <v>3</v>
      </c>
      <c r="X321" s="9">
        <v>1</v>
      </c>
      <c r="Y321" s="9">
        <v>3</v>
      </c>
      <c r="Z321" s="9">
        <v>2</v>
      </c>
      <c r="AA321" s="9">
        <v>1</v>
      </c>
      <c r="AB321" s="9">
        <v>1</v>
      </c>
      <c r="AC321" s="9">
        <v>3</v>
      </c>
      <c r="AD321" s="9">
        <v>1</v>
      </c>
      <c r="AE321" s="9">
        <v>2</v>
      </c>
      <c r="AF321" s="9">
        <v>3</v>
      </c>
      <c r="AG321" s="9">
        <v>3</v>
      </c>
      <c r="AH321" s="9">
        <v>3</v>
      </c>
      <c r="AI321" s="9">
        <v>0</v>
      </c>
      <c r="AJ321" s="9">
        <v>1</v>
      </c>
      <c r="AK321" s="9">
        <v>3</v>
      </c>
      <c r="AL321" s="10">
        <v>3</v>
      </c>
      <c r="AM321" s="10">
        <v>3</v>
      </c>
      <c r="AN321" s="10">
        <v>3</v>
      </c>
      <c r="AO321" s="10">
        <v>3</v>
      </c>
      <c r="AP321" s="10">
        <v>3</v>
      </c>
      <c r="AQ321" s="10">
        <v>0</v>
      </c>
      <c r="AR321" s="10">
        <v>0</v>
      </c>
      <c r="AS321" s="11">
        <v>2</v>
      </c>
      <c r="AT321" s="11">
        <v>3</v>
      </c>
      <c r="AU321" s="11">
        <v>3</v>
      </c>
      <c r="AV321" s="11">
        <v>3</v>
      </c>
      <c r="AW321" s="11">
        <v>3</v>
      </c>
      <c r="AX321" s="11">
        <v>0</v>
      </c>
      <c r="AY321" s="7">
        <v>2</v>
      </c>
      <c r="AZ321" s="7">
        <v>0</v>
      </c>
      <c r="BA321" s="7">
        <v>3</v>
      </c>
      <c r="BB321" s="7">
        <v>3</v>
      </c>
      <c r="BC321" s="7">
        <v>3</v>
      </c>
      <c r="BD321" s="7">
        <v>3</v>
      </c>
      <c r="BE321" s="7">
        <v>3</v>
      </c>
      <c r="BF321" s="7">
        <v>3</v>
      </c>
      <c r="BG321" s="12">
        <f>SUM(data__22[[#This Row],[N1]:[N4]],data__22[[#This Row],[N10]:[N13]],data__22[[#This Row],[N16]:[N18]])/11</f>
        <v>2.4545454545454546</v>
      </c>
      <c r="BH321" s="13">
        <f>SUM(data__22[[#This Row],[N8]:[N9]],data__22[[#This Row],[N23]:[N25]])/5</f>
        <v>2.2000000000000002</v>
      </c>
      <c r="BI321" s="12">
        <f>SUM(data__22[[#This Row],[N5]:[N7]])/3</f>
        <v>1.6666666666666667</v>
      </c>
      <c r="BJ321" s="12">
        <f>SUM(data__22[[#This Row],[N14]:[N15]],data__22[[#This Row],[N19]:[N22]],data__22[[#This Row],[N26]:[N28]])/9</f>
        <v>1.7777777777777777</v>
      </c>
      <c r="BK321" s="12">
        <f>SUM(data__22[[#This Row],[N29]:[N33]])/5</f>
        <v>2.2000000000000002</v>
      </c>
      <c r="BL321" s="12">
        <f>SUM(data__22[[#This Row],[N34]:[N36]])/3</f>
        <v>3</v>
      </c>
    </row>
    <row r="322" spans="1:64" x14ac:dyDescent="0.3">
      <c r="A322" s="7">
        <v>20</v>
      </c>
      <c r="B322" s="7" t="s">
        <v>70</v>
      </c>
      <c r="C322" s="7" t="s">
        <v>157</v>
      </c>
      <c r="D322" s="7" t="s">
        <v>72</v>
      </c>
      <c r="E322" s="7" t="s">
        <v>73</v>
      </c>
      <c r="F322" s="7" t="s">
        <v>74</v>
      </c>
      <c r="G322" s="7" t="s">
        <v>439</v>
      </c>
      <c r="H322" s="7" t="s">
        <v>74</v>
      </c>
      <c r="I322" s="7" t="s">
        <v>439</v>
      </c>
      <c r="J322" s="7" t="s">
        <v>101</v>
      </c>
      <c r="K322" s="7" t="s">
        <v>122</v>
      </c>
      <c r="L322" s="8" t="s">
        <v>79</v>
      </c>
      <c r="M322" s="8" t="s">
        <v>80</v>
      </c>
      <c r="N322" s="8" t="s">
        <v>79</v>
      </c>
      <c r="O322" s="8" t="s">
        <v>117</v>
      </c>
      <c r="P322" s="8" t="s">
        <v>79</v>
      </c>
      <c r="Q322" s="8" t="s">
        <v>83</v>
      </c>
      <c r="R322" s="8" t="s">
        <v>79</v>
      </c>
      <c r="S322" s="8" t="s">
        <v>79</v>
      </c>
      <c r="T322" s="8" t="s">
        <v>86</v>
      </c>
      <c r="U322" s="8" t="s">
        <v>87</v>
      </c>
      <c r="V322" s="8" t="s">
        <v>112</v>
      </c>
      <c r="W322" s="9">
        <v>3</v>
      </c>
      <c r="X322" s="9">
        <v>3</v>
      </c>
      <c r="Y322" s="9">
        <v>3</v>
      </c>
      <c r="Z322" s="9">
        <v>3</v>
      </c>
      <c r="AA322" s="9">
        <v>2</v>
      </c>
      <c r="AB322" s="9">
        <v>3</v>
      </c>
      <c r="AC322" s="9">
        <v>0</v>
      </c>
      <c r="AD322" s="9">
        <v>3</v>
      </c>
      <c r="AE322" s="9">
        <v>3</v>
      </c>
      <c r="AF322" s="9">
        <v>2</v>
      </c>
      <c r="AG322" s="9">
        <v>3</v>
      </c>
      <c r="AH322" s="9">
        <v>3</v>
      </c>
      <c r="AI322" s="9">
        <v>3</v>
      </c>
      <c r="AJ322" s="9">
        <v>0</v>
      </c>
      <c r="AK322" s="9">
        <v>0</v>
      </c>
      <c r="AL322" s="10">
        <v>3</v>
      </c>
      <c r="AM322" s="10">
        <v>3</v>
      </c>
      <c r="AN322" s="10">
        <v>3</v>
      </c>
      <c r="AO322" s="10">
        <v>0</v>
      </c>
      <c r="AP322" s="10">
        <v>0</v>
      </c>
      <c r="AQ322" s="10">
        <v>0</v>
      </c>
      <c r="AR322" s="10">
        <v>0</v>
      </c>
      <c r="AS322" s="11">
        <v>3</v>
      </c>
      <c r="AT322" s="11">
        <v>3</v>
      </c>
      <c r="AU322" s="11">
        <v>3</v>
      </c>
      <c r="AV322" s="11">
        <v>0</v>
      </c>
      <c r="AW322" s="11">
        <v>0</v>
      </c>
      <c r="AX322" s="11">
        <v>0</v>
      </c>
      <c r="AY322" s="7">
        <v>3</v>
      </c>
      <c r="AZ322" s="7">
        <v>2</v>
      </c>
      <c r="BA322" s="7">
        <v>3</v>
      </c>
      <c r="BB322" s="7">
        <v>3</v>
      </c>
      <c r="BC322" s="7">
        <v>3</v>
      </c>
      <c r="BD322" s="7">
        <v>0</v>
      </c>
      <c r="BE322" s="7">
        <v>0</v>
      </c>
      <c r="BF322" s="7">
        <v>0</v>
      </c>
      <c r="BG322" s="12">
        <f>SUM(data__22[[#This Row],[N1]:[N4]],data__22[[#This Row],[N10]:[N13]],data__22[[#This Row],[N16]:[N18]])/11</f>
        <v>2.9090909090909092</v>
      </c>
      <c r="BH322" s="13">
        <f>SUM(data__22[[#This Row],[N8]:[N9]],data__22[[#This Row],[N23]:[N25]])/5</f>
        <v>3</v>
      </c>
      <c r="BI322" s="12">
        <f>SUM(data__22[[#This Row],[N5]:[N7]])/3</f>
        <v>1.6666666666666667</v>
      </c>
      <c r="BJ322" s="12">
        <f>SUM(data__22[[#This Row],[N14]:[N15]],data__22[[#This Row],[N19]:[N22]],data__22[[#This Row],[N26]:[N28]])/9</f>
        <v>0</v>
      </c>
      <c r="BK322" s="12">
        <f>SUM(data__22[[#This Row],[N29]:[N33]])/5</f>
        <v>2.8</v>
      </c>
      <c r="BL322" s="12">
        <f>SUM(data__22[[#This Row],[N34]:[N36]])/3</f>
        <v>0</v>
      </c>
    </row>
    <row r="323" spans="1:64" x14ac:dyDescent="0.3">
      <c r="A323" s="7">
        <v>20</v>
      </c>
      <c r="B323" s="7" t="s">
        <v>70</v>
      </c>
      <c r="C323" s="7" t="s">
        <v>157</v>
      </c>
      <c r="D323" s="7" t="s">
        <v>97</v>
      </c>
      <c r="E323" s="7" t="s">
        <v>108</v>
      </c>
      <c r="F323" s="7" t="s">
        <v>74</v>
      </c>
      <c r="G323" s="7" t="s">
        <v>99</v>
      </c>
      <c r="H323" s="7" t="s">
        <v>74</v>
      </c>
      <c r="I323" s="7" t="s">
        <v>76</v>
      </c>
      <c r="J323" s="7" t="s">
        <v>77</v>
      </c>
      <c r="K323" s="7" t="s">
        <v>125</v>
      </c>
      <c r="L323" s="8" t="s">
        <v>82</v>
      </c>
      <c r="M323" s="8" t="s">
        <v>80</v>
      </c>
      <c r="N323" s="8" t="s">
        <v>79</v>
      </c>
      <c r="O323" s="8" t="s">
        <v>81</v>
      </c>
      <c r="P323" s="8" t="s">
        <v>82</v>
      </c>
      <c r="Q323" s="8" t="s">
        <v>103</v>
      </c>
      <c r="R323" s="8" t="s">
        <v>79</v>
      </c>
      <c r="S323" s="8" t="s">
        <v>79</v>
      </c>
      <c r="T323" s="8" t="s">
        <v>106</v>
      </c>
      <c r="U323" s="8" t="s">
        <v>87</v>
      </c>
      <c r="V323" s="8" t="s">
        <v>112</v>
      </c>
      <c r="W323" s="9">
        <v>1</v>
      </c>
      <c r="X323" s="9">
        <v>2</v>
      </c>
      <c r="Y323" s="9">
        <v>1</v>
      </c>
      <c r="Z323" s="9">
        <v>3</v>
      </c>
      <c r="AA323" s="9">
        <v>2</v>
      </c>
      <c r="AB323" s="9">
        <v>2</v>
      </c>
      <c r="AC323" s="9">
        <v>1</v>
      </c>
      <c r="AD323" s="9">
        <v>2</v>
      </c>
      <c r="AE323" s="9">
        <v>2</v>
      </c>
      <c r="AF323" s="9">
        <v>3</v>
      </c>
      <c r="AG323" s="9">
        <v>3</v>
      </c>
      <c r="AH323" s="9">
        <v>3</v>
      </c>
      <c r="AI323" s="9">
        <v>3</v>
      </c>
      <c r="AJ323" s="9">
        <v>1</v>
      </c>
      <c r="AK323" s="9">
        <v>1</v>
      </c>
      <c r="AL323" s="10">
        <v>3</v>
      </c>
      <c r="AM323" s="10">
        <v>3</v>
      </c>
      <c r="AN323" s="10">
        <v>3</v>
      </c>
      <c r="AO323" s="10">
        <v>0</v>
      </c>
      <c r="AP323" s="10">
        <v>1</v>
      </c>
      <c r="AQ323" s="10">
        <v>0</v>
      </c>
      <c r="AR323" s="10">
        <v>0</v>
      </c>
      <c r="AS323" s="11">
        <v>1</v>
      </c>
      <c r="AT323" s="11">
        <v>1</v>
      </c>
      <c r="AU323" s="11">
        <v>2</v>
      </c>
      <c r="AV323" s="11">
        <v>1</v>
      </c>
      <c r="AW323" s="11">
        <v>1</v>
      </c>
      <c r="AX323" s="11">
        <v>0</v>
      </c>
      <c r="AY323" s="7">
        <v>3</v>
      </c>
      <c r="AZ323" s="7">
        <v>3</v>
      </c>
      <c r="BA323" s="7">
        <v>3</v>
      </c>
      <c r="BB323" s="7">
        <v>2</v>
      </c>
      <c r="BC323" s="7">
        <v>3</v>
      </c>
      <c r="BD323" s="7">
        <v>1</v>
      </c>
      <c r="BE323" s="7">
        <v>0</v>
      </c>
      <c r="BF323" s="7">
        <v>0</v>
      </c>
      <c r="BG323" s="12">
        <f>SUM(data__22[[#This Row],[N1]:[N4]],data__22[[#This Row],[N10]:[N13]],data__22[[#This Row],[N16]:[N18]])/11</f>
        <v>2.5454545454545454</v>
      </c>
      <c r="BH323" s="13">
        <f>SUM(data__22[[#This Row],[N8]:[N9]],data__22[[#This Row],[N23]:[N25]])/5</f>
        <v>1.6</v>
      </c>
      <c r="BI323" s="12">
        <f>SUM(data__22[[#This Row],[N5]:[N7]])/3</f>
        <v>1.6666666666666667</v>
      </c>
      <c r="BJ323" s="12">
        <f>SUM(data__22[[#This Row],[N14]:[N15]],data__22[[#This Row],[N19]:[N22]],data__22[[#This Row],[N26]:[N28]])/9</f>
        <v>0.55555555555555558</v>
      </c>
      <c r="BK323" s="12">
        <f>SUM(data__22[[#This Row],[N29]:[N33]])/5</f>
        <v>2.8</v>
      </c>
      <c r="BL323" s="12">
        <f>SUM(data__22[[#This Row],[N34]:[N36]])/3</f>
        <v>0.33333333333333331</v>
      </c>
    </row>
    <row r="324" spans="1:64" x14ac:dyDescent="0.3">
      <c r="A324" s="7">
        <v>20</v>
      </c>
      <c r="B324" s="7" t="s">
        <v>70</v>
      </c>
      <c r="C324" s="7" t="s">
        <v>157</v>
      </c>
      <c r="D324" s="7" t="s">
        <v>72</v>
      </c>
      <c r="E324" s="7" t="s">
        <v>114</v>
      </c>
      <c r="F324" s="7" t="s">
        <v>136</v>
      </c>
      <c r="G324" s="7" t="s">
        <v>166</v>
      </c>
      <c r="H324" s="7" t="s">
        <v>100</v>
      </c>
      <c r="I324" s="7" t="s">
        <v>76</v>
      </c>
      <c r="J324" s="7" t="s">
        <v>77</v>
      </c>
      <c r="K324" s="7" t="s">
        <v>122</v>
      </c>
      <c r="L324" s="8" t="s">
        <v>79</v>
      </c>
      <c r="M324" s="8" t="s">
        <v>102</v>
      </c>
      <c r="N324" s="8" t="s">
        <v>79</v>
      </c>
      <c r="O324" s="8" t="s">
        <v>109</v>
      </c>
      <c r="P324" s="8" t="s">
        <v>82</v>
      </c>
      <c r="Q324" s="8" t="s">
        <v>103</v>
      </c>
      <c r="R324" s="8" t="s">
        <v>82</v>
      </c>
      <c r="S324" s="8" t="s">
        <v>82</v>
      </c>
      <c r="T324" s="8" t="s">
        <v>86</v>
      </c>
      <c r="U324" s="8" t="s">
        <v>87</v>
      </c>
      <c r="V324" s="8" t="s">
        <v>112</v>
      </c>
      <c r="W324" s="9">
        <v>3</v>
      </c>
      <c r="X324" s="9">
        <v>3</v>
      </c>
      <c r="Y324" s="9">
        <v>3</v>
      </c>
      <c r="Z324" s="9">
        <v>3</v>
      </c>
      <c r="AA324" s="9">
        <v>1</v>
      </c>
      <c r="AB324" s="9">
        <v>0</v>
      </c>
      <c r="AC324" s="9">
        <v>1</v>
      </c>
      <c r="AD324" s="9">
        <v>3</v>
      </c>
      <c r="AE324" s="9">
        <v>3</v>
      </c>
      <c r="AF324" s="9">
        <v>3</v>
      </c>
      <c r="AG324" s="9">
        <v>3</v>
      </c>
      <c r="AH324" s="9">
        <v>3</v>
      </c>
      <c r="AI324" s="9">
        <v>3</v>
      </c>
      <c r="AJ324" s="9">
        <v>1</v>
      </c>
      <c r="AK324" s="9">
        <v>1</v>
      </c>
      <c r="AL324" s="10">
        <v>3</v>
      </c>
      <c r="AM324" s="10">
        <v>3</v>
      </c>
      <c r="AN324" s="10">
        <v>3</v>
      </c>
      <c r="AO324" s="10">
        <v>0</v>
      </c>
      <c r="AP324" s="10">
        <v>0</v>
      </c>
      <c r="AQ324" s="10">
        <v>0</v>
      </c>
      <c r="AR324" s="10">
        <v>0</v>
      </c>
      <c r="AS324" s="11">
        <v>3</v>
      </c>
      <c r="AT324" s="11">
        <v>3</v>
      </c>
      <c r="AU324" s="11">
        <v>3</v>
      </c>
      <c r="AV324" s="11">
        <v>0</v>
      </c>
      <c r="AW324" s="11">
        <v>0</v>
      </c>
      <c r="AX324" s="11">
        <v>0</v>
      </c>
      <c r="AY324" s="7"/>
      <c r="AZ324" s="7"/>
      <c r="BA324" s="7"/>
      <c r="BB324" s="7"/>
      <c r="BC324" s="7"/>
      <c r="BD324" s="7"/>
      <c r="BE324" s="7"/>
      <c r="BF324" s="7"/>
      <c r="BG324" s="12">
        <f>SUM(data__22[[#This Row],[N1]:[N4]],data__22[[#This Row],[N10]:[N13]],data__22[[#This Row],[N16]:[N18]])/11</f>
        <v>3</v>
      </c>
      <c r="BH324" s="13">
        <f>SUM(data__22[[#This Row],[N8]:[N9]],data__22[[#This Row],[N23]:[N25]])/5</f>
        <v>3</v>
      </c>
      <c r="BI324" s="12">
        <f>SUM(data__22[[#This Row],[N5]:[N7]])/3</f>
        <v>0.66666666666666663</v>
      </c>
      <c r="BJ324" s="12">
        <f>SUM(data__22[[#This Row],[N14]:[N15]],data__22[[#This Row],[N19]:[N22]],data__22[[#This Row],[N26]:[N28]])/9</f>
        <v>0.22222222222222221</v>
      </c>
      <c r="BK324" s="12">
        <f>SUM(data__22[[#This Row],[N29]:[N33]])/5</f>
        <v>0</v>
      </c>
      <c r="BL324" s="12">
        <f>SUM(data__22[[#This Row],[N34]:[N36]])/3</f>
        <v>0</v>
      </c>
    </row>
    <row r="325" spans="1:64" x14ac:dyDescent="0.3">
      <c r="A325" s="7">
        <v>19</v>
      </c>
      <c r="B325" s="7" t="s">
        <v>70</v>
      </c>
      <c r="C325" s="7" t="s">
        <v>157</v>
      </c>
      <c r="D325" s="7" t="s">
        <v>97</v>
      </c>
      <c r="E325" s="7" t="s">
        <v>108</v>
      </c>
      <c r="F325" s="7" t="s">
        <v>74</v>
      </c>
      <c r="G325" s="7" t="s">
        <v>439</v>
      </c>
      <c r="H325" s="7" t="s">
        <v>74</v>
      </c>
      <c r="I325" s="7" t="s">
        <v>439</v>
      </c>
      <c r="J325" s="7" t="s">
        <v>77</v>
      </c>
      <c r="K325" s="7" t="s">
        <v>131</v>
      </c>
      <c r="L325" s="8" t="s">
        <v>79</v>
      </c>
      <c r="M325" s="8" t="s">
        <v>80</v>
      </c>
      <c r="N325" s="8" t="s">
        <v>82</v>
      </c>
      <c r="O325" s="8" t="s">
        <v>117</v>
      </c>
      <c r="P325" s="8" t="s">
        <v>82</v>
      </c>
      <c r="Q325" s="8" t="s">
        <v>83</v>
      </c>
      <c r="R325" s="8" t="s">
        <v>82</v>
      </c>
      <c r="S325" s="8" t="s">
        <v>82</v>
      </c>
      <c r="T325" s="8" t="s">
        <v>106</v>
      </c>
      <c r="U325" s="8" t="s">
        <v>87</v>
      </c>
      <c r="V325" s="8" t="s">
        <v>112</v>
      </c>
      <c r="W325" s="9">
        <v>3</v>
      </c>
      <c r="X325" s="9">
        <v>3</v>
      </c>
      <c r="Y325" s="9">
        <v>3</v>
      </c>
      <c r="Z325" s="9">
        <v>3</v>
      </c>
      <c r="AA325" s="9">
        <v>2</v>
      </c>
      <c r="AB325" s="9">
        <v>2</v>
      </c>
      <c r="AC325" s="9">
        <v>2</v>
      </c>
      <c r="AD325" s="9">
        <v>3</v>
      </c>
      <c r="AE325" s="9">
        <v>0</v>
      </c>
      <c r="AF325" s="9">
        <v>2</v>
      </c>
      <c r="AG325" s="9">
        <v>3</v>
      </c>
      <c r="AH325" s="9">
        <v>3</v>
      </c>
      <c r="AI325" s="9">
        <v>3</v>
      </c>
      <c r="AJ325" s="9">
        <v>3</v>
      </c>
      <c r="AK325" s="9">
        <v>3</v>
      </c>
      <c r="AL325" s="10">
        <v>3</v>
      </c>
      <c r="AM325" s="10">
        <v>3</v>
      </c>
      <c r="AN325" s="10">
        <v>3</v>
      </c>
      <c r="AO325" s="10">
        <v>3</v>
      </c>
      <c r="AP325" s="10">
        <v>0</v>
      </c>
      <c r="AQ325" s="10">
        <v>0</v>
      </c>
      <c r="AR325" s="10">
        <v>1</v>
      </c>
      <c r="AS325" s="11">
        <v>1</v>
      </c>
      <c r="AT325" s="11">
        <v>0</v>
      </c>
      <c r="AU325" s="11">
        <v>0</v>
      </c>
      <c r="AV325" s="11">
        <v>3</v>
      </c>
      <c r="AW325" s="11">
        <v>3</v>
      </c>
      <c r="AX325" s="11">
        <v>3</v>
      </c>
      <c r="AY325" s="7"/>
      <c r="AZ325" s="7"/>
      <c r="BA325" s="7"/>
      <c r="BB325" s="7"/>
      <c r="BC325" s="7"/>
      <c r="BD325" s="7"/>
      <c r="BE325" s="7"/>
      <c r="BF325" s="7"/>
      <c r="BG325" s="12">
        <f>SUM(data__22[[#This Row],[N1]:[N4]],data__22[[#This Row],[N10]:[N13]],data__22[[#This Row],[N16]:[N18]])/11</f>
        <v>2.9090909090909092</v>
      </c>
      <c r="BH325" s="13">
        <f>SUM(data__22[[#This Row],[N8]:[N9]],data__22[[#This Row],[N23]:[N25]])/5</f>
        <v>0.8</v>
      </c>
      <c r="BI325" s="12">
        <f>SUM(data__22[[#This Row],[N5]:[N7]])/3</f>
        <v>2</v>
      </c>
      <c r="BJ325" s="12">
        <f>SUM(data__22[[#This Row],[N14]:[N15]],data__22[[#This Row],[N19]:[N22]],data__22[[#This Row],[N26]:[N28]])/9</f>
        <v>2.1111111111111112</v>
      </c>
      <c r="BK325" s="12">
        <f>SUM(data__22[[#This Row],[N29]:[N33]])/5</f>
        <v>0</v>
      </c>
      <c r="BL325" s="12">
        <f>SUM(data__22[[#This Row],[N34]:[N36]])/3</f>
        <v>0</v>
      </c>
    </row>
    <row r="326" spans="1:64" x14ac:dyDescent="0.3">
      <c r="A326" s="7">
        <v>22</v>
      </c>
      <c r="B326" s="7" t="s">
        <v>128</v>
      </c>
      <c r="C326" s="7" t="s">
        <v>157</v>
      </c>
      <c r="D326" s="7" t="s">
        <v>72</v>
      </c>
      <c r="E326" s="7" t="s">
        <v>108</v>
      </c>
      <c r="F326" s="7" t="s">
        <v>74</v>
      </c>
      <c r="G326" s="7" t="s">
        <v>99</v>
      </c>
      <c r="H326" s="7" t="s">
        <v>74</v>
      </c>
      <c r="I326" s="7" t="s">
        <v>76</v>
      </c>
      <c r="J326" s="7" t="s">
        <v>77</v>
      </c>
      <c r="K326" s="7" t="s">
        <v>78</v>
      </c>
      <c r="L326" s="8" t="s">
        <v>82</v>
      </c>
      <c r="M326" s="8" t="s">
        <v>80</v>
      </c>
      <c r="N326" s="8" t="s">
        <v>82</v>
      </c>
      <c r="O326" s="8" t="s">
        <v>117</v>
      </c>
      <c r="P326" s="8" t="s">
        <v>82</v>
      </c>
      <c r="Q326" s="8" t="s">
        <v>83</v>
      </c>
      <c r="R326" s="8" t="s">
        <v>82</v>
      </c>
      <c r="S326" s="8" t="s">
        <v>82</v>
      </c>
      <c r="T326" s="8" t="s">
        <v>106</v>
      </c>
      <c r="U326" s="8" t="s">
        <v>120</v>
      </c>
      <c r="V326" s="8" t="s">
        <v>260</v>
      </c>
      <c r="W326" s="9">
        <v>2</v>
      </c>
      <c r="X326" s="9">
        <v>1</v>
      </c>
      <c r="Y326" s="9">
        <v>0</v>
      </c>
      <c r="Z326" s="9">
        <v>0</v>
      </c>
      <c r="AA326" s="9">
        <v>3</v>
      </c>
      <c r="AB326" s="9">
        <v>3</v>
      </c>
      <c r="AC326" s="9">
        <v>1</v>
      </c>
      <c r="AD326" s="9">
        <v>0</v>
      </c>
      <c r="AE326" s="9">
        <v>0</v>
      </c>
      <c r="AF326" s="9">
        <v>3</v>
      </c>
      <c r="AG326" s="9">
        <v>3</v>
      </c>
      <c r="AH326" s="9">
        <v>1</v>
      </c>
      <c r="AI326" s="9">
        <v>3</v>
      </c>
      <c r="AJ326" s="9">
        <v>1</v>
      </c>
      <c r="AK326" s="9">
        <v>0</v>
      </c>
      <c r="AL326" s="10">
        <v>3</v>
      </c>
      <c r="AM326" s="10">
        <v>3</v>
      </c>
      <c r="AN326" s="10">
        <v>3</v>
      </c>
      <c r="AO326" s="10">
        <v>0</v>
      </c>
      <c r="AP326" s="10">
        <v>0</v>
      </c>
      <c r="AQ326" s="10">
        <v>0</v>
      </c>
      <c r="AR326" s="10">
        <v>2</v>
      </c>
      <c r="AS326" s="11">
        <v>0</v>
      </c>
      <c r="AT326" s="11">
        <v>0</v>
      </c>
      <c r="AU326" s="11">
        <v>1</v>
      </c>
      <c r="AV326" s="11">
        <v>3</v>
      </c>
      <c r="AW326" s="11">
        <v>3</v>
      </c>
      <c r="AX326" s="11">
        <v>3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12">
        <f>SUM(data__22[[#This Row],[N1]:[N4]],data__22[[#This Row],[N10]:[N13]],data__22[[#This Row],[N16]:[N18]])/11</f>
        <v>2</v>
      </c>
      <c r="BH326" s="13">
        <f>SUM(data__22[[#This Row],[N8]:[N9]],data__22[[#This Row],[N23]:[N25]])/5</f>
        <v>0.2</v>
      </c>
      <c r="BI326" s="12">
        <f>SUM(data__22[[#This Row],[N5]:[N7]])/3</f>
        <v>2.3333333333333335</v>
      </c>
      <c r="BJ326" s="12">
        <f>SUM(data__22[[#This Row],[N14]:[N15]],data__22[[#This Row],[N19]:[N22]],data__22[[#This Row],[N26]:[N28]])/9</f>
        <v>1.3333333333333333</v>
      </c>
      <c r="BK326" s="12">
        <f>SUM(data__22[[#This Row],[N29]:[N33]])/5</f>
        <v>0</v>
      </c>
      <c r="BL326" s="12">
        <f>SUM(data__22[[#This Row],[N34]:[N36]])/3</f>
        <v>0</v>
      </c>
    </row>
    <row r="327" spans="1:64" x14ac:dyDescent="0.3">
      <c r="A327" s="7">
        <v>20</v>
      </c>
      <c r="B327" s="7" t="s">
        <v>70</v>
      </c>
      <c r="C327" s="7" t="s">
        <v>157</v>
      </c>
      <c r="D327" s="7" t="s">
        <v>72</v>
      </c>
      <c r="E327" s="7" t="s">
        <v>114</v>
      </c>
      <c r="F327" s="7" t="s">
        <v>100</v>
      </c>
      <c r="G327" s="7" t="s">
        <v>440</v>
      </c>
      <c r="H327" s="7" t="s">
        <v>100</v>
      </c>
      <c r="I327" s="7" t="s">
        <v>76</v>
      </c>
      <c r="J327" s="7" t="s">
        <v>101</v>
      </c>
      <c r="K327" s="7" t="s">
        <v>125</v>
      </c>
      <c r="L327" s="8" t="s">
        <v>79</v>
      </c>
      <c r="M327" s="8" t="s">
        <v>102</v>
      </c>
      <c r="N327" s="8" t="s">
        <v>79</v>
      </c>
      <c r="O327" s="8" t="s">
        <v>179</v>
      </c>
      <c r="P327" s="8" t="s">
        <v>82</v>
      </c>
      <c r="Q327" s="8" t="s">
        <v>83</v>
      </c>
      <c r="R327" s="8" t="s">
        <v>82</v>
      </c>
      <c r="S327" s="8" t="s">
        <v>82</v>
      </c>
      <c r="T327" s="8" t="s">
        <v>86</v>
      </c>
      <c r="U327" s="8" t="s">
        <v>87</v>
      </c>
      <c r="V327" s="8" t="s">
        <v>455</v>
      </c>
      <c r="W327" s="9">
        <v>1</v>
      </c>
      <c r="X327" s="9">
        <v>1</v>
      </c>
      <c r="Y327" s="9">
        <v>1</v>
      </c>
      <c r="Z327" s="9">
        <v>1</v>
      </c>
      <c r="AA327" s="9">
        <v>1</v>
      </c>
      <c r="AB327" s="9">
        <v>1</v>
      </c>
      <c r="AC327" s="9">
        <v>1</v>
      </c>
      <c r="AD327" s="9">
        <v>1</v>
      </c>
      <c r="AE327" s="9">
        <v>1</v>
      </c>
      <c r="AF327" s="9">
        <v>1</v>
      </c>
      <c r="AG327" s="9">
        <v>1</v>
      </c>
      <c r="AH327" s="9">
        <v>1</v>
      </c>
      <c r="AI327" s="9">
        <v>1</v>
      </c>
      <c r="AJ327" s="9">
        <v>1</v>
      </c>
      <c r="AK327" s="9">
        <v>1</v>
      </c>
      <c r="AL327" s="10">
        <v>1</v>
      </c>
      <c r="AM327" s="10">
        <v>1</v>
      </c>
      <c r="AN327" s="10">
        <v>1</v>
      </c>
      <c r="AO327" s="10">
        <v>1</v>
      </c>
      <c r="AP327" s="10">
        <v>1</v>
      </c>
      <c r="AQ327" s="10">
        <v>1</v>
      </c>
      <c r="AR327" s="10">
        <v>1</v>
      </c>
      <c r="AS327" s="11">
        <v>2</v>
      </c>
      <c r="AT327" s="11">
        <v>2</v>
      </c>
      <c r="AU327" s="11">
        <v>2</v>
      </c>
      <c r="AV327" s="11">
        <v>2</v>
      </c>
      <c r="AW327" s="11">
        <v>2</v>
      </c>
      <c r="AX327" s="11">
        <v>2</v>
      </c>
      <c r="AY327" s="7">
        <v>2</v>
      </c>
      <c r="AZ327" s="7">
        <v>2</v>
      </c>
      <c r="BA327" s="7">
        <v>2</v>
      </c>
      <c r="BB327" s="7">
        <v>2</v>
      </c>
      <c r="BC327" s="7">
        <v>2</v>
      </c>
      <c r="BD327" s="7">
        <v>2</v>
      </c>
      <c r="BE327" s="7">
        <v>2</v>
      </c>
      <c r="BF327" s="7">
        <v>2</v>
      </c>
      <c r="BG327" s="12">
        <f>SUM(data__22[[#This Row],[N1]:[N4]],data__22[[#This Row],[N10]:[N13]],data__22[[#This Row],[N16]:[N18]])/11</f>
        <v>1</v>
      </c>
      <c r="BH327" s="13">
        <f>SUM(data__22[[#This Row],[N8]:[N9]],data__22[[#This Row],[N23]:[N25]])/5</f>
        <v>1.6</v>
      </c>
      <c r="BI327" s="12">
        <f>SUM(data__22[[#This Row],[N5]:[N7]])/3</f>
        <v>1</v>
      </c>
      <c r="BJ327" s="12">
        <f>SUM(data__22[[#This Row],[N14]:[N15]],data__22[[#This Row],[N19]:[N22]],data__22[[#This Row],[N26]:[N28]])/9</f>
        <v>1.3333333333333333</v>
      </c>
      <c r="BK327" s="12">
        <f>SUM(data__22[[#This Row],[N29]:[N33]])/5</f>
        <v>2</v>
      </c>
      <c r="BL327" s="12">
        <f>SUM(data__22[[#This Row],[N34]:[N36]])/3</f>
        <v>2</v>
      </c>
    </row>
    <row r="328" spans="1:64" x14ac:dyDescent="0.3">
      <c r="A328" s="7">
        <v>20</v>
      </c>
      <c r="B328" s="7" t="s">
        <v>70</v>
      </c>
      <c r="C328" s="7" t="s">
        <v>157</v>
      </c>
      <c r="D328" s="7" t="s">
        <v>97</v>
      </c>
      <c r="E328" s="7" t="s">
        <v>108</v>
      </c>
      <c r="F328" s="7" t="s">
        <v>74</v>
      </c>
      <c r="G328" s="7" t="s">
        <v>439</v>
      </c>
      <c r="H328" s="7" t="s">
        <v>74</v>
      </c>
      <c r="I328" s="7" t="s">
        <v>76</v>
      </c>
      <c r="J328" s="7" t="s">
        <v>77</v>
      </c>
      <c r="K328" s="7" t="s">
        <v>131</v>
      </c>
      <c r="L328" s="8" t="s">
        <v>79</v>
      </c>
      <c r="M328" s="8" t="s">
        <v>102</v>
      </c>
      <c r="N328" s="8" t="s">
        <v>79</v>
      </c>
      <c r="O328" s="8" t="s">
        <v>109</v>
      </c>
      <c r="P328" s="8" t="s">
        <v>79</v>
      </c>
      <c r="Q328" s="8" t="s">
        <v>83</v>
      </c>
      <c r="R328" s="8" t="s">
        <v>79</v>
      </c>
      <c r="S328" s="8" t="s">
        <v>82</v>
      </c>
      <c r="T328" s="8" t="s">
        <v>86</v>
      </c>
      <c r="U328" s="8" t="s">
        <v>87</v>
      </c>
      <c r="V328" s="8" t="s">
        <v>112</v>
      </c>
      <c r="W328" s="9">
        <v>2</v>
      </c>
      <c r="X328" s="9">
        <v>2</v>
      </c>
      <c r="Y328" s="9">
        <v>2</v>
      </c>
      <c r="Z328" s="9">
        <v>3</v>
      </c>
      <c r="AA328" s="9">
        <v>2</v>
      </c>
      <c r="AB328" s="9">
        <v>2</v>
      </c>
      <c r="AC328" s="9">
        <v>2</v>
      </c>
      <c r="AD328" s="9">
        <v>2</v>
      </c>
      <c r="AE328" s="9">
        <v>2</v>
      </c>
      <c r="AF328" s="9">
        <v>2</v>
      </c>
      <c r="AG328" s="9">
        <v>3</v>
      </c>
      <c r="AH328" s="9">
        <v>2</v>
      </c>
      <c r="AI328" s="9">
        <v>2</v>
      </c>
      <c r="AJ328" s="9">
        <v>2</v>
      </c>
      <c r="AK328" s="9">
        <v>2</v>
      </c>
      <c r="AL328" s="10">
        <v>3</v>
      </c>
      <c r="AM328" s="10">
        <v>3</v>
      </c>
      <c r="AN328" s="10">
        <v>3</v>
      </c>
      <c r="AO328" s="10">
        <v>3</v>
      </c>
      <c r="AP328" s="10">
        <v>3</v>
      </c>
      <c r="AQ328" s="10">
        <v>3</v>
      </c>
      <c r="AR328" s="10">
        <v>3</v>
      </c>
      <c r="AS328" s="11">
        <v>2</v>
      </c>
      <c r="AT328" s="11">
        <v>2</v>
      </c>
      <c r="AU328" s="11">
        <v>2</v>
      </c>
      <c r="AV328" s="11">
        <v>2</v>
      </c>
      <c r="AW328" s="11">
        <v>2</v>
      </c>
      <c r="AX328" s="11">
        <v>2</v>
      </c>
      <c r="AY328" s="7">
        <v>3</v>
      </c>
      <c r="AZ328" s="7">
        <v>3</v>
      </c>
      <c r="BA328" s="7">
        <v>3</v>
      </c>
      <c r="BB328" s="7">
        <v>3</v>
      </c>
      <c r="BC328" s="7">
        <v>3</v>
      </c>
      <c r="BD328" s="7">
        <v>3</v>
      </c>
      <c r="BE328" s="7">
        <v>3</v>
      </c>
      <c r="BF328" s="7">
        <v>3</v>
      </c>
      <c r="BG328" s="12">
        <f>SUM(data__22[[#This Row],[N1]:[N4]],data__22[[#This Row],[N10]:[N13]],data__22[[#This Row],[N16]:[N18]])/11</f>
        <v>2.4545454545454546</v>
      </c>
      <c r="BH328" s="13">
        <f>SUM(data__22[[#This Row],[N8]:[N9]],data__22[[#This Row],[N23]:[N25]])/5</f>
        <v>2</v>
      </c>
      <c r="BI328" s="12">
        <f>SUM(data__22[[#This Row],[N5]:[N7]])/3</f>
        <v>2</v>
      </c>
      <c r="BJ328" s="12">
        <f>SUM(data__22[[#This Row],[N14]:[N15]],data__22[[#This Row],[N19]:[N22]],data__22[[#This Row],[N26]:[N28]])/9</f>
        <v>2.4444444444444446</v>
      </c>
      <c r="BK328" s="12">
        <f>SUM(data__22[[#This Row],[N29]:[N33]])/5</f>
        <v>3</v>
      </c>
      <c r="BL328" s="12">
        <f>SUM(data__22[[#This Row],[N34]:[N36]])/3</f>
        <v>3</v>
      </c>
    </row>
    <row r="329" spans="1:64" x14ac:dyDescent="0.3">
      <c r="A329" s="7">
        <v>21</v>
      </c>
      <c r="B329" s="7" t="s">
        <v>70</v>
      </c>
      <c r="C329" s="7" t="s">
        <v>157</v>
      </c>
      <c r="D329" s="7" t="s">
        <v>72</v>
      </c>
      <c r="E329" s="7" t="s">
        <v>114</v>
      </c>
      <c r="F329" s="7" t="s">
        <v>74</v>
      </c>
      <c r="G329" s="7" t="s">
        <v>440</v>
      </c>
      <c r="H329" s="7" t="s">
        <v>74</v>
      </c>
      <c r="I329" s="7" t="s">
        <v>439</v>
      </c>
      <c r="J329" s="7" t="s">
        <v>77</v>
      </c>
      <c r="K329" s="7" t="s">
        <v>122</v>
      </c>
      <c r="L329" s="8" t="s">
        <v>79</v>
      </c>
      <c r="M329" s="8" t="s">
        <v>80</v>
      </c>
      <c r="N329" s="8" t="s">
        <v>79</v>
      </c>
      <c r="O329" s="8" t="s">
        <v>81</v>
      </c>
      <c r="P329" s="8" t="s">
        <v>79</v>
      </c>
      <c r="Q329" s="8" t="s">
        <v>83</v>
      </c>
      <c r="R329" s="8" t="s">
        <v>79</v>
      </c>
      <c r="S329" s="8" t="s">
        <v>82</v>
      </c>
      <c r="T329" s="8" t="s">
        <v>106</v>
      </c>
      <c r="U329" s="8" t="s">
        <v>87</v>
      </c>
      <c r="V329" s="8" t="s">
        <v>127</v>
      </c>
      <c r="W329" s="9">
        <v>3</v>
      </c>
      <c r="X329" s="9">
        <v>2</v>
      </c>
      <c r="Y329" s="9">
        <v>3</v>
      </c>
      <c r="Z329" s="9">
        <v>3</v>
      </c>
      <c r="AA329" s="9">
        <v>2</v>
      </c>
      <c r="AB329" s="9">
        <v>2</v>
      </c>
      <c r="AC329" s="9">
        <v>2</v>
      </c>
      <c r="AD329" s="9">
        <v>3</v>
      </c>
      <c r="AE329" s="9">
        <v>3</v>
      </c>
      <c r="AF329" s="9">
        <v>3</v>
      </c>
      <c r="AG329" s="9">
        <v>3</v>
      </c>
      <c r="AH329" s="9">
        <v>3</v>
      </c>
      <c r="AI329" s="9">
        <v>3</v>
      </c>
      <c r="AJ329" s="9">
        <v>2</v>
      </c>
      <c r="AK329" s="9">
        <v>2</v>
      </c>
      <c r="AL329" s="10">
        <v>3</v>
      </c>
      <c r="AM329" s="10">
        <v>3</v>
      </c>
      <c r="AN329" s="10">
        <v>3</v>
      </c>
      <c r="AO329" s="10">
        <v>1</v>
      </c>
      <c r="AP329" s="10">
        <v>2</v>
      </c>
      <c r="AQ329" s="10">
        <v>1</v>
      </c>
      <c r="AR329" s="10">
        <v>3</v>
      </c>
      <c r="AS329" s="11">
        <v>3</v>
      </c>
      <c r="AT329" s="11">
        <v>3</v>
      </c>
      <c r="AU329" s="11">
        <v>3</v>
      </c>
      <c r="AV329" s="11">
        <v>2</v>
      </c>
      <c r="AW329" s="11">
        <v>2</v>
      </c>
      <c r="AX329" s="11">
        <v>1</v>
      </c>
      <c r="AY329" s="7">
        <v>3</v>
      </c>
      <c r="AZ329" s="7">
        <v>3</v>
      </c>
      <c r="BA329" s="7">
        <v>3</v>
      </c>
      <c r="BB329" s="7">
        <v>3</v>
      </c>
      <c r="BC329" s="7">
        <v>3</v>
      </c>
      <c r="BD329" s="7">
        <v>2</v>
      </c>
      <c r="BE329" s="7">
        <v>2</v>
      </c>
      <c r="BF329" s="7">
        <v>2</v>
      </c>
      <c r="BG329" s="12">
        <f>SUM(data__22[[#This Row],[N1]:[N4]],data__22[[#This Row],[N10]:[N13]],data__22[[#This Row],[N16]:[N18]])/11</f>
        <v>2.9090909090909092</v>
      </c>
      <c r="BH329" s="13">
        <f>SUM(data__22[[#This Row],[N8]:[N9]],data__22[[#This Row],[N23]:[N25]])/5</f>
        <v>3</v>
      </c>
      <c r="BI329" s="12">
        <f>SUM(data__22[[#This Row],[N5]:[N7]])/3</f>
        <v>2</v>
      </c>
      <c r="BJ329" s="12">
        <f>SUM(data__22[[#This Row],[N14]:[N15]],data__22[[#This Row],[N19]:[N22]],data__22[[#This Row],[N26]:[N28]])/9</f>
        <v>1.7777777777777777</v>
      </c>
      <c r="BK329" s="12">
        <f>SUM(data__22[[#This Row],[N29]:[N33]])/5</f>
        <v>3</v>
      </c>
      <c r="BL329" s="12">
        <f>SUM(data__22[[#This Row],[N34]:[N36]])/3</f>
        <v>2</v>
      </c>
    </row>
    <row r="330" spans="1:64" x14ac:dyDescent="0.3">
      <c r="A330" s="7">
        <v>22</v>
      </c>
      <c r="B330" s="7" t="s">
        <v>70</v>
      </c>
      <c r="C330" s="7" t="s">
        <v>157</v>
      </c>
      <c r="D330" s="7" t="s">
        <v>72</v>
      </c>
      <c r="E330" s="7" t="s">
        <v>108</v>
      </c>
      <c r="F330" s="7" t="s">
        <v>74</v>
      </c>
      <c r="G330" s="7" t="s">
        <v>440</v>
      </c>
      <c r="H330" s="7" t="s">
        <v>74</v>
      </c>
      <c r="I330" s="7" t="s">
        <v>76</v>
      </c>
      <c r="J330" s="7" t="s">
        <v>101</v>
      </c>
      <c r="K330" s="7" t="s">
        <v>131</v>
      </c>
      <c r="L330" s="8" t="s">
        <v>79</v>
      </c>
      <c r="M330" s="8" t="s">
        <v>80</v>
      </c>
      <c r="N330" s="8" t="s">
        <v>79</v>
      </c>
      <c r="O330" s="8" t="s">
        <v>179</v>
      </c>
      <c r="P330" s="8" t="s">
        <v>82</v>
      </c>
      <c r="Q330" s="8" t="s">
        <v>83</v>
      </c>
      <c r="R330" s="8" t="s">
        <v>82</v>
      </c>
      <c r="S330" s="8" t="s">
        <v>82</v>
      </c>
      <c r="T330" s="8" t="s">
        <v>106</v>
      </c>
      <c r="U330" s="8" t="s">
        <v>87</v>
      </c>
      <c r="V330" s="8" t="s">
        <v>112</v>
      </c>
      <c r="W330" s="9">
        <v>3</v>
      </c>
      <c r="X330" s="9">
        <v>3</v>
      </c>
      <c r="Y330" s="9">
        <v>3</v>
      </c>
      <c r="Z330" s="9">
        <v>3</v>
      </c>
      <c r="AA330" s="9">
        <v>3</v>
      </c>
      <c r="AB330" s="9">
        <v>3</v>
      </c>
      <c r="AC330" s="9">
        <v>3</v>
      </c>
      <c r="AD330" s="9">
        <v>3</v>
      </c>
      <c r="AE330" s="9">
        <v>3</v>
      </c>
      <c r="AF330" s="9">
        <v>3</v>
      </c>
      <c r="AG330" s="9">
        <v>3</v>
      </c>
      <c r="AH330" s="9">
        <v>3</v>
      </c>
      <c r="AI330" s="9">
        <v>3</v>
      </c>
      <c r="AJ330" s="9">
        <v>3</v>
      </c>
      <c r="AK330" s="9">
        <v>3</v>
      </c>
      <c r="AL330" s="10">
        <v>3</v>
      </c>
      <c r="AM330" s="10">
        <v>3</v>
      </c>
      <c r="AN330" s="10">
        <v>3</v>
      </c>
      <c r="AO330" s="10">
        <v>3</v>
      </c>
      <c r="AP330" s="10">
        <v>3</v>
      </c>
      <c r="AQ330" s="10">
        <v>0</v>
      </c>
      <c r="AR330" s="10">
        <v>0</v>
      </c>
      <c r="AS330" s="11">
        <v>3</v>
      </c>
      <c r="AT330" s="11">
        <v>3</v>
      </c>
      <c r="AU330" s="11">
        <v>3</v>
      </c>
      <c r="AV330" s="11">
        <v>0</v>
      </c>
      <c r="AW330" s="11">
        <v>0</v>
      </c>
      <c r="AX330" s="11">
        <v>0</v>
      </c>
      <c r="AY330" s="7">
        <v>3</v>
      </c>
      <c r="AZ330" s="7">
        <v>0</v>
      </c>
      <c r="BA330" s="7">
        <v>3</v>
      </c>
      <c r="BB330" s="7">
        <v>3</v>
      </c>
      <c r="BC330" s="7">
        <v>3</v>
      </c>
      <c r="BD330" s="7">
        <v>0</v>
      </c>
      <c r="BE330" s="7">
        <v>3</v>
      </c>
      <c r="BF330" s="7">
        <v>0</v>
      </c>
      <c r="BG330" s="12">
        <f>SUM(data__22[[#This Row],[N1]:[N4]],data__22[[#This Row],[N10]:[N13]],data__22[[#This Row],[N16]:[N18]])/11</f>
        <v>3</v>
      </c>
      <c r="BH330" s="13">
        <f>SUM(data__22[[#This Row],[N8]:[N9]],data__22[[#This Row],[N23]:[N25]])/5</f>
        <v>3</v>
      </c>
      <c r="BI330" s="12">
        <f>SUM(data__22[[#This Row],[N5]:[N7]])/3</f>
        <v>3</v>
      </c>
      <c r="BJ330" s="12">
        <f>SUM(data__22[[#This Row],[N14]:[N15]],data__22[[#This Row],[N19]:[N22]],data__22[[#This Row],[N26]:[N28]])/9</f>
        <v>1.3333333333333333</v>
      </c>
      <c r="BK330" s="12">
        <f>SUM(data__22[[#This Row],[N29]:[N33]])/5</f>
        <v>2.4</v>
      </c>
      <c r="BL330" s="12">
        <f>SUM(data__22[[#This Row],[N34]:[N36]])/3</f>
        <v>1</v>
      </c>
    </row>
    <row r="331" spans="1:64" x14ac:dyDescent="0.3">
      <c r="A331" s="7">
        <v>21</v>
      </c>
      <c r="B331" s="7" t="s">
        <v>70</v>
      </c>
      <c r="C331" s="7" t="s">
        <v>157</v>
      </c>
      <c r="D331" s="7" t="s">
        <v>72</v>
      </c>
      <c r="E331" s="7" t="s">
        <v>114</v>
      </c>
      <c r="F331" s="7" t="s">
        <v>100</v>
      </c>
      <c r="G331" s="7" t="s">
        <v>438</v>
      </c>
      <c r="H331" s="7" t="s">
        <v>100</v>
      </c>
      <c r="I331" s="7" t="s">
        <v>76</v>
      </c>
      <c r="J331" s="7" t="s">
        <v>77</v>
      </c>
      <c r="K331" s="7" t="s">
        <v>125</v>
      </c>
      <c r="L331" s="8" t="s">
        <v>79</v>
      </c>
      <c r="M331" s="8" t="s">
        <v>80</v>
      </c>
      <c r="N331" s="8" t="s">
        <v>79</v>
      </c>
      <c r="O331" s="8" t="s">
        <v>117</v>
      </c>
      <c r="P331" s="8" t="s">
        <v>82</v>
      </c>
      <c r="Q331" s="8" t="s">
        <v>83</v>
      </c>
      <c r="R331" s="8" t="s">
        <v>79</v>
      </c>
      <c r="S331" s="8" t="s">
        <v>82</v>
      </c>
      <c r="T331" s="8" t="s">
        <v>106</v>
      </c>
      <c r="U331" s="8" t="s">
        <v>87</v>
      </c>
      <c r="V331" s="8" t="s">
        <v>112</v>
      </c>
      <c r="W331" s="9">
        <v>1</v>
      </c>
      <c r="X331" s="9">
        <v>1</v>
      </c>
      <c r="Y331" s="9">
        <v>1</v>
      </c>
      <c r="Z331" s="9">
        <v>1</v>
      </c>
      <c r="AA331" s="9">
        <v>1</v>
      </c>
      <c r="AB331" s="9">
        <v>1</v>
      </c>
      <c r="AC331" s="9">
        <v>1</v>
      </c>
      <c r="AD331" s="9">
        <v>1</v>
      </c>
      <c r="AE331" s="9">
        <v>1</v>
      </c>
      <c r="AF331" s="9">
        <v>1</v>
      </c>
      <c r="AG331" s="9">
        <v>3</v>
      </c>
      <c r="AH331" s="9">
        <v>1</v>
      </c>
      <c r="AI331" s="9">
        <v>1</v>
      </c>
      <c r="AJ331" s="9">
        <v>1</v>
      </c>
      <c r="AK331" s="9">
        <v>1</v>
      </c>
      <c r="AL331" s="10">
        <v>1</v>
      </c>
      <c r="AM331" s="10">
        <v>1</v>
      </c>
      <c r="AN331" s="10">
        <v>1</v>
      </c>
      <c r="AO331" s="10">
        <v>1</v>
      </c>
      <c r="AP331" s="10">
        <v>1</v>
      </c>
      <c r="AQ331" s="10">
        <v>1</v>
      </c>
      <c r="AR331" s="10">
        <v>1</v>
      </c>
      <c r="AS331" s="11">
        <v>1</v>
      </c>
      <c r="AT331" s="11">
        <v>1</v>
      </c>
      <c r="AU331" s="11">
        <v>1</v>
      </c>
      <c r="AV331" s="11">
        <v>1</v>
      </c>
      <c r="AW331" s="11">
        <v>1</v>
      </c>
      <c r="AX331" s="11">
        <v>1</v>
      </c>
      <c r="AY331" s="7">
        <v>1</v>
      </c>
      <c r="AZ331" s="7">
        <v>1</v>
      </c>
      <c r="BA331" s="7">
        <v>3</v>
      </c>
      <c r="BB331" s="7">
        <v>3</v>
      </c>
      <c r="BC331" s="7">
        <v>3</v>
      </c>
      <c r="BD331" s="7">
        <v>1</v>
      </c>
      <c r="BE331" s="7">
        <v>1</v>
      </c>
      <c r="BF331" s="7">
        <v>1</v>
      </c>
      <c r="BG331" s="12">
        <f>SUM(data__22[[#This Row],[N1]:[N4]],data__22[[#This Row],[N10]:[N13]],data__22[[#This Row],[N16]:[N18]])/11</f>
        <v>1.1818181818181819</v>
      </c>
      <c r="BH331" s="13">
        <f>SUM(data__22[[#This Row],[N8]:[N9]],data__22[[#This Row],[N23]:[N25]])/5</f>
        <v>1</v>
      </c>
      <c r="BI331" s="12">
        <f>SUM(data__22[[#This Row],[N5]:[N7]])/3</f>
        <v>1</v>
      </c>
      <c r="BJ331" s="12">
        <f>SUM(data__22[[#This Row],[N14]:[N15]],data__22[[#This Row],[N19]:[N22]],data__22[[#This Row],[N26]:[N28]])/9</f>
        <v>1</v>
      </c>
      <c r="BK331" s="12">
        <f>SUM(data__22[[#This Row],[N29]:[N33]])/5</f>
        <v>2.2000000000000002</v>
      </c>
      <c r="BL331" s="12">
        <f>SUM(data__22[[#This Row],[N34]:[N36]])/3</f>
        <v>1</v>
      </c>
    </row>
    <row r="332" spans="1:64" x14ac:dyDescent="0.3">
      <c r="A332" s="7">
        <v>23</v>
      </c>
      <c r="B332" s="7" t="s">
        <v>128</v>
      </c>
      <c r="C332" s="7" t="s">
        <v>96</v>
      </c>
      <c r="D332" s="7" t="s">
        <v>72</v>
      </c>
      <c r="E332" s="7" t="s">
        <v>114</v>
      </c>
      <c r="F332" s="7" t="s">
        <v>74</v>
      </c>
      <c r="G332" s="7" t="s">
        <v>439</v>
      </c>
      <c r="H332" s="7" t="s">
        <v>74</v>
      </c>
      <c r="I332" s="7" t="s">
        <v>76</v>
      </c>
      <c r="J332" s="7" t="s">
        <v>77</v>
      </c>
      <c r="K332" s="7" t="s">
        <v>125</v>
      </c>
      <c r="L332" s="8" t="s">
        <v>79</v>
      </c>
      <c r="M332" s="8" t="s">
        <v>80</v>
      </c>
      <c r="N332" s="8" t="s">
        <v>79</v>
      </c>
      <c r="O332" s="8" t="s">
        <v>81</v>
      </c>
      <c r="P332" s="8" t="s">
        <v>82</v>
      </c>
      <c r="Q332" s="8" t="s">
        <v>83</v>
      </c>
      <c r="R332" s="8" t="s">
        <v>79</v>
      </c>
      <c r="S332" s="8" t="s">
        <v>82</v>
      </c>
      <c r="T332" s="8" t="s">
        <v>86</v>
      </c>
      <c r="U332" s="8" t="s">
        <v>141</v>
      </c>
      <c r="V332" s="8" t="s">
        <v>455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12">
        <f>SUM(data__22[[#This Row],[N1]:[N4]],data__22[[#This Row],[N10]:[N13]],data__22[[#This Row],[N16]:[N18]])/11</f>
        <v>0</v>
      </c>
      <c r="BH332" s="13">
        <f>SUM(data__22[[#This Row],[N8]:[N9]],data__22[[#This Row],[N23]:[N25]])/5</f>
        <v>0</v>
      </c>
      <c r="BI332" s="12">
        <f>SUM(data__22[[#This Row],[N5]:[N7]])/3</f>
        <v>0</v>
      </c>
      <c r="BJ332" s="12">
        <f>SUM(data__22[[#This Row],[N14]:[N15]],data__22[[#This Row],[N19]:[N22]],data__22[[#This Row],[N26]:[N28]])/9</f>
        <v>0</v>
      </c>
      <c r="BK332" s="12">
        <f>SUM(data__22[[#This Row],[N29]:[N33]])/5</f>
        <v>0</v>
      </c>
      <c r="BL332" s="12">
        <f>SUM(data__22[[#This Row],[N34]:[N36]])/3</f>
        <v>0</v>
      </c>
    </row>
    <row r="333" spans="1:64" x14ac:dyDescent="0.3">
      <c r="A333" s="7">
        <v>21</v>
      </c>
      <c r="B333" s="7" t="s">
        <v>70</v>
      </c>
      <c r="C333" s="7" t="s">
        <v>113</v>
      </c>
      <c r="D333" s="7" t="s">
        <v>72</v>
      </c>
      <c r="E333" s="7" t="s">
        <v>114</v>
      </c>
      <c r="F333" s="7" t="s">
        <v>100</v>
      </c>
      <c r="G333" s="7" t="s">
        <v>440</v>
      </c>
      <c r="H333" s="7" t="s">
        <v>98</v>
      </c>
      <c r="I333" s="7" t="s">
        <v>76</v>
      </c>
      <c r="J333" s="7" t="s">
        <v>77</v>
      </c>
      <c r="K333" s="7" t="s">
        <v>122</v>
      </c>
      <c r="L333" s="8" t="s">
        <v>79</v>
      </c>
      <c r="M333" s="8" t="s">
        <v>80</v>
      </c>
      <c r="N333" s="8" t="s">
        <v>79</v>
      </c>
      <c r="O333" s="8" t="s">
        <v>117</v>
      </c>
      <c r="P333" s="8" t="s">
        <v>82</v>
      </c>
      <c r="Q333" s="8" t="s">
        <v>83</v>
      </c>
      <c r="R333" s="8" t="s">
        <v>79</v>
      </c>
      <c r="S333" s="8" t="s">
        <v>79</v>
      </c>
      <c r="T333" s="8" t="s">
        <v>106</v>
      </c>
      <c r="U333" s="8" t="s">
        <v>87</v>
      </c>
      <c r="V333" s="8" t="s">
        <v>112</v>
      </c>
      <c r="W333" s="9">
        <v>3</v>
      </c>
      <c r="X333" s="9">
        <v>3</v>
      </c>
      <c r="Y333" s="9">
        <v>3</v>
      </c>
      <c r="Z333" s="9">
        <v>3</v>
      </c>
      <c r="AA333" s="9">
        <v>1</v>
      </c>
      <c r="AB333" s="9">
        <v>1</v>
      </c>
      <c r="AC333" s="9">
        <v>1</v>
      </c>
      <c r="AD333" s="9">
        <v>3</v>
      </c>
      <c r="AE333" s="9">
        <v>3</v>
      </c>
      <c r="AF333" s="9">
        <v>3</v>
      </c>
      <c r="AG333" s="9">
        <v>3</v>
      </c>
      <c r="AH333" s="9">
        <v>3</v>
      </c>
      <c r="AI333" s="9">
        <v>3</v>
      </c>
      <c r="AJ333" s="9">
        <v>2</v>
      </c>
      <c r="AK333" s="9">
        <v>1</v>
      </c>
      <c r="AL333" s="10">
        <v>3</v>
      </c>
      <c r="AM333" s="10">
        <v>3</v>
      </c>
      <c r="AN333" s="10">
        <v>2</v>
      </c>
      <c r="AO333" s="10">
        <v>3</v>
      </c>
      <c r="AP333" s="10">
        <v>3</v>
      </c>
      <c r="AQ333" s="10">
        <v>3</v>
      </c>
      <c r="AR333" s="10">
        <v>3</v>
      </c>
      <c r="AS333" s="11">
        <v>3</v>
      </c>
      <c r="AT333" s="11">
        <v>3</v>
      </c>
      <c r="AU333" s="11">
        <v>3</v>
      </c>
      <c r="AV333" s="11">
        <v>0</v>
      </c>
      <c r="AW333" s="11">
        <v>2</v>
      </c>
      <c r="AX333" s="11">
        <v>0</v>
      </c>
      <c r="AY333" s="7">
        <v>3</v>
      </c>
      <c r="AZ333" s="7">
        <v>3</v>
      </c>
      <c r="BA333" s="7">
        <v>3</v>
      </c>
      <c r="BB333" s="7">
        <v>3</v>
      </c>
      <c r="BC333" s="7">
        <v>3</v>
      </c>
      <c r="BD333" s="7">
        <v>1</v>
      </c>
      <c r="BE333" s="7">
        <v>0</v>
      </c>
      <c r="BF333" s="7">
        <v>1</v>
      </c>
      <c r="BG333" s="12">
        <f>SUM(data__22[[#This Row],[N1]:[N4]],data__22[[#This Row],[N10]:[N13]],data__22[[#This Row],[N16]:[N18]])/11</f>
        <v>2.9090909090909092</v>
      </c>
      <c r="BH333" s="13">
        <f>SUM(data__22[[#This Row],[N8]:[N9]],data__22[[#This Row],[N23]:[N25]])/5</f>
        <v>3</v>
      </c>
      <c r="BI333" s="12">
        <f>SUM(data__22[[#This Row],[N5]:[N7]])/3</f>
        <v>1</v>
      </c>
      <c r="BJ333" s="12">
        <f>SUM(data__22[[#This Row],[N14]:[N15]],data__22[[#This Row],[N19]:[N22]],data__22[[#This Row],[N26]:[N28]])/9</f>
        <v>1.8888888888888888</v>
      </c>
      <c r="BK333" s="12">
        <f>SUM(data__22[[#This Row],[N29]:[N33]])/5</f>
        <v>3</v>
      </c>
      <c r="BL333" s="12">
        <f>SUM(data__22[[#This Row],[N34]:[N36]])/3</f>
        <v>0.66666666666666663</v>
      </c>
    </row>
    <row r="334" spans="1:64" x14ac:dyDescent="0.3">
      <c r="A334" s="7">
        <v>23</v>
      </c>
      <c r="B334" s="7" t="s">
        <v>70</v>
      </c>
      <c r="C334" s="7" t="s">
        <v>71</v>
      </c>
      <c r="D334" s="7" t="s">
        <v>72</v>
      </c>
      <c r="E334" s="7" t="s">
        <v>108</v>
      </c>
      <c r="F334" s="7" t="s">
        <v>136</v>
      </c>
      <c r="G334" s="7" t="s">
        <v>439</v>
      </c>
      <c r="H334" s="7" t="s">
        <v>98</v>
      </c>
      <c r="I334" s="7" t="s">
        <v>76</v>
      </c>
      <c r="J334" s="7" t="s">
        <v>77</v>
      </c>
      <c r="K334" s="7" t="s">
        <v>122</v>
      </c>
      <c r="L334" s="8" t="s">
        <v>79</v>
      </c>
      <c r="M334" s="8" t="s">
        <v>80</v>
      </c>
      <c r="N334" s="8" t="s">
        <v>79</v>
      </c>
      <c r="O334" s="8" t="s">
        <v>117</v>
      </c>
      <c r="P334" s="8" t="s">
        <v>82</v>
      </c>
      <c r="Q334" s="8" t="s">
        <v>103</v>
      </c>
      <c r="R334" s="8" t="s">
        <v>82</v>
      </c>
      <c r="S334" s="8" t="s">
        <v>82</v>
      </c>
      <c r="T334" s="8" t="s">
        <v>106</v>
      </c>
      <c r="U334" s="8" t="s">
        <v>87</v>
      </c>
      <c r="V334" s="8" t="s">
        <v>112</v>
      </c>
      <c r="W334" s="9">
        <v>2</v>
      </c>
      <c r="X334" s="9">
        <v>2</v>
      </c>
      <c r="Y334" s="9">
        <v>1</v>
      </c>
      <c r="Z334" s="9">
        <v>2</v>
      </c>
      <c r="AA334" s="9">
        <v>1</v>
      </c>
      <c r="AB334" s="9">
        <v>1</v>
      </c>
      <c r="AC334" s="9">
        <v>1</v>
      </c>
      <c r="AD334" s="9">
        <v>3</v>
      </c>
      <c r="AE334" s="9">
        <v>2</v>
      </c>
      <c r="AF334" s="9">
        <v>2</v>
      </c>
      <c r="AG334" s="9">
        <v>3</v>
      </c>
      <c r="AH334" s="9">
        <v>3</v>
      </c>
      <c r="AI334" s="9">
        <v>2</v>
      </c>
      <c r="AJ334" s="9">
        <v>1</v>
      </c>
      <c r="AK334" s="9">
        <v>0</v>
      </c>
      <c r="AL334" s="10">
        <v>3</v>
      </c>
      <c r="AM334" s="10">
        <v>3</v>
      </c>
      <c r="AN334" s="10">
        <v>2</v>
      </c>
      <c r="AO334" s="10">
        <v>0</v>
      </c>
      <c r="AP334" s="10">
        <v>1</v>
      </c>
      <c r="AQ334" s="10">
        <v>0</v>
      </c>
      <c r="AR334" s="10">
        <v>0</v>
      </c>
      <c r="AS334" s="11">
        <v>2</v>
      </c>
      <c r="AT334" s="11">
        <v>2</v>
      </c>
      <c r="AU334" s="11">
        <v>2</v>
      </c>
      <c r="AV334" s="11">
        <v>0</v>
      </c>
      <c r="AW334" s="11">
        <v>0</v>
      </c>
      <c r="AX334" s="11">
        <v>0</v>
      </c>
      <c r="AY334" s="7">
        <v>2</v>
      </c>
      <c r="AZ334" s="7">
        <v>1</v>
      </c>
      <c r="BA334" s="7">
        <v>2</v>
      </c>
      <c r="BB334" s="7">
        <v>2</v>
      </c>
      <c r="BC334" s="7">
        <v>2</v>
      </c>
      <c r="BD334" s="7">
        <v>0</v>
      </c>
      <c r="BE334" s="7">
        <v>1</v>
      </c>
      <c r="BF334" s="7">
        <v>0</v>
      </c>
      <c r="BG334" s="12">
        <f>SUM(data__22[[#This Row],[N1]:[N4]],data__22[[#This Row],[N10]:[N13]],data__22[[#This Row],[N16]:[N18]])/11</f>
        <v>2.2727272727272729</v>
      </c>
      <c r="BH334" s="13">
        <f>SUM(data__22[[#This Row],[N8]:[N9]],data__22[[#This Row],[N23]:[N25]])/5</f>
        <v>2.2000000000000002</v>
      </c>
      <c r="BI334" s="12">
        <f>SUM(data__22[[#This Row],[N5]:[N7]])/3</f>
        <v>1</v>
      </c>
      <c r="BJ334" s="12">
        <f>SUM(data__22[[#This Row],[N14]:[N15]],data__22[[#This Row],[N19]:[N22]],data__22[[#This Row],[N26]:[N28]])/9</f>
        <v>0.22222222222222221</v>
      </c>
      <c r="BK334" s="12">
        <f>SUM(data__22[[#This Row],[N29]:[N33]])/5</f>
        <v>1.8</v>
      </c>
      <c r="BL334" s="12">
        <f>SUM(data__22[[#This Row],[N34]:[N36]])/3</f>
        <v>0.33333333333333331</v>
      </c>
    </row>
    <row r="335" spans="1:64" x14ac:dyDescent="0.3">
      <c r="A335" s="7">
        <v>20</v>
      </c>
      <c r="B335" s="7" t="s">
        <v>70</v>
      </c>
      <c r="C335" s="7" t="s">
        <v>157</v>
      </c>
      <c r="D335" s="7" t="s">
        <v>72</v>
      </c>
      <c r="E335" s="7" t="s">
        <v>114</v>
      </c>
      <c r="F335" s="7" t="s">
        <v>136</v>
      </c>
      <c r="G335" s="7" t="s">
        <v>438</v>
      </c>
      <c r="H335" s="7" t="s">
        <v>98</v>
      </c>
      <c r="I335" s="7" t="s">
        <v>76</v>
      </c>
      <c r="J335" s="7" t="s">
        <v>77</v>
      </c>
      <c r="K335" s="7" t="s">
        <v>125</v>
      </c>
      <c r="L335" s="8" t="s">
        <v>82</v>
      </c>
      <c r="M335" s="8" t="s">
        <v>102</v>
      </c>
      <c r="N335" s="8" t="s">
        <v>79</v>
      </c>
      <c r="O335" s="8" t="s">
        <v>117</v>
      </c>
      <c r="P335" s="8" t="s">
        <v>79</v>
      </c>
      <c r="Q335" s="8" t="s">
        <v>83</v>
      </c>
      <c r="R335" s="8" t="s">
        <v>79</v>
      </c>
      <c r="S335" s="8" t="s">
        <v>82</v>
      </c>
      <c r="T335" s="8" t="s">
        <v>264</v>
      </c>
      <c r="U335" s="8" t="s">
        <v>141</v>
      </c>
      <c r="V335" s="8" t="s">
        <v>237</v>
      </c>
      <c r="W335" s="9">
        <v>3</v>
      </c>
      <c r="X335" s="9">
        <v>3</v>
      </c>
      <c r="Y335" s="9">
        <v>3</v>
      </c>
      <c r="Z335" s="9">
        <v>3</v>
      </c>
      <c r="AA335" s="9">
        <v>3</v>
      </c>
      <c r="AB335" s="9">
        <v>2</v>
      </c>
      <c r="AC335" s="9">
        <v>2</v>
      </c>
      <c r="AD335" s="9">
        <v>1</v>
      </c>
      <c r="AE335" s="9">
        <v>2</v>
      </c>
      <c r="AF335" s="9">
        <v>2</v>
      </c>
      <c r="AG335" s="9">
        <v>2</v>
      </c>
      <c r="AH335" s="9">
        <v>2</v>
      </c>
      <c r="AI335" s="9">
        <v>2</v>
      </c>
      <c r="AJ335" s="9">
        <v>2</v>
      </c>
      <c r="AK335" s="9">
        <v>2</v>
      </c>
      <c r="AL335" s="10">
        <v>2</v>
      </c>
      <c r="AM335" s="10">
        <v>2</v>
      </c>
      <c r="AN335" s="10">
        <v>2</v>
      </c>
      <c r="AO335" s="10">
        <v>2</v>
      </c>
      <c r="AP335" s="10">
        <v>2</v>
      </c>
      <c r="AQ335" s="10">
        <v>2</v>
      </c>
      <c r="AR335" s="10">
        <v>2</v>
      </c>
      <c r="AS335" s="11">
        <v>2</v>
      </c>
      <c r="AT335" s="11">
        <v>2</v>
      </c>
      <c r="AU335" s="11">
        <v>2</v>
      </c>
      <c r="AV335" s="11">
        <v>2</v>
      </c>
      <c r="AW335" s="11">
        <v>2</v>
      </c>
      <c r="AX335" s="11">
        <v>2</v>
      </c>
      <c r="AY335" s="7">
        <v>2</v>
      </c>
      <c r="AZ335" s="7">
        <v>2</v>
      </c>
      <c r="BA335" s="7">
        <v>2</v>
      </c>
      <c r="BB335" s="7">
        <v>2</v>
      </c>
      <c r="BC335" s="7">
        <v>2</v>
      </c>
      <c r="BD335" s="7">
        <v>2</v>
      </c>
      <c r="BE335" s="7">
        <v>2</v>
      </c>
      <c r="BF335" s="7">
        <v>2</v>
      </c>
      <c r="BG335" s="12">
        <f>SUM(data__22[[#This Row],[N1]:[N4]],data__22[[#This Row],[N10]:[N13]],data__22[[#This Row],[N16]:[N18]])/11</f>
        <v>2.3636363636363638</v>
      </c>
      <c r="BH335" s="13">
        <f>SUM(data__22[[#This Row],[N8]:[N9]],data__22[[#This Row],[N23]:[N25]])/5</f>
        <v>1.8</v>
      </c>
      <c r="BI335" s="12">
        <f>SUM(data__22[[#This Row],[N5]:[N7]])/3</f>
        <v>2.3333333333333335</v>
      </c>
      <c r="BJ335" s="12">
        <f>SUM(data__22[[#This Row],[N14]:[N15]],data__22[[#This Row],[N19]:[N22]],data__22[[#This Row],[N26]:[N28]])/9</f>
        <v>2</v>
      </c>
      <c r="BK335" s="12">
        <f>SUM(data__22[[#This Row],[N29]:[N33]])/5</f>
        <v>2</v>
      </c>
      <c r="BL335" s="12">
        <f>SUM(data__22[[#This Row],[N34]:[N36]])/3</f>
        <v>2</v>
      </c>
    </row>
    <row r="336" spans="1:64" x14ac:dyDescent="0.3">
      <c r="A336" s="7">
        <v>23</v>
      </c>
      <c r="B336" s="7" t="s">
        <v>70</v>
      </c>
      <c r="C336" s="7" t="s">
        <v>113</v>
      </c>
      <c r="D336" s="7" t="s">
        <v>149</v>
      </c>
      <c r="E336" s="7" t="s">
        <v>73</v>
      </c>
      <c r="F336" s="7" t="s">
        <v>98</v>
      </c>
      <c r="G336" s="7" t="s">
        <v>440</v>
      </c>
      <c r="H336" s="7" t="s">
        <v>98</v>
      </c>
      <c r="I336" s="7" t="s">
        <v>76</v>
      </c>
      <c r="J336" s="7" t="s">
        <v>77</v>
      </c>
      <c r="K336" s="7" t="s">
        <v>78</v>
      </c>
      <c r="L336" s="8" t="s">
        <v>79</v>
      </c>
      <c r="M336" s="8" t="s">
        <v>80</v>
      </c>
      <c r="N336" s="8" t="s">
        <v>82</v>
      </c>
      <c r="O336" s="8" t="s">
        <v>138</v>
      </c>
      <c r="P336" s="8" t="s">
        <v>79</v>
      </c>
      <c r="Q336" s="8" t="s">
        <v>103</v>
      </c>
      <c r="R336" s="8" t="s">
        <v>79</v>
      </c>
      <c r="S336" s="8" t="s">
        <v>79</v>
      </c>
      <c r="T336" s="8" t="s">
        <v>86</v>
      </c>
      <c r="U336" s="8" t="s">
        <v>141</v>
      </c>
      <c r="V336" s="8" t="s">
        <v>112</v>
      </c>
      <c r="W336" s="9">
        <v>1</v>
      </c>
      <c r="X336" s="9">
        <v>1</v>
      </c>
      <c r="Y336" s="9">
        <v>1</v>
      </c>
      <c r="Z336" s="9">
        <v>1</v>
      </c>
      <c r="AA336" s="9">
        <v>1</v>
      </c>
      <c r="AB336" s="9">
        <v>1</v>
      </c>
      <c r="AC336" s="9">
        <v>1</v>
      </c>
      <c r="AD336" s="9">
        <v>1</v>
      </c>
      <c r="AE336" s="9">
        <v>1</v>
      </c>
      <c r="AF336" s="9">
        <v>1</v>
      </c>
      <c r="AG336" s="9">
        <v>1</v>
      </c>
      <c r="AH336" s="9">
        <v>1</v>
      </c>
      <c r="AI336" s="9">
        <v>1</v>
      </c>
      <c r="AJ336" s="9">
        <v>1</v>
      </c>
      <c r="AK336" s="9">
        <v>1</v>
      </c>
      <c r="AL336" s="10">
        <v>1</v>
      </c>
      <c r="AM336" s="10">
        <v>2</v>
      </c>
      <c r="AN336" s="10">
        <v>2</v>
      </c>
      <c r="AO336" s="10">
        <v>1</v>
      </c>
      <c r="AP336" s="10">
        <v>2</v>
      </c>
      <c r="AQ336" s="10">
        <v>1</v>
      </c>
      <c r="AR336" s="10">
        <v>2</v>
      </c>
      <c r="AS336" s="11">
        <v>1</v>
      </c>
      <c r="AT336" s="11">
        <v>2</v>
      </c>
      <c r="AU336" s="11">
        <v>1</v>
      </c>
      <c r="AV336" s="11">
        <v>1</v>
      </c>
      <c r="AW336" s="11">
        <v>2</v>
      </c>
      <c r="AX336" s="11">
        <v>2</v>
      </c>
      <c r="AY336" s="7">
        <v>2</v>
      </c>
      <c r="AZ336" s="7">
        <v>2</v>
      </c>
      <c r="BA336" s="7">
        <v>1</v>
      </c>
      <c r="BB336" s="7">
        <v>2</v>
      </c>
      <c r="BC336" s="7">
        <v>1</v>
      </c>
      <c r="BD336" s="7">
        <v>2</v>
      </c>
      <c r="BE336" s="7">
        <v>1</v>
      </c>
      <c r="BF336" s="7">
        <v>2</v>
      </c>
      <c r="BG336" s="12">
        <f>SUM(data__22[[#This Row],[N1]:[N4]],data__22[[#This Row],[N10]:[N13]],data__22[[#This Row],[N16]:[N18]])/11</f>
        <v>1.1818181818181819</v>
      </c>
      <c r="BH336" s="13">
        <f>SUM(data__22[[#This Row],[N8]:[N9]],data__22[[#This Row],[N23]:[N25]])/5</f>
        <v>1.2</v>
      </c>
      <c r="BI336" s="12">
        <f>SUM(data__22[[#This Row],[N5]:[N7]])/3</f>
        <v>1</v>
      </c>
      <c r="BJ336" s="12">
        <f>SUM(data__22[[#This Row],[N14]:[N15]],data__22[[#This Row],[N19]:[N22]],data__22[[#This Row],[N26]:[N28]])/9</f>
        <v>1.4444444444444444</v>
      </c>
      <c r="BK336" s="12">
        <f>SUM(data__22[[#This Row],[N29]:[N33]])/5</f>
        <v>1.6</v>
      </c>
      <c r="BL336" s="12">
        <f>SUM(data__22[[#This Row],[N34]:[N36]])/3</f>
        <v>1.6666666666666667</v>
      </c>
    </row>
    <row r="337" spans="1:64" x14ac:dyDescent="0.3">
      <c r="A337" s="7">
        <v>24</v>
      </c>
      <c r="B337" s="7" t="s">
        <v>70</v>
      </c>
      <c r="C337" s="7" t="s">
        <v>71</v>
      </c>
      <c r="D337" s="7" t="s">
        <v>72</v>
      </c>
      <c r="E337" s="7" t="s">
        <v>108</v>
      </c>
      <c r="F337" s="7" t="s">
        <v>74</v>
      </c>
      <c r="G337" s="7" t="s">
        <v>439</v>
      </c>
      <c r="H337" s="7" t="s">
        <v>136</v>
      </c>
      <c r="I337" s="7" t="s">
        <v>76</v>
      </c>
      <c r="J337" s="7" t="s">
        <v>77</v>
      </c>
      <c r="K337" s="7" t="s">
        <v>78</v>
      </c>
      <c r="L337" s="8" t="s">
        <v>79</v>
      </c>
      <c r="M337" s="8" t="s">
        <v>80</v>
      </c>
      <c r="N337" s="8" t="s">
        <v>79</v>
      </c>
      <c r="O337" s="8" t="s">
        <v>117</v>
      </c>
      <c r="P337" s="8" t="s">
        <v>82</v>
      </c>
      <c r="Q337" s="8" t="s">
        <v>83</v>
      </c>
      <c r="R337" s="8" t="s">
        <v>82</v>
      </c>
      <c r="S337" s="8" t="s">
        <v>82</v>
      </c>
      <c r="T337" s="8" t="s">
        <v>106</v>
      </c>
      <c r="U337" s="8" t="s">
        <v>120</v>
      </c>
      <c r="V337" s="8" t="s">
        <v>127</v>
      </c>
      <c r="W337" s="9">
        <v>1</v>
      </c>
      <c r="X337" s="9">
        <v>1</v>
      </c>
      <c r="Y337" s="9">
        <v>2</v>
      </c>
      <c r="Z337" s="9">
        <v>3</v>
      </c>
      <c r="AA337" s="9">
        <v>1</v>
      </c>
      <c r="AB337" s="9">
        <v>1</v>
      </c>
      <c r="AC337" s="9">
        <v>1</v>
      </c>
      <c r="AD337" s="9">
        <v>1</v>
      </c>
      <c r="AE337" s="9">
        <v>1</v>
      </c>
      <c r="AF337" s="9">
        <v>1</v>
      </c>
      <c r="AG337" s="9">
        <v>1</v>
      </c>
      <c r="AH337" s="9">
        <v>1</v>
      </c>
      <c r="AI337" s="9">
        <v>1</v>
      </c>
      <c r="AJ337" s="9">
        <v>1</v>
      </c>
      <c r="AK337" s="9">
        <v>1</v>
      </c>
      <c r="AL337" s="10">
        <v>3</v>
      </c>
      <c r="AM337" s="10">
        <v>3</v>
      </c>
      <c r="AN337" s="10">
        <v>3</v>
      </c>
      <c r="AO337" s="10">
        <v>3</v>
      </c>
      <c r="AP337" s="10">
        <v>0</v>
      </c>
      <c r="AQ337" s="10">
        <v>0</v>
      </c>
      <c r="AR337" s="10">
        <v>0</v>
      </c>
      <c r="AS337" s="11">
        <v>1</v>
      </c>
      <c r="AT337" s="11">
        <v>1</v>
      </c>
      <c r="AU337" s="11">
        <v>1</v>
      </c>
      <c r="AV337" s="11">
        <v>1</v>
      </c>
      <c r="AW337" s="11">
        <v>1</v>
      </c>
      <c r="AX337" s="11">
        <v>1</v>
      </c>
      <c r="AY337" s="7">
        <v>3</v>
      </c>
      <c r="AZ337" s="7">
        <v>3</v>
      </c>
      <c r="BA337" s="7">
        <v>3</v>
      </c>
      <c r="BB337" s="7">
        <v>3</v>
      </c>
      <c r="BC337" s="7">
        <v>3</v>
      </c>
      <c r="BD337" s="7">
        <v>3</v>
      </c>
      <c r="BE337" s="7">
        <v>1</v>
      </c>
      <c r="BF337" s="7">
        <v>1</v>
      </c>
      <c r="BG337" s="12">
        <f>SUM(data__22[[#This Row],[N1]:[N4]],data__22[[#This Row],[N10]:[N13]],data__22[[#This Row],[N16]:[N18]])/11</f>
        <v>1.8181818181818181</v>
      </c>
      <c r="BH337" s="13">
        <f>SUM(data__22[[#This Row],[N8]:[N9]],data__22[[#This Row],[N23]:[N25]])/5</f>
        <v>1</v>
      </c>
      <c r="BI337" s="12">
        <f>SUM(data__22[[#This Row],[N5]:[N7]])/3</f>
        <v>1</v>
      </c>
      <c r="BJ337" s="12">
        <f>SUM(data__22[[#This Row],[N14]:[N15]],data__22[[#This Row],[N19]:[N22]],data__22[[#This Row],[N26]:[N28]])/9</f>
        <v>0.88888888888888884</v>
      </c>
      <c r="BK337" s="12">
        <f>SUM(data__22[[#This Row],[N29]:[N33]])/5</f>
        <v>3</v>
      </c>
      <c r="BL337" s="12">
        <f>SUM(data__22[[#This Row],[N34]:[N36]])/3</f>
        <v>1.6666666666666667</v>
      </c>
    </row>
    <row r="338" spans="1:64" x14ac:dyDescent="0.3">
      <c r="A338" s="7">
        <v>23</v>
      </c>
      <c r="B338" s="7" t="s">
        <v>70</v>
      </c>
      <c r="C338" s="7" t="s">
        <v>71</v>
      </c>
      <c r="D338" s="7" t="s">
        <v>97</v>
      </c>
      <c r="E338" s="7" t="s">
        <v>108</v>
      </c>
      <c r="F338" s="7" t="s">
        <v>74</v>
      </c>
      <c r="G338" s="7" t="s">
        <v>99</v>
      </c>
      <c r="H338" s="7" t="s">
        <v>136</v>
      </c>
      <c r="I338" s="7" t="s">
        <v>76</v>
      </c>
      <c r="J338" s="7" t="s">
        <v>77</v>
      </c>
      <c r="K338" s="7" t="s">
        <v>122</v>
      </c>
      <c r="L338" s="8" t="s">
        <v>82</v>
      </c>
      <c r="M338" s="8" t="s">
        <v>80</v>
      </c>
      <c r="N338" s="8" t="s">
        <v>79</v>
      </c>
      <c r="O338" s="8" t="s">
        <v>81</v>
      </c>
      <c r="P338" s="8" t="s">
        <v>79</v>
      </c>
      <c r="Q338" s="8" t="s">
        <v>83</v>
      </c>
      <c r="R338" s="8" t="s">
        <v>79</v>
      </c>
      <c r="S338" s="8" t="s">
        <v>82</v>
      </c>
      <c r="T338" s="8" t="s">
        <v>106</v>
      </c>
      <c r="U338" s="8" t="s">
        <v>141</v>
      </c>
      <c r="V338" s="8" t="s">
        <v>457</v>
      </c>
      <c r="W338" s="9">
        <v>2</v>
      </c>
      <c r="X338" s="9">
        <v>2</v>
      </c>
      <c r="Y338" s="9">
        <v>2</v>
      </c>
      <c r="Z338" s="9">
        <v>2</v>
      </c>
      <c r="AA338" s="9">
        <v>1</v>
      </c>
      <c r="AB338" s="9">
        <v>2</v>
      </c>
      <c r="AC338" s="9">
        <v>1</v>
      </c>
      <c r="AD338" s="9">
        <v>3</v>
      </c>
      <c r="AE338" s="9">
        <v>3</v>
      </c>
      <c r="AF338" s="9">
        <v>3</v>
      </c>
      <c r="AG338" s="9">
        <v>3</v>
      </c>
      <c r="AH338" s="9">
        <v>2</v>
      </c>
      <c r="AI338" s="9">
        <v>3</v>
      </c>
      <c r="AJ338" s="9">
        <v>0</v>
      </c>
      <c r="AK338" s="9">
        <v>1</v>
      </c>
      <c r="AL338" s="10">
        <v>3</v>
      </c>
      <c r="AM338" s="10">
        <v>3</v>
      </c>
      <c r="AN338" s="10">
        <v>3</v>
      </c>
      <c r="AO338" s="10">
        <v>0</v>
      </c>
      <c r="AP338" s="10">
        <v>0</v>
      </c>
      <c r="AQ338" s="10">
        <v>0</v>
      </c>
      <c r="AR338" s="10">
        <v>0</v>
      </c>
      <c r="AS338" s="11">
        <v>3</v>
      </c>
      <c r="AT338" s="11">
        <v>0</v>
      </c>
      <c r="AU338" s="11">
        <v>0</v>
      </c>
      <c r="AV338" s="11">
        <v>1</v>
      </c>
      <c r="AW338" s="11">
        <v>1</v>
      </c>
      <c r="AX338" s="11">
        <v>0</v>
      </c>
      <c r="AY338" s="7"/>
      <c r="AZ338" s="7"/>
      <c r="BA338" s="7"/>
      <c r="BB338" s="7"/>
      <c r="BC338" s="7"/>
      <c r="BD338" s="7"/>
      <c r="BE338" s="7"/>
      <c r="BF338" s="7"/>
      <c r="BG338" s="12">
        <f>SUM(data__22[[#This Row],[N1]:[N4]],data__22[[#This Row],[N10]:[N13]],data__22[[#This Row],[N16]:[N18]])/11</f>
        <v>2.5454545454545454</v>
      </c>
      <c r="BH338" s="13">
        <f>SUM(data__22[[#This Row],[N8]:[N9]],data__22[[#This Row],[N23]:[N25]])/5</f>
        <v>1.8</v>
      </c>
      <c r="BI338" s="12">
        <f>SUM(data__22[[#This Row],[N5]:[N7]])/3</f>
        <v>1.3333333333333333</v>
      </c>
      <c r="BJ338" s="12">
        <f>SUM(data__22[[#This Row],[N14]:[N15]],data__22[[#This Row],[N19]:[N22]],data__22[[#This Row],[N26]:[N28]])/9</f>
        <v>0.33333333333333331</v>
      </c>
      <c r="BK338" s="12">
        <f>SUM(data__22[[#This Row],[N29]:[N33]])/5</f>
        <v>0</v>
      </c>
      <c r="BL338" s="12">
        <f>SUM(data__22[[#This Row],[N34]:[N36]])/3</f>
        <v>0</v>
      </c>
    </row>
    <row r="339" spans="1:64" x14ac:dyDescent="0.3">
      <c r="A339" s="7">
        <v>24</v>
      </c>
      <c r="B339" s="7" t="s">
        <v>70</v>
      </c>
      <c r="C339" s="7" t="s">
        <v>153</v>
      </c>
      <c r="D339" s="7" t="s">
        <v>97</v>
      </c>
      <c r="E339" s="7" t="s">
        <v>108</v>
      </c>
      <c r="F339" s="7" t="s">
        <v>74</v>
      </c>
      <c r="G339" s="7" t="s">
        <v>439</v>
      </c>
      <c r="H339" s="7" t="s">
        <v>74</v>
      </c>
      <c r="I339" s="7" t="s">
        <v>76</v>
      </c>
      <c r="J339" s="7" t="s">
        <v>101</v>
      </c>
      <c r="K339" s="7" t="s">
        <v>131</v>
      </c>
      <c r="L339" s="8" t="s">
        <v>82</v>
      </c>
      <c r="M339" s="8" t="s">
        <v>80</v>
      </c>
      <c r="N339" s="8" t="s">
        <v>79</v>
      </c>
      <c r="O339" s="8" t="s">
        <v>109</v>
      </c>
      <c r="P339" s="8" t="s">
        <v>79</v>
      </c>
      <c r="Q339" s="8" t="s">
        <v>83</v>
      </c>
      <c r="R339" s="8" t="s">
        <v>79</v>
      </c>
      <c r="S339" s="8" t="s">
        <v>79</v>
      </c>
      <c r="T339" s="8" t="s">
        <v>86</v>
      </c>
      <c r="U339" s="8" t="s">
        <v>141</v>
      </c>
      <c r="V339" s="8" t="s">
        <v>455</v>
      </c>
      <c r="W339" s="9">
        <v>2</v>
      </c>
      <c r="X339" s="9">
        <v>3</v>
      </c>
      <c r="Y339" s="9">
        <v>3</v>
      </c>
      <c r="Z339" s="9">
        <v>3</v>
      </c>
      <c r="AA339" s="9">
        <v>1</v>
      </c>
      <c r="AB339" s="9">
        <v>0</v>
      </c>
      <c r="AC339" s="9">
        <v>0</v>
      </c>
      <c r="AD339" s="9">
        <v>3</v>
      </c>
      <c r="AE339" s="9">
        <v>3</v>
      </c>
      <c r="AF339" s="9">
        <v>3</v>
      </c>
      <c r="AG339" s="9">
        <v>3</v>
      </c>
      <c r="AH339" s="9">
        <v>3</v>
      </c>
      <c r="AI339" s="9">
        <v>2</v>
      </c>
      <c r="AJ339" s="9">
        <v>0</v>
      </c>
      <c r="AK339" s="9">
        <v>1</v>
      </c>
      <c r="AL339" s="10">
        <v>3</v>
      </c>
      <c r="AM339" s="10">
        <v>3</v>
      </c>
      <c r="AN339" s="10">
        <v>3</v>
      </c>
      <c r="AO339" s="10">
        <v>0</v>
      </c>
      <c r="AP339" s="10">
        <v>0</v>
      </c>
      <c r="AQ339" s="10">
        <v>0</v>
      </c>
      <c r="AR339" s="10">
        <v>0</v>
      </c>
      <c r="AS339" s="11">
        <v>3</v>
      </c>
      <c r="AT339" s="11">
        <v>3</v>
      </c>
      <c r="AU339" s="11">
        <v>3</v>
      </c>
      <c r="AV339" s="11">
        <v>1</v>
      </c>
      <c r="AW339" s="11">
        <v>0</v>
      </c>
      <c r="AX339" s="11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12">
        <f>SUM(data__22[[#This Row],[N1]:[N4]],data__22[[#This Row],[N10]:[N13]],data__22[[#This Row],[N16]:[N18]])/11</f>
        <v>2.8181818181818183</v>
      </c>
      <c r="BH339" s="13">
        <f>SUM(data__22[[#This Row],[N8]:[N9]],data__22[[#This Row],[N23]:[N25]])/5</f>
        <v>3</v>
      </c>
      <c r="BI339" s="12">
        <f>SUM(data__22[[#This Row],[N5]:[N7]])/3</f>
        <v>0.33333333333333331</v>
      </c>
      <c r="BJ339" s="12">
        <f>SUM(data__22[[#This Row],[N14]:[N15]],data__22[[#This Row],[N19]:[N22]],data__22[[#This Row],[N26]:[N28]])/9</f>
        <v>0.22222222222222221</v>
      </c>
      <c r="BK339" s="12">
        <f>SUM(data__22[[#This Row],[N29]:[N33]])/5</f>
        <v>0</v>
      </c>
      <c r="BL339" s="12">
        <f>SUM(data__22[[#This Row],[N34]:[N36]])/3</f>
        <v>0</v>
      </c>
    </row>
    <row r="340" spans="1:64" x14ac:dyDescent="0.3">
      <c r="A340" s="7">
        <v>24</v>
      </c>
      <c r="B340" s="7" t="s">
        <v>70</v>
      </c>
      <c r="C340" s="7" t="s">
        <v>113</v>
      </c>
      <c r="D340" s="7" t="s">
        <v>97</v>
      </c>
      <c r="E340" s="7" t="s">
        <v>108</v>
      </c>
      <c r="F340" s="7" t="s">
        <v>74</v>
      </c>
      <c r="G340" s="7" t="s">
        <v>439</v>
      </c>
      <c r="H340" s="7" t="s">
        <v>136</v>
      </c>
      <c r="I340" s="7" t="s">
        <v>76</v>
      </c>
      <c r="J340" s="7" t="s">
        <v>77</v>
      </c>
      <c r="K340" s="7" t="s">
        <v>131</v>
      </c>
      <c r="L340" s="8" t="s">
        <v>79</v>
      </c>
      <c r="M340" s="8" t="s">
        <v>102</v>
      </c>
      <c r="N340" s="8" t="s">
        <v>79</v>
      </c>
      <c r="O340" s="8" t="s">
        <v>109</v>
      </c>
      <c r="P340" s="8" t="s">
        <v>82</v>
      </c>
      <c r="Q340" s="8" t="s">
        <v>103</v>
      </c>
      <c r="R340" s="8" t="s">
        <v>79</v>
      </c>
      <c r="S340" s="8" t="s">
        <v>79</v>
      </c>
      <c r="T340" s="8" t="s">
        <v>86</v>
      </c>
      <c r="U340" s="8" t="s">
        <v>141</v>
      </c>
      <c r="V340" s="8" t="s">
        <v>112</v>
      </c>
      <c r="W340" s="9">
        <v>1</v>
      </c>
      <c r="X340" s="9">
        <v>2</v>
      </c>
      <c r="Y340" s="9">
        <v>2</v>
      </c>
      <c r="Z340" s="9">
        <v>2</v>
      </c>
      <c r="AA340" s="9">
        <v>2</v>
      </c>
      <c r="AB340" s="9">
        <v>2</v>
      </c>
      <c r="AC340" s="9">
        <v>2</v>
      </c>
      <c r="AD340" s="9">
        <v>0</v>
      </c>
      <c r="AE340" s="9">
        <v>2</v>
      </c>
      <c r="AF340" s="9">
        <v>0</v>
      </c>
      <c r="AG340" s="9">
        <v>2</v>
      </c>
      <c r="AH340" s="9">
        <v>2</v>
      </c>
      <c r="AI340" s="9">
        <v>2</v>
      </c>
      <c r="AJ340" s="9">
        <v>1</v>
      </c>
      <c r="AK340" s="9">
        <v>1</v>
      </c>
      <c r="AL340" s="10">
        <v>3</v>
      </c>
      <c r="AM340" s="10">
        <v>3</v>
      </c>
      <c r="AN340" s="10">
        <v>3</v>
      </c>
      <c r="AO340" s="10">
        <v>0</v>
      </c>
      <c r="AP340" s="10">
        <v>0</v>
      </c>
      <c r="AQ340" s="10">
        <v>0</v>
      </c>
      <c r="AR340" s="10">
        <v>0</v>
      </c>
      <c r="AS340" s="11">
        <v>1</v>
      </c>
      <c r="AT340" s="11">
        <v>1</v>
      </c>
      <c r="AU340" s="11">
        <v>1</v>
      </c>
      <c r="AV340" s="11">
        <v>1</v>
      </c>
      <c r="AW340" s="11">
        <v>1</v>
      </c>
      <c r="AX340" s="11">
        <v>0</v>
      </c>
      <c r="AY340" s="7">
        <v>3</v>
      </c>
      <c r="AZ340" s="7">
        <v>0</v>
      </c>
      <c r="BA340" s="7">
        <v>3</v>
      </c>
      <c r="BB340" s="7">
        <v>3</v>
      </c>
      <c r="BC340" s="7">
        <v>3</v>
      </c>
      <c r="BD340" s="7">
        <v>0</v>
      </c>
      <c r="BE340" s="7">
        <v>0</v>
      </c>
      <c r="BF340" s="7">
        <v>0</v>
      </c>
      <c r="BG340" s="12">
        <f>SUM(data__22[[#This Row],[N1]:[N4]],data__22[[#This Row],[N10]:[N13]],data__22[[#This Row],[N16]:[N18]])/11</f>
        <v>2</v>
      </c>
      <c r="BH340" s="13">
        <f>SUM(data__22[[#This Row],[N8]:[N9]],data__22[[#This Row],[N23]:[N25]])/5</f>
        <v>1</v>
      </c>
      <c r="BI340" s="12">
        <f>SUM(data__22[[#This Row],[N5]:[N7]])/3</f>
        <v>2</v>
      </c>
      <c r="BJ340" s="12">
        <f>SUM(data__22[[#This Row],[N14]:[N15]],data__22[[#This Row],[N19]:[N22]],data__22[[#This Row],[N26]:[N28]])/9</f>
        <v>0.44444444444444442</v>
      </c>
      <c r="BK340" s="12">
        <f>SUM(data__22[[#This Row],[N29]:[N33]])/5</f>
        <v>2.4</v>
      </c>
      <c r="BL340" s="12">
        <f>SUM(data__22[[#This Row],[N34]:[N36]])/3</f>
        <v>0</v>
      </c>
    </row>
    <row r="341" spans="1:64" x14ac:dyDescent="0.3">
      <c r="A341" s="7">
        <v>23</v>
      </c>
      <c r="B341" s="7" t="s">
        <v>70</v>
      </c>
      <c r="C341" s="7" t="s">
        <v>113</v>
      </c>
      <c r="D341" s="7" t="s">
        <v>72</v>
      </c>
      <c r="E341" s="7" t="s">
        <v>108</v>
      </c>
      <c r="F341" s="7" t="s">
        <v>74</v>
      </c>
      <c r="G341" s="7" t="s">
        <v>439</v>
      </c>
      <c r="H341" s="7" t="s">
        <v>74</v>
      </c>
      <c r="I341" s="7" t="s">
        <v>439</v>
      </c>
      <c r="J341" s="7" t="s">
        <v>77</v>
      </c>
      <c r="K341" s="7" t="s">
        <v>78</v>
      </c>
      <c r="L341" s="8" t="s">
        <v>79</v>
      </c>
      <c r="M341" s="8" t="s">
        <v>80</v>
      </c>
      <c r="N341" s="8" t="s">
        <v>79</v>
      </c>
      <c r="O341" s="8" t="s">
        <v>117</v>
      </c>
      <c r="P341" s="8" t="s">
        <v>82</v>
      </c>
      <c r="Q341" s="8" t="s">
        <v>83</v>
      </c>
      <c r="R341" s="8" t="s">
        <v>79</v>
      </c>
      <c r="S341" s="8" t="s">
        <v>82</v>
      </c>
      <c r="T341" s="8" t="s">
        <v>148</v>
      </c>
      <c r="U341" s="8" t="s">
        <v>87</v>
      </c>
      <c r="V341" s="8" t="s">
        <v>112</v>
      </c>
      <c r="W341" s="9">
        <v>2</v>
      </c>
      <c r="X341" s="9">
        <v>2</v>
      </c>
      <c r="Y341" s="9">
        <v>2</v>
      </c>
      <c r="Z341" s="9">
        <v>2</v>
      </c>
      <c r="AA341" s="9">
        <v>2</v>
      </c>
      <c r="AB341" s="9">
        <v>2</v>
      </c>
      <c r="AC341" s="9">
        <v>2</v>
      </c>
      <c r="AD341" s="9">
        <v>2</v>
      </c>
      <c r="AE341" s="9">
        <v>2</v>
      </c>
      <c r="AF341" s="9">
        <v>2</v>
      </c>
      <c r="AG341" s="9">
        <v>1</v>
      </c>
      <c r="AH341" s="9">
        <v>1</v>
      </c>
      <c r="AI341" s="9">
        <v>1</v>
      </c>
      <c r="AJ341" s="9">
        <v>1</v>
      </c>
      <c r="AK341" s="9">
        <v>1</v>
      </c>
      <c r="AL341" s="10">
        <v>3</v>
      </c>
      <c r="AM341" s="10">
        <v>3</v>
      </c>
      <c r="AN341" s="10">
        <v>3</v>
      </c>
      <c r="AO341" s="10">
        <v>2</v>
      </c>
      <c r="AP341" s="10">
        <v>3</v>
      </c>
      <c r="AQ341" s="10">
        <v>2</v>
      </c>
      <c r="AR341" s="10">
        <v>2</v>
      </c>
      <c r="AS341" s="11">
        <v>1</v>
      </c>
      <c r="AT341" s="11">
        <v>1</v>
      </c>
      <c r="AU341" s="11">
        <v>1</v>
      </c>
      <c r="AV341" s="11">
        <v>1</v>
      </c>
      <c r="AW341" s="11">
        <v>1</v>
      </c>
      <c r="AX341" s="11">
        <v>1</v>
      </c>
      <c r="AY341" s="7">
        <v>1</v>
      </c>
      <c r="AZ341" s="7">
        <v>1</v>
      </c>
      <c r="BA341" s="7">
        <v>1</v>
      </c>
      <c r="BB341" s="7">
        <v>1</v>
      </c>
      <c r="BC341" s="7">
        <v>1</v>
      </c>
      <c r="BD341" s="7">
        <v>2</v>
      </c>
      <c r="BE341" s="7">
        <v>2</v>
      </c>
      <c r="BF341" s="7">
        <v>1</v>
      </c>
      <c r="BG341" s="12">
        <f>SUM(data__22[[#This Row],[N1]:[N4]],data__22[[#This Row],[N10]:[N13]],data__22[[#This Row],[N16]:[N18]])/11</f>
        <v>2</v>
      </c>
      <c r="BH341" s="13">
        <f>SUM(data__22[[#This Row],[N8]:[N9]],data__22[[#This Row],[N23]:[N25]])/5</f>
        <v>1.4</v>
      </c>
      <c r="BI341" s="12">
        <f>SUM(data__22[[#This Row],[N5]:[N7]])/3</f>
        <v>2</v>
      </c>
      <c r="BJ341" s="12">
        <f>SUM(data__22[[#This Row],[N14]:[N15]],data__22[[#This Row],[N19]:[N22]],data__22[[#This Row],[N26]:[N28]])/9</f>
        <v>1.5555555555555556</v>
      </c>
      <c r="BK341" s="12">
        <f>SUM(data__22[[#This Row],[N29]:[N33]])/5</f>
        <v>1</v>
      </c>
      <c r="BL341" s="12">
        <f>SUM(data__22[[#This Row],[N34]:[N36]])/3</f>
        <v>1.6666666666666667</v>
      </c>
    </row>
    <row r="342" spans="1:64" x14ac:dyDescent="0.3">
      <c r="A342" s="7">
        <v>23</v>
      </c>
      <c r="B342" s="7" t="s">
        <v>70</v>
      </c>
      <c r="C342" s="7" t="s">
        <v>113</v>
      </c>
      <c r="D342" s="7" t="s">
        <v>149</v>
      </c>
      <c r="E342" s="7" t="s">
        <v>108</v>
      </c>
      <c r="F342" s="7" t="s">
        <v>74</v>
      </c>
      <c r="G342" s="7" t="s">
        <v>439</v>
      </c>
      <c r="H342" s="7" t="s">
        <v>136</v>
      </c>
      <c r="I342" s="7" t="s">
        <v>76</v>
      </c>
      <c r="J342" s="7" t="s">
        <v>77</v>
      </c>
      <c r="K342" s="7" t="s">
        <v>78</v>
      </c>
      <c r="L342" s="8" t="s">
        <v>79</v>
      </c>
      <c r="M342" s="8" t="s">
        <v>80</v>
      </c>
      <c r="N342" s="8" t="s">
        <v>79</v>
      </c>
      <c r="O342" s="8" t="s">
        <v>117</v>
      </c>
      <c r="P342" s="8" t="s">
        <v>79</v>
      </c>
      <c r="Q342" s="8" t="s">
        <v>83</v>
      </c>
      <c r="R342" s="8" t="s">
        <v>79</v>
      </c>
      <c r="S342" s="8" t="s">
        <v>82</v>
      </c>
      <c r="T342" s="8" t="s">
        <v>106</v>
      </c>
      <c r="U342" s="8" t="s">
        <v>120</v>
      </c>
      <c r="V342" s="8" t="s">
        <v>160</v>
      </c>
      <c r="W342" s="9">
        <v>3</v>
      </c>
      <c r="X342" s="9">
        <v>2</v>
      </c>
      <c r="Y342" s="9">
        <v>3</v>
      </c>
      <c r="Z342" s="9">
        <v>3</v>
      </c>
      <c r="AA342" s="9">
        <v>2</v>
      </c>
      <c r="AB342" s="9">
        <v>2</v>
      </c>
      <c r="AC342" s="9">
        <v>1</v>
      </c>
      <c r="AD342" s="9">
        <v>2</v>
      </c>
      <c r="AE342" s="9">
        <v>2</v>
      </c>
      <c r="AF342" s="9">
        <v>3</v>
      </c>
      <c r="AG342" s="9">
        <v>3</v>
      </c>
      <c r="AH342" s="9">
        <v>2</v>
      </c>
      <c r="AI342" s="9">
        <v>3</v>
      </c>
      <c r="AJ342" s="9">
        <v>2</v>
      </c>
      <c r="AK342" s="9">
        <v>2</v>
      </c>
      <c r="AL342" s="10">
        <v>3</v>
      </c>
      <c r="AM342" s="10">
        <v>3</v>
      </c>
      <c r="AN342" s="10">
        <v>3</v>
      </c>
      <c r="AO342" s="10">
        <v>0</v>
      </c>
      <c r="AP342" s="10">
        <v>0</v>
      </c>
      <c r="AQ342" s="10">
        <v>0</v>
      </c>
      <c r="AR342" s="10">
        <v>0</v>
      </c>
      <c r="AS342" s="11">
        <v>1</v>
      </c>
      <c r="AT342" s="11">
        <v>2</v>
      </c>
      <c r="AU342" s="11">
        <v>3</v>
      </c>
      <c r="AV342" s="11">
        <v>3</v>
      </c>
      <c r="AW342" s="11">
        <v>3</v>
      </c>
      <c r="AX342" s="11">
        <v>3</v>
      </c>
      <c r="AY342" s="7"/>
      <c r="AZ342" s="7"/>
      <c r="BA342" s="7"/>
      <c r="BB342" s="7"/>
      <c r="BC342" s="7"/>
      <c r="BD342" s="7"/>
      <c r="BE342" s="7"/>
      <c r="BF342" s="7"/>
      <c r="BG342" s="12">
        <f>SUM(data__22[[#This Row],[N1]:[N4]],data__22[[#This Row],[N10]:[N13]],data__22[[#This Row],[N16]:[N18]])/11</f>
        <v>2.8181818181818183</v>
      </c>
      <c r="BH342" s="13">
        <f>SUM(data__22[[#This Row],[N8]:[N9]],data__22[[#This Row],[N23]:[N25]])/5</f>
        <v>2</v>
      </c>
      <c r="BI342" s="12">
        <f>SUM(data__22[[#This Row],[N5]:[N7]])/3</f>
        <v>1.6666666666666667</v>
      </c>
      <c r="BJ342" s="12">
        <f>SUM(data__22[[#This Row],[N14]:[N15]],data__22[[#This Row],[N19]:[N22]],data__22[[#This Row],[N26]:[N28]])/9</f>
        <v>1.4444444444444444</v>
      </c>
      <c r="BK342" s="12">
        <f>SUM(data__22[[#This Row],[N29]:[N33]])/5</f>
        <v>0</v>
      </c>
      <c r="BL342" s="12">
        <f>SUM(data__22[[#This Row],[N34]:[N36]])/3</f>
        <v>0</v>
      </c>
    </row>
    <row r="343" spans="1:64" x14ac:dyDescent="0.3">
      <c r="A343" s="7">
        <v>25</v>
      </c>
      <c r="B343" s="7" t="s">
        <v>70</v>
      </c>
      <c r="C343" s="7" t="s">
        <v>153</v>
      </c>
      <c r="D343" s="7" t="s">
        <v>97</v>
      </c>
      <c r="E343" s="7" t="s">
        <v>114</v>
      </c>
      <c r="F343" s="7" t="s">
        <v>74</v>
      </c>
      <c r="G343" s="7" t="s">
        <v>439</v>
      </c>
      <c r="H343" s="7" t="s">
        <v>136</v>
      </c>
      <c r="I343" s="7" t="s">
        <v>439</v>
      </c>
      <c r="J343" s="7" t="s">
        <v>77</v>
      </c>
      <c r="K343" s="7" t="s">
        <v>122</v>
      </c>
      <c r="L343" s="8" t="s">
        <v>82</v>
      </c>
      <c r="M343" s="8" t="s">
        <v>80</v>
      </c>
      <c r="N343" s="8" t="s">
        <v>79</v>
      </c>
      <c r="O343" s="8" t="s">
        <v>117</v>
      </c>
      <c r="P343" s="8" t="s">
        <v>82</v>
      </c>
      <c r="Q343" s="8" t="s">
        <v>83</v>
      </c>
      <c r="R343" s="8" t="s">
        <v>79</v>
      </c>
      <c r="S343" s="8" t="s">
        <v>79</v>
      </c>
      <c r="T343" s="8" t="s">
        <v>106</v>
      </c>
      <c r="U343" s="8" t="s">
        <v>87</v>
      </c>
      <c r="V343" s="8" t="s">
        <v>112</v>
      </c>
      <c r="W343" s="9">
        <v>3</v>
      </c>
      <c r="X343" s="9">
        <v>3</v>
      </c>
      <c r="Y343" s="9">
        <v>3</v>
      </c>
      <c r="Z343" s="9">
        <v>3</v>
      </c>
      <c r="AA343" s="9">
        <v>2</v>
      </c>
      <c r="AB343" s="9">
        <v>1</v>
      </c>
      <c r="AC343" s="9">
        <v>1</v>
      </c>
      <c r="AD343" s="9">
        <v>2</v>
      </c>
      <c r="AE343" s="9">
        <v>1</v>
      </c>
      <c r="AF343" s="9">
        <v>0</v>
      </c>
      <c r="AG343" s="9">
        <v>3</v>
      </c>
      <c r="AH343" s="9">
        <v>3</v>
      </c>
      <c r="AI343" s="9">
        <v>3</v>
      </c>
      <c r="AJ343" s="9">
        <v>0</v>
      </c>
      <c r="AK343" s="9">
        <v>3</v>
      </c>
      <c r="AL343" s="10">
        <v>3</v>
      </c>
      <c r="AM343" s="10">
        <v>3</v>
      </c>
      <c r="AN343" s="10">
        <v>3</v>
      </c>
      <c r="AO343" s="10">
        <v>0</v>
      </c>
      <c r="AP343" s="10">
        <v>0</v>
      </c>
      <c r="AQ343" s="10">
        <v>0</v>
      </c>
      <c r="AR343" s="10">
        <v>0</v>
      </c>
      <c r="AS343" s="11">
        <v>3</v>
      </c>
      <c r="AT343" s="11">
        <v>2</v>
      </c>
      <c r="AU343" s="11">
        <v>2</v>
      </c>
      <c r="AV343" s="11">
        <v>2</v>
      </c>
      <c r="AW343" s="11">
        <v>0</v>
      </c>
      <c r="AX343" s="11">
        <v>0</v>
      </c>
      <c r="AY343" s="7"/>
      <c r="AZ343" s="7"/>
      <c r="BA343" s="7"/>
      <c r="BB343" s="7"/>
      <c r="BC343" s="7"/>
      <c r="BD343" s="7"/>
      <c r="BE343" s="7"/>
      <c r="BF343" s="7"/>
      <c r="BG343" s="12">
        <f>SUM(data__22[[#This Row],[N1]:[N4]],data__22[[#This Row],[N10]:[N13]],data__22[[#This Row],[N16]:[N18]])/11</f>
        <v>2.7272727272727271</v>
      </c>
      <c r="BH343" s="13">
        <f>SUM(data__22[[#This Row],[N8]:[N9]],data__22[[#This Row],[N23]:[N25]])/5</f>
        <v>2</v>
      </c>
      <c r="BI343" s="12">
        <f>SUM(data__22[[#This Row],[N5]:[N7]])/3</f>
        <v>1.3333333333333333</v>
      </c>
      <c r="BJ343" s="12">
        <f>SUM(data__22[[#This Row],[N14]:[N15]],data__22[[#This Row],[N19]:[N22]],data__22[[#This Row],[N26]:[N28]])/9</f>
        <v>0.55555555555555558</v>
      </c>
      <c r="BK343" s="12">
        <f>SUM(data__22[[#This Row],[N29]:[N33]])/5</f>
        <v>0</v>
      </c>
      <c r="BL343" s="12">
        <f>SUM(data__22[[#This Row],[N34]:[N36]])/3</f>
        <v>0</v>
      </c>
    </row>
    <row r="344" spans="1:64" x14ac:dyDescent="0.3">
      <c r="A344" s="7">
        <v>24</v>
      </c>
      <c r="B344" s="7" t="s">
        <v>128</v>
      </c>
      <c r="C344" s="7" t="s">
        <v>113</v>
      </c>
      <c r="D344" s="7" t="s">
        <v>72</v>
      </c>
      <c r="E344" s="7" t="s">
        <v>108</v>
      </c>
      <c r="F344" s="7" t="s">
        <v>74</v>
      </c>
      <c r="G344" s="7" t="s">
        <v>439</v>
      </c>
      <c r="H344" s="7" t="s">
        <v>136</v>
      </c>
      <c r="I344" s="7" t="s">
        <v>440</v>
      </c>
      <c r="J344" s="7" t="s">
        <v>77</v>
      </c>
      <c r="K344" s="7" t="s">
        <v>125</v>
      </c>
      <c r="L344" s="8" t="s">
        <v>82</v>
      </c>
      <c r="M344" s="8" t="s">
        <v>80</v>
      </c>
      <c r="N344" s="8" t="s">
        <v>82</v>
      </c>
      <c r="O344" s="8" t="s">
        <v>117</v>
      </c>
      <c r="P344" s="8" t="s">
        <v>82</v>
      </c>
      <c r="Q344" s="8" t="s">
        <v>83</v>
      </c>
      <c r="R344" s="8" t="s">
        <v>82</v>
      </c>
      <c r="S344" s="8" t="s">
        <v>82</v>
      </c>
      <c r="T344" s="8" t="s">
        <v>106</v>
      </c>
      <c r="U344" s="8" t="s">
        <v>141</v>
      </c>
      <c r="V344" s="8" t="s">
        <v>457</v>
      </c>
      <c r="W344" s="9">
        <v>2</v>
      </c>
      <c r="X344" s="9">
        <v>2</v>
      </c>
      <c r="Y344" s="9">
        <v>3</v>
      </c>
      <c r="Z344" s="9">
        <v>3</v>
      </c>
      <c r="AA344" s="9">
        <v>1</v>
      </c>
      <c r="AB344" s="9">
        <v>2</v>
      </c>
      <c r="AC344" s="9">
        <v>2</v>
      </c>
      <c r="AD344" s="9">
        <v>2</v>
      </c>
      <c r="AE344" s="9">
        <v>0</v>
      </c>
      <c r="AF344" s="9">
        <v>0</v>
      </c>
      <c r="AG344" s="9">
        <v>1</v>
      </c>
      <c r="AH344" s="9">
        <v>2</v>
      </c>
      <c r="AI344" s="9">
        <v>0</v>
      </c>
      <c r="AJ344" s="9">
        <v>0</v>
      </c>
      <c r="AK344" s="9">
        <v>0</v>
      </c>
      <c r="AL344" s="10">
        <v>3</v>
      </c>
      <c r="AM344" s="10">
        <v>3</v>
      </c>
      <c r="AN344" s="10">
        <v>3</v>
      </c>
      <c r="AO344" s="10">
        <v>0</v>
      </c>
      <c r="AP344" s="10">
        <v>0</v>
      </c>
      <c r="AQ344" s="10">
        <v>0</v>
      </c>
      <c r="AR344" s="10">
        <v>0</v>
      </c>
      <c r="AS344" s="11">
        <v>1</v>
      </c>
      <c r="AT344" s="11">
        <v>1</v>
      </c>
      <c r="AU344" s="11">
        <v>0</v>
      </c>
      <c r="AV344" s="11">
        <v>2</v>
      </c>
      <c r="AW344" s="11">
        <v>1</v>
      </c>
      <c r="AX344" s="11">
        <v>1</v>
      </c>
      <c r="AY344" s="7">
        <v>2</v>
      </c>
      <c r="AZ344" s="7">
        <v>2</v>
      </c>
      <c r="BA344" s="7">
        <v>2</v>
      </c>
      <c r="BB344" s="7">
        <v>3</v>
      </c>
      <c r="BC344" s="7">
        <v>3</v>
      </c>
      <c r="BD344" s="7">
        <v>0</v>
      </c>
      <c r="BE344" s="7">
        <v>0</v>
      </c>
      <c r="BF344" s="7">
        <v>0</v>
      </c>
      <c r="BG344" s="12">
        <f>SUM(data__22[[#This Row],[N1]:[N4]],data__22[[#This Row],[N10]:[N13]],data__22[[#This Row],[N16]:[N18]])/11</f>
        <v>2</v>
      </c>
      <c r="BH344" s="13">
        <f>SUM(data__22[[#This Row],[N8]:[N9]],data__22[[#This Row],[N23]:[N25]])/5</f>
        <v>0.8</v>
      </c>
      <c r="BI344" s="12">
        <f>SUM(data__22[[#This Row],[N5]:[N7]])/3</f>
        <v>1.6666666666666667</v>
      </c>
      <c r="BJ344" s="12">
        <f>SUM(data__22[[#This Row],[N14]:[N15]],data__22[[#This Row],[N19]:[N22]],data__22[[#This Row],[N26]:[N28]])/9</f>
        <v>0.44444444444444442</v>
      </c>
      <c r="BK344" s="12">
        <f>SUM(data__22[[#This Row],[N29]:[N33]])/5</f>
        <v>2.4</v>
      </c>
      <c r="BL344" s="12">
        <f>SUM(data__22[[#This Row],[N34]:[N36]])/3</f>
        <v>0</v>
      </c>
    </row>
    <row r="345" spans="1:64" x14ac:dyDescent="0.3">
      <c r="A345" s="7">
        <v>23</v>
      </c>
      <c r="B345" s="7" t="s">
        <v>70</v>
      </c>
      <c r="C345" s="7" t="s">
        <v>153</v>
      </c>
      <c r="D345" s="7" t="s">
        <v>97</v>
      </c>
      <c r="E345" s="7" t="s">
        <v>108</v>
      </c>
      <c r="F345" s="7" t="s">
        <v>74</v>
      </c>
      <c r="G345" s="7" t="s">
        <v>439</v>
      </c>
      <c r="H345" s="7" t="s">
        <v>74</v>
      </c>
      <c r="I345" s="7" t="s">
        <v>439</v>
      </c>
      <c r="J345" s="7" t="s">
        <v>77</v>
      </c>
      <c r="K345" s="7" t="s">
        <v>78</v>
      </c>
      <c r="L345" s="8" t="s">
        <v>79</v>
      </c>
      <c r="M345" s="8" t="s">
        <v>132</v>
      </c>
      <c r="N345" s="8" t="s">
        <v>79</v>
      </c>
      <c r="O345" s="8" t="s">
        <v>117</v>
      </c>
      <c r="P345" s="8" t="s">
        <v>79</v>
      </c>
      <c r="Q345" s="8" t="s">
        <v>83</v>
      </c>
      <c r="R345" s="8" t="s">
        <v>79</v>
      </c>
      <c r="S345" s="8" t="s">
        <v>82</v>
      </c>
      <c r="T345" s="8" t="s">
        <v>86</v>
      </c>
      <c r="U345" s="8" t="s">
        <v>87</v>
      </c>
      <c r="V345" s="8" t="s">
        <v>112</v>
      </c>
      <c r="W345" s="9">
        <v>1</v>
      </c>
      <c r="X345" s="9">
        <v>3</v>
      </c>
      <c r="Y345" s="9">
        <v>3</v>
      </c>
      <c r="Z345" s="9">
        <v>3</v>
      </c>
      <c r="AA345" s="9">
        <v>2</v>
      </c>
      <c r="AB345" s="9">
        <v>2</v>
      </c>
      <c r="AC345" s="9">
        <v>0</v>
      </c>
      <c r="AD345" s="9">
        <v>3</v>
      </c>
      <c r="AE345" s="9">
        <v>2</v>
      </c>
      <c r="AF345" s="9">
        <v>3</v>
      </c>
      <c r="AG345" s="9">
        <v>2</v>
      </c>
      <c r="AH345" s="9">
        <v>2</v>
      </c>
      <c r="AI345" s="9">
        <v>3</v>
      </c>
      <c r="AJ345" s="9">
        <v>1</v>
      </c>
      <c r="AK345" s="9">
        <v>2</v>
      </c>
      <c r="AL345" s="10">
        <v>3</v>
      </c>
      <c r="AM345" s="10">
        <v>3</v>
      </c>
      <c r="AN345" s="10">
        <v>3</v>
      </c>
      <c r="AO345" s="10">
        <v>0</v>
      </c>
      <c r="AP345" s="10">
        <v>0</v>
      </c>
      <c r="AQ345" s="10">
        <v>0</v>
      </c>
      <c r="AR345" s="10">
        <v>0</v>
      </c>
      <c r="AS345" s="11">
        <v>2</v>
      </c>
      <c r="AT345" s="11">
        <v>3</v>
      </c>
      <c r="AU345" s="11">
        <v>2</v>
      </c>
      <c r="AV345" s="11">
        <v>1</v>
      </c>
      <c r="AW345" s="11">
        <v>1</v>
      </c>
      <c r="AX345" s="11">
        <v>0</v>
      </c>
      <c r="AY345" s="7">
        <v>3</v>
      </c>
      <c r="AZ345" s="7">
        <v>3</v>
      </c>
      <c r="BA345" s="7">
        <v>3</v>
      </c>
      <c r="BB345" s="7">
        <v>3</v>
      </c>
      <c r="BC345" s="7">
        <v>2</v>
      </c>
      <c r="BD345" s="7">
        <v>1</v>
      </c>
      <c r="BE345" s="7">
        <v>2</v>
      </c>
      <c r="BF345" s="7">
        <v>2</v>
      </c>
      <c r="BG345" s="12">
        <f>SUM(data__22[[#This Row],[N1]:[N4]],data__22[[#This Row],[N10]:[N13]],data__22[[#This Row],[N16]:[N18]])/11</f>
        <v>2.6363636363636362</v>
      </c>
      <c r="BH345" s="13">
        <f>SUM(data__22[[#This Row],[N8]:[N9]],data__22[[#This Row],[N23]:[N25]])/5</f>
        <v>2.4</v>
      </c>
      <c r="BI345" s="12">
        <f>SUM(data__22[[#This Row],[N5]:[N7]])/3</f>
        <v>1.3333333333333333</v>
      </c>
      <c r="BJ345" s="12">
        <f>SUM(data__22[[#This Row],[N14]:[N15]],data__22[[#This Row],[N19]:[N22]],data__22[[#This Row],[N26]:[N28]])/9</f>
        <v>0.55555555555555558</v>
      </c>
      <c r="BK345" s="12">
        <f>SUM(data__22[[#This Row],[N29]:[N33]])/5</f>
        <v>2.8</v>
      </c>
      <c r="BL345" s="12">
        <f>SUM(data__22[[#This Row],[N34]:[N36]])/3</f>
        <v>1.6666666666666667</v>
      </c>
    </row>
    <row r="346" spans="1:64" x14ac:dyDescent="0.3">
      <c r="A346" s="7">
        <v>25</v>
      </c>
      <c r="B346" s="7" t="s">
        <v>70</v>
      </c>
      <c r="C346" s="7" t="s">
        <v>153</v>
      </c>
      <c r="D346" s="7" t="s">
        <v>149</v>
      </c>
      <c r="E346" s="7" t="s">
        <v>73</v>
      </c>
      <c r="F346" s="7" t="s">
        <v>74</v>
      </c>
      <c r="G346" s="7" t="s">
        <v>439</v>
      </c>
      <c r="H346" s="7" t="s">
        <v>74</v>
      </c>
      <c r="I346" s="7" t="s">
        <v>439</v>
      </c>
      <c r="J346" s="7" t="s">
        <v>77</v>
      </c>
      <c r="K346" s="7" t="s">
        <v>131</v>
      </c>
      <c r="L346" s="8" t="s">
        <v>79</v>
      </c>
      <c r="M346" s="8" t="s">
        <v>132</v>
      </c>
      <c r="N346" s="8" t="s">
        <v>79</v>
      </c>
      <c r="O346" s="8" t="s">
        <v>109</v>
      </c>
      <c r="P346" s="8" t="s">
        <v>79</v>
      </c>
      <c r="Q346" s="8" t="s">
        <v>83</v>
      </c>
      <c r="R346" s="8" t="s">
        <v>79</v>
      </c>
      <c r="S346" s="8" t="s">
        <v>79</v>
      </c>
      <c r="T346" s="8" t="s">
        <v>86</v>
      </c>
      <c r="U346" s="8" t="s">
        <v>120</v>
      </c>
      <c r="V346" s="8" t="s">
        <v>112</v>
      </c>
      <c r="W346" s="9">
        <v>2</v>
      </c>
      <c r="X346" s="9">
        <v>3</v>
      </c>
      <c r="Y346" s="9">
        <v>3</v>
      </c>
      <c r="Z346" s="9">
        <v>3</v>
      </c>
      <c r="AA346" s="9">
        <v>3</v>
      </c>
      <c r="AB346" s="9">
        <v>3</v>
      </c>
      <c r="AC346" s="9">
        <v>1</v>
      </c>
      <c r="AD346" s="9">
        <v>3</v>
      </c>
      <c r="AE346" s="9">
        <v>2</v>
      </c>
      <c r="AF346" s="9">
        <v>0</v>
      </c>
      <c r="AG346" s="9">
        <v>1</v>
      </c>
      <c r="AH346" s="9">
        <v>1</v>
      </c>
      <c r="AI346" s="9">
        <v>2</v>
      </c>
      <c r="AJ346" s="9">
        <v>2</v>
      </c>
      <c r="AK346" s="9">
        <v>2</v>
      </c>
      <c r="AL346" s="10">
        <v>3</v>
      </c>
      <c r="AM346" s="10">
        <v>3</v>
      </c>
      <c r="AN346" s="10">
        <v>3</v>
      </c>
      <c r="AO346" s="10">
        <v>3</v>
      </c>
      <c r="AP346" s="10">
        <v>3</v>
      </c>
      <c r="AQ346" s="10">
        <v>3</v>
      </c>
      <c r="AR346" s="10">
        <v>3</v>
      </c>
      <c r="AS346" s="11">
        <v>1</v>
      </c>
      <c r="AT346" s="11">
        <v>1</v>
      </c>
      <c r="AU346" s="11">
        <v>1</v>
      </c>
      <c r="AV346" s="11">
        <v>1</v>
      </c>
      <c r="AW346" s="11">
        <v>1</v>
      </c>
      <c r="AX346" s="11">
        <v>1</v>
      </c>
      <c r="AY346" s="7">
        <v>3</v>
      </c>
      <c r="AZ346" s="7">
        <v>3</v>
      </c>
      <c r="BA346" s="7">
        <v>3</v>
      </c>
      <c r="BB346" s="7">
        <v>3</v>
      </c>
      <c r="BC346" s="7">
        <v>3</v>
      </c>
      <c r="BD346" s="7">
        <v>3</v>
      </c>
      <c r="BE346" s="7">
        <v>3</v>
      </c>
      <c r="BF346" s="7">
        <v>3</v>
      </c>
      <c r="BG346" s="12">
        <f>SUM(data__22[[#This Row],[N1]:[N4]],data__22[[#This Row],[N10]:[N13]],data__22[[#This Row],[N16]:[N18]])/11</f>
        <v>2.1818181818181817</v>
      </c>
      <c r="BH346" s="13">
        <f>SUM(data__22[[#This Row],[N8]:[N9]],data__22[[#This Row],[N23]:[N25]])/5</f>
        <v>1.6</v>
      </c>
      <c r="BI346" s="12">
        <f>SUM(data__22[[#This Row],[N5]:[N7]])/3</f>
        <v>2.3333333333333335</v>
      </c>
      <c r="BJ346" s="12">
        <f>SUM(data__22[[#This Row],[N14]:[N15]],data__22[[#This Row],[N19]:[N22]],data__22[[#This Row],[N26]:[N28]])/9</f>
        <v>2.1111111111111112</v>
      </c>
      <c r="BK346" s="12">
        <f>SUM(data__22[[#This Row],[N29]:[N33]])/5</f>
        <v>3</v>
      </c>
      <c r="BL346" s="12">
        <f>SUM(data__22[[#This Row],[N34]:[N36]])/3</f>
        <v>3</v>
      </c>
    </row>
    <row r="347" spans="1:64" x14ac:dyDescent="0.3">
      <c r="A347" s="7">
        <v>23</v>
      </c>
      <c r="B347" s="7" t="s">
        <v>70</v>
      </c>
      <c r="C347" s="7" t="s">
        <v>71</v>
      </c>
      <c r="D347" s="7" t="s">
        <v>72</v>
      </c>
      <c r="E347" s="7" t="s">
        <v>114</v>
      </c>
      <c r="F347" s="7" t="s">
        <v>98</v>
      </c>
      <c r="G347" s="7" t="s">
        <v>440</v>
      </c>
      <c r="H347" s="7" t="s">
        <v>98</v>
      </c>
      <c r="I347" s="7" t="s">
        <v>76</v>
      </c>
      <c r="J347" s="7" t="s">
        <v>77</v>
      </c>
      <c r="K347" s="7" t="s">
        <v>125</v>
      </c>
      <c r="L347" s="8" t="s">
        <v>79</v>
      </c>
      <c r="M347" s="8" t="s">
        <v>201</v>
      </c>
      <c r="N347" s="8" t="s">
        <v>79</v>
      </c>
      <c r="O347" s="8" t="s">
        <v>109</v>
      </c>
      <c r="P347" s="8" t="s">
        <v>79</v>
      </c>
      <c r="Q347" s="8" t="s">
        <v>103</v>
      </c>
      <c r="R347" s="8" t="s">
        <v>79</v>
      </c>
      <c r="S347" s="8" t="s">
        <v>82</v>
      </c>
      <c r="T347" s="8" t="s">
        <v>106</v>
      </c>
      <c r="U347" s="8" t="s">
        <v>87</v>
      </c>
      <c r="V347" s="8" t="s">
        <v>112</v>
      </c>
      <c r="W347" s="9">
        <v>2</v>
      </c>
      <c r="X347" s="9">
        <v>3</v>
      </c>
      <c r="Y347" s="9">
        <v>3</v>
      </c>
      <c r="Z347" s="9">
        <v>3</v>
      </c>
      <c r="AA347" s="9">
        <v>1</v>
      </c>
      <c r="AB347" s="9">
        <v>2</v>
      </c>
      <c r="AC347" s="9">
        <v>1</v>
      </c>
      <c r="AD347" s="9">
        <v>2</v>
      </c>
      <c r="AE347" s="9">
        <v>2</v>
      </c>
      <c r="AF347" s="9">
        <v>3</v>
      </c>
      <c r="AG347" s="9">
        <v>3</v>
      </c>
      <c r="AH347" s="9">
        <v>3</v>
      </c>
      <c r="AI347" s="9">
        <v>1</v>
      </c>
      <c r="AJ347" s="9">
        <v>0</v>
      </c>
      <c r="AK347" s="9">
        <v>1</v>
      </c>
      <c r="AL347" s="10">
        <v>3</v>
      </c>
      <c r="AM347" s="10">
        <v>3</v>
      </c>
      <c r="AN347" s="10">
        <v>2</v>
      </c>
      <c r="AO347" s="10">
        <v>2</v>
      </c>
      <c r="AP347" s="10">
        <v>1</v>
      </c>
      <c r="AQ347" s="10">
        <v>1</v>
      </c>
      <c r="AR347" s="10">
        <v>1</v>
      </c>
      <c r="AS347" s="11">
        <v>2</v>
      </c>
      <c r="AT347" s="11">
        <v>1</v>
      </c>
      <c r="AU347" s="11">
        <v>1</v>
      </c>
      <c r="AV347" s="11">
        <v>2</v>
      </c>
      <c r="AW347" s="11">
        <v>1</v>
      </c>
      <c r="AX347" s="11">
        <v>1</v>
      </c>
      <c r="AY347" s="7">
        <v>3</v>
      </c>
      <c r="AZ347" s="7">
        <v>2</v>
      </c>
      <c r="BA347" s="7">
        <v>1</v>
      </c>
      <c r="BB347" s="7">
        <v>2</v>
      </c>
      <c r="BC347" s="7">
        <v>1</v>
      </c>
      <c r="BD347" s="7">
        <v>2</v>
      </c>
      <c r="BE347" s="7">
        <v>0</v>
      </c>
      <c r="BF347" s="7">
        <v>2</v>
      </c>
      <c r="BG347" s="12">
        <f>SUM(data__22[[#This Row],[N1]:[N4]],data__22[[#This Row],[N10]:[N13]],data__22[[#This Row],[N16]:[N18]])/11</f>
        <v>2.6363636363636362</v>
      </c>
      <c r="BH347" s="13">
        <f>SUM(data__22[[#This Row],[N8]:[N9]],data__22[[#This Row],[N23]:[N25]])/5</f>
        <v>1.6</v>
      </c>
      <c r="BI347" s="12">
        <f>SUM(data__22[[#This Row],[N5]:[N7]])/3</f>
        <v>1.3333333333333333</v>
      </c>
      <c r="BJ347" s="12">
        <f>SUM(data__22[[#This Row],[N14]:[N15]],data__22[[#This Row],[N19]:[N22]],data__22[[#This Row],[N26]:[N28]])/9</f>
        <v>1.1111111111111112</v>
      </c>
      <c r="BK347" s="12">
        <f>SUM(data__22[[#This Row],[N29]:[N33]])/5</f>
        <v>1.8</v>
      </c>
      <c r="BL347" s="12">
        <f>SUM(data__22[[#This Row],[N34]:[N36]])/3</f>
        <v>1.3333333333333333</v>
      </c>
    </row>
    <row r="348" spans="1:64" x14ac:dyDescent="0.3">
      <c r="A348" s="7">
        <v>23</v>
      </c>
      <c r="B348" s="7" t="s">
        <v>70</v>
      </c>
      <c r="C348" s="7" t="s">
        <v>113</v>
      </c>
      <c r="D348" s="7" t="s">
        <v>72</v>
      </c>
      <c r="E348" s="7" t="s">
        <v>108</v>
      </c>
      <c r="F348" s="7" t="s">
        <v>74</v>
      </c>
      <c r="G348" s="7" t="s">
        <v>439</v>
      </c>
      <c r="H348" s="7" t="s">
        <v>74</v>
      </c>
      <c r="I348" s="7" t="s">
        <v>439</v>
      </c>
      <c r="J348" s="7" t="s">
        <v>77</v>
      </c>
      <c r="K348" s="7" t="s">
        <v>122</v>
      </c>
      <c r="L348" s="8" t="s">
        <v>79</v>
      </c>
      <c r="M348" s="8" t="s">
        <v>102</v>
      </c>
      <c r="N348" s="8" t="s">
        <v>79</v>
      </c>
      <c r="O348" s="8" t="s">
        <v>81</v>
      </c>
      <c r="P348" s="8" t="s">
        <v>82</v>
      </c>
      <c r="Q348" s="8" t="s">
        <v>83</v>
      </c>
      <c r="R348" s="8" t="s">
        <v>79</v>
      </c>
      <c r="S348" s="8" t="s">
        <v>82</v>
      </c>
      <c r="T348" s="8" t="s">
        <v>86</v>
      </c>
      <c r="U348" s="8" t="s">
        <v>141</v>
      </c>
      <c r="V348" s="8" t="s">
        <v>112</v>
      </c>
      <c r="W348" s="9">
        <v>2</v>
      </c>
      <c r="X348" s="9">
        <v>2</v>
      </c>
      <c r="Y348" s="9">
        <v>2</v>
      </c>
      <c r="Z348" s="9">
        <v>2</v>
      </c>
      <c r="AA348" s="9">
        <v>2</v>
      </c>
      <c r="AB348" s="9">
        <v>2</v>
      </c>
      <c r="AC348" s="9">
        <v>2</v>
      </c>
      <c r="AD348" s="9">
        <v>2</v>
      </c>
      <c r="AE348" s="9">
        <v>2</v>
      </c>
      <c r="AF348" s="9">
        <v>2</v>
      </c>
      <c r="AG348" s="9">
        <v>2</v>
      </c>
      <c r="AH348" s="9">
        <v>2</v>
      </c>
      <c r="AI348" s="9">
        <v>2</v>
      </c>
      <c r="AJ348" s="9">
        <v>2</v>
      </c>
      <c r="AK348" s="9">
        <v>2</v>
      </c>
      <c r="AL348" s="10">
        <v>2</v>
      </c>
      <c r="AM348" s="10">
        <v>2</v>
      </c>
      <c r="AN348" s="10">
        <v>2</v>
      </c>
      <c r="AO348" s="10">
        <v>2</v>
      </c>
      <c r="AP348" s="10">
        <v>2</v>
      </c>
      <c r="AQ348" s="10">
        <v>2</v>
      </c>
      <c r="AR348" s="10">
        <v>2</v>
      </c>
      <c r="AS348" s="11">
        <v>2</v>
      </c>
      <c r="AT348" s="11">
        <v>2</v>
      </c>
      <c r="AU348" s="11">
        <v>2</v>
      </c>
      <c r="AV348" s="11">
        <v>2</v>
      </c>
      <c r="AW348" s="11">
        <v>2</v>
      </c>
      <c r="AX348" s="11">
        <v>2</v>
      </c>
      <c r="AY348" s="7">
        <v>2</v>
      </c>
      <c r="AZ348" s="7">
        <v>2</v>
      </c>
      <c r="BA348" s="7">
        <v>2</v>
      </c>
      <c r="BB348" s="7">
        <v>2</v>
      </c>
      <c r="BC348" s="7">
        <v>2</v>
      </c>
      <c r="BD348" s="7">
        <v>2</v>
      </c>
      <c r="BE348" s="7">
        <v>2</v>
      </c>
      <c r="BF348" s="7">
        <v>2</v>
      </c>
      <c r="BG348" s="12">
        <f>SUM(data__22[[#This Row],[N1]:[N4]],data__22[[#This Row],[N10]:[N13]],data__22[[#This Row],[N16]:[N18]])/11</f>
        <v>2</v>
      </c>
      <c r="BH348" s="13">
        <f>SUM(data__22[[#This Row],[N8]:[N9]],data__22[[#This Row],[N23]:[N25]])/5</f>
        <v>2</v>
      </c>
      <c r="BI348" s="12">
        <f>SUM(data__22[[#This Row],[N5]:[N7]])/3</f>
        <v>2</v>
      </c>
      <c r="BJ348" s="12">
        <f>SUM(data__22[[#This Row],[N14]:[N15]],data__22[[#This Row],[N19]:[N22]],data__22[[#This Row],[N26]:[N28]])/9</f>
        <v>2</v>
      </c>
      <c r="BK348" s="12">
        <f>SUM(data__22[[#This Row],[N29]:[N33]])/5</f>
        <v>2</v>
      </c>
      <c r="BL348" s="12">
        <f>SUM(data__22[[#This Row],[N34]:[N36]])/3</f>
        <v>2</v>
      </c>
    </row>
    <row r="349" spans="1:64" x14ac:dyDescent="0.3">
      <c r="A349" s="7">
        <v>22</v>
      </c>
      <c r="B349" s="7" t="s">
        <v>70</v>
      </c>
      <c r="C349" s="7" t="s">
        <v>96</v>
      </c>
      <c r="D349" s="7" t="s">
        <v>72</v>
      </c>
      <c r="E349" s="7" t="s">
        <v>114</v>
      </c>
      <c r="F349" s="7" t="s">
        <v>74</v>
      </c>
      <c r="G349" s="7" t="s">
        <v>440</v>
      </c>
      <c r="H349" s="7" t="s">
        <v>74</v>
      </c>
      <c r="I349" s="7" t="s">
        <v>76</v>
      </c>
      <c r="J349" s="7" t="s">
        <v>77</v>
      </c>
      <c r="K349" s="7" t="s">
        <v>122</v>
      </c>
      <c r="L349" s="8" t="s">
        <v>79</v>
      </c>
      <c r="M349" s="8" t="s">
        <v>102</v>
      </c>
      <c r="N349" s="8" t="s">
        <v>79</v>
      </c>
      <c r="O349" s="8" t="s">
        <v>81</v>
      </c>
      <c r="P349" s="8" t="s">
        <v>79</v>
      </c>
      <c r="Q349" s="8" t="s">
        <v>83</v>
      </c>
      <c r="R349" s="8" t="s">
        <v>79</v>
      </c>
      <c r="S349" s="8" t="s">
        <v>82</v>
      </c>
      <c r="T349" s="8" t="s">
        <v>86</v>
      </c>
      <c r="U349" s="8" t="s">
        <v>141</v>
      </c>
      <c r="V349" s="8" t="s">
        <v>112</v>
      </c>
      <c r="W349" s="9">
        <v>2</v>
      </c>
      <c r="X349" s="9">
        <v>2</v>
      </c>
      <c r="Y349" s="9">
        <v>2</v>
      </c>
      <c r="Z349" s="9">
        <v>2</v>
      </c>
      <c r="AA349" s="9">
        <v>2</v>
      </c>
      <c r="AB349" s="9">
        <v>2</v>
      </c>
      <c r="AC349" s="9">
        <v>2</v>
      </c>
      <c r="AD349" s="9">
        <v>2</v>
      </c>
      <c r="AE349" s="9">
        <v>2</v>
      </c>
      <c r="AF349" s="9">
        <v>2</v>
      </c>
      <c r="AG349" s="9">
        <v>2</v>
      </c>
      <c r="AH349" s="9">
        <v>2</v>
      </c>
      <c r="AI349" s="9">
        <v>2</v>
      </c>
      <c r="AJ349" s="9">
        <v>2</v>
      </c>
      <c r="AK349" s="9">
        <v>2</v>
      </c>
      <c r="AL349" s="10">
        <v>2</v>
      </c>
      <c r="AM349" s="10">
        <v>2</v>
      </c>
      <c r="AN349" s="10">
        <v>2</v>
      </c>
      <c r="AO349" s="10">
        <v>2</v>
      </c>
      <c r="AP349" s="10">
        <v>2</v>
      </c>
      <c r="AQ349" s="10">
        <v>2</v>
      </c>
      <c r="AR349" s="10">
        <v>2</v>
      </c>
      <c r="AS349" s="11">
        <v>2</v>
      </c>
      <c r="AT349" s="11">
        <v>2</v>
      </c>
      <c r="AU349" s="11">
        <v>2</v>
      </c>
      <c r="AV349" s="11">
        <v>2</v>
      </c>
      <c r="AW349" s="11">
        <v>2</v>
      </c>
      <c r="AX349" s="11">
        <v>2</v>
      </c>
      <c r="AY349" s="7">
        <v>2</v>
      </c>
      <c r="AZ349" s="7">
        <v>2</v>
      </c>
      <c r="BA349" s="7">
        <v>2</v>
      </c>
      <c r="BB349" s="7">
        <v>2</v>
      </c>
      <c r="BC349" s="7">
        <v>2</v>
      </c>
      <c r="BD349" s="7">
        <v>2</v>
      </c>
      <c r="BE349" s="7">
        <v>2</v>
      </c>
      <c r="BF349" s="7">
        <v>2</v>
      </c>
      <c r="BG349" s="12">
        <f>SUM(data__22[[#This Row],[N1]:[N4]],data__22[[#This Row],[N10]:[N13]],data__22[[#This Row],[N16]:[N18]])/11</f>
        <v>2</v>
      </c>
      <c r="BH349" s="13">
        <f>SUM(data__22[[#This Row],[N8]:[N9]],data__22[[#This Row],[N23]:[N25]])/5</f>
        <v>2</v>
      </c>
      <c r="BI349" s="12">
        <f>SUM(data__22[[#This Row],[N5]:[N7]])/3</f>
        <v>2</v>
      </c>
      <c r="BJ349" s="12">
        <f>SUM(data__22[[#This Row],[N14]:[N15]],data__22[[#This Row],[N19]:[N22]],data__22[[#This Row],[N26]:[N28]])/9</f>
        <v>2</v>
      </c>
      <c r="BK349" s="12">
        <f>SUM(data__22[[#This Row],[N29]:[N33]])/5</f>
        <v>2</v>
      </c>
      <c r="BL349" s="12">
        <f>SUM(data__22[[#This Row],[N34]:[N36]])/3</f>
        <v>2</v>
      </c>
    </row>
    <row r="350" spans="1:64" x14ac:dyDescent="0.3">
      <c r="A350" s="7">
        <v>22</v>
      </c>
      <c r="B350" s="7" t="s">
        <v>70</v>
      </c>
      <c r="C350" s="7" t="s">
        <v>113</v>
      </c>
      <c r="D350" s="7" t="s">
        <v>72</v>
      </c>
      <c r="E350" s="7" t="s">
        <v>73</v>
      </c>
      <c r="F350" s="7" t="s">
        <v>74</v>
      </c>
      <c r="G350" s="7" t="s">
        <v>439</v>
      </c>
      <c r="H350" s="7" t="s">
        <v>136</v>
      </c>
      <c r="I350" s="7" t="s">
        <v>76</v>
      </c>
      <c r="J350" s="7" t="s">
        <v>77</v>
      </c>
      <c r="K350" s="7" t="s">
        <v>122</v>
      </c>
      <c r="L350" s="8" t="s">
        <v>82</v>
      </c>
      <c r="M350" s="8" t="s">
        <v>80</v>
      </c>
      <c r="N350" s="8" t="s">
        <v>79</v>
      </c>
      <c r="O350" s="8" t="s">
        <v>81</v>
      </c>
      <c r="P350" s="8" t="s">
        <v>79</v>
      </c>
      <c r="Q350" s="8" t="s">
        <v>103</v>
      </c>
      <c r="R350" s="8" t="s">
        <v>79</v>
      </c>
      <c r="S350" s="8" t="s">
        <v>79</v>
      </c>
      <c r="T350" s="8" t="s">
        <v>86</v>
      </c>
      <c r="U350" s="8" t="s">
        <v>141</v>
      </c>
      <c r="V350" s="8" t="s">
        <v>112</v>
      </c>
      <c r="W350" s="9">
        <v>3</v>
      </c>
      <c r="X350" s="9">
        <v>2</v>
      </c>
      <c r="Y350" s="9">
        <v>3</v>
      </c>
      <c r="Z350" s="9">
        <v>3</v>
      </c>
      <c r="AA350" s="9">
        <v>2</v>
      </c>
      <c r="AB350" s="9">
        <v>1</v>
      </c>
      <c r="AC350" s="9">
        <v>1</v>
      </c>
      <c r="AD350" s="9">
        <v>3</v>
      </c>
      <c r="AE350" s="9">
        <v>2</v>
      </c>
      <c r="AF350" s="9">
        <v>3</v>
      </c>
      <c r="AG350" s="9">
        <v>3</v>
      </c>
      <c r="AH350" s="9">
        <v>3</v>
      </c>
      <c r="AI350" s="9">
        <v>3</v>
      </c>
      <c r="AJ350" s="9">
        <v>0</v>
      </c>
      <c r="AK350" s="9">
        <v>0</v>
      </c>
      <c r="AL350" s="10">
        <v>3</v>
      </c>
      <c r="AM350" s="10">
        <v>3</v>
      </c>
      <c r="AN350" s="10">
        <v>3</v>
      </c>
      <c r="AO350" s="10">
        <v>0</v>
      </c>
      <c r="AP350" s="10">
        <v>0</v>
      </c>
      <c r="AQ350" s="10">
        <v>0</v>
      </c>
      <c r="AR350" s="10">
        <v>0</v>
      </c>
      <c r="AS350" s="11">
        <v>2</v>
      </c>
      <c r="AT350" s="11">
        <v>2</v>
      </c>
      <c r="AU350" s="11">
        <v>1</v>
      </c>
      <c r="AV350" s="11">
        <v>1</v>
      </c>
      <c r="AW350" s="11">
        <v>0</v>
      </c>
      <c r="AX350" s="11">
        <v>0</v>
      </c>
      <c r="AY350" s="7">
        <v>3</v>
      </c>
      <c r="AZ350" s="7">
        <v>3</v>
      </c>
      <c r="BA350" s="7">
        <v>3</v>
      </c>
      <c r="BB350" s="7">
        <v>3</v>
      </c>
      <c r="BC350" s="7">
        <v>3</v>
      </c>
      <c r="BD350" s="7">
        <v>0</v>
      </c>
      <c r="BE350" s="7">
        <v>1</v>
      </c>
      <c r="BF350" s="7">
        <v>0</v>
      </c>
      <c r="BG350" s="12">
        <f>SUM(data__22[[#This Row],[N1]:[N4]],data__22[[#This Row],[N10]:[N13]],data__22[[#This Row],[N16]:[N18]])/11</f>
        <v>2.9090909090909092</v>
      </c>
      <c r="BH350" s="13">
        <f>SUM(data__22[[#This Row],[N8]:[N9]],data__22[[#This Row],[N23]:[N25]])/5</f>
        <v>2</v>
      </c>
      <c r="BI350" s="12">
        <f>SUM(data__22[[#This Row],[N5]:[N7]])/3</f>
        <v>1.3333333333333333</v>
      </c>
      <c r="BJ350" s="12">
        <f>SUM(data__22[[#This Row],[N14]:[N15]],data__22[[#This Row],[N19]:[N22]],data__22[[#This Row],[N26]:[N28]])/9</f>
        <v>0.1111111111111111</v>
      </c>
      <c r="BK350" s="12">
        <f>SUM(data__22[[#This Row],[N29]:[N33]])/5</f>
        <v>3</v>
      </c>
      <c r="BL350" s="12">
        <f>SUM(data__22[[#This Row],[N34]:[N36]])/3</f>
        <v>0.33333333333333331</v>
      </c>
    </row>
    <row r="351" spans="1:64" x14ac:dyDescent="0.3">
      <c r="A351" s="7">
        <v>21</v>
      </c>
      <c r="B351" s="7" t="s">
        <v>70</v>
      </c>
      <c r="C351" s="7" t="s">
        <v>96</v>
      </c>
      <c r="D351" s="7" t="s">
        <v>72</v>
      </c>
      <c r="E351" s="7" t="s">
        <v>114</v>
      </c>
      <c r="F351" s="7" t="s">
        <v>74</v>
      </c>
      <c r="G351" s="7" t="s">
        <v>439</v>
      </c>
      <c r="H351" s="7" t="s">
        <v>100</v>
      </c>
      <c r="I351" s="7" t="s">
        <v>76</v>
      </c>
      <c r="J351" s="7" t="s">
        <v>77</v>
      </c>
      <c r="K351" s="7" t="s">
        <v>122</v>
      </c>
      <c r="L351" s="8" t="s">
        <v>79</v>
      </c>
      <c r="M351" s="8" t="s">
        <v>80</v>
      </c>
      <c r="N351" s="8" t="s">
        <v>82</v>
      </c>
      <c r="O351" s="8" t="s">
        <v>81</v>
      </c>
      <c r="P351" s="8" t="s">
        <v>79</v>
      </c>
      <c r="Q351" s="8" t="s">
        <v>103</v>
      </c>
      <c r="R351" s="8" t="s">
        <v>79</v>
      </c>
      <c r="S351" s="8" t="s">
        <v>82</v>
      </c>
      <c r="T351" s="8" t="s">
        <v>148</v>
      </c>
      <c r="U351" s="8" t="s">
        <v>141</v>
      </c>
      <c r="V351" s="8" t="s">
        <v>455</v>
      </c>
      <c r="W351" s="9">
        <v>2</v>
      </c>
      <c r="X351" s="9">
        <v>2</v>
      </c>
      <c r="Y351" s="9">
        <v>3</v>
      </c>
      <c r="Z351" s="9">
        <v>2</v>
      </c>
      <c r="AA351" s="9">
        <v>1</v>
      </c>
      <c r="AB351" s="9">
        <v>1</v>
      </c>
      <c r="AC351" s="9">
        <v>0</v>
      </c>
      <c r="AD351" s="9">
        <v>1</v>
      </c>
      <c r="AE351" s="9">
        <v>0</v>
      </c>
      <c r="AF351" s="9">
        <v>0</v>
      </c>
      <c r="AG351" s="9">
        <v>3</v>
      </c>
      <c r="AH351" s="9">
        <v>2</v>
      </c>
      <c r="AI351" s="9">
        <v>2</v>
      </c>
      <c r="AJ351" s="9">
        <v>0</v>
      </c>
      <c r="AK351" s="9">
        <v>1</v>
      </c>
      <c r="AL351" s="10">
        <v>3</v>
      </c>
      <c r="AM351" s="10">
        <v>3</v>
      </c>
      <c r="AN351" s="10">
        <v>3</v>
      </c>
      <c r="AO351" s="10">
        <v>1</v>
      </c>
      <c r="AP351" s="10">
        <v>1</v>
      </c>
      <c r="AQ351" s="10">
        <v>0</v>
      </c>
      <c r="AR351" s="10">
        <v>0</v>
      </c>
      <c r="AS351" s="11">
        <v>1</v>
      </c>
      <c r="AT351" s="11">
        <v>1</v>
      </c>
      <c r="AU351" s="11">
        <v>2</v>
      </c>
      <c r="AV351" s="11">
        <v>1</v>
      </c>
      <c r="AW351" s="11">
        <v>1</v>
      </c>
      <c r="AX351" s="11">
        <v>1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12">
        <f>SUM(data__22[[#This Row],[N1]:[N4]],data__22[[#This Row],[N10]:[N13]],data__22[[#This Row],[N16]:[N18]])/11</f>
        <v>2.2727272727272729</v>
      </c>
      <c r="BH351" s="13">
        <f>SUM(data__22[[#This Row],[N8]:[N9]],data__22[[#This Row],[N23]:[N25]])/5</f>
        <v>1</v>
      </c>
      <c r="BI351" s="12">
        <f>SUM(data__22[[#This Row],[N5]:[N7]])/3</f>
        <v>0.66666666666666663</v>
      </c>
      <c r="BJ351" s="12">
        <f>SUM(data__22[[#This Row],[N14]:[N15]],data__22[[#This Row],[N19]:[N22]],data__22[[#This Row],[N26]:[N28]])/9</f>
        <v>0.66666666666666663</v>
      </c>
      <c r="BK351" s="12">
        <f>SUM(data__22[[#This Row],[N29]:[N33]])/5</f>
        <v>0</v>
      </c>
      <c r="BL351" s="12">
        <f>SUM(data__22[[#This Row],[N34]:[N36]])/3</f>
        <v>0</v>
      </c>
    </row>
    <row r="352" spans="1:64" x14ac:dyDescent="0.3">
      <c r="A352" s="7">
        <v>21</v>
      </c>
      <c r="B352" s="7" t="s">
        <v>70</v>
      </c>
      <c r="C352" s="7" t="s">
        <v>96</v>
      </c>
      <c r="D352" s="7" t="s">
        <v>72</v>
      </c>
      <c r="E352" s="7" t="s">
        <v>114</v>
      </c>
      <c r="F352" s="7" t="s">
        <v>165</v>
      </c>
      <c r="G352" s="7" t="s">
        <v>439</v>
      </c>
      <c r="H352" s="7" t="s">
        <v>98</v>
      </c>
      <c r="I352" s="7" t="s">
        <v>76</v>
      </c>
      <c r="J352" s="7" t="s">
        <v>77</v>
      </c>
      <c r="K352" s="7" t="s">
        <v>125</v>
      </c>
      <c r="L352" s="8" t="s">
        <v>79</v>
      </c>
      <c r="M352" s="8" t="s">
        <v>80</v>
      </c>
      <c r="N352" s="8" t="s">
        <v>79</v>
      </c>
      <c r="O352" s="8" t="s">
        <v>109</v>
      </c>
      <c r="P352" s="8" t="s">
        <v>79</v>
      </c>
      <c r="Q352" s="8" t="s">
        <v>83</v>
      </c>
      <c r="R352" s="8" t="s">
        <v>79</v>
      </c>
      <c r="S352" s="8" t="s">
        <v>82</v>
      </c>
      <c r="T352" s="8" t="s">
        <v>106</v>
      </c>
      <c r="U352" s="8" t="s">
        <v>87</v>
      </c>
      <c r="V352" s="8" t="s">
        <v>112</v>
      </c>
      <c r="W352" s="9">
        <v>3</v>
      </c>
      <c r="X352" s="9">
        <v>3</v>
      </c>
      <c r="Y352" s="9">
        <v>3</v>
      </c>
      <c r="Z352" s="9">
        <v>3</v>
      </c>
      <c r="AA352" s="9">
        <v>0</v>
      </c>
      <c r="AB352" s="9">
        <v>0</v>
      </c>
      <c r="AC352" s="9">
        <v>2</v>
      </c>
      <c r="AD352" s="9">
        <v>0</v>
      </c>
      <c r="AE352" s="9">
        <v>0</v>
      </c>
      <c r="AF352" s="9">
        <v>0</v>
      </c>
      <c r="AG352" s="9">
        <v>3</v>
      </c>
      <c r="AH352" s="9">
        <v>0</v>
      </c>
      <c r="AI352" s="9">
        <v>0</v>
      </c>
      <c r="AJ352" s="9">
        <v>2</v>
      </c>
      <c r="AK352" s="9">
        <v>1</v>
      </c>
      <c r="AL352" s="10">
        <v>2</v>
      </c>
      <c r="AM352" s="10">
        <v>2</v>
      </c>
      <c r="AN352" s="10">
        <v>2</v>
      </c>
      <c r="AO352" s="10">
        <v>3</v>
      </c>
      <c r="AP352" s="10">
        <v>3</v>
      </c>
      <c r="AQ352" s="10">
        <v>0</v>
      </c>
      <c r="AR352" s="10">
        <v>0</v>
      </c>
      <c r="AS352" s="11">
        <v>0</v>
      </c>
      <c r="AT352" s="11">
        <v>0</v>
      </c>
      <c r="AU352" s="11">
        <v>3</v>
      </c>
      <c r="AV352" s="11">
        <v>2</v>
      </c>
      <c r="AW352" s="11">
        <v>1</v>
      </c>
      <c r="AX352" s="11">
        <v>1</v>
      </c>
      <c r="AY352" s="7">
        <v>3</v>
      </c>
      <c r="AZ352" s="7">
        <v>3</v>
      </c>
      <c r="BA352" s="7">
        <v>3</v>
      </c>
      <c r="BB352" s="7">
        <v>1</v>
      </c>
      <c r="BC352" s="7">
        <v>1</v>
      </c>
      <c r="BD352" s="7">
        <v>1</v>
      </c>
      <c r="BE352" s="7">
        <v>1</v>
      </c>
      <c r="BF352" s="7">
        <v>0</v>
      </c>
      <c r="BG352" s="12">
        <f>SUM(data__22[[#This Row],[N1]:[N4]],data__22[[#This Row],[N10]:[N13]],data__22[[#This Row],[N16]:[N18]])/11</f>
        <v>1.9090909090909092</v>
      </c>
      <c r="BH352" s="13">
        <f>SUM(data__22[[#This Row],[N8]:[N9]],data__22[[#This Row],[N23]:[N25]])/5</f>
        <v>0.6</v>
      </c>
      <c r="BI352" s="12">
        <f>SUM(data__22[[#This Row],[N5]:[N7]])/3</f>
        <v>0.66666666666666663</v>
      </c>
      <c r="BJ352" s="12">
        <f>SUM(data__22[[#This Row],[N14]:[N15]],data__22[[#This Row],[N19]:[N22]],data__22[[#This Row],[N26]:[N28]])/9</f>
        <v>1.4444444444444444</v>
      </c>
      <c r="BK352" s="12">
        <f>SUM(data__22[[#This Row],[N29]:[N33]])/5</f>
        <v>2.2000000000000002</v>
      </c>
      <c r="BL352" s="12">
        <f>SUM(data__22[[#This Row],[N34]:[N36]])/3</f>
        <v>0.66666666666666663</v>
      </c>
    </row>
    <row r="353" spans="1:64" x14ac:dyDescent="0.3">
      <c r="A353" s="7">
        <v>21</v>
      </c>
      <c r="B353" s="7" t="s">
        <v>70</v>
      </c>
      <c r="C353" s="7" t="s">
        <v>96</v>
      </c>
      <c r="D353" s="7" t="s">
        <v>72</v>
      </c>
      <c r="E353" s="7" t="s">
        <v>114</v>
      </c>
      <c r="F353" s="7" t="s">
        <v>136</v>
      </c>
      <c r="G353" s="7" t="s">
        <v>439</v>
      </c>
      <c r="H353" s="7" t="s">
        <v>98</v>
      </c>
      <c r="I353" s="7" t="s">
        <v>76</v>
      </c>
      <c r="J353" s="7" t="s">
        <v>77</v>
      </c>
      <c r="K353" s="7" t="s">
        <v>122</v>
      </c>
      <c r="L353" s="8" t="s">
        <v>79</v>
      </c>
      <c r="M353" s="8" t="s">
        <v>80</v>
      </c>
      <c r="N353" s="8" t="s">
        <v>79</v>
      </c>
      <c r="O353" s="8" t="s">
        <v>117</v>
      </c>
      <c r="P353" s="8" t="s">
        <v>79</v>
      </c>
      <c r="Q353" s="8" t="s">
        <v>83</v>
      </c>
      <c r="R353" s="8" t="s">
        <v>79</v>
      </c>
      <c r="S353" s="8" t="s">
        <v>82</v>
      </c>
      <c r="T353" s="8" t="s">
        <v>106</v>
      </c>
      <c r="U353" s="8" t="s">
        <v>120</v>
      </c>
      <c r="V353" s="8" t="s">
        <v>112</v>
      </c>
      <c r="W353" s="9">
        <v>1</v>
      </c>
      <c r="X353" s="9">
        <v>2</v>
      </c>
      <c r="Y353" s="9">
        <v>2</v>
      </c>
      <c r="Z353" s="9">
        <v>0</v>
      </c>
      <c r="AA353" s="9">
        <v>3</v>
      </c>
      <c r="AB353" s="9">
        <v>3</v>
      </c>
      <c r="AC353" s="9">
        <v>3</v>
      </c>
      <c r="AD353" s="9">
        <v>0</v>
      </c>
      <c r="AE353" s="9">
        <v>1</v>
      </c>
      <c r="AF353" s="9">
        <v>3</v>
      </c>
      <c r="AG353" s="9">
        <v>3</v>
      </c>
      <c r="AH353" s="9">
        <v>3</v>
      </c>
      <c r="AI353" s="9">
        <v>1</v>
      </c>
      <c r="AJ353" s="9">
        <v>3</v>
      </c>
      <c r="AK353" s="9">
        <v>3</v>
      </c>
      <c r="AL353" s="10">
        <v>2</v>
      </c>
      <c r="AM353" s="10">
        <v>3</v>
      </c>
      <c r="AN353" s="10">
        <v>3</v>
      </c>
      <c r="AO353" s="10">
        <v>1</v>
      </c>
      <c r="AP353" s="10">
        <v>1</v>
      </c>
      <c r="AQ353" s="10">
        <v>0</v>
      </c>
      <c r="AR353" s="10">
        <v>1</v>
      </c>
      <c r="AS353" s="11">
        <v>0</v>
      </c>
      <c r="AT353" s="11">
        <v>1</v>
      </c>
      <c r="AU353" s="11">
        <v>2</v>
      </c>
      <c r="AV353" s="11">
        <v>0</v>
      </c>
      <c r="AW353" s="11">
        <v>0</v>
      </c>
      <c r="AX353" s="11">
        <v>0</v>
      </c>
      <c r="AY353" s="7">
        <v>2</v>
      </c>
      <c r="AZ353" s="7">
        <v>2</v>
      </c>
      <c r="BA353" s="7">
        <v>3</v>
      </c>
      <c r="BB353" s="7">
        <v>3</v>
      </c>
      <c r="BC353" s="7">
        <v>3</v>
      </c>
      <c r="BD353" s="7">
        <v>0</v>
      </c>
      <c r="BE353" s="7">
        <v>3</v>
      </c>
      <c r="BF353" s="7">
        <v>3</v>
      </c>
      <c r="BG353" s="12">
        <f>SUM(data__22[[#This Row],[N1]:[N4]],data__22[[#This Row],[N10]:[N13]],data__22[[#This Row],[N16]:[N18]])/11</f>
        <v>2.0909090909090908</v>
      </c>
      <c r="BH353" s="13">
        <f>SUM(data__22[[#This Row],[N8]:[N9]],data__22[[#This Row],[N23]:[N25]])/5</f>
        <v>0.8</v>
      </c>
      <c r="BI353" s="12">
        <f>SUM(data__22[[#This Row],[N5]:[N7]])/3</f>
        <v>3</v>
      </c>
      <c r="BJ353" s="12">
        <f>SUM(data__22[[#This Row],[N14]:[N15]],data__22[[#This Row],[N19]:[N22]],data__22[[#This Row],[N26]:[N28]])/9</f>
        <v>1</v>
      </c>
      <c r="BK353" s="12">
        <f>SUM(data__22[[#This Row],[N29]:[N33]])/5</f>
        <v>2.6</v>
      </c>
      <c r="BL353" s="12">
        <f>SUM(data__22[[#This Row],[N34]:[N36]])/3</f>
        <v>2</v>
      </c>
    </row>
    <row r="354" spans="1:64" x14ac:dyDescent="0.3">
      <c r="A354" s="7">
        <v>23</v>
      </c>
      <c r="B354" s="7" t="s">
        <v>70</v>
      </c>
      <c r="C354" s="7" t="s">
        <v>113</v>
      </c>
      <c r="D354" s="7" t="s">
        <v>72</v>
      </c>
      <c r="E354" s="7" t="s">
        <v>108</v>
      </c>
      <c r="F354" s="7" t="s">
        <v>74</v>
      </c>
      <c r="G354" s="7" t="s">
        <v>439</v>
      </c>
      <c r="H354" s="7" t="s">
        <v>74</v>
      </c>
      <c r="I354" s="7" t="s">
        <v>439</v>
      </c>
      <c r="J354" s="7" t="s">
        <v>77</v>
      </c>
      <c r="K354" s="7" t="s">
        <v>78</v>
      </c>
      <c r="L354" s="8" t="s">
        <v>79</v>
      </c>
      <c r="M354" s="8" t="s">
        <v>80</v>
      </c>
      <c r="N354" s="8" t="s">
        <v>79</v>
      </c>
      <c r="O354" s="8" t="s">
        <v>179</v>
      </c>
      <c r="P354" s="8" t="s">
        <v>79</v>
      </c>
      <c r="Q354" s="8" t="s">
        <v>83</v>
      </c>
      <c r="R354" s="8" t="s">
        <v>79</v>
      </c>
      <c r="S354" s="8" t="s">
        <v>79</v>
      </c>
      <c r="T354" s="8" t="s">
        <v>106</v>
      </c>
      <c r="U354" s="8" t="s">
        <v>141</v>
      </c>
      <c r="V354" s="8" t="s">
        <v>127</v>
      </c>
      <c r="W354" s="9">
        <v>1</v>
      </c>
      <c r="X354" s="9">
        <v>1</v>
      </c>
      <c r="Y354" s="9">
        <v>1</v>
      </c>
      <c r="Z354" s="9">
        <v>1</v>
      </c>
      <c r="AA354" s="9">
        <v>1</v>
      </c>
      <c r="AB354" s="9">
        <v>1</v>
      </c>
      <c r="AC354" s="9">
        <v>1</v>
      </c>
      <c r="AD354" s="9">
        <v>1</v>
      </c>
      <c r="AE354" s="9">
        <v>1</v>
      </c>
      <c r="AF354" s="9">
        <v>1</v>
      </c>
      <c r="AG354" s="9">
        <v>1</v>
      </c>
      <c r="AH354" s="9">
        <v>1</v>
      </c>
      <c r="AI354" s="9">
        <v>1</v>
      </c>
      <c r="AJ354" s="9">
        <v>1</v>
      </c>
      <c r="AK354" s="9">
        <v>1</v>
      </c>
      <c r="AL354" s="10">
        <v>2</v>
      </c>
      <c r="AM354" s="10">
        <v>2</v>
      </c>
      <c r="AN354" s="10">
        <v>2</v>
      </c>
      <c r="AO354" s="10">
        <v>2</v>
      </c>
      <c r="AP354" s="10">
        <v>2</v>
      </c>
      <c r="AQ354" s="10">
        <v>2</v>
      </c>
      <c r="AR354" s="10">
        <v>2</v>
      </c>
      <c r="AS354" s="11">
        <v>1</v>
      </c>
      <c r="AT354" s="11">
        <v>1</v>
      </c>
      <c r="AU354" s="11">
        <v>1</v>
      </c>
      <c r="AV354" s="11">
        <v>1</v>
      </c>
      <c r="AW354" s="11">
        <v>1</v>
      </c>
      <c r="AX354" s="11">
        <v>1</v>
      </c>
      <c r="AY354" s="7">
        <v>2</v>
      </c>
      <c r="AZ354" s="7">
        <v>2</v>
      </c>
      <c r="BA354" s="7">
        <v>2</v>
      </c>
      <c r="BB354" s="7">
        <v>2</v>
      </c>
      <c r="BC354" s="7">
        <v>2</v>
      </c>
      <c r="BD354" s="7">
        <v>2</v>
      </c>
      <c r="BE354" s="7">
        <v>2</v>
      </c>
      <c r="BF354" s="7">
        <v>2</v>
      </c>
      <c r="BG354" s="12">
        <f>SUM(data__22[[#This Row],[N1]:[N4]],data__22[[#This Row],[N10]:[N13]],data__22[[#This Row],[N16]:[N18]])/11</f>
        <v>1.2727272727272727</v>
      </c>
      <c r="BH354" s="13">
        <f>SUM(data__22[[#This Row],[N8]:[N9]],data__22[[#This Row],[N23]:[N25]])/5</f>
        <v>1</v>
      </c>
      <c r="BI354" s="12">
        <f>SUM(data__22[[#This Row],[N5]:[N7]])/3</f>
        <v>1</v>
      </c>
      <c r="BJ354" s="12">
        <f>SUM(data__22[[#This Row],[N14]:[N15]],data__22[[#This Row],[N19]:[N22]],data__22[[#This Row],[N26]:[N28]])/9</f>
        <v>1.4444444444444444</v>
      </c>
      <c r="BK354" s="12">
        <f>SUM(data__22[[#This Row],[N29]:[N33]])/5</f>
        <v>2</v>
      </c>
      <c r="BL354" s="12">
        <f>SUM(data__22[[#This Row],[N34]:[N36]])/3</f>
        <v>2</v>
      </c>
    </row>
    <row r="355" spans="1:64" x14ac:dyDescent="0.3">
      <c r="A355" s="7">
        <v>24</v>
      </c>
      <c r="B355" s="7" t="s">
        <v>70</v>
      </c>
      <c r="C355" s="7" t="s">
        <v>96</v>
      </c>
      <c r="D355" s="7" t="s">
        <v>72</v>
      </c>
      <c r="E355" s="7" t="s">
        <v>73</v>
      </c>
      <c r="F355" s="7" t="s">
        <v>74</v>
      </c>
      <c r="G355" s="7" t="s">
        <v>439</v>
      </c>
      <c r="H355" s="7" t="s">
        <v>136</v>
      </c>
      <c r="I355" s="7" t="s">
        <v>76</v>
      </c>
      <c r="J355" s="7" t="s">
        <v>101</v>
      </c>
      <c r="K355" s="7" t="s">
        <v>125</v>
      </c>
      <c r="L355" s="8" t="s">
        <v>79</v>
      </c>
      <c r="M355" s="8" t="s">
        <v>80</v>
      </c>
      <c r="N355" s="8" t="s">
        <v>79</v>
      </c>
      <c r="O355" s="8" t="s">
        <v>117</v>
      </c>
      <c r="P355" s="8" t="s">
        <v>82</v>
      </c>
      <c r="Q355" s="8" t="s">
        <v>83</v>
      </c>
      <c r="R355" s="8" t="s">
        <v>82</v>
      </c>
      <c r="S355" s="8" t="s">
        <v>82</v>
      </c>
      <c r="T355" s="8" t="s">
        <v>106</v>
      </c>
      <c r="U355" s="8" t="s">
        <v>120</v>
      </c>
      <c r="V355" s="8" t="s">
        <v>112</v>
      </c>
      <c r="W355" s="9">
        <v>1</v>
      </c>
      <c r="X355" s="9">
        <v>2</v>
      </c>
      <c r="Y355" s="9">
        <v>3</v>
      </c>
      <c r="Z355" s="9">
        <v>3</v>
      </c>
      <c r="AA355" s="9">
        <v>1</v>
      </c>
      <c r="AB355" s="9">
        <v>1</v>
      </c>
      <c r="AC355" s="9">
        <v>0</v>
      </c>
      <c r="AD355" s="9">
        <v>2</v>
      </c>
      <c r="AE355" s="9">
        <v>1</v>
      </c>
      <c r="AF355" s="9">
        <v>1</v>
      </c>
      <c r="AG355" s="9">
        <v>3</v>
      </c>
      <c r="AH355" s="9">
        <v>2</v>
      </c>
      <c r="AI355" s="9">
        <v>2</v>
      </c>
      <c r="AJ355" s="9">
        <v>2</v>
      </c>
      <c r="AK355" s="9">
        <v>1</v>
      </c>
      <c r="AL355" s="10">
        <v>1</v>
      </c>
      <c r="AM355" s="10">
        <v>2</v>
      </c>
      <c r="AN355" s="10">
        <v>1</v>
      </c>
      <c r="AO355" s="10">
        <v>2</v>
      </c>
      <c r="AP355" s="10">
        <v>2</v>
      </c>
      <c r="AQ355" s="10">
        <v>1</v>
      </c>
      <c r="AR355" s="10">
        <v>1</v>
      </c>
      <c r="AS355" s="11">
        <v>2</v>
      </c>
      <c r="AT355" s="11">
        <v>1</v>
      </c>
      <c r="AU355" s="11">
        <v>2</v>
      </c>
      <c r="AV355" s="11">
        <v>1</v>
      </c>
      <c r="AW355" s="11">
        <v>2</v>
      </c>
      <c r="AX355" s="11">
        <v>1</v>
      </c>
      <c r="AY355" s="7">
        <v>1</v>
      </c>
      <c r="AZ355" s="7">
        <v>2</v>
      </c>
      <c r="BA355" s="7">
        <v>1</v>
      </c>
      <c r="BB355" s="7">
        <v>2</v>
      </c>
      <c r="BC355" s="7">
        <v>1</v>
      </c>
      <c r="BD355" s="7">
        <v>2</v>
      </c>
      <c r="BE355" s="7">
        <v>1</v>
      </c>
      <c r="BF355" s="7">
        <v>1</v>
      </c>
      <c r="BG355" s="12">
        <f>SUM(data__22[[#This Row],[N1]:[N4]],data__22[[#This Row],[N10]:[N13]],data__22[[#This Row],[N16]:[N18]])/11</f>
        <v>1.9090909090909092</v>
      </c>
      <c r="BH355" s="13">
        <f>SUM(data__22[[#This Row],[N8]:[N9]],data__22[[#This Row],[N23]:[N25]])/5</f>
        <v>1.6</v>
      </c>
      <c r="BI355" s="12">
        <f>SUM(data__22[[#This Row],[N5]:[N7]])/3</f>
        <v>0.66666666666666663</v>
      </c>
      <c r="BJ355" s="12">
        <f>SUM(data__22[[#This Row],[N14]:[N15]],data__22[[#This Row],[N19]:[N22]],data__22[[#This Row],[N26]:[N28]])/9</f>
        <v>1.4444444444444444</v>
      </c>
      <c r="BK355" s="12">
        <f>SUM(data__22[[#This Row],[N29]:[N33]])/5</f>
        <v>1.4</v>
      </c>
      <c r="BL355" s="12">
        <f>SUM(data__22[[#This Row],[N34]:[N36]])/3</f>
        <v>1.3333333333333333</v>
      </c>
    </row>
    <row r="356" spans="1:64" x14ac:dyDescent="0.3">
      <c r="A356" s="7">
        <v>22</v>
      </c>
      <c r="B356" s="7" t="s">
        <v>70</v>
      </c>
      <c r="C356" s="7" t="s">
        <v>96</v>
      </c>
      <c r="D356" s="7" t="s">
        <v>72</v>
      </c>
      <c r="E356" s="7" t="s">
        <v>108</v>
      </c>
      <c r="F356" s="7" t="s">
        <v>74</v>
      </c>
      <c r="G356" s="7" t="s">
        <v>99</v>
      </c>
      <c r="H356" s="7" t="s">
        <v>98</v>
      </c>
      <c r="I356" s="7" t="s">
        <v>76</v>
      </c>
      <c r="J356" s="7" t="s">
        <v>101</v>
      </c>
      <c r="K356" s="7" t="s">
        <v>125</v>
      </c>
      <c r="L356" s="8" t="s">
        <v>82</v>
      </c>
      <c r="M356" s="8" t="s">
        <v>80</v>
      </c>
      <c r="N356" s="8" t="s">
        <v>79</v>
      </c>
      <c r="O356" s="8" t="s">
        <v>109</v>
      </c>
      <c r="P356" s="8" t="s">
        <v>82</v>
      </c>
      <c r="Q356" s="8" t="s">
        <v>103</v>
      </c>
      <c r="R356" s="8" t="s">
        <v>82</v>
      </c>
      <c r="S356" s="8" t="s">
        <v>82</v>
      </c>
      <c r="T356" s="8" t="s">
        <v>106</v>
      </c>
      <c r="U356" s="8" t="s">
        <v>141</v>
      </c>
      <c r="V356" s="8" t="s">
        <v>112</v>
      </c>
      <c r="W356" s="9">
        <v>2</v>
      </c>
      <c r="X356" s="9">
        <v>2</v>
      </c>
      <c r="Y356" s="9">
        <v>3</v>
      </c>
      <c r="Z356" s="9">
        <v>3</v>
      </c>
      <c r="AA356" s="9">
        <v>1</v>
      </c>
      <c r="AB356" s="9">
        <v>0</v>
      </c>
      <c r="AC356" s="9">
        <v>1</v>
      </c>
      <c r="AD356" s="9">
        <v>3</v>
      </c>
      <c r="AE356" s="9">
        <v>1</v>
      </c>
      <c r="AF356" s="9">
        <v>1</v>
      </c>
      <c r="AG356" s="9">
        <v>3</v>
      </c>
      <c r="AH356" s="9">
        <v>3</v>
      </c>
      <c r="AI356" s="9">
        <v>3</v>
      </c>
      <c r="AJ356" s="9">
        <v>3</v>
      </c>
      <c r="AK356" s="9">
        <v>3</v>
      </c>
      <c r="AL356" s="10">
        <v>2</v>
      </c>
      <c r="AM356" s="10">
        <v>2</v>
      </c>
      <c r="AN356" s="10">
        <v>2</v>
      </c>
      <c r="AO356" s="10">
        <v>3</v>
      </c>
      <c r="AP356" s="10">
        <v>2</v>
      </c>
      <c r="AQ356" s="10">
        <v>3</v>
      </c>
      <c r="AR356" s="10">
        <v>2</v>
      </c>
      <c r="AS356" s="11">
        <v>2</v>
      </c>
      <c r="AT356" s="11">
        <v>1</v>
      </c>
      <c r="AU356" s="11">
        <v>2</v>
      </c>
      <c r="AV356" s="11">
        <v>2</v>
      </c>
      <c r="AW356" s="11">
        <v>1</v>
      </c>
      <c r="AX356" s="11">
        <v>0</v>
      </c>
      <c r="AY356" s="7">
        <v>0</v>
      </c>
      <c r="AZ356" s="7">
        <v>1</v>
      </c>
      <c r="BA356" s="7">
        <v>1</v>
      </c>
      <c r="BB356" s="7">
        <v>2</v>
      </c>
      <c r="BC356" s="7">
        <v>2</v>
      </c>
      <c r="BD356" s="7">
        <v>2</v>
      </c>
      <c r="BE356" s="7">
        <v>2</v>
      </c>
      <c r="BF356" s="7">
        <v>2</v>
      </c>
      <c r="BG356" s="12">
        <f>SUM(data__22[[#This Row],[N1]:[N4]],data__22[[#This Row],[N10]:[N13]],data__22[[#This Row],[N16]:[N18]])/11</f>
        <v>2.3636363636363638</v>
      </c>
      <c r="BH356" s="13">
        <f>SUM(data__22[[#This Row],[N8]:[N9]],data__22[[#This Row],[N23]:[N25]])/5</f>
        <v>1.8</v>
      </c>
      <c r="BI356" s="12">
        <f>SUM(data__22[[#This Row],[N5]:[N7]])/3</f>
        <v>0.66666666666666663</v>
      </c>
      <c r="BJ356" s="12">
        <f>SUM(data__22[[#This Row],[N14]:[N15]],data__22[[#This Row],[N19]:[N22]],data__22[[#This Row],[N26]:[N28]])/9</f>
        <v>2.1111111111111112</v>
      </c>
      <c r="BK356" s="12">
        <f>SUM(data__22[[#This Row],[N29]:[N33]])/5</f>
        <v>1.2</v>
      </c>
      <c r="BL356" s="12">
        <f>SUM(data__22[[#This Row],[N34]:[N36]])/3</f>
        <v>2</v>
      </c>
    </row>
    <row r="357" spans="1:64" x14ac:dyDescent="0.3">
      <c r="A357" s="7">
        <v>20</v>
      </c>
      <c r="B357" s="7" t="s">
        <v>70</v>
      </c>
      <c r="C357" s="7" t="s">
        <v>157</v>
      </c>
      <c r="D357" s="7" t="s">
        <v>72</v>
      </c>
      <c r="E357" s="7" t="s">
        <v>73</v>
      </c>
      <c r="F357" s="7" t="s">
        <v>74</v>
      </c>
      <c r="G357" s="7" t="s">
        <v>440</v>
      </c>
      <c r="H357" s="7" t="s">
        <v>74</v>
      </c>
      <c r="I357" s="7" t="s">
        <v>439</v>
      </c>
      <c r="J357" s="7" t="s">
        <v>77</v>
      </c>
      <c r="K357" s="7" t="s">
        <v>78</v>
      </c>
      <c r="L357" s="8" t="s">
        <v>79</v>
      </c>
      <c r="M357" s="8" t="s">
        <v>80</v>
      </c>
      <c r="N357" s="8" t="s">
        <v>79</v>
      </c>
      <c r="O357" s="8" t="s">
        <v>179</v>
      </c>
      <c r="P357" s="8" t="s">
        <v>82</v>
      </c>
      <c r="Q357" s="8" t="s">
        <v>103</v>
      </c>
      <c r="R357" s="8" t="s">
        <v>79</v>
      </c>
      <c r="S357" s="8" t="s">
        <v>79</v>
      </c>
      <c r="T357" s="8" t="s">
        <v>86</v>
      </c>
      <c r="U357" s="8" t="s">
        <v>87</v>
      </c>
      <c r="V357" s="8" t="s">
        <v>112</v>
      </c>
      <c r="W357" s="9">
        <v>3</v>
      </c>
      <c r="X357" s="9">
        <v>3</v>
      </c>
      <c r="Y357" s="9">
        <v>3</v>
      </c>
      <c r="Z357" s="9">
        <v>3</v>
      </c>
      <c r="AA357" s="9">
        <v>1</v>
      </c>
      <c r="AB357" s="9">
        <v>3</v>
      </c>
      <c r="AC357" s="9">
        <v>1</v>
      </c>
      <c r="AD357" s="9">
        <v>0</v>
      </c>
      <c r="AE357" s="9">
        <v>3</v>
      </c>
      <c r="AF357" s="9">
        <v>0</v>
      </c>
      <c r="AG357" s="9">
        <v>3</v>
      </c>
      <c r="AH357" s="9">
        <v>3</v>
      </c>
      <c r="AI357" s="9">
        <v>3</v>
      </c>
      <c r="AJ357" s="9">
        <v>1</v>
      </c>
      <c r="AK357" s="9">
        <v>3</v>
      </c>
      <c r="AL357" s="10">
        <v>3</v>
      </c>
      <c r="AM357" s="10">
        <v>3</v>
      </c>
      <c r="AN357" s="10">
        <v>3</v>
      </c>
      <c r="AO357" s="10">
        <v>0</v>
      </c>
      <c r="AP357" s="10">
        <v>1</v>
      </c>
      <c r="AQ357" s="10">
        <v>3</v>
      </c>
      <c r="AR357" s="10">
        <v>2</v>
      </c>
      <c r="AS357" s="11">
        <v>1</v>
      </c>
      <c r="AT357" s="11">
        <v>2</v>
      </c>
      <c r="AU357" s="11">
        <v>2</v>
      </c>
      <c r="AV357" s="11">
        <v>1</v>
      </c>
      <c r="AW357" s="11">
        <v>1</v>
      </c>
      <c r="AX357" s="11">
        <v>1</v>
      </c>
      <c r="AY357" s="7">
        <v>3</v>
      </c>
      <c r="AZ357" s="7">
        <v>3</v>
      </c>
      <c r="BA357" s="7">
        <v>3</v>
      </c>
      <c r="BB357" s="7">
        <v>3</v>
      </c>
      <c r="BC357" s="7">
        <v>3</v>
      </c>
      <c r="BD357" s="7">
        <v>0</v>
      </c>
      <c r="BE357" s="7">
        <v>1</v>
      </c>
      <c r="BF357" s="7">
        <v>0</v>
      </c>
      <c r="BG357" s="12">
        <f>SUM(data__22[[#This Row],[N1]:[N4]],data__22[[#This Row],[N10]:[N13]],data__22[[#This Row],[N16]:[N18]])/11</f>
        <v>2.7272727272727271</v>
      </c>
      <c r="BH357" s="13">
        <f>SUM(data__22[[#This Row],[N8]:[N9]],data__22[[#This Row],[N23]:[N25]])/5</f>
        <v>1.6</v>
      </c>
      <c r="BI357" s="12">
        <f>SUM(data__22[[#This Row],[N5]:[N7]])/3</f>
        <v>1.6666666666666667</v>
      </c>
      <c r="BJ357" s="12">
        <f>SUM(data__22[[#This Row],[N14]:[N15]],data__22[[#This Row],[N19]:[N22]],data__22[[#This Row],[N26]:[N28]])/9</f>
        <v>1.4444444444444444</v>
      </c>
      <c r="BK357" s="12">
        <f>SUM(data__22[[#This Row],[N29]:[N33]])/5</f>
        <v>3</v>
      </c>
      <c r="BL357" s="12">
        <f>SUM(data__22[[#This Row],[N34]:[N36]])/3</f>
        <v>0.33333333333333331</v>
      </c>
    </row>
    <row r="358" spans="1:64" x14ac:dyDescent="0.3">
      <c r="A358" s="7">
        <v>22</v>
      </c>
      <c r="B358" s="7" t="s">
        <v>70</v>
      </c>
      <c r="C358" s="7" t="s">
        <v>96</v>
      </c>
      <c r="D358" s="7" t="s">
        <v>72</v>
      </c>
      <c r="E358" s="7" t="s">
        <v>108</v>
      </c>
      <c r="F358" s="7" t="s">
        <v>136</v>
      </c>
      <c r="G358" s="7" t="s">
        <v>440</v>
      </c>
      <c r="H358" s="7" t="s">
        <v>136</v>
      </c>
      <c r="I358" s="7" t="s">
        <v>76</v>
      </c>
      <c r="J358" s="7" t="s">
        <v>101</v>
      </c>
      <c r="K358" s="7" t="s">
        <v>78</v>
      </c>
      <c r="L358" s="8" t="s">
        <v>79</v>
      </c>
      <c r="M358" s="8" t="s">
        <v>102</v>
      </c>
      <c r="N358" s="8" t="s">
        <v>79</v>
      </c>
      <c r="O358" s="8" t="s">
        <v>117</v>
      </c>
      <c r="P358" s="8" t="s">
        <v>82</v>
      </c>
      <c r="Q358" s="8" t="s">
        <v>83</v>
      </c>
      <c r="R358" s="8" t="s">
        <v>82</v>
      </c>
      <c r="S358" s="8" t="s">
        <v>82</v>
      </c>
      <c r="T358" s="8" t="s">
        <v>86</v>
      </c>
      <c r="U358" s="8" t="s">
        <v>120</v>
      </c>
      <c r="V358" s="8" t="s">
        <v>455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12">
        <f>SUM(data__22[[#This Row],[N1]:[N4]],data__22[[#This Row],[N10]:[N13]],data__22[[#This Row],[N16]:[N18]])/11</f>
        <v>0</v>
      </c>
      <c r="BH358" s="13">
        <f>SUM(data__22[[#This Row],[N8]:[N9]],data__22[[#This Row],[N23]:[N25]])/5</f>
        <v>0</v>
      </c>
      <c r="BI358" s="12">
        <f>SUM(data__22[[#This Row],[N5]:[N7]])/3</f>
        <v>0</v>
      </c>
      <c r="BJ358" s="12">
        <f>SUM(data__22[[#This Row],[N14]:[N15]],data__22[[#This Row],[N19]:[N22]],data__22[[#This Row],[N26]:[N28]])/9</f>
        <v>0</v>
      </c>
      <c r="BK358" s="12">
        <f>SUM(data__22[[#This Row],[N29]:[N33]])/5</f>
        <v>0</v>
      </c>
      <c r="BL358" s="12">
        <f>SUM(data__22[[#This Row],[N34]:[N36]])/3</f>
        <v>0</v>
      </c>
    </row>
    <row r="359" spans="1:64" x14ac:dyDescent="0.3">
      <c r="A359" s="7">
        <v>20</v>
      </c>
      <c r="B359" s="7" t="s">
        <v>70</v>
      </c>
      <c r="C359" s="7" t="s">
        <v>157</v>
      </c>
      <c r="D359" s="7" t="s">
        <v>149</v>
      </c>
      <c r="E359" s="7" t="s">
        <v>108</v>
      </c>
      <c r="F359" s="7" t="s">
        <v>74</v>
      </c>
      <c r="G359" s="7" t="s">
        <v>438</v>
      </c>
      <c r="H359" s="7" t="s">
        <v>98</v>
      </c>
      <c r="I359" s="7" t="s">
        <v>76</v>
      </c>
      <c r="J359" s="7" t="s">
        <v>77</v>
      </c>
      <c r="K359" s="7" t="s">
        <v>78</v>
      </c>
      <c r="L359" s="8" t="s">
        <v>79</v>
      </c>
      <c r="M359" s="8" t="s">
        <v>80</v>
      </c>
      <c r="N359" s="8" t="s">
        <v>82</v>
      </c>
      <c r="O359" s="8" t="s">
        <v>117</v>
      </c>
      <c r="P359" s="8" t="s">
        <v>79</v>
      </c>
      <c r="Q359" s="8" t="s">
        <v>83</v>
      </c>
      <c r="R359" s="8" t="s">
        <v>82</v>
      </c>
      <c r="S359" s="8" t="s">
        <v>82</v>
      </c>
      <c r="T359" s="8" t="s">
        <v>148</v>
      </c>
      <c r="U359" s="8" t="s">
        <v>120</v>
      </c>
      <c r="V359" s="8" t="s">
        <v>454</v>
      </c>
      <c r="W359" s="9">
        <v>3</v>
      </c>
      <c r="X359" s="9">
        <v>3</v>
      </c>
      <c r="Y359" s="9">
        <v>3</v>
      </c>
      <c r="Z359" s="9">
        <v>3</v>
      </c>
      <c r="AA359" s="9">
        <v>1</v>
      </c>
      <c r="AB359" s="9">
        <v>1</v>
      </c>
      <c r="AC359" s="9">
        <v>0</v>
      </c>
      <c r="AD359" s="9">
        <v>3</v>
      </c>
      <c r="AE359" s="9">
        <v>3</v>
      </c>
      <c r="AF359" s="9">
        <v>3</v>
      </c>
      <c r="AG359" s="9">
        <v>3</v>
      </c>
      <c r="AH359" s="9">
        <v>2</v>
      </c>
      <c r="AI359" s="9">
        <v>3</v>
      </c>
      <c r="AJ359" s="9">
        <v>0</v>
      </c>
      <c r="AK359" s="9">
        <v>1</v>
      </c>
      <c r="AL359" s="10">
        <v>1</v>
      </c>
      <c r="AM359" s="10">
        <v>3</v>
      </c>
      <c r="AN359" s="10">
        <v>3</v>
      </c>
      <c r="AO359" s="10">
        <v>0</v>
      </c>
      <c r="AP359" s="10">
        <v>0</v>
      </c>
      <c r="AQ359" s="10">
        <v>0</v>
      </c>
      <c r="AR359" s="10">
        <v>0</v>
      </c>
      <c r="AS359" s="11">
        <v>2</v>
      </c>
      <c r="AT359" s="11">
        <v>2</v>
      </c>
      <c r="AU359" s="11">
        <v>2</v>
      </c>
      <c r="AV359" s="11">
        <v>1</v>
      </c>
      <c r="AW359" s="11">
        <v>0</v>
      </c>
      <c r="AX359" s="11">
        <v>0</v>
      </c>
      <c r="AY359" s="7"/>
      <c r="AZ359" s="7"/>
      <c r="BA359" s="7"/>
      <c r="BB359" s="7"/>
      <c r="BC359" s="7"/>
      <c r="BD359" s="7"/>
      <c r="BE359" s="7"/>
      <c r="BF359" s="7">
        <v>1</v>
      </c>
      <c r="BG359" s="12">
        <f>SUM(data__22[[#This Row],[N1]:[N4]],data__22[[#This Row],[N10]:[N13]],data__22[[#This Row],[N16]:[N18]])/11</f>
        <v>2.7272727272727271</v>
      </c>
      <c r="BH359" s="13">
        <f>SUM(data__22[[#This Row],[N8]:[N9]],data__22[[#This Row],[N23]:[N25]])/5</f>
        <v>2.4</v>
      </c>
      <c r="BI359" s="12">
        <f>SUM(data__22[[#This Row],[N5]:[N7]])/3</f>
        <v>0.66666666666666663</v>
      </c>
      <c r="BJ359" s="12">
        <f>SUM(data__22[[#This Row],[N14]:[N15]],data__22[[#This Row],[N19]:[N22]],data__22[[#This Row],[N26]:[N28]])/9</f>
        <v>0.22222222222222221</v>
      </c>
      <c r="BK359" s="12">
        <f>SUM(data__22[[#This Row],[N29]:[N33]])/5</f>
        <v>0</v>
      </c>
      <c r="BL359" s="12">
        <f>SUM(data__22[[#This Row],[N34]:[N36]])/3</f>
        <v>0.33333333333333331</v>
      </c>
    </row>
    <row r="360" spans="1:64" x14ac:dyDescent="0.3">
      <c r="A360" s="7">
        <v>24</v>
      </c>
      <c r="B360" s="7" t="s">
        <v>70</v>
      </c>
      <c r="C360" s="7" t="s">
        <v>71</v>
      </c>
      <c r="D360" s="7" t="s">
        <v>72</v>
      </c>
      <c r="E360" s="7" t="s">
        <v>114</v>
      </c>
      <c r="F360" s="7" t="s">
        <v>136</v>
      </c>
      <c r="G360" s="7" t="s">
        <v>438</v>
      </c>
      <c r="H360" s="7" t="s">
        <v>136</v>
      </c>
      <c r="I360" s="7" t="s">
        <v>76</v>
      </c>
      <c r="J360" s="7" t="s">
        <v>77</v>
      </c>
      <c r="K360" s="7" t="s">
        <v>122</v>
      </c>
      <c r="L360" s="8" t="s">
        <v>79</v>
      </c>
      <c r="M360" s="8" t="s">
        <v>80</v>
      </c>
      <c r="N360" s="8" t="s">
        <v>82</v>
      </c>
      <c r="O360" s="8" t="s">
        <v>117</v>
      </c>
      <c r="P360" s="8" t="s">
        <v>82</v>
      </c>
      <c r="Q360" s="8" t="s">
        <v>83</v>
      </c>
      <c r="R360" s="8" t="s">
        <v>82</v>
      </c>
      <c r="S360" s="8" t="s">
        <v>82</v>
      </c>
      <c r="T360" s="8" t="s">
        <v>106</v>
      </c>
      <c r="U360" s="8" t="s">
        <v>87</v>
      </c>
      <c r="V360" s="8" t="s">
        <v>455</v>
      </c>
      <c r="W360" s="9">
        <v>2</v>
      </c>
      <c r="X360" s="9">
        <v>2</v>
      </c>
      <c r="Y360" s="9">
        <v>3</v>
      </c>
      <c r="Z360" s="9">
        <v>2</v>
      </c>
      <c r="AA360" s="9">
        <v>1</v>
      </c>
      <c r="AB360" s="9">
        <v>1</v>
      </c>
      <c r="AC360" s="9">
        <v>1</v>
      </c>
      <c r="AD360" s="9">
        <v>1</v>
      </c>
      <c r="AE360" s="9">
        <v>2</v>
      </c>
      <c r="AF360" s="9">
        <v>1</v>
      </c>
      <c r="AG360" s="9">
        <v>3</v>
      </c>
      <c r="AH360" s="9">
        <v>2</v>
      </c>
      <c r="AI360" s="9">
        <v>2</v>
      </c>
      <c r="AJ360" s="9">
        <v>1</v>
      </c>
      <c r="AK360" s="9">
        <v>2</v>
      </c>
      <c r="AL360" s="10">
        <v>2</v>
      </c>
      <c r="AM360" s="10">
        <v>2</v>
      </c>
      <c r="AN360" s="10">
        <v>2</v>
      </c>
      <c r="AO360" s="10">
        <v>2</v>
      </c>
      <c r="AP360" s="10">
        <v>2</v>
      </c>
      <c r="AQ360" s="10">
        <v>1</v>
      </c>
      <c r="AR360" s="10">
        <v>0</v>
      </c>
      <c r="AS360" s="11">
        <v>1</v>
      </c>
      <c r="AT360" s="11">
        <v>1</v>
      </c>
      <c r="AU360" s="11">
        <v>1</v>
      </c>
      <c r="AV360" s="11">
        <v>1</v>
      </c>
      <c r="AW360" s="11">
        <v>1</v>
      </c>
      <c r="AX360" s="11">
        <v>1</v>
      </c>
      <c r="AY360" s="7">
        <v>3</v>
      </c>
      <c r="AZ360" s="7">
        <v>2</v>
      </c>
      <c r="BA360" s="7">
        <v>2</v>
      </c>
      <c r="BB360" s="7">
        <v>2</v>
      </c>
      <c r="BC360" s="7">
        <v>2</v>
      </c>
      <c r="BD360" s="7">
        <v>1</v>
      </c>
      <c r="BE360" s="7">
        <v>1</v>
      </c>
      <c r="BF360" s="7">
        <v>1</v>
      </c>
      <c r="BG360" s="12">
        <f>SUM(data__22[[#This Row],[N1]:[N4]],data__22[[#This Row],[N10]:[N13]],data__22[[#This Row],[N16]:[N18]])/11</f>
        <v>2.0909090909090908</v>
      </c>
      <c r="BH360" s="13">
        <f>SUM(data__22[[#This Row],[N8]:[N9]],data__22[[#This Row],[N23]:[N25]])/5</f>
        <v>1.2</v>
      </c>
      <c r="BI360" s="12">
        <f>SUM(data__22[[#This Row],[N5]:[N7]])/3</f>
        <v>1</v>
      </c>
      <c r="BJ360" s="12">
        <f>SUM(data__22[[#This Row],[N14]:[N15]],data__22[[#This Row],[N19]:[N22]],data__22[[#This Row],[N26]:[N28]])/9</f>
        <v>1.2222222222222223</v>
      </c>
      <c r="BK360" s="12">
        <f>SUM(data__22[[#This Row],[N29]:[N33]])/5</f>
        <v>2.2000000000000002</v>
      </c>
      <c r="BL360" s="12">
        <f>SUM(data__22[[#This Row],[N34]:[N36]])/3</f>
        <v>1</v>
      </c>
    </row>
    <row r="361" spans="1:64" x14ac:dyDescent="0.3">
      <c r="A361" s="7">
        <v>23</v>
      </c>
      <c r="B361" s="7" t="s">
        <v>70</v>
      </c>
      <c r="C361" s="7" t="s">
        <v>113</v>
      </c>
      <c r="D361" s="7" t="s">
        <v>72</v>
      </c>
      <c r="E361" s="7" t="s">
        <v>108</v>
      </c>
      <c r="F361" s="7" t="s">
        <v>74</v>
      </c>
      <c r="G361" s="7" t="s">
        <v>440</v>
      </c>
      <c r="H361" s="7" t="s">
        <v>74</v>
      </c>
      <c r="I361" s="7" t="s">
        <v>439</v>
      </c>
      <c r="J361" s="7" t="s">
        <v>101</v>
      </c>
      <c r="K361" s="7" t="s">
        <v>122</v>
      </c>
      <c r="L361" s="8" t="s">
        <v>79</v>
      </c>
      <c r="M361" s="8" t="s">
        <v>102</v>
      </c>
      <c r="N361" s="8" t="s">
        <v>79</v>
      </c>
      <c r="O361" s="8" t="s">
        <v>81</v>
      </c>
      <c r="P361" s="8" t="s">
        <v>79</v>
      </c>
      <c r="Q361" s="8" t="s">
        <v>83</v>
      </c>
      <c r="R361" s="8" t="s">
        <v>82</v>
      </c>
      <c r="S361" s="8" t="s">
        <v>82</v>
      </c>
      <c r="T361" s="8" t="s">
        <v>106</v>
      </c>
      <c r="U361" s="8" t="s">
        <v>141</v>
      </c>
      <c r="V361" s="8" t="s">
        <v>112</v>
      </c>
      <c r="W361" s="9">
        <v>1</v>
      </c>
      <c r="X361" s="9">
        <v>3</v>
      </c>
      <c r="Y361" s="9">
        <v>3</v>
      </c>
      <c r="Z361" s="9">
        <v>3</v>
      </c>
      <c r="AA361" s="9">
        <v>2</v>
      </c>
      <c r="AB361" s="9">
        <v>0</v>
      </c>
      <c r="AC361" s="9">
        <v>0</v>
      </c>
      <c r="AD361" s="9">
        <v>3</v>
      </c>
      <c r="AE361" s="9">
        <v>2</v>
      </c>
      <c r="AF361" s="9">
        <v>3</v>
      </c>
      <c r="AG361" s="9">
        <v>3</v>
      </c>
      <c r="AH361" s="9">
        <v>3</v>
      </c>
      <c r="AI361" s="9">
        <v>3</v>
      </c>
      <c r="AJ361" s="9">
        <v>3</v>
      </c>
      <c r="AK361" s="9">
        <v>0</v>
      </c>
      <c r="AL361" s="10">
        <v>3</v>
      </c>
      <c r="AM361" s="10">
        <v>3</v>
      </c>
      <c r="AN361" s="10">
        <v>3</v>
      </c>
      <c r="AO361" s="10">
        <v>0</v>
      </c>
      <c r="AP361" s="10">
        <v>0</v>
      </c>
      <c r="AQ361" s="10">
        <v>0</v>
      </c>
      <c r="AR361" s="10">
        <v>0</v>
      </c>
      <c r="AS361" s="11">
        <v>3</v>
      </c>
      <c r="AT361" s="11">
        <v>3</v>
      </c>
      <c r="AU361" s="11">
        <v>3</v>
      </c>
      <c r="AV361" s="11">
        <v>0</v>
      </c>
      <c r="AW361" s="11">
        <v>0</v>
      </c>
      <c r="AX361" s="11">
        <v>0</v>
      </c>
      <c r="AY361" s="7">
        <v>3</v>
      </c>
      <c r="AZ361" s="7">
        <v>3</v>
      </c>
      <c r="BA361" s="7">
        <v>3</v>
      </c>
      <c r="BB361" s="7">
        <v>3</v>
      </c>
      <c r="BC361" s="7">
        <v>3</v>
      </c>
      <c r="BD361" s="7">
        <v>0</v>
      </c>
      <c r="BE361" s="7">
        <v>0</v>
      </c>
      <c r="BF361" s="7">
        <v>0</v>
      </c>
      <c r="BG361" s="12">
        <f>SUM(data__22[[#This Row],[N1]:[N4]],data__22[[#This Row],[N10]:[N13]],data__22[[#This Row],[N16]:[N18]])/11</f>
        <v>2.8181818181818183</v>
      </c>
      <c r="BH361" s="13">
        <f>SUM(data__22[[#This Row],[N8]:[N9]],data__22[[#This Row],[N23]:[N25]])/5</f>
        <v>2.8</v>
      </c>
      <c r="BI361" s="12">
        <f>SUM(data__22[[#This Row],[N5]:[N7]])/3</f>
        <v>0.66666666666666663</v>
      </c>
      <c r="BJ361" s="12">
        <f>SUM(data__22[[#This Row],[N14]:[N15]],data__22[[#This Row],[N19]:[N22]],data__22[[#This Row],[N26]:[N28]])/9</f>
        <v>0.33333333333333331</v>
      </c>
      <c r="BK361" s="12">
        <f>SUM(data__22[[#This Row],[N29]:[N33]])/5</f>
        <v>3</v>
      </c>
      <c r="BL361" s="12">
        <f>SUM(data__22[[#This Row],[N34]:[N36]])/3</f>
        <v>0</v>
      </c>
    </row>
    <row r="362" spans="1:64" x14ac:dyDescent="0.3">
      <c r="A362" s="7">
        <v>20</v>
      </c>
      <c r="B362" s="7" t="s">
        <v>70</v>
      </c>
      <c r="C362" s="7" t="s">
        <v>96</v>
      </c>
      <c r="D362" s="7" t="s">
        <v>97</v>
      </c>
      <c r="E362" s="7" t="s">
        <v>73</v>
      </c>
      <c r="F362" s="7" t="s">
        <v>98</v>
      </c>
      <c r="G362" s="7" t="s">
        <v>440</v>
      </c>
      <c r="H362" s="7" t="s">
        <v>100</v>
      </c>
      <c r="I362" s="7" t="s">
        <v>76</v>
      </c>
      <c r="J362" s="7" t="s">
        <v>77</v>
      </c>
      <c r="K362" s="7" t="s">
        <v>122</v>
      </c>
      <c r="L362" s="8" t="s">
        <v>79</v>
      </c>
      <c r="M362" s="8" t="s">
        <v>80</v>
      </c>
      <c r="N362" s="8" t="s">
        <v>79</v>
      </c>
      <c r="O362" s="8" t="s">
        <v>138</v>
      </c>
      <c r="P362" s="8" t="s">
        <v>79</v>
      </c>
      <c r="Q362" s="8" t="s">
        <v>83</v>
      </c>
      <c r="R362" s="8" t="s">
        <v>79</v>
      </c>
      <c r="S362" s="8" t="s">
        <v>82</v>
      </c>
      <c r="T362" s="8" t="s">
        <v>86</v>
      </c>
      <c r="U362" s="8" t="s">
        <v>141</v>
      </c>
      <c r="V362" s="8" t="s">
        <v>112</v>
      </c>
      <c r="W362" s="9">
        <v>1</v>
      </c>
      <c r="X362" s="9">
        <v>2</v>
      </c>
      <c r="Y362" s="9">
        <v>1</v>
      </c>
      <c r="Z362" s="9">
        <v>2</v>
      </c>
      <c r="AA362" s="9">
        <v>1</v>
      </c>
      <c r="AB362" s="9">
        <v>2</v>
      </c>
      <c r="AC362" s="9">
        <v>1</v>
      </c>
      <c r="AD362" s="9">
        <v>2</v>
      </c>
      <c r="AE362" s="9">
        <v>1</v>
      </c>
      <c r="AF362" s="9">
        <v>2</v>
      </c>
      <c r="AG362" s="9">
        <v>1</v>
      </c>
      <c r="AH362" s="9">
        <v>2</v>
      </c>
      <c r="AI362" s="9">
        <v>1</v>
      </c>
      <c r="AJ362" s="9">
        <v>2</v>
      </c>
      <c r="AK362" s="9">
        <v>1</v>
      </c>
      <c r="AL362" s="10">
        <v>2</v>
      </c>
      <c r="AM362" s="10">
        <v>1</v>
      </c>
      <c r="AN362" s="10">
        <v>2</v>
      </c>
      <c r="AO362" s="10">
        <v>1</v>
      </c>
      <c r="AP362" s="10">
        <v>2</v>
      </c>
      <c r="AQ362" s="10">
        <v>1</v>
      </c>
      <c r="AR362" s="10">
        <v>2</v>
      </c>
      <c r="AS362" s="11">
        <v>2</v>
      </c>
      <c r="AT362" s="11">
        <v>1</v>
      </c>
      <c r="AU362" s="11">
        <v>2</v>
      </c>
      <c r="AV362" s="11">
        <v>1</v>
      </c>
      <c r="AW362" s="11">
        <v>2</v>
      </c>
      <c r="AX362" s="11">
        <v>2</v>
      </c>
      <c r="AY362" s="7">
        <v>2</v>
      </c>
      <c r="AZ362" s="7">
        <v>1</v>
      </c>
      <c r="BA362" s="7">
        <v>1</v>
      </c>
      <c r="BB362" s="7">
        <v>2</v>
      </c>
      <c r="BC362" s="7">
        <v>1</v>
      </c>
      <c r="BD362" s="7">
        <v>2</v>
      </c>
      <c r="BE362" s="7">
        <v>2</v>
      </c>
      <c r="BF362" s="7">
        <v>1</v>
      </c>
      <c r="BG362" s="12">
        <f>SUM(data__22[[#This Row],[N1]:[N4]],data__22[[#This Row],[N10]:[N13]],data__22[[#This Row],[N16]:[N18]])/11</f>
        <v>1.5454545454545454</v>
      </c>
      <c r="BH362" s="13">
        <f>SUM(data__22[[#This Row],[N8]:[N9]],data__22[[#This Row],[N23]:[N25]])/5</f>
        <v>1.6</v>
      </c>
      <c r="BI362" s="12">
        <f>SUM(data__22[[#This Row],[N5]:[N7]])/3</f>
        <v>1.3333333333333333</v>
      </c>
      <c r="BJ362" s="12">
        <f>SUM(data__22[[#This Row],[N14]:[N15]],data__22[[#This Row],[N19]:[N22]],data__22[[#This Row],[N26]:[N28]])/9</f>
        <v>1.5555555555555556</v>
      </c>
      <c r="BK362" s="12">
        <f>SUM(data__22[[#This Row],[N29]:[N33]])/5</f>
        <v>1.4</v>
      </c>
      <c r="BL362" s="12">
        <f>SUM(data__22[[#This Row],[N34]:[N36]])/3</f>
        <v>1.6666666666666667</v>
      </c>
    </row>
    <row r="363" spans="1:64" x14ac:dyDescent="0.3">
      <c r="A363" s="7">
        <v>22</v>
      </c>
      <c r="B363" s="7" t="s">
        <v>70</v>
      </c>
      <c r="C363" s="7" t="s">
        <v>96</v>
      </c>
      <c r="D363" s="7" t="s">
        <v>149</v>
      </c>
      <c r="E363" s="7" t="s">
        <v>73</v>
      </c>
      <c r="F363" s="7" t="s">
        <v>74</v>
      </c>
      <c r="G363" s="7" t="s">
        <v>439</v>
      </c>
      <c r="H363" s="7" t="s">
        <v>74</v>
      </c>
      <c r="I363" s="7" t="s">
        <v>76</v>
      </c>
      <c r="J363" s="7" t="s">
        <v>101</v>
      </c>
      <c r="K363" s="7" t="s">
        <v>122</v>
      </c>
      <c r="L363" s="8" t="s">
        <v>82</v>
      </c>
      <c r="M363" s="8" t="s">
        <v>80</v>
      </c>
      <c r="N363" s="8" t="s">
        <v>79</v>
      </c>
      <c r="O363" s="8" t="s">
        <v>117</v>
      </c>
      <c r="P363" s="8" t="s">
        <v>82</v>
      </c>
      <c r="Q363" s="8" t="s">
        <v>103</v>
      </c>
      <c r="R363" s="8" t="s">
        <v>79</v>
      </c>
      <c r="S363" s="8" t="s">
        <v>79</v>
      </c>
      <c r="T363" s="8" t="s">
        <v>106</v>
      </c>
      <c r="U363" s="8" t="s">
        <v>141</v>
      </c>
      <c r="V363" s="8" t="s">
        <v>112</v>
      </c>
      <c r="W363" s="9">
        <v>3</v>
      </c>
      <c r="X363" s="9">
        <v>3</v>
      </c>
      <c r="Y363" s="9">
        <v>3</v>
      </c>
      <c r="Z363" s="9">
        <v>3</v>
      </c>
      <c r="AA363" s="9">
        <v>3</v>
      </c>
      <c r="AB363" s="9">
        <v>3</v>
      </c>
      <c r="AC363" s="9">
        <v>3</v>
      </c>
      <c r="AD363" s="9">
        <v>3</v>
      </c>
      <c r="AE363" s="9">
        <v>3</v>
      </c>
      <c r="AF363" s="9">
        <v>3</v>
      </c>
      <c r="AG363" s="9">
        <v>3</v>
      </c>
      <c r="AH363" s="9">
        <v>3</v>
      </c>
      <c r="AI363" s="9">
        <v>3</v>
      </c>
      <c r="AJ363" s="9">
        <v>3</v>
      </c>
      <c r="AK363" s="9">
        <v>3</v>
      </c>
      <c r="AL363" s="10">
        <v>3</v>
      </c>
      <c r="AM363" s="10">
        <v>3</v>
      </c>
      <c r="AN363" s="10">
        <v>3</v>
      </c>
      <c r="AO363" s="10">
        <v>3</v>
      </c>
      <c r="AP363" s="10">
        <v>3</v>
      </c>
      <c r="AQ363" s="10">
        <v>3</v>
      </c>
      <c r="AR363" s="10">
        <v>3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7">
        <v>3</v>
      </c>
      <c r="AZ363" s="7">
        <v>3</v>
      </c>
      <c r="BA363" s="7">
        <v>3</v>
      </c>
      <c r="BB363" s="7">
        <v>2</v>
      </c>
      <c r="BC363" s="7">
        <v>3</v>
      </c>
      <c r="BD363" s="7">
        <v>3</v>
      </c>
      <c r="BE363" s="7">
        <v>3</v>
      </c>
      <c r="BF363" s="7">
        <v>3</v>
      </c>
      <c r="BG363" s="12">
        <f>SUM(data__22[[#This Row],[N1]:[N4]],data__22[[#This Row],[N10]:[N13]],data__22[[#This Row],[N16]:[N18]])/11</f>
        <v>3</v>
      </c>
      <c r="BH363" s="13">
        <f>SUM(data__22[[#This Row],[N8]:[N9]],data__22[[#This Row],[N23]:[N25]])/5</f>
        <v>1.2</v>
      </c>
      <c r="BI363" s="12">
        <f>SUM(data__22[[#This Row],[N5]:[N7]])/3</f>
        <v>3</v>
      </c>
      <c r="BJ363" s="12">
        <f>SUM(data__22[[#This Row],[N14]:[N15]],data__22[[#This Row],[N19]:[N22]],data__22[[#This Row],[N26]:[N28]])/9</f>
        <v>2</v>
      </c>
      <c r="BK363" s="12">
        <f>SUM(data__22[[#This Row],[N29]:[N33]])/5</f>
        <v>2.8</v>
      </c>
      <c r="BL363" s="12">
        <f>SUM(data__22[[#This Row],[N34]:[N36]])/3</f>
        <v>3</v>
      </c>
    </row>
    <row r="364" spans="1:64" x14ac:dyDescent="0.3">
      <c r="A364" s="7">
        <v>23</v>
      </c>
      <c r="B364" s="7" t="s">
        <v>70</v>
      </c>
      <c r="C364" s="7" t="s">
        <v>71</v>
      </c>
      <c r="D364" s="7" t="s">
        <v>72</v>
      </c>
      <c r="E364" s="7" t="s">
        <v>108</v>
      </c>
      <c r="F364" s="7" t="s">
        <v>98</v>
      </c>
      <c r="G364" s="7" t="s">
        <v>440</v>
      </c>
      <c r="H364" s="7" t="s">
        <v>98</v>
      </c>
      <c r="I364" s="7" t="s">
        <v>76</v>
      </c>
      <c r="J364" s="7" t="s">
        <v>77</v>
      </c>
      <c r="K364" s="7" t="s">
        <v>122</v>
      </c>
      <c r="L364" s="8" t="s">
        <v>79</v>
      </c>
      <c r="M364" s="8" t="s">
        <v>80</v>
      </c>
      <c r="N364" s="8" t="s">
        <v>79</v>
      </c>
      <c r="O364" s="8" t="s">
        <v>117</v>
      </c>
      <c r="P364" s="8" t="s">
        <v>82</v>
      </c>
      <c r="Q364" s="8" t="s">
        <v>83</v>
      </c>
      <c r="R364" s="8" t="s">
        <v>82</v>
      </c>
      <c r="S364" s="8" t="s">
        <v>82</v>
      </c>
      <c r="T364" s="8" t="s">
        <v>106</v>
      </c>
      <c r="U364" s="8" t="s">
        <v>141</v>
      </c>
      <c r="V364" s="8" t="s">
        <v>455</v>
      </c>
      <c r="W364" s="9">
        <v>3</v>
      </c>
      <c r="X364" s="9">
        <v>3</v>
      </c>
      <c r="Y364" s="9">
        <v>3</v>
      </c>
      <c r="Z364" s="9">
        <v>3</v>
      </c>
      <c r="AA364" s="9">
        <v>1</v>
      </c>
      <c r="AB364" s="9">
        <v>1</v>
      </c>
      <c r="AC364" s="9">
        <v>1</v>
      </c>
      <c r="AD364" s="9">
        <v>3</v>
      </c>
      <c r="AE364" s="9">
        <v>3</v>
      </c>
      <c r="AF364" s="9">
        <v>3</v>
      </c>
      <c r="AG364" s="9">
        <v>3</v>
      </c>
      <c r="AH364" s="9">
        <v>3</v>
      </c>
      <c r="AI364" s="9">
        <v>3</v>
      </c>
      <c r="AJ364" s="9">
        <v>1</v>
      </c>
      <c r="AK364" s="9">
        <v>1</v>
      </c>
      <c r="AL364" s="10">
        <v>3</v>
      </c>
      <c r="AM364" s="10">
        <v>3</v>
      </c>
      <c r="AN364" s="10">
        <v>3</v>
      </c>
      <c r="AO364" s="10">
        <v>0</v>
      </c>
      <c r="AP364" s="10">
        <v>0</v>
      </c>
      <c r="AQ364" s="10">
        <v>0</v>
      </c>
      <c r="AR364" s="10">
        <v>0</v>
      </c>
      <c r="AS364" s="11">
        <v>3</v>
      </c>
      <c r="AT364" s="11">
        <v>3</v>
      </c>
      <c r="AU364" s="11">
        <v>3</v>
      </c>
      <c r="AV364" s="11">
        <v>1</v>
      </c>
      <c r="AW364" s="11">
        <v>1</v>
      </c>
      <c r="AX364" s="11">
        <v>0</v>
      </c>
      <c r="AY364" s="7">
        <v>3</v>
      </c>
      <c r="AZ364" s="7">
        <v>3</v>
      </c>
      <c r="BA364" s="7">
        <v>3</v>
      </c>
      <c r="BB364" s="7">
        <v>3</v>
      </c>
      <c r="BC364" s="7">
        <v>3</v>
      </c>
      <c r="BD364" s="7">
        <v>0</v>
      </c>
      <c r="BE364" s="7">
        <v>0</v>
      </c>
      <c r="BF364" s="7">
        <v>0</v>
      </c>
      <c r="BG364" s="12">
        <f>SUM(data__22[[#This Row],[N1]:[N4]],data__22[[#This Row],[N10]:[N13]],data__22[[#This Row],[N16]:[N18]])/11</f>
        <v>3</v>
      </c>
      <c r="BH364" s="13">
        <f>SUM(data__22[[#This Row],[N8]:[N9]],data__22[[#This Row],[N23]:[N25]])/5</f>
        <v>3</v>
      </c>
      <c r="BI364" s="12">
        <f>SUM(data__22[[#This Row],[N5]:[N7]])/3</f>
        <v>1</v>
      </c>
      <c r="BJ364" s="12">
        <f>SUM(data__22[[#This Row],[N14]:[N15]],data__22[[#This Row],[N19]:[N22]],data__22[[#This Row],[N26]:[N28]])/9</f>
        <v>0.44444444444444442</v>
      </c>
      <c r="BK364" s="12">
        <f>SUM(data__22[[#This Row],[N29]:[N33]])/5</f>
        <v>3</v>
      </c>
      <c r="BL364" s="12">
        <f>SUM(data__22[[#This Row],[N34]:[N36]])/3</f>
        <v>0</v>
      </c>
    </row>
    <row r="365" spans="1:64" x14ac:dyDescent="0.3">
      <c r="A365" s="7">
        <v>21</v>
      </c>
      <c r="B365" s="7" t="s">
        <v>70</v>
      </c>
      <c r="C365" s="7" t="s">
        <v>96</v>
      </c>
      <c r="D365" s="7" t="s">
        <v>97</v>
      </c>
      <c r="E365" s="7" t="s">
        <v>73</v>
      </c>
      <c r="F365" s="7" t="s">
        <v>74</v>
      </c>
      <c r="G365" s="7" t="s">
        <v>440</v>
      </c>
      <c r="H365" s="7" t="s">
        <v>136</v>
      </c>
      <c r="I365" s="7" t="s">
        <v>76</v>
      </c>
      <c r="J365" s="7" t="s">
        <v>77</v>
      </c>
      <c r="K365" s="7" t="s">
        <v>122</v>
      </c>
      <c r="L365" s="8" t="s">
        <v>82</v>
      </c>
      <c r="M365" s="8" t="s">
        <v>80</v>
      </c>
      <c r="N365" s="8" t="s">
        <v>79</v>
      </c>
      <c r="O365" s="8" t="s">
        <v>81</v>
      </c>
      <c r="P365" s="8" t="s">
        <v>82</v>
      </c>
      <c r="Q365" s="8" t="s">
        <v>83</v>
      </c>
      <c r="R365" s="8" t="s">
        <v>82</v>
      </c>
      <c r="S365" s="8" t="s">
        <v>82</v>
      </c>
      <c r="T365" s="8" t="s">
        <v>86</v>
      </c>
      <c r="U365" s="8" t="s">
        <v>141</v>
      </c>
      <c r="V365" s="8" t="s">
        <v>112</v>
      </c>
      <c r="W365" s="9">
        <v>3</v>
      </c>
      <c r="X365" s="9">
        <v>3</v>
      </c>
      <c r="Y365" s="9">
        <v>3</v>
      </c>
      <c r="Z365" s="9">
        <v>3</v>
      </c>
      <c r="AA365" s="9">
        <v>0</v>
      </c>
      <c r="AB365" s="9">
        <v>0</v>
      </c>
      <c r="AC365" s="9">
        <v>0</v>
      </c>
      <c r="AD365" s="9">
        <v>0</v>
      </c>
      <c r="AE365" s="9">
        <v>1</v>
      </c>
      <c r="AF365" s="9">
        <v>1</v>
      </c>
      <c r="AG365" s="9">
        <v>3</v>
      </c>
      <c r="AH365" s="9">
        <v>2</v>
      </c>
      <c r="AI365" s="9">
        <v>3</v>
      </c>
      <c r="AJ365" s="9">
        <v>2</v>
      </c>
      <c r="AK365" s="9">
        <v>0</v>
      </c>
      <c r="AL365" s="10">
        <v>3</v>
      </c>
      <c r="AM365" s="10">
        <v>3</v>
      </c>
      <c r="AN365" s="10">
        <v>3</v>
      </c>
      <c r="AO365" s="10">
        <v>0</v>
      </c>
      <c r="AP365" s="10">
        <v>0</v>
      </c>
      <c r="AQ365" s="10">
        <v>0</v>
      </c>
      <c r="AR365" s="10">
        <v>0</v>
      </c>
      <c r="AS365" s="11">
        <v>2</v>
      </c>
      <c r="AT365" s="11">
        <v>2</v>
      </c>
      <c r="AU365" s="11">
        <v>2</v>
      </c>
      <c r="AV365" s="11">
        <v>2</v>
      </c>
      <c r="AW365" s="11">
        <v>0</v>
      </c>
      <c r="AX365" s="11">
        <v>0</v>
      </c>
      <c r="AY365" s="7">
        <v>3</v>
      </c>
      <c r="AZ365" s="7">
        <v>3</v>
      </c>
      <c r="BA365" s="7">
        <v>3</v>
      </c>
      <c r="BB365" s="7">
        <v>3</v>
      </c>
      <c r="BC365" s="7">
        <v>2</v>
      </c>
      <c r="BD365" s="7">
        <v>0</v>
      </c>
      <c r="BE365" s="7">
        <v>0</v>
      </c>
      <c r="BF365" s="7">
        <v>0</v>
      </c>
      <c r="BG365" s="12">
        <f>SUM(data__22[[#This Row],[N1]:[N4]],data__22[[#This Row],[N10]:[N13]],data__22[[#This Row],[N16]:[N18]])/11</f>
        <v>2.7272727272727271</v>
      </c>
      <c r="BH365" s="13">
        <f>SUM(data__22[[#This Row],[N8]:[N9]],data__22[[#This Row],[N23]:[N25]])/5</f>
        <v>1.4</v>
      </c>
      <c r="BI365" s="12">
        <f>SUM(data__22[[#This Row],[N5]:[N7]])/3</f>
        <v>0</v>
      </c>
      <c r="BJ365" s="12">
        <f>SUM(data__22[[#This Row],[N14]:[N15]],data__22[[#This Row],[N19]:[N22]],data__22[[#This Row],[N26]:[N28]])/9</f>
        <v>0.44444444444444442</v>
      </c>
      <c r="BK365" s="12">
        <f>SUM(data__22[[#This Row],[N29]:[N33]])/5</f>
        <v>2.8</v>
      </c>
      <c r="BL365" s="12">
        <f>SUM(data__22[[#This Row],[N34]:[N36]])/3</f>
        <v>0</v>
      </c>
    </row>
    <row r="366" spans="1:64" x14ac:dyDescent="0.3">
      <c r="A366" s="7">
        <v>25</v>
      </c>
      <c r="B366" s="7" t="s">
        <v>70</v>
      </c>
      <c r="C366" s="7" t="s">
        <v>113</v>
      </c>
      <c r="D366" s="7" t="s">
        <v>97</v>
      </c>
      <c r="E366" s="7" t="s">
        <v>108</v>
      </c>
      <c r="F366" s="7" t="s">
        <v>74</v>
      </c>
      <c r="G366" s="7" t="s">
        <v>99</v>
      </c>
      <c r="H366" s="7" t="s">
        <v>136</v>
      </c>
      <c r="I366" s="7" t="s">
        <v>76</v>
      </c>
      <c r="J366" s="7" t="s">
        <v>77</v>
      </c>
      <c r="K366" s="7" t="s">
        <v>78</v>
      </c>
      <c r="L366" s="8" t="s">
        <v>79</v>
      </c>
      <c r="M366" s="8" t="s">
        <v>132</v>
      </c>
      <c r="N366" s="8" t="s">
        <v>79</v>
      </c>
      <c r="O366" s="8" t="s">
        <v>109</v>
      </c>
      <c r="P366" s="8" t="s">
        <v>79</v>
      </c>
      <c r="Q366" s="8" t="s">
        <v>103</v>
      </c>
      <c r="R366" s="8" t="s">
        <v>79</v>
      </c>
      <c r="S366" s="8" t="s">
        <v>82</v>
      </c>
      <c r="T366" s="8" t="s">
        <v>106</v>
      </c>
      <c r="U366" s="8" t="s">
        <v>87</v>
      </c>
      <c r="V366" s="8" t="s">
        <v>112</v>
      </c>
      <c r="W366" s="9">
        <v>3</v>
      </c>
      <c r="X366" s="9">
        <v>3</v>
      </c>
      <c r="Y366" s="9">
        <v>3</v>
      </c>
      <c r="Z366" s="9">
        <v>3</v>
      </c>
      <c r="AA366" s="9">
        <v>1</v>
      </c>
      <c r="AB366" s="9">
        <v>1</v>
      </c>
      <c r="AC366" s="9">
        <v>0</v>
      </c>
      <c r="AD366" s="9">
        <v>3</v>
      </c>
      <c r="AE366" s="9">
        <v>3</v>
      </c>
      <c r="AF366" s="9">
        <v>3</v>
      </c>
      <c r="AG366" s="9">
        <v>3</v>
      </c>
      <c r="AH366" s="9">
        <v>3</v>
      </c>
      <c r="AI366" s="9">
        <v>3</v>
      </c>
      <c r="AJ366" s="9">
        <v>0</v>
      </c>
      <c r="AK366" s="9">
        <v>1</v>
      </c>
      <c r="AL366" s="10">
        <v>3</v>
      </c>
      <c r="AM366" s="10">
        <v>3</v>
      </c>
      <c r="AN366" s="10">
        <v>3</v>
      </c>
      <c r="AO366" s="10">
        <v>0</v>
      </c>
      <c r="AP366" s="10">
        <v>0</v>
      </c>
      <c r="AQ366" s="10">
        <v>0</v>
      </c>
      <c r="AR366" s="10">
        <v>0</v>
      </c>
      <c r="AS366" s="11">
        <v>1</v>
      </c>
      <c r="AT366" s="11">
        <v>2</v>
      </c>
      <c r="AU366" s="11">
        <v>2</v>
      </c>
      <c r="AV366" s="11">
        <v>1</v>
      </c>
      <c r="AW366" s="11">
        <v>0</v>
      </c>
      <c r="AX366" s="11">
        <v>0</v>
      </c>
      <c r="AY366" s="7">
        <v>3</v>
      </c>
      <c r="AZ366" s="7">
        <v>3</v>
      </c>
      <c r="BA366" s="7">
        <v>3</v>
      </c>
      <c r="BB366" s="7">
        <v>3</v>
      </c>
      <c r="BC366" s="7">
        <v>3</v>
      </c>
      <c r="BD366" s="7">
        <v>0</v>
      </c>
      <c r="BE366" s="7">
        <v>0</v>
      </c>
      <c r="BF366" s="7">
        <v>2</v>
      </c>
      <c r="BG366" s="12">
        <f>SUM(data__22[[#This Row],[N1]:[N4]],data__22[[#This Row],[N10]:[N13]],data__22[[#This Row],[N16]:[N18]])/11</f>
        <v>3</v>
      </c>
      <c r="BH366" s="13">
        <f>SUM(data__22[[#This Row],[N8]:[N9]],data__22[[#This Row],[N23]:[N25]])/5</f>
        <v>2.2000000000000002</v>
      </c>
      <c r="BI366" s="12">
        <f>SUM(data__22[[#This Row],[N5]:[N7]])/3</f>
        <v>0.66666666666666663</v>
      </c>
      <c r="BJ366" s="12">
        <f>SUM(data__22[[#This Row],[N14]:[N15]],data__22[[#This Row],[N19]:[N22]],data__22[[#This Row],[N26]:[N28]])/9</f>
        <v>0.22222222222222221</v>
      </c>
      <c r="BK366" s="12">
        <f>SUM(data__22[[#This Row],[N29]:[N33]])/5</f>
        <v>3</v>
      </c>
      <c r="BL366" s="12">
        <f>SUM(data__22[[#This Row],[N34]:[N36]])/3</f>
        <v>0.66666666666666663</v>
      </c>
    </row>
    <row r="367" spans="1:64" x14ac:dyDescent="0.3">
      <c r="A367" s="7">
        <v>22</v>
      </c>
      <c r="B367" s="7" t="s">
        <v>70</v>
      </c>
      <c r="C367" s="7" t="s">
        <v>113</v>
      </c>
      <c r="D367" s="7" t="s">
        <v>97</v>
      </c>
      <c r="E367" s="7" t="s">
        <v>108</v>
      </c>
      <c r="F367" s="7" t="s">
        <v>74</v>
      </c>
      <c r="G367" s="7" t="s">
        <v>440</v>
      </c>
      <c r="H367" s="7" t="s">
        <v>74</v>
      </c>
      <c r="I367" s="7" t="s">
        <v>76</v>
      </c>
      <c r="J367" s="7" t="s">
        <v>77</v>
      </c>
      <c r="K367" s="7" t="s">
        <v>131</v>
      </c>
      <c r="L367" s="8" t="s">
        <v>79</v>
      </c>
      <c r="M367" s="8" t="s">
        <v>80</v>
      </c>
      <c r="N367" s="8" t="s">
        <v>79</v>
      </c>
      <c r="O367" s="8" t="s">
        <v>117</v>
      </c>
      <c r="P367" s="8" t="s">
        <v>82</v>
      </c>
      <c r="Q367" s="8" t="s">
        <v>83</v>
      </c>
      <c r="R367" s="8" t="s">
        <v>82</v>
      </c>
      <c r="S367" s="8" t="s">
        <v>82</v>
      </c>
      <c r="T367" s="8" t="s">
        <v>106</v>
      </c>
      <c r="U367" s="8" t="s">
        <v>87</v>
      </c>
      <c r="V367" s="8" t="s">
        <v>112</v>
      </c>
      <c r="W367" s="9">
        <v>1</v>
      </c>
      <c r="X367" s="9">
        <v>2</v>
      </c>
      <c r="Y367" s="9">
        <v>2</v>
      </c>
      <c r="Z367" s="9">
        <v>2</v>
      </c>
      <c r="AA367" s="9">
        <v>2</v>
      </c>
      <c r="AB367" s="9">
        <v>2</v>
      </c>
      <c r="AC367" s="9">
        <v>0</v>
      </c>
      <c r="AD367" s="9">
        <v>3</v>
      </c>
      <c r="AE367" s="9">
        <v>3</v>
      </c>
      <c r="AF367" s="9">
        <v>3</v>
      </c>
      <c r="AG367" s="9">
        <v>3</v>
      </c>
      <c r="AH367" s="9">
        <v>3</v>
      </c>
      <c r="AI367" s="9">
        <v>0</v>
      </c>
      <c r="AJ367" s="9">
        <v>0</v>
      </c>
      <c r="AK367" s="9">
        <v>1</v>
      </c>
      <c r="AL367" s="10">
        <v>3</v>
      </c>
      <c r="AM367" s="10">
        <v>2</v>
      </c>
      <c r="AN367" s="10">
        <v>3</v>
      </c>
      <c r="AO367" s="10">
        <v>0</v>
      </c>
      <c r="AP367" s="10">
        <v>0</v>
      </c>
      <c r="AQ367" s="10">
        <v>0</v>
      </c>
      <c r="AR367" s="10">
        <v>0</v>
      </c>
      <c r="AS367" s="11">
        <v>2</v>
      </c>
      <c r="AT367" s="11">
        <v>2</v>
      </c>
      <c r="AU367" s="11">
        <v>2</v>
      </c>
      <c r="AV367" s="11">
        <v>1</v>
      </c>
      <c r="AW367" s="11">
        <v>2</v>
      </c>
      <c r="AX367" s="11">
        <v>0</v>
      </c>
      <c r="AY367" s="7">
        <v>3</v>
      </c>
      <c r="AZ367" s="7">
        <v>3</v>
      </c>
      <c r="BA367" s="7">
        <v>3</v>
      </c>
      <c r="BB367" s="7">
        <v>3</v>
      </c>
      <c r="BC367" s="7">
        <v>3</v>
      </c>
      <c r="BD367" s="7">
        <v>0</v>
      </c>
      <c r="BE367" s="7">
        <v>1</v>
      </c>
      <c r="BF367" s="7">
        <v>3</v>
      </c>
      <c r="BG367" s="12">
        <f>SUM(data__22[[#This Row],[N1]:[N4]],data__22[[#This Row],[N10]:[N13]],data__22[[#This Row],[N16]:[N18]])/11</f>
        <v>2.1818181818181817</v>
      </c>
      <c r="BH367" s="13">
        <f>SUM(data__22[[#This Row],[N8]:[N9]],data__22[[#This Row],[N23]:[N25]])/5</f>
        <v>2.4</v>
      </c>
      <c r="BI367" s="12">
        <f>SUM(data__22[[#This Row],[N5]:[N7]])/3</f>
        <v>1.3333333333333333</v>
      </c>
      <c r="BJ367" s="12">
        <f>SUM(data__22[[#This Row],[N14]:[N15]],data__22[[#This Row],[N19]:[N22]],data__22[[#This Row],[N26]:[N28]])/9</f>
        <v>0.44444444444444442</v>
      </c>
      <c r="BK367" s="12">
        <f>SUM(data__22[[#This Row],[N29]:[N33]])/5</f>
        <v>3</v>
      </c>
      <c r="BL367" s="12">
        <f>SUM(data__22[[#This Row],[N34]:[N36]])/3</f>
        <v>1.3333333333333333</v>
      </c>
    </row>
    <row r="368" spans="1:64" x14ac:dyDescent="0.3">
      <c r="A368" s="7">
        <v>16</v>
      </c>
      <c r="B368" s="7" t="s">
        <v>70</v>
      </c>
      <c r="C368" s="7" t="s">
        <v>157</v>
      </c>
      <c r="D368" s="7" t="s">
        <v>97</v>
      </c>
      <c r="E368" s="7" t="s">
        <v>73</v>
      </c>
      <c r="F368" s="7" t="s">
        <v>74</v>
      </c>
      <c r="G368" s="7" t="s">
        <v>440</v>
      </c>
      <c r="H368" s="7" t="s">
        <v>74</v>
      </c>
      <c r="I368" s="7" t="s">
        <v>76</v>
      </c>
      <c r="J368" s="7" t="s">
        <v>101</v>
      </c>
      <c r="K368" s="7" t="s">
        <v>131</v>
      </c>
      <c r="L368" s="8" t="s">
        <v>79</v>
      </c>
      <c r="M368" s="8" t="s">
        <v>80</v>
      </c>
      <c r="N368" s="8" t="s">
        <v>79</v>
      </c>
      <c r="O368" s="8" t="s">
        <v>133</v>
      </c>
      <c r="P368" s="8" t="s">
        <v>82</v>
      </c>
      <c r="Q368" s="8" t="s">
        <v>83</v>
      </c>
      <c r="R368" s="8" t="s">
        <v>79</v>
      </c>
      <c r="S368" s="8" t="s">
        <v>82</v>
      </c>
      <c r="T368" s="8" t="s">
        <v>106</v>
      </c>
      <c r="U368" s="8" t="s">
        <v>141</v>
      </c>
      <c r="V368" s="8" t="s">
        <v>457</v>
      </c>
      <c r="W368" s="9">
        <v>1</v>
      </c>
      <c r="X368" s="9">
        <v>2</v>
      </c>
      <c r="Y368" s="9">
        <v>1</v>
      </c>
      <c r="Z368" s="9">
        <v>3</v>
      </c>
      <c r="AA368" s="9">
        <v>3</v>
      </c>
      <c r="AB368" s="9">
        <v>3</v>
      </c>
      <c r="AC368" s="9">
        <v>3</v>
      </c>
      <c r="AD368" s="9">
        <v>0</v>
      </c>
      <c r="AE368" s="9">
        <v>0</v>
      </c>
      <c r="AF368" s="9">
        <v>0</v>
      </c>
      <c r="AG368" s="9">
        <v>3</v>
      </c>
      <c r="AH368" s="9">
        <v>1</v>
      </c>
      <c r="AI368" s="9">
        <v>0</v>
      </c>
      <c r="AJ368" s="9">
        <v>2</v>
      </c>
      <c r="AK368" s="9">
        <v>2</v>
      </c>
      <c r="AL368" s="10">
        <v>2</v>
      </c>
      <c r="AM368" s="10">
        <v>3</v>
      </c>
      <c r="AN368" s="10">
        <v>3</v>
      </c>
      <c r="AO368" s="10">
        <v>1</v>
      </c>
      <c r="AP368" s="10">
        <v>0</v>
      </c>
      <c r="AQ368" s="10">
        <v>0</v>
      </c>
      <c r="AR368" s="10">
        <v>0</v>
      </c>
      <c r="AS368" s="11">
        <v>0</v>
      </c>
      <c r="AT368" s="11">
        <v>0</v>
      </c>
      <c r="AU368" s="11">
        <v>0</v>
      </c>
      <c r="AV368" s="11">
        <v>3</v>
      </c>
      <c r="AW368" s="11">
        <v>0</v>
      </c>
      <c r="AX368" s="11">
        <v>0</v>
      </c>
      <c r="AY368" s="7">
        <v>3</v>
      </c>
      <c r="AZ368" s="7">
        <v>3</v>
      </c>
      <c r="BA368" s="7">
        <v>3</v>
      </c>
      <c r="BB368" s="7">
        <v>3</v>
      </c>
      <c r="BC368" s="7">
        <v>2</v>
      </c>
      <c r="BD368" s="7">
        <v>0</v>
      </c>
      <c r="BE368" s="7">
        <v>0</v>
      </c>
      <c r="BF368" s="7">
        <v>1</v>
      </c>
      <c r="BG368" s="12">
        <f>SUM(data__22[[#This Row],[N1]:[N4]],data__22[[#This Row],[N10]:[N13]],data__22[[#This Row],[N16]:[N18]])/11</f>
        <v>1.7272727272727273</v>
      </c>
      <c r="BH368" s="13">
        <f>SUM(data__22[[#This Row],[N8]:[N9]],data__22[[#This Row],[N23]:[N25]])/5</f>
        <v>0</v>
      </c>
      <c r="BI368" s="12">
        <f>SUM(data__22[[#This Row],[N5]:[N7]])/3</f>
        <v>3</v>
      </c>
      <c r="BJ368" s="12">
        <f>SUM(data__22[[#This Row],[N14]:[N15]],data__22[[#This Row],[N19]:[N22]],data__22[[#This Row],[N26]:[N28]])/9</f>
        <v>0.88888888888888884</v>
      </c>
      <c r="BK368" s="12">
        <f>SUM(data__22[[#This Row],[N29]:[N33]])/5</f>
        <v>2.8</v>
      </c>
      <c r="BL368" s="12">
        <f>SUM(data__22[[#This Row],[N34]:[N36]])/3</f>
        <v>0.33333333333333331</v>
      </c>
    </row>
    <row r="369" spans="1:64" x14ac:dyDescent="0.3">
      <c r="A369" s="7">
        <v>20</v>
      </c>
      <c r="B369" s="7" t="s">
        <v>70</v>
      </c>
      <c r="C369" s="7" t="s">
        <v>157</v>
      </c>
      <c r="D369" s="7" t="s">
        <v>72</v>
      </c>
      <c r="E369" s="7" t="s">
        <v>73</v>
      </c>
      <c r="F369" s="7" t="s">
        <v>136</v>
      </c>
      <c r="G369" s="7" t="s">
        <v>439</v>
      </c>
      <c r="H369" s="7" t="s">
        <v>136</v>
      </c>
      <c r="I369" s="7" t="s">
        <v>76</v>
      </c>
      <c r="J369" s="7" t="s">
        <v>77</v>
      </c>
      <c r="K369" s="7" t="s">
        <v>122</v>
      </c>
      <c r="L369" s="8" t="s">
        <v>79</v>
      </c>
      <c r="M369" s="8" t="s">
        <v>80</v>
      </c>
      <c r="N369" s="8" t="s">
        <v>82</v>
      </c>
      <c r="O369" s="8" t="s">
        <v>138</v>
      </c>
      <c r="P369" s="8" t="s">
        <v>79</v>
      </c>
      <c r="Q369" s="8" t="s">
        <v>83</v>
      </c>
      <c r="R369" s="8" t="s">
        <v>79</v>
      </c>
      <c r="S369" s="8" t="s">
        <v>79</v>
      </c>
      <c r="T369" s="8" t="s">
        <v>106</v>
      </c>
      <c r="U369" s="8" t="s">
        <v>120</v>
      </c>
      <c r="V369" s="8" t="s">
        <v>112</v>
      </c>
      <c r="W369" s="9">
        <v>1</v>
      </c>
      <c r="X369" s="9">
        <v>2</v>
      </c>
      <c r="Y369" s="9">
        <v>1</v>
      </c>
      <c r="Z369" s="9">
        <v>2</v>
      </c>
      <c r="AA369" s="9">
        <v>0</v>
      </c>
      <c r="AB369" s="9">
        <v>2</v>
      </c>
      <c r="AC369" s="9">
        <v>0</v>
      </c>
      <c r="AD369" s="9">
        <v>2</v>
      </c>
      <c r="AE369" s="9">
        <v>0</v>
      </c>
      <c r="AF369" s="9">
        <v>1</v>
      </c>
      <c r="AG369" s="9">
        <v>0</v>
      </c>
      <c r="AH369" s="9">
        <v>2</v>
      </c>
      <c r="AI369" s="9">
        <v>1</v>
      </c>
      <c r="AJ369" s="9">
        <v>2</v>
      </c>
      <c r="AK369" s="9">
        <v>0</v>
      </c>
      <c r="AL369" s="10">
        <v>1</v>
      </c>
      <c r="AM369" s="10">
        <v>1</v>
      </c>
      <c r="AN369" s="10">
        <v>2</v>
      </c>
      <c r="AO369" s="10">
        <v>0</v>
      </c>
      <c r="AP369" s="10">
        <v>1</v>
      </c>
      <c r="AQ369" s="10">
        <v>1</v>
      </c>
      <c r="AR369" s="10">
        <v>0</v>
      </c>
      <c r="AS369" s="11">
        <v>0</v>
      </c>
      <c r="AT369" s="11">
        <v>2</v>
      </c>
      <c r="AU369" s="11">
        <v>1</v>
      </c>
      <c r="AV369" s="11">
        <v>0</v>
      </c>
      <c r="AW369" s="11">
        <v>2</v>
      </c>
      <c r="AX369" s="11">
        <v>1</v>
      </c>
      <c r="AY369" s="7">
        <v>0</v>
      </c>
      <c r="AZ369" s="7">
        <v>1</v>
      </c>
      <c r="BA369" s="7">
        <v>2</v>
      </c>
      <c r="BB369" s="7">
        <v>0</v>
      </c>
      <c r="BC369" s="7">
        <v>1</v>
      </c>
      <c r="BD369" s="7">
        <v>0</v>
      </c>
      <c r="BE369" s="7">
        <v>1</v>
      </c>
      <c r="BF369" s="7">
        <v>1</v>
      </c>
      <c r="BG369" s="12">
        <f>SUM(data__22[[#This Row],[N1]:[N4]],data__22[[#This Row],[N10]:[N13]],data__22[[#This Row],[N16]:[N18]])/11</f>
        <v>1.2727272727272727</v>
      </c>
      <c r="BH369" s="13">
        <f>SUM(data__22[[#This Row],[N8]:[N9]],data__22[[#This Row],[N23]:[N25]])/5</f>
        <v>1</v>
      </c>
      <c r="BI369" s="12">
        <f>SUM(data__22[[#This Row],[N5]:[N7]])/3</f>
        <v>0.66666666666666663</v>
      </c>
      <c r="BJ369" s="12">
        <f>SUM(data__22[[#This Row],[N14]:[N15]],data__22[[#This Row],[N19]:[N22]],data__22[[#This Row],[N26]:[N28]])/9</f>
        <v>0.77777777777777779</v>
      </c>
      <c r="BK369" s="12">
        <f>SUM(data__22[[#This Row],[N29]:[N33]])/5</f>
        <v>0.8</v>
      </c>
      <c r="BL369" s="12">
        <f>SUM(data__22[[#This Row],[N34]:[N36]])/3</f>
        <v>0.66666666666666663</v>
      </c>
    </row>
    <row r="370" spans="1:64" x14ac:dyDescent="0.3">
      <c r="A370" s="7">
        <v>21</v>
      </c>
      <c r="B370" s="7" t="s">
        <v>70</v>
      </c>
      <c r="C370" s="7" t="s">
        <v>157</v>
      </c>
      <c r="D370" s="7" t="s">
        <v>97</v>
      </c>
      <c r="E370" s="7" t="s">
        <v>108</v>
      </c>
      <c r="F370" s="7" t="s">
        <v>74</v>
      </c>
      <c r="G370" s="7" t="s">
        <v>99</v>
      </c>
      <c r="H370" s="7" t="s">
        <v>74</v>
      </c>
      <c r="I370" s="7" t="s">
        <v>76</v>
      </c>
      <c r="J370" s="7" t="s">
        <v>77</v>
      </c>
      <c r="K370" s="7" t="s">
        <v>78</v>
      </c>
      <c r="L370" s="8" t="s">
        <v>82</v>
      </c>
      <c r="M370" s="8" t="s">
        <v>80</v>
      </c>
      <c r="N370" s="8" t="s">
        <v>79</v>
      </c>
      <c r="O370" s="8" t="s">
        <v>117</v>
      </c>
      <c r="P370" s="8" t="s">
        <v>82</v>
      </c>
      <c r="Q370" s="8" t="s">
        <v>83</v>
      </c>
      <c r="R370" s="8" t="s">
        <v>79</v>
      </c>
      <c r="S370" s="8" t="s">
        <v>82</v>
      </c>
      <c r="T370" s="8" t="s">
        <v>86</v>
      </c>
      <c r="U370" s="8" t="s">
        <v>87</v>
      </c>
      <c r="V370" s="8" t="s">
        <v>455</v>
      </c>
      <c r="W370" s="9">
        <v>1</v>
      </c>
      <c r="X370" s="9">
        <v>3</v>
      </c>
      <c r="Y370" s="9">
        <v>2</v>
      </c>
      <c r="Z370" s="9">
        <v>2</v>
      </c>
      <c r="AA370" s="9">
        <v>0</v>
      </c>
      <c r="AB370" s="9">
        <v>1</v>
      </c>
      <c r="AC370" s="9">
        <v>0</v>
      </c>
      <c r="AD370" s="9">
        <v>3</v>
      </c>
      <c r="AE370" s="9">
        <v>2</v>
      </c>
      <c r="AF370" s="9">
        <v>0</v>
      </c>
      <c r="AG370" s="9">
        <v>3</v>
      </c>
      <c r="AH370" s="9">
        <v>3</v>
      </c>
      <c r="AI370" s="9">
        <v>3</v>
      </c>
      <c r="AJ370" s="9">
        <v>0</v>
      </c>
      <c r="AK370" s="9">
        <v>0</v>
      </c>
      <c r="AL370" s="10">
        <v>3</v>
      </c>
      <c r="AM370" s="10">
        <v>3</v>
      </c>
      <c r="AN370" s="10">
        <v>3</v>
      </c>
      <c r="AO370" s="10">
        <v>0</v>
      </c>
      <c r="AP370" s="10">
        <v>0</v>
      </c>
      <c r="AQ370" s="10">
        <v>0</v>
      </c>
      <c r="AR370" s="10">
        <v>0</v>
      </c>
      <c r="AS370" s="11">
        <v>3</v>
      </c>
      <c r="AT370" s="11">
        <v>3</v>
      </c>
      <c r="AU370" s="11">
        <v>3</v>
      </c>
      <c r="AV370" s="11">
        <v>0</v>
      </c>
      <c r="AW370" s="11">
        <v>0</v>
      </c>
      <c r="AX370" s="11">
        <v>0</v>
      </c>
      <c r="AY370" s="7">
        <v>2</v>
      </c>
      <c r="AZ370" s="7">
        <v>2</v>
      </c>
      <c r="BA370" s="7">
        <v>2</v>
      </c>
      <c r="BB370" s="7">
        <v>3</v>
      </c>
      <c r="BC370" s="7">
        <v>3</v>
      </c>
      <c r="BD370" s="7">
        <v>0</v>
      </c>
      <c r="BE370" s="7">
        <v>0</v>
      </c>
      <c r="BF370" s="7">
        <v>0</v>
      </c>
      <c r="BG370" s="12">
        <f>SUM(data__22[[#This Row],[N1]:[N4]],data__22[[#This Row],[N10]:[N13]],data__22[[#This Row],[N16]:[N18]])/11</f>
        <v>2.3636363636363638</v>
      </c>
      <c r="BH370" s="13">
        <f>SUM(data__22[[#This Row],[N8]:[N9]],data__22[[#This Row],[N23]:[N25]])/5</f>
        <v>2.8</v>
      </c>
      <c r="BI370" s="12">
        <f>SUM(data__22[[#This Row],[N5]:[N7]])/3</f>
        <v>0.33333333333333331</v>
      </c>
      <c r="BJ370" s="12">
        <f>SUM(data__22[[#This Row],[N14]:[N15]],data__22[[#This Row],[N19]:[N22]],data__22[[#This Row],[N26]:[N28]])/9</f>
        <v>0</v>
      </c>
      <c r="BK370" s="12">
        <f>SUM(data__22[[#This Row],[N29]:[N33]])/5</f>
        <v>2.4</v>
      </c>
      <c r="BL370" s="12">
        <f>SUM(data__22[[#This Row],[N34]:[N36]])/3</f>
        <v>0</v>
      </c>
    </row>
    <row r="371" spans="1:64" x14ac:dyDescent="0.3">
      <c r="A371" s="7">
        <v>19</v>
      </c>
      <c r="B371" s="7" t="s">
        <v>70</v>
      </c>
      <c r="C371" s="7" t="s">
        <v>157</v>
      </c>
      <c r="D371" s="7" t="s">
        <v>72</v>
      </c>
      <c r="E371" s="7" t="s">
        <v>108</v>
      </c>
      <c r="F371" s="7" t="s">
        <v>74</v>
      </c>
      <c r="G371" s="7" t="s">
        <v>440</v>
      </c>
      <c r="H371" s="7" t="s">
        <v>74</v>
      </c>
      <c r="I371" s="7" t="s">
        <v>439</v>
      </c>
      <c r="J371" s="7" t="s">
        <v>77</v>
      </c>
      <c r="K371" s="7" t="s">
        <v>78</v>
      </c>
      <c r="L371" s="8" t="s">
        <v>79</v>
      </c>
      <c r="M371" s="8" t="s">
        <v>80</v>
      </c>
      <c r="N371" s="8" t="s">
        <v>79</v>
      </c>
      <c r="O371" s="8" t="s">
        <v>81</v>
      </c>
      <c r="P371" s="8" t="s">
        <v>82</v>
      </c>
      <c r="Q371" s="8" t="s">
        <v>83</v>
      </c>
      <c r="R371" s="8" t="s">
        <v>79</v>
      </c>
      <c r="S371" s="8" t="s">
        <v>82</v>
      </c>
      <c r="T371" s="8" t="s">
        <v>106</v>
      </c>
      <c r="U371" s="8" t="s">
        <v>87</v>
      </c>
      <c r="V371" s="8" t="s">
        <v>112</v>
      </c>
      <c r="W371" s="9">
        <v>3</v>
      </c>
      <c r="X371" s="9">
        <v>3</v>
      </c>
      <c r="Y371" s="9">
        <v>3</v>
      </c>
      <c r="Z371" s="9">
        <v>3</v>
      </c>
      <c r="AA371" s="9">
        <v>1</v>
      </c>
      <c r="AB371" s="9">
        <v>1</v>
      </c>
      <c r="AC371" s="9">
        <v>1</v>
      </c>
      <c r="AD371" s="9">
        <v>1</v>
      </c>
      <c r="AE371" s="9">
        <v>1</v>
      </c>
      <c r="AF371" s="9">
        <v>1</v>
      </c>
      <c r="AG371" s="9">
        <v>3</v>
      </c>
      <c r="AH371" s="9">
        <v>1</v>
      </c>
      <c r="AI371" s="9">
        <v>3</v>
      </c>
      <c r="AJ371" s="9">
        <v>1</v>
      </c>
      <c r="AK371" s="9">
        <v>1</v>
      </c>
      <c r="AL371" s="10">
        <v>3</v>
      </c>
      <c r="AM371" s="10">
        <v>3</v>
      </c>
      <c r="AN371" s="10">
        <v>3</v>
      </c>
      <c r="AO371" s="10">
        <v>0</v>
      </c>
      <c r="AP371" s="10">
        <v>0</v>
      </c>
      <c r="AQ371" s="10">
        <v>0</v>
      </c>
      <c r="AR371" s="10">
        <v>0</v>
      </c>
      <c r="AS371" s="11">
        <v>3</v>
      </c>
      <c r="AT371" s="11">
        <v>3</v>
      </c>
      <c r="AU371" s="11">
        <v>3</v>
      </c>
      <c r="AV371" s="11">
        <v>1</v>
      </c>
      <c r="AW371" s="11">
        <v>1</v>
      </c>
      <c r="AX371" s="11">
        <v>1</v>
      </c>
      <c r="AY371" s="7"/>
      <c r="AZ371" s="7"/>
      <c r="BA371" s="7"/>
      <c r="BB371" s="7"/>
      <c r="BC371" s="7"/>
      <c r="BD371" s="7"/>
      <c r="BE371" s="7"/>
      <c r="BF371" s="7"/>
      <c r="BG371" s="12">
        <f>SUM(data__22[[#This Row],[N1]:[N4]],data__22[[#This Row],[N10]:[N13]],data__22[[#This Row],[N16]:[N18]])/11</f>
        <v>2.6363636363636362</v>
      </c>
      <c r="BH371" s="13">
        <f>SUM(data__22[[#This Row],[N8]:[N9]],data__22[[#This Row],[N23]:[N25]])/5</f>
        <v>2.2000000000000002</v>
      </c>
      <c r="BI371" s="12">
        <f>SUM(data__22[[#This Row],[N5]:[N7]])/3</f>
        <v>1</v>
      </c>
      <c r="BJ371" s="12">
        <f>SUM(data__22[[#This Row],[N14]:[N15]],data__22[[#This Row],[N19]:[N22]],data__22[[#This Row],[N26]:[N28]])/9</f>
        <v>0.55555555555555558</v>
      </c>
      <c r="BK371" s="12">
        <f>SUM(data__22[[#This Row],[N29]:[N33]])/5</f>
        <v>0</v>
      </c>
      <c r="BL371" s="12">
        <f>SUM(data__22[[#This Row],[N34]:[N36]])/3</f>
        <v>0</v>
      </c>
    </row>
    <row r="372" spans="1:64" x14ac:dyDescent="0.3">
      <c r="A372" s="7">
        <v>19</v>
      </c>
      <c r="B372" s="7" t="s">
        <v>70</v>
      </c>
      <c r="C372" s="7" t="s">
        <v>157</v>
      </c>
      <c r="D372" s="7" t="s">
        <v>72</v>
      </c>
      <c r="E372" s="7" t="s">
        <v>114</v>
      </c>
      <c r="F372" s="7" t="s">
        <v>74</v>
      </c>
      <c r="G372" s="7" t="s">
        <v>439</v>
      </c>
      <c r="H372" s="7" t="s">
        <v>74</v>
      </c>
      <c r="I372" s="7" t="s">
        <v>76</v>
      </c>
      <c r="J372" s="7" t="s">
        <v>77</v>
      </c>
      <c r="K372" s="7" t="s">
        <v>122</v>
      </c>
      <c r="L372" s="8" t="s">
        <v>79</v>
      </c>
      <c r="M372" s="8" t="s">
        <v>80</v>
      </c>
      <c r="N372" s="8" t="s">
        <v>82</v>
      </c>
      <c r="O372" s="8" t="s">
        <v>117</v>
      </c>
      <c r="P372" s="8" t="s">
        <v>82</v>
      </c>
      <c r="Q372" s="8" t="s">
        <v>83</v>
      </c>
      <c r="R372" s="8" t="s">
        <v>79</v>
      </c>
      <c r="S372" s="8" t="s">
        <v>79</v>
      </c>
      <c r="T372" s="8" t="s">
        <v>106</v>
      </c>
      <c r="U372" s="8" t="s">
        <v>141</v>
      </c>
      <c r="V372" s="8" t="s">
        <v>112</v>
      </c>
      <c r="W372" s="9">
        <v>0</v>
      </c>
      <c r="X372" s="9">
        <v>1</v>
      </c>
      <c r="Y372" s="9">
        <v>0</v>
      </c>
      <c r="Z372" s="9">
        <v>1</v>
      </c>
      <c r="AA372" s="9">
        <v>3</v>
      </c>
      <c r="AB372" s="9">
        <v>3</v>
      </c>
      <c r="AC372" s="9">
        <v>1</v>
      </c>
      <c r="AD372" s="9">
        <v>1</v>
      </c>
      <c r="AE372" s="9">
        <v>1</v>
      </c>
      <c r="AF372" s="9">
        <v>1</v>
      </c>
      <c r="AG372" s="9">
        <v>1</v>
      </c>
      <c r="AH372" s="9">
        <v>1</v>
      </c>
      <c r="AI372" s="9">
        <v>1</v>
      </c>
      <c r="AJ372" s="9">
        <v>1</v>
      </c>
      <c r="AK372" s="9">
        <v>1</v>
      </c>
      <c r="AL372" s="10">
        <v>1</v>
      </c>
      <c r="AM372" s="10">
        <v>1</v>
      </c>
      <c r="AN372" s="10">
        <v>1</v>
      </c>
      <c r="AO372" s="10">
        <v>1</v>
      </c>
      <c r="AP372" s="10">
        <v>1</v>
      </c>
      <c r="AQ372" s="10">
        <v>0</v>
      </c>
      <c r="AR372" s="10">
        <v>3</v>
      </c>
      <c r="AS372" s="11">
        <v>1</v>
      </c>
      <c r="AT372" s="11">
        <v>0</v>
      </c>
      <c r="AU372" s="11">
        <v>0</v>
      </c>
      <c r="AV372" s="11">
        <v>3</v>
      </c>
      <c r="AW372" s="11">
        <v>1</v>
      </c>
      <c r="AX372" s="11">
        <v>0</v>
      </c>
      <c r="AY372" s="7"/>
      <c r="AZ372" s="7"/>
      <c r="BA372" s="7"/>
      <c r="BB372" s="7"/>
      <c r="BC372" s="7"/>
      <c r="BD372" s="7"/>
      <c r="BE372" s="7"/>
      <c r="BF372" s="7"/>
      <c r="BG372" s="12">
        <f>SUM(data__22[[#This Row],[N1]:[N4]],data__22[[#This Row],[N10]:[N13]],data__22[[#This Row],[N16]:[N18]])/11</f>
        <v>0.81818181818181823</v>
      </c>
      <c r="BH372" s="13">
        <f>SUM(data__22[[#This Row],[N8]:[N9]],data__22[[#This Row],[N23]:[N25]])/5</f>
        <v>0.6</v>
      </c>
      <c r="BI372" s="12">
        <f>SUM(data__22[[#This Row],[N5]:[N7]])/3</f>
        <v>2.3333333333333335</v>
      </c>
      <c r="BJ372" s="12">
        <f>SUM(data__22[[#This Row],[N14]:[N15]],data__22[[#This Row],[N19]:[N22]],data__22[[#This Row],[N26]:[N28]])/9</f>
        <v>1.2222222222222223</v>
      </c>
      <c r="BK372" s="12">
        <f>SUM(data__22[[#This Row],[N29]:[N33]])/5</f>
        <v>0</v>
      </c>
      <c r="BL372" s="12">
        <f>SUM(data__22[[#This Row],[N34]:[N36]])/3</f>
        <v>0</v>
      </c>
    </row>
    <row r="373" spans="1:64" x14ac:dyDescent="0.3">
      <c r="A373" s="7">
        <v>22</v>
      </c>
      <c r="B373" s="7" t="s">
        <v>128</v>
      </c>
      <c r="C373" s="7" t="s">
        <v>96</v>
      </c>
      <c r="D373" s="7" t="s">
        <v>72</v>
      </c>
      <c r="E373" s="7" t="s">
        <v>108</v>
      </c>
      <c r="F373" s="7" t="s">
        <v>98</v>
      </c>
      <c r="G373" s="7" t="s">
        <v>440</v>
      </c>
      <c r="H373" s="7" t="s">
        <v>100</v>
      </c>
      <c r="I373" s="7" t="s">
        <v>76</v>
      </c>
      <c r="J373" s="7" t="s">
        <v>77</v>
      </c>
      <c r="K373" s="7" t="s">
        <v>125</v>
      </c>
      <c r="L373" s="8" t="s">
        <v>79</v>
      </c>
      <c r="M373" s="8" t="s">
        <v>80</v>
      </c>
      <c r="N373" s="8" t="s">
        <v>79</v>
      </c>
      <c r="O373" s="8" t="s">
        <v>117</v>
      </c>
      <c r="P373" s="8" t="s">
        <v>79</v>
      </c>
      <c r="Q373" s="8" t="s">
        <v>83</v>
      </c>
      <c r="R373" s="8" t="s">
        <v>82</v>
      </c>
      <c r="S373" s="8" t="s">
        <v>82</v>
      </c>
      <c r="T373" s="8" t="s">
        <v>106</v>
      </c>
      <c r="U373" s="8" t="s">
        <v>141</v>
      </c>
      <c r="V373" s="8" t="s">
        <v>260</v>
      </c>
      <c r="W373" s="9">
        <v>2</v>
      </c>
      <c r="X373" s="9">
        <v>1</v>
      </c>
      <c r="Y373" s="9">
        <v>3</v>
      </c>
      <c r="Z373" s="9">
        <v>2</v>
      </c>
      <c r="AA373" s="9">
        <v>3</v>
      </c>
      <c r="AB373" s="9">
        <v>3</v>
      </c>
      <c r="AC373" s="9">
        <v>1</v>
      </c>
      <c r="AD373" s="9">
        <v>3</v>
      </c>
      <c r="AE373" s="9">
        <v>3</v>
      </c>
      <c r="AF373" s="9">
        <v>0</v>
      </c>
      <c r="AG373" s="9">
        <v>3</v>
      </c>
      <c r="AH373" s="9">
        <v>3</v>
      </c>
      <c r="AI373" s="9">
        <v>3</v>
      </c>
      <c r="AJ373" s="9">
        <v>0</v>
      </c>
      <c r="AK373" s="9">
        <v>0</v>
      </c>
      <c r="AL373" s="10">
        <v>2</v>
      </c>
      <c r="AM373" s="10">
        <v>0</v>
      </c>
      <c r="AN373" s="10">
        <v>2</v>
      </c>
      <c r="AO373" s="10">
        <v>3</v>
      </c>
      <c r="AP373" s="10">
        <v>0</v>
      </c>
      <c r="AQ373" s="10">
        <v>0</v>
      </c>
      <c r="AR373" s="10">
        <v>1</v>
      </c>
      <c r="AS373" s="11">
        <v>2</v>
      </c>
      <c r="AT373" s="11">
        <v>3</v>
      </c>
      <c r="AU373" s="11">
        <v>1</v>
      </c>
      <c r="AV373" s="11">
        <v>1</v>
      </c>
      <c r="AW373" s="11">
        <v>1</v>
      </c>
      <c r="AX373" s="11">
        <v>1</v>
      </c>
      <c r="AY373" s="7">
        <v>1</v>
      </c>
      <c r="AZ373" s="7">
        <v>1</v>
      </c>
      <c r="BA373" s="7">
        <v>1</v>
      </c>
      <c r="BB373" s="7">
        <v>1</v>
      </c>
      <c r="BC373" s="7">
        <v>1</v>
      </c>
      <c r="BD373" s="7">
        <v>1</v>
      </c>
      <c r="BE373" s="7">
        <v>1</v>
      </c>
      <c r="BF373" s="7">
        <v>1</v>
      </c>
      <c r="BG373" s="12">
        <f>SUM(data__22[[#This Row],[N1]:[N4]],data__22[[#This Row],[N10]:[N13]],data__22[[#This Row],[N16]:[N18]])/11</f>
        <v>1.9090909090909092</v>
      </c>
      <c r="BH373" s="13">
        <f>SUM(data__22[[#This Row],[N8]:[N9]],data__22[[#This Row],[N23]:[N25]])/5</f>
        <v>2.4</v>
      </c>
      <c r="BI373" s="12">
        <f>SUM(data__22[[#This Row],[N5]:[N7]])/3</f>
        <v>2.3333333333333335</v>
      </c>
      <c r="BJ373" s="12">
        <f>SUM(data__22[[#This Row],[N14]:[N15]],data__22[[#This Row],[N19]:[N22]],data__22[[#This Row],[N26]:[N28]])/9</f>
        <v>0.77777777777777779</v>
      </c>
      <c r="BK373" s="12">
        <f>SUM(data__22[[#This Row],[N29]:[N33]])/5</f>
        <v>1</v>
      </c>
      <c r="BL373" s="12">
        <f>SUM(data__22[[#This Row],[N34]:[N36]])/3</f>
        <v>1</v>
      </c>
    </row>
    <row r="374" spans="1:64" x14ac:dyDescent="0.3">
      <c r="A374" s="7">
        <v>22</v>
      </c>
      <c r="B374" s="7" t="s">
        <v>70</v>
      </c>
      <c r="C374" s="7" t="s">
        <v>113</v>
      </c>
      <c r="D374" s="7" t="s">
        <v>97</v>
      </c>
      <c r="E374" s="7" t="s">
        <v>108</v>
      </c>
      <c r="F374" s="7" t="s">
        <v>74</v>
      </c>
      <c r="G374" s="7" t="s">
        <v>440</v>
      </c>
      <c r="H374" s="7" t="s">
        <v>74</v>
      </c>
      <c r="I374" s="7" t="s">
        <v>76</v>
      </c>
      <c r="J374" s="7" t="s">
        <v>101</v>
      </c>
      <c r="K374" s="7" t="s">
        <v>131</v>
      </c>
      <c r="L374" s="8" t="s">
        <v>79</v>
      </c>
      <c r="M374" s="8" t="s">
        <v>80</v>
      </c>
      <c r="N374" s="8" t="s">
        <v>79</v>
      </c>
      <c r="O374" s="8" t="s">
        <v>81</v>
      </c>
      <c r="P374" s="8" t="s">
        <v>79</v>
      </c>
      <c r="Q374" s="8" t="s">
        <v>83</v>
      </c>
      <c r="R374" s="8" t="s">
        <v>79</v>
      </c>
      <c r="S374" s="8" t="s">
        <v>79</v>
      </c>
      <c r="T374" s="8" t="s">
        <v>86</v>
      </c>
      <c r="U374" s="8" t="s">
        <v>141</v>
      </c>
      <c r="V374" s="8" t="s">
        <v>455</v>
      </c>
      <c r="W374" s="9">
        <v>0</v>
      </c>
      <c r="X374" s="9">
        <v>2</v>
      </c>
      <c r="Y374" s="9">
        <v>2</v>
      </c>
      <c r="Z374" s="9">
        <v>2</v>
      </c>
      <c r="AA374" s="9">
        <v>2</v>
      </c>
      <c r="AB374" s="9">
        <v>2</v>
      </c>
      <c r="AC374" s="9">
        <v>2</v>
      </c>
      <c r="AD374" s="9">
        <v>2</v>
      </c>
      <c r="AE374" s="9">
        <v>2</v>
      </c>
      <c r="AF374" s="9">
        <v>2</v>
      </c>
      <c r="AG374" s="9">
        <v>2</v>
      </c>
      <c r="AH374" s="9">
        <v>2</v>
      </c>
      <c r="AI374" s="9">
        <v>2</v>
      </c>
      <c r="AJ374" s="9">
        <v>2</v>
      </c>
      <c r="AK374" s="9">
        <v>2</v>
      </c>
      <c r="AL374" s="10">
        <v>2</v>
      </c>
      <c r="AM374" s="10">
        <v>2</v>
      </c>
      <c r="AN374" s="10">
        <v>2</v>
      </c>
      <c r="AO374" s="10">
        <v>2</v>
      </c>
      <c r="AP374" s="10">
        <v>2</v>
      </c>
      <c r="AQ374" s="10">
        <v>2</v>
      </c>
      <c r="AR374" s="10">
        <v>2</v>
      </c>
      <c r="AS374" s="11">
        <v>2</v>
      </c>
      <c r="AT374" s="11">
        <v>2</v>
      </c>
      <c r="AU374" s="11">
        <v>2</v>
      </c>
      <c r="AV374" s="11">
        <v>2</v>
      </c>
      <c r="AW374" s="11">
        <v>2</v>
      </c>
      <c r="AX374" s="11">
        <v>2</v>
      </c>
      <c r="AY374" s="7">
        <v>2</v>
      </c>
      <c r="AZ374" s="7">
        <v>2</v>
      </c>
      <c r="BA374" s="7">
        <v>2</v>
      </c>
      <c r="BB374" s="7">
        <v>2</v>
      </c>
      <c r="BC374" s="7">
        <v>2</v>
      </c>
      <c r="BD374" s="7">
        <v>2</v>
      </c>
      <c r="BE374" s="7">
        <v>2</v>
      </c>
      <c r="BF374" s="7">
        <v>2</v>
      </c>
      <c r="BG374" s="12">
        <f>SUM(data__22[[#This Row],[N1]:[N4]],data__22[[#This Row],[N10]:[N13]],data__22[[#This Row],[N16]:[N18]])/11</f>
        <v>1.8181818181818181</v>
      </c>
      <c r="BH374" s="13">
        <f>SUM(data__22[[#This Row],[N8]:[N9]],data__22[[#This Row],[N23]:[N25]])/5</f>
        <v>2</v>
      </c>
      <c r="BI374" s="12">
        <f>SUM(data__22[[#This Row],[N5]:[N7]])/3</f>
        <v>2</v>
      </c>
      <c r="BJ374" s="12">
        <f>SUM(data__22[[#This Row],[N14]:[N15]],data__22[[#This Row],[N19]:[N22]],data__22[[#This Row],[N26]:[N28]])/9</f>
        <v>2</v>
      </c>
      <c r="BK374" s="12">
        <f>SUM(data__22[[#This Row],[N29]:[N33]])/5</f>
        <v>2</v>
      </c>
      <c r="BL374" s="12">
        <f>SUM(data__22[[#This Row],[N34]:[N36]])/3</f>
        <v>2</v>
      </c>
    </row>
    <row r="375" spans="1:64" x14ac:dyDescent="0.3">
      <c r="A375" s="7">
        <v>24</v>
      </c>
      <c r="B375" s="7" t="s">
        <v>70</v>
      </c>
      <c r="C375" s="7" t="s">
        <v>96</v>
      </c>
      <c r="D375" s="7" t="s">
        <v>97</v>
      </c>
      <c r="E375" s="7" t="s">
        <v>108</v>
      </c>
      <c r="F375" s="7" t="s">
        <v>74</v>
      </c>
      <c r="G375" s="7" t="s">
        <v>440</v>
      </c>
      <c r="H375" s="7" t="s">
        <v>74</v>
      </c>
      <c r="I375" s="7" t="s">
        <v>76</v>
      </c>
      <c r="J375" s="7" t="s">
        <v>77</v>
      </c>
      <c r="K375" s="7" t="s">
        <v>122</v>
      </c>
      <c r="L375" s="8" t="s">
        <v>82</v>
      </c>
      <c r="M375" s="8" t="s">
        <v>132</v>
      </c>
      <c r="N375" s="8" t="s">
        <v>79</v>
      </c>
      <c r="O375" s="8" t="s">
        <v>109</v>
      </c>
      <c r="P375" s="8" t="s">
        <v>82</v>
      </c>
      <c r="Q375" s="8" t="s">
        <v>83</v>
      </c>
      <c r="R375" s="8" t="s">
        <v>79</v>
      </c>
      <c r="S375" s="8" t="s">
        <v>82</v>
      </c>
      <c r="T375" s="8" t="s">
        <v>106</v>
      </c>
      <c r="U375" s="8" t="s">
        <v>87</v>
      </c>
      <c r="V375" s="8" t="s">
        <v>112</v>
      </c>
      <c r="W375" s="9">
        <v>2</v>
      </c>
      <c r="X375" s="9">
        <v>3</v>
      </c>
      <c r="Y375" s="9">
        <v>3</v>
      </c>
      <c r="Z375" s="9">
        <v>3</v>
      </c>
      <c r="AA375" s="9">
        <v>3</v>
      </c>
      <c r="AB375" s="9">
        <v>3</v>
      </c>
      <c r="AC375" s="9">
        <v>3</v>
      </c>
      <c r="AD375" s="9">
        <v>3</v>
      </c>
      <c r="AE375" s="9">
        <v>2</v>
      </c>
      <c r="AF375" s="9">
        <v>2</v>
      </c>
      <c r="AG375" s="9">
        <v>2</v>
      </c>
      <c r="AH375" s="9">
        <v>3</v>
      </c>
      <c r="AI375" s="9">
        <v>3</v>
      </c>
      <c r="AJ375" s="9">
        <v>3</v>
      </c>
      <c r="AK375" s="9">
        <v>2</v>
      </c>
      <c r="AL375" s="10">
        <v>3</v>
      </c>
      <c r="AM375" s="10">
        <v>3</v>
      </c>
      <c r="AN375" s="10">
        <v>3</v>
      </c>
      <c r="AO375" s="10">
        <v>3</v>
      </c>
      <c r="AP375" s="10">
        <v>3</v>
      </c>
      <c r="AQ375" s="10">
        <v>3</v>
      </c>
      <c r="AR375" s="10">
        <v>3</v>
      </c>
      <c r="AS375" s="11">
        <v>3</v>
      </c>
      <c r="AT375" s="11">
        <v>0</v>
      </c>
      <c r="AU375" s="11">
        <v>0</v>
      </c>
      <c r="AV375" s="11">
        <v>3</v>
      </c>
      <c r="AW375" s="11">
        <v>3</v>
      </c>
      <c r="AX375" s="11">
        <v>3</v>
      </c>
      <c r="AY375" s="7">
        <v>3</v>
      </c>
      <c r="AZ375" s="7">
        <v>3</v>
      </c>
      <c r="BA375" s="7">
        <v>3</v>
      </c>
      <c r="BB375" s="7">
        <v>3</v>
      </c>
      <c r="BC375" s="7">
        <v>3</v>
      </c>
      <c r="BD375" s="7">
        <v>3</v>
      </c>
      <c r="BE375" s="7">
        <v>3</v>
      </c>
      <c r="BF375" s="7">
        <v>3</v>
      </c>
      <c r="BG375" s="12">
        <f>SUM(data__22[[#This Row],[N1]:[N4]],data__22[[#This Row],[N10]:[N13]],data__22[[#This Row],[N16]:[N18]])/11</f>
        <v>2.7272727272727271</v>
      </c>
      <c r="BH375" s="13">
        <f>SUM(data__22[[#This Row],[N8]:[N9]],data__22[[#This Row],[N23]:[N25]])/5</f>
        <v>1.6</v>
      </c>
      <c r="BI375" s="12">
        <f>SUM(data__22[[#This Row],[N5]:[N7]])/3</f>
        <v>3</v>
      </c>
      <c r="BJ375" s="12">
        <f>SUM(data__22[[#This Row],[N14]:[N15]],data__22[[#This Row],[N19]:[N22]],data__22[[#This Row],[N26]:[N28]])/9</f>
        <v>2.8888888888888888</v>
      </c>
      <c r="BK375" s="12">
        <f>SUM(data__22[[#This Row],[N29]:[N33]])/5</f>
        <v>3</v>
      </c>
      <c r="BL375" s="12">
        <f>SUM(data__22[[#This Row],[N34]:[N36]])/3</f>
        <v>3</v>
      </c>
    </row>
    <row r="376" spans="1:64" x14ac:dyDescent="0.3">
      <c r="A376" s="7">
        <v>22</v>
      </c>
      <c r="B376" s="7" t="s">
        <v>70</v>
      </c>
      <c r="C376" s="7" t="s">
        <v>113</v>
      </c>
      <c r="D376" s="7" t="s">
        <v>97</v>
      </c>
      <c r="E376" s="7" t="s">
        <v>108</v>
      </c>
      <c r="F376" s="7" t="s">
        <v>136</v>
      </c>
      <c r="G376" s="7" t="s">
        <v>440</v>
      </c>
      <c r="H376" s="7" t="s">
        <v>136</v>
      </c>
      <c r="I376" s="7" t="s">
        <v>76</v>
      </c>
      <c r="J376" s="7" t="s">
        <v>77</v>
      </c>
      <c r="K376" s="7" t="s">
        <v>78</v>
      </c>
      <c r="L376" s="8" t="s">
        <v>79</v>
      </c>
      <c r="M376" s="8" t="s">
        <v>80</v>
      </c>
      <c r="N376" s="8" t="s">
        <v>79</v>
      </c>
      <c r="O376" s="8" t="s">
        <v>117</v>
      </c>
      <c r="P376" s="8" t="s">
        <v>79</v>
      </c>
      <c r="Q376" s="8" t="s">
        <v>83</v>
      </c>
      <c r="R376" s="8" t="s">
        <v>79</v>
      </c>
      <c r="S376" s="8" t="s">
        <v>82</v>
      </c>
      <c r="T376" s="8" t="s">
        <v>106</v>
      </c>
      <c r="U376" s="8" t="s">
        <v>141</v>
      </c>
      <c r="V376" s="8" t="s">
        <v>112</v>
      </c>
      <c r="W376" s="9">
        <v>3</v>
      </c>
      <c r="X376" s="9">
        <v>2</v>
      </c>
      <c r="Y376" s="9">
        <v>3</v>
      </c>
      <c r="Z376" s="9">
        <v>1</v>
      </c>
      <c r="AA376" s="9">
        <v>0</v>
      </c>
      <c r="AB376" s="9">
        <v>0</v>
      </c>
      <c r="AC376" s="9">
        <v>0</v>
      </c>
      <c r="AD376" s="9">
        <v>3</v>
      </c>
      <c r="AE376" s="9">
        <v>3</v>
      </c>
      <c r="AF376" s="9">
        <v>3</v>
      </c>
      <c r="AG376" s="9">
        <v>3</v>
      </c>
      <c r="AH376" s="9">
        <v>1</v>
      </c>
      <c r="AI376" s="9">
        <v>3</v>
      </c>
      <c r="AJ376" s="9">
        <v>2</v>
      </c>
      <c r="AK376" s="9">
        <v>0</v>
      </c>
      <c r="AL376" s="10">
        <v>3</v>
      </c>
      <c r="AM376" s="10">
        <v>3</v>
      </c>
      <c r="AN376" s="10">
        <v>3</v>
      </c>
      <c r="AO376" s="10">
        <v>0</v>
      </c>
      <c r="AP376" s="10">
        <v>0</v>
      </c>
      <c r="AQ376" s="10">
        <v>0</v>
      </c>
      <c r="AR376" s="10">
        <v>0</v>
      </c>
      <c r="AS376" s="11">
        <v>0</v>
      </c>
      <c r="AT376" s="11">
        <v>0</v>
      </c>
      <c r="AU376" s="11">
        <v>0</v>
      </c>
      <c r="AV376" s="11">
        <v>3</v>
      </c>
      <c r="AW376" s="11">
        <v>0</v>
      </c>
      <c r="AX376" s="11">
        <v>0</v>
      </c>
      <c r="AY376" s="7">
        <v>3</v>
      </c>
      <c r="AZ376" s="7">
        <v>1</v>
      </c>
      <c r="BA376" s="7">
        <v>1</v>
      </c>
      <c r="BB376" s="7">
        <v>2</v>
      </c>
      <c r="BC376" s="7">
        <v>3</v>
      </c>
      <c r="BD376" s="7">
        <v>0</v>
      </c>
      <c r="BE376" s="7">
        <v>0</v>
      </c>
      <c r="BF376" s="7">
        <v>0</v>
      </c>
      <c r="BG376" s="12">
        <f>SUM(data__22[[#This Row],[N1]:[N4]],data__22[[#This Row],[N10]:[N13]],data__22[[#This Row],[N16]:[N18]])/11</f>
        <v>2.5454545454545454</v>
      </c>
      <c r="BH376" s="13">
        <f>SUM(data__22[[#This Row],[N8]:[N9]],data__22[[#This Row],[N23]:[N25]])/5</f>
        <v>1.2</v>
      </c>
      <c r="BI376" s="12">
        <f>SUM(data__22[[#This Row],[N5]:[N7]])/3</f>
        <v>0</v>
      </c>
      <c r="BJ376" s="12">
        <f>SUM(data__22[[#This Row],[N14]:[N15]],data__22[[#This Row],[N19]:[N22]],data__22[[#This Row],[N26]:[N28]])/9</f>
        <v>0.55555555555555558</v>
      </c>
      <c r="BK376" s="12">
        <f>SUM(data__22[[#This Row],[N29]:[N33]])/5</f>
        <v>2</v>
      </c>
      <c r="BL376" s="12">
        <f>SUM(data__22[[#This Row],[N34]:[N36]])/3</f>
        <v>0</v>
      </c>
    </row>
    <row r="377" spans="1:64" x14ac:dyDescent="0.3">
      <c r="A377" s="7">
        <v>21</v>
      </c>
      <c r="B377" s="7" t="s">
        <v>70</v>
      </c>
      <c r="C377" s="7" t="s">
        <v>113</v>
      </c>
      <c r="D377" s="7" t="s">
        <v>97</v>
      </c>
      <c r="E377" s="7" t="s">
        <v>114</v>
      </c>
      <c r="F377" s="7" t="s">
        <v>136</v>
      </c>
      <c r="G377" s="7" t="s">
        <v>440</v>
      </c>
      <c r="H377" s="7" t="s">
        <v>98</v>
      </c>
      <c r="I377" s="7" t="s">
        <v>76</v>
      </c>
      <c r="J377" s="7" t="s">
        <v>77</v>
      </c>
      <c r="K377" s="7" t="s">
        <v>122</v>
      </c>
      <c r="L377" s="8" t="s">
        <v>79</v>
      </c>
      <c r="M377" s="8" t="s">
        <v>80</v>
      </c>
      <c r="N377" s="8" t="s">
        <v>79</v>
      </c>
      <c r="O377" s="8" t="s">
        <v>138</v>
      </c>
      <c r="P377" s="8" t="s">
        <v>79</v>
      </c>
      <c r="Q377" s="8" t="s">
        <v>118</v>
      </c>
      <c r="R377" s="8" t="s">
        <v>79</v>
      </c>
      <c r="S377" s="8" t="s">
        <v>79</v>
      </c>
      <c r="T377" s="8" t="s">
        <v>86</v>
      </c>
      <c r="U377" s="8" t="s">
        <v>120</v>
      </c>
      <c r="V377" s="8" t="s">
        <v>112</v>
      </c>
      <c r="W377" s="9">
        <v>0</v>
      </c>
      <c r="X377" s="9">
        <v>0</v>
      </c>
      <c r="Y377" s="9">
        <v>1</v>
      </c>
      <c r="Z377" s="9">
        <v>0</v>
      </c>
      <c r="AA377" s="9">
        <v>1</v>
      </c>
      <c r="AB377" s="9">
        <v>1</v>
      </c>
      <c r="AC377" s="9">
        <v>1</v>
      </c>
      <c r="AD377" s="9">
        <v>1</v>
      </c>
      <c r="AE377" s="9">
        <v>1</v>
      </c>
      <c r="AF377" s="9">
        <v>1</v>
      </c>
      <c r="AG377" s="9">
        <v>1</v>
      </c>
      <c r="AH377" s="9">
        <v>1</v>
      </c>
      <c r="AI377" s="9">
        <v>1</v>
      </c>
      <c r="AJ377" s="9">
        <v>1</v>
      </c>
      <c r="AK377" s="9">
        <v>1</v>
      </c>
      <c r="AL377" s="10">
        <v>1</v>
      </c>
      <c r="AM377" s="10">
        <v>1</v>
      </c>
      <c r="AN377" s="10">
        <v>1</v>
      </c>
      <c r="AO377" s="10">
        <v>1</v>
      </c>
      <c r="AP377" s="10">
        <v>1</v>
      </c>
      <c r="AQ377" s="10">
        <v>1</v>
      </c>
      <c r="AR377" s="10">
        <v>1</v>
      </c>
      <c r="AS377" s="11">
        <v>1</v>
      </c>
      <c r="AT377" s="11">
        <v>1</v>
      </c>
      <c r="AU377" s="11">
        <v>1</v>
      </c>
      <c r="AV377" s="11">
        <v>1</v>
      </c>
      <c r="AW377" s="11">
        <v>1</v>
      </c>
      <c r="AX377" s="11">
        <v>1</v>
      </c>
      <c r="AY377" s="7">
        <v>1</v>
      </c>
      <c r="AZ377" s="7">
        <v>1</v>
      </c>
      <c r="BA377" s="7">
        <v>1</v>
      </c>
      <c r="BB377" s="7">
        <v>1</v>
      </c>
      <c r="BC377" s="7">
        <v>1</v>
      </c>
      <c r="BD377" s="7">
        <v>1</v>
      </c>
      <c r="BE377" s="7">
        <v>1</v>
      </c>
      <c r="BF377" s="7">
        <v>1</v>
      </c>
      <c r="BG377" s="12">
        <f>SUM(data__22[[#This Row],[N1]:[N4]],data__22[[#This Row],[N10]:[N13]],data__22[[#This Row],[N16]:[N18]])/11</f>
        <v>0.72727272727272729</v>
      </c>
      <c r="BH377" s="13">
        <f>SUM(data__22[[#This Row],[N8]:[N9]],data__22[[#This Row],[N23]:[N25]])/5</f>
        <v>1</v>
      </c>
      <c r="BI377" s="12">
        <f>SUM(data__22[[#This Row],[N5]:[N7]])/3</f>
        <v>1</v>
      </c>
      <c r="BJ377" s="12">
        <f>SUM(data__22[[#This Row],[N14]:[N15]],data__22[[#This Row],[N19]:[N22]],data__22[[#This Row],[N26]:[N28]])/9</f>
        <v>1</v>
      </c>
      <c r="BK377" s="12">
        <f>SUM(data__22[[#This Row],[N29]:[N33]])/5</f>
        <v>1</v>
      </c>
      <c r="BL377" s="12">
        <f>SUM(data__22[[#This Row],[N34]:[N36]])/3</f>
        <v>1</v>
      </c>
    </row>
    <row r="378" spans="1:64" x14ac:dyDescent="0.3">
      <c r="A378" s="7">
        <v>24</v>
      </c>
      <c r="B378" s="7" t="s">
        <v>70</v>
      </c>
      <c r="C378" s="7" t="s">
        <v>113</v>
      </c>
      <c r="D378" s="7" t="s">
        <v>97</v>
      </c>
      <c r="E378" s="7" t="s">
        <v>114</v>
      </c>
      <c r="F378" s="7" t="s">
        <v>136</v>
      </c>
      <c r="G378" s="7" t="s">
        <v>99</v>
      </c>
      <c r="H378" s="7" t="s">
        <v>136</v>
      </c>
      <c r="I378" s="7" t="s">
        <v>99</v>
      </c>
      <c r="J378" s="7" t="s">
        <v>77</v>
      </c>
      <c r="K378" s="7" t="s">
        <v>125</v>
      </c>
      <c r="L378" s="8" t="s">
        <v>79</v>
      </c>
      <c r="M378" s="8" t="s">
        <v>80</v>
      </c>
      <c r="N378" s="8" t="s">
        <v>79</v>
      </c>
      <c r="O378" s="8" t="s">
        <v>109</v>
      </c>
      <c r="P378" s="8" t="s">
        <v>79</v>
      </c>
      <c r="Q378" s="8" t="s">
        <v>83</v>
      </c>
      <c r="R378" s="8" t="s">
        <v>79</v>
      </c>
      <c r="S378" s="8" t="s">
        <v>82</v>
      </c>
      <c r="T378" s="8" t="s">
        <v>148</v>
      </c>
      <c r="U378" s="8" t="s">
        <v>87</v>
      </c>
      <c r="V378" s="8" t="s">
        <v>160</v>
      </c>
      <c r="W378" s="9">
        <v>1</v>
      </c>
      <c r="X378" s="9">
        <v>3</v>
      </c>
      <c r="Y378" s="9">
        <v>2</v>
      </c>
      <c r="Z378" s="9">
        <v>2</v>
      </c>
      <c r="AA378" s="9">
        <v>1</v>
      </c>
      <c r="AB378" s="9">
        <v>3</v>
      </c>
      <c r="AC378" s="9">
        <v>2</v>
      </c>
      <c r="AD378" s="9">
        <v>0</v>
      </c>
      <c r="AE378" s="9">
        <v>1</v>
      </c>
      <c r="AF378" s="9">
        <v>3</v>
      </c>
      <c r="AG378" s="9">
        <v>3</v>
      </c>
      <c r="AH378" s="9">
        <v>2</v>
      </c>
      <c r="AI378" s="9">
        <v>2</v>
      </c>
      <c r="AJ378" s="9">
        <v>1</v>
      </c>
      <c r="AK378" s="9">
        <v>2</v>
      </c>
      <c r="AL378" s="10">
        <v>0</v>
      </c>
      <c r="AM378" s="10">
        <v>3</v>
      </c>
      <c r="AN378" s="10">
        <v>3</v>
      </c>
      <c r="AO378" s="10">
        <v>0</v>
      </c>
      <c r="AP378" s="10">
        <v>1</v>
      </c>
      <c r="AQ378" s="10">
        <v>0</v>
      </c>
      <c r="AR378" s="10">
        <v>1</v>
      </c>
      <c r="AS378" s="11">
        <v>0</v>
      </c>
      <c r="AT378" s="11">
        <v>0</v>
      </c>
      <c r="AU378" s="11">
        <v>0</v>
      </c>
      <c r="AV378" s="11">
        <v>3</v>
      </c>
      <c r="AW378" s="11">
        <v>2</v>
      </c>
      <c r="AX378" s="11">
        <v>1</v>
      </c>
      <c r="AY378" s="7">
        <v>2</v>
      </c>
      <c r="AZ378" s="7">
        <v>0</v>
      </c>
      <c r="BA378" s="7">
        <v>2</v>
      </c>
      <c r="BB378" s="7">
        <v>3</v>
      </c>
      <c r="BC378" s="7">
        <v>2</v>
      </c>
      <c r="BD378" s="7">
        <v>0</v>
      </c>
      <c r="BE378" s="7">
        <v>1</v>
      </c>
      <c r="BF378" s="7">
        <v>3</v>
      </c>
      <c r="BG378" s="12">
        <f>SUM(data__22[[#This Row],[N1]:[N4]],data__22[[#This Row],[N10]:[N13]],data__22[[#This Row],[N16]:[N18]])/11</f>
        <v>2.1818181818181817</v>
      </c>
      <c r="BH378" s="13">
        <f>SUM(data__22[[#This Row],[N8]:[N9]],data__22[[#This Row],[N23]:[N25]])/5</f>
        <v>0.2</v>
      </c>
      <c r="BI378" s="12">
        <f>SUM(data__22[[#This Row],[N5]:[N7]])/3</f>
        <v>2</v>
      </c>
      <c r="BJ378" s="12">
        <f>SUM(data__22[[#This Row],[N14]:[N15]],data__22[[#This Row],[N19]:[N22]],data__22[[#This Row],[N26]:[N28]])/9</f>
        <v>1.2222222222222223</v>
      </c>
      <c r="BK378" s="12">
        <f>SUM(data__22[[#This Row],[N29]:[N33]])/5</f>
        <v>1.8</v>
      </c>
      <c r="BL378" s="12">
        <f>SUM(data__22[[#This Row],[N34]:[N36]])/3</f>
        <v>1.3333333333333333</v>
      </c>
    </row>
    <row r="379" spans="1:64" x14ac:dyDescent="0.3">
      <c r="A379" s="7">
        <v>27</v>
      </c>
      <c r="B379" s="7" t="s">
        <v>70</v>
      </c>
      <c r="C379" s="7" t="s">
        <v>153</v>
      </c>
      <c r="D379" s="7" t="s">
        <v>97</v>
      </c>
      <c r="E379" s="7" t="s">
        <v>108</v>
      </c>
      <c r="F379" s="7" t="s">
        <v>136</v>
      </c>
      <c r="G379" s="7" t="s">
        <v>440</v>
      </c>
      <c r="H379" s="7" t="s">
        <v>98</v>
      </c>
      <c r="I379" s="7" t="s">
        <v>76</v>
      </c>
      <c r="J379" s="7" t="s">
        <v>101</v>
      </c>
      <c r="K379" s="7" t="s">
        <v>131</v>
      </c>
      <c r="L379" s="8" t="s">
        <v>79</v>
      </c>
      <c r="M379" s="8" t="s">
        <v>132</v>
      </c>
      <c r="N379" s="8" t="s">
        <v>79</v>
      </c>
      <c r="O379" s="8" t="s">
        <v>117</v>
      </c>
      <c r="P379" s="8" t="s">
        <v>79</v>
      </c>
      <c r="Q379" s="8" t="s">
        <v>83</v>
      </c>
      <c r="R379" s="8" t="s">
        <v>79</v>
      </c>
      <c r="S379" s="8" t="s">
        <v>82</v>
      </c>
      <c r="T379" s="8" t="s">
        <v>106</v>
      </c>
      <c r="U379" s="8" t="s">
        <v>87</v>
      </c>
      <c r="V379" s="8" t="s">
        <v>112</v>
      </c>
      <c r="W379" s="9">
        <v>1</v>
      </c>
      <c r="X379" s="9">
        <v>1</v>
      </c>
      <c r="Y379" s="9">
        <v>3</v>
      </c>
      <c r="Z379" s="9">
        <v>1</v>
      </c>
      <c r="AA379" s="9">
        <v>1</v>
      </c>
      <c r="AB379" s="9">
        <v>0</v>
      </c>
      <c r="AC379" s="9">
        <v>1</v>
      </c>
      <c r="AD379" s="9">
        <v>1</v>
      </c>
      <c r="AE379" s="9">
        <v>0</v>
      </c>
      <c r="AF379" s="9">
        <v>0</v>
      </c>
      <c r="AG379" s="9">
        <v>0</v>
      </c>
      <c r="AH379" s="9">
        <v>0</v>
      </c>
      <c r="AI379" s="9">
        <v>1</v>
      </c>
      <c r="AJ379" s="9">
        <v>0</v>
      </c>
      <c r="AK379" s="9">
        <v>0</v>
      </c>
      <c r="AL379" s="10">
        <v>3</v>
      </c>
      <c r="AM379" s="10">
        <v>3</v>
      </c>
      <c r="AN379" s="10">
        <v>1</v>
      </c>
      <c r="AO379" s="10">
        <v>1</v>
      </c>
      <c r="AP379" s="10">
        <v>1</v>
      </c>
      <c r="AQ379" s="10">
        <v>1</v>
      </c>
      <c r="AR379" s="10">
        <v>1</v>
      </c>
      <c r="AS379" s="11">
        <v>1</v>
      </c>
      <c r="AT379" s="11">
        <v>1</v>
      </c>
      <c r="AU379" s="11">
        <v>1</v>
      </c>
      <c r="AV379" s="11">
        <v>1</v>
      </c>
      <c r="AW379" s="11">
        <v>3</v>
      </c>
      <c r="AX379" s="11">
        <v>3</v>
      </c>
      <c r="AY379" s="7">
        <v>3</v>
      </c>
      <c r="AZ379" s="7">
        <v>1</v>
      </c>
      <c r="BA379" s="7">
        <v>2</v>
      </c>
      <c r="BB379" s="7">
        <v>1</v>
      </c>
      <c r="BC379" s="7">
        <v>1</v>
      </c>
      <c r="BD379" s="7">
        <v>1</v>
      </c>
      <c r="BE379" s="7">
        <v>1</v>
      </c>
      <c r="BF379" s="7">
        <v>1</v>
      </c>
      <c r="BG379" s="12">
        <f>SUM(data__22[[#This Row],[N1]:[N4]],data__22[[#This Row],[N10]:[N13]],data__22[[#This Row],[N16]:[N18]])/11</f>
        <v>1.2727272727272727</v>
      </c>
      <c r="BH379" s="13">
        <f>SUM(data__22[[#This Row],[N8]:[N9]],data__22[[#This Row],[N23]:[N25]])/5</f>
        <v>0.8</v>
      </c>
      <c r="BI379" s="12">
        <f>SUM(data__22[[#This Row],[N5]:[N7]])/3</f>
        <v>0.66666666666666663</v>
      </c>
      <c r="BJ379" s="12">
        <f>SUM(data__22[[#This Row],[N14]:[N15]],data__22[[#This Row],[N19]:[N22]],data__22[[#This Row],[N26]:[N28]])/9</f>
        <v>1.2222222222222223</v>
      </c>
      <c r="BK379" s="12">
        <f>SUM(data__22[[#This Row],[N29]:[N33]])/5</f>
        <v>1.6</v>
      </c>
      <c r="BL379" s="12">
        <f>SUM(data__22[[#This Row],[N34]:[N36]])/3</f>
        <v>1</v>
      </c>
    </row>
    <row r="380" spans="1:64" x14ac:dyDescent="0.3">
      <c r="A380" s="7">
        <v>22</v>
      </c>
      <c r="B380" s="7" t="s">
        <v>70</v>
      </c>
      <c r="C380" s="7" t="s">
        <v>96</v>
      </c>
      <c r="D380" s="7" t="s">
        <v>149</v>
      </c>
      <c r="E380" s="7" t="s">
        <v>73</v>
      </c>
      <c r="F380" s="7" t="s">
        <v>100</v>
      </c>
      <c r="G380" s="7" t="s">
        <v>166</v>
      </c>
      <c r="H380" s="7" t="s">
        <v>98</v>
      </c>
      <c r="I380" s="7" t="s">
        <v>76</v>
      </c>
      <c r="J380" s="7" t="s">
        <v>101</v>
      </c>
      <c r="K380" s="7" t="s">
        <v>125</v>
      </c>
      <c r="L380" s="8" t="s">
        <v>82</v>
      </c>
      <c r="M380" s="8" t="s">
        <v>102</v>
      </c>
      <c r="N380" s="8" t="s">
        <v>79</v>
      </c>
      <c r="O380" s="8" t="s">
        <v>81</v>
      </c>
      <c r="P380" s="8" t="s">
        <v>79</v>
      </c>
      <c r="Q380" s="8" t="s">
        <v>83</v>
      </c>
      <c r="R380" s="8" t="s">
        <v>79</v>
      </c>
      <c r="S380" s="8" t="s">
        <v>82</v>
      </c>
      <c r="T380" s="8" t="s">
        <v>106</v>
      </c>
      <c r="U380" s="8" t="s">
        <v>141</v>
      </c>
      <c r="V380" s="8" t="s">
        <v>112</v>
      </c>
      <c r="W380" s="9">
        <v>2</v>
      </c>
      <c r="X380" s="9">
        <v>2</v>
      </c>
      <c r="Y380" s="9">
        <v>3</v>
      </c>
      <c r="Z380" s="9">
        <v>3</v>
      </c>
      <c r="AA380" s="9">
        <v>2</v>
      </c>
      <c r="AB380" s="9">
        <v>2</v>
      </c>
      <c r="AC380" s="9">
        <v>2</v>
      </c>
      <c r="AD380" s="9">
        <v>3</v>
      </c>
      <c r="AE380" s="9">
        <v>3</v>
      </c>
      <c r="AF380" s="9">
        <v>2</v>
      </c>
      <c r="AG380" s="9">
        <v>2</v>
      </c>
      <c r="AH380" s="9">
        <v>2</v>
      </c>
      <c r="AI380" s="9">
        <v>2</v>
      </c>
      <c r="AJ380" s="9">
        <v>2</v>
      </c>
      <c r="AK380" s="9">
        <v>2</v>
      </c>
      <c r="AL380" s="10">
        <v>3</v>
      </c>
      <c r="AM380" s="10">
        <v>3</v>
      </c>
      <c r="AN380" s="10">
        <v>3</v>
      </c>
      <c r="AO380" s="10">
        <v>3</v>
      </c>
      <c r="AP380" s="10">
        <v>3</v>
      </c>
      <c r="AQ380" s="10">
        <v>3</v>
      </c>
      <c r="AR380" s="10">
        <v>3</v>
      </c>
      <c r="AS380" s="11">
        <v>1</v>
      </c>
      <c r="AT380" s="11">
        <v>1</v>
      </c>
      <c r="AU380" s="11">
        <v>2</v>
      </c>
      <c r="AV380" s="11">
        <v>1</v>
      </c>
      <c r="AW380" s="11">
        <v>2</v>
      </c>
      <c r="AX380" s="11">
        <v>2</v>
      </c>
      <c r="AY380" s="7">
        <v>3</v>
      </c>
      <c r="AZ380" s="7">
        <v>3</v>
      </c>
      <c r="BA380" s="7">
        <v>3</v>
      </c>
      <c r="BB380" s="7">
        <v>3</v>
      </c>
      <c r="BC380" s="7">
        <v>3</v>
      </c>
      <c r="BD380" s="7">
        <v>3</v>
      </c>
      <c r="BE380" s="7">
        <v>3</v>
      </c>
      <c r="BF380" s="7">
        <v>3</v>
      </c>
      <c r="BG380" s="12">
        <f>SUM(data__22[[#This Row],[N1]:[N4]],data__22[[#This Row],[N10]:[N13]],data__22[[#This Row],[N16]:[N18]])/11</f>
        <v>2.4545454545454546</v>
      </c>
      <c r="BH380" s="13">
        <f>SUM(data__22[[#This Row],[N8]:[N9]],data__22[[#This Row],[N23]:[N25]])/5</f>
        <v>2</v>
      </c>
      <c r="BI380" s="12">
        <f>SUM(data__22[[#This Row],[N5]:[N7]])/3</f>
        <v>2</v>
      </c>
      <c r="BJ380" s="12">
        <f>SUM(data__22[[#This Row],[N14]:[N15]],data__22[[#This Row],[N19]:[N22]],data__22[[#This Row],[N26]:[N28]])/9</f>
        <v>2.3333333333333335</v>
      </c>
      <c r="BK380" s="12">
        <f>SUM(data__22[[#This Row],[N29]:[N33]])/5</f>
        <v>3</v>
      </c>
      <c r="BL380" s="12">
        <f>SUM(data__22[[#This Row],[N34]:[N36]])/3</f>
        <v>3</v>
      </c>
    </row>
    <row r="381" spans="1:64" x14ac:dyDescent="0.3">
      <c r="A381" s="7">
        <v>22</v>
      </c>
      <c r="B381" s="7" t="s">
        <v>70</v>
      </c>
      <c r="C381" s="7" t="s">
        <v>113</v>
      </c>
      <c r="D381" s="7" t="s">
        <v>97</v>
      </c>
      <c r="E381" s="7" t="s">
        <v>108</v>
      </c>
      <c r="F381" s="7" t="s">
        <v>74</v>
      </c>
      <c r="G381" s="7" t="s">
        <v>440</v>
      </c>
      <c r="H381" s="7" t="s">
        <v>136</v>
      </c>
      <c r="I381" s="7" t="s">
        <v>76</v>
      </c>
      <c r="J381" s="7" t="s">
        <v>77</v>
      </c>
      <c r="K381" s="7" t="s">
        <v>125</v>
      </c>
      <c r="L381" s="8" t="s">
        <v>79</v>
      </c>
      <c r="M381" s="8" t="s">
        <v>80</v>
      </c>
      <c r="N381" s="8" t="s">
        <v>82</v>
      </c>
      <c r="O381" s="8" t="s">
        <v>117</v>
      </c>
      <c r="P381" s="8" t="s">
        <v>82</v>
      </c>
      <c r="Q381" s="8" t="s">
        <v>103</v>
      </c>
      <c r="R381" s="8" t="s">
        <v>79</v>
      </c>
      <c r="S381" s="8" t="s">
        <v>82</v>
      </c>
      <c r="T381" s="8" t="s">
        <v>86</v>
      </c>
      <c r="U381" s="8" t="s">
        <v>87</v>
      </c>
      <c r="V381" s="8" t="s">
        <v>160</v>
      </c>
      <c r="W381" s="9">
        <v>1</v>
      </c>
      <c r="X381" s="9">
        <v>2</v>
      </c>
      <c r="Y381" s="9">
        <v>2</v>
      </c>
      <c r="Z381" s="9">
        <v>2</v>
      </c>
      <c r="AA381" s="9">
        <v>3</v>
      </c>
      <c r="AB381" s="9">
        <v>2</v>
      </c>
      <c r="AC381" s="9">
        <v>1</v>
      </c>
      <c r="AD381" s="9">
        <v>2</v>
      </c>
      <c r="AE381" s="9">
        <v>1</v>
      </c>
      <c r="AF381" s="9">
        <v>3</v>
      </c>
      <c r="AG381" s="9">
        <v>3</v>
      </c>
      <c r="AH381" s="9">
        <v>2</v>
      </c>
      <c r="AI381" s="9">
        <v>1</v>
      </c>
      <c r="AJ381" s="9">
        <v>3</v>
      </c>
      <c r="AK381" s="9">
        <v>3</v>
      </c>
      <c r="AL381" s="10">
        <v>2</v>
      </c>
      <c r="AM381" s="10">
        <v>2</v>
      </c>
      <c r="AN381" s="10">
        <v>3</v>
      </c>
      <c r="AO381" s="10">
        <v>2</v>
      </c>
      <c r="AP381" s="10">
        <v>0</v>
      </c>
      <c r="AQ381" s="10">
        <v>0</v>
      </c>
      <c r="AR381" s="10">
        <v>0</v>
      </c>
      <c r="AS381" s="11">
        <v>1</v>
      </c>
      <c r="AT381" s="11">
        <v>0</v>
      </c>
      <c r="AU381" s="11">
        <v>0</v>
      </c>
      <c r="AV381" s="11">
        <v>3</v>
      </c>
      <c r="AW381" s="11">
        <v>3</v>
      </c>
      <c r="AX381" s="11">
        <v>0</v>
      </c>
      <c r="AY381" s="7">
        <v>3</v>
      </c>
      <c r="AZ381" s="7">
        <v>3</v>
      </c>
      <c r="BA381" s="7">
        <v>3</v>
      </c>
      <c r="BB381" s="7">
        <v>3</v>
      </c>
      <c r="BC381" s="7">
        <v>3</v>
      </c>
      <c r="BD381" s="7">
        <v>3</v>
      </c>
      <c r="BE381" s="7">
        <v>2</v>
      </c>
      <c r="BF381" s="7">
        <v>3</v>
      </c>
      <c r="BG381" s="12">
        <f>SUM(data__22[[#This Row],[N1]:[N4]],data__22[[#This Row],[N10]:[N13]],data__22[[#This Row],[N16]:[N18]])/11</f>
        <v>2.0909090909090908</v>
      </c>
      <c r="BH381" s="13">
        <f>SUM(data__22[[#This Row],[N8]:[N9]],data__22[[#This Row],[N23]:[N25]])/5</f>
        <v>0.8</v>
      </c>
      <c r="BI381" s="12">
        <f>SUM(data__22[[#This Row],[N5]:[N7]])/3</f>
        <v>2</v>
      </c>
      <c r="BJ381" s="12">
        <f>SUM(data__22[[#This Row],[N14]:[N15]],data__22[[#This Row],[N19]:[N22]],data__22[[#This Row],[N26]:[N28]])/9</f>
        <v>1.5555555555555556</v>
      </c>
      <c r="BK381" s="12">
        <f>SUM(data__22[[#This Row],[N29]:[N33]])/5</f>
        <v>3</v>
      </c>
      <c r="BL381" s="12">
        <f>SUM(data__22[[#This Row],[N34]:[N36]])/3</f>
        <v>2.6666666666666665</v>
      </c>
    </row>
    <row r="382" spans="1:64" x14ac:dyDescent="0.3">
      <c r="A382" s="7">
        <v>18</v>
      </c>
      <c r="B382" s="7" t="s">
        <v>70</v>
      </c>
      <c r="C382" s="7" t="s">
        <v>96</v>
      </c>
      <c r="D382" s="7" t="s">
        <v>97</v>
      </c>
      <c r="E382" s="7" t="s">
        <v>108</v>
      </c>
      <c r="F382" s="7" t="s">
        <v>98</v>
      </c>
      <c r="G382" s="7" t="s">
        <v>439</v>
      </c>
      <c r="H382" s="7" t="s">
        <v>74</v>
      </c>
      <c r="I382" s="7" t="s">
        <v>76</v>
      </c>
      <c r="J382" s="7" t="s">
        <v>77</v>
      </c>
      <c r="K382" s="7" t="s">
        <v>125</v>
      </c>
      <c r="L382" s="8" t="s">
        <v>82</v>
      </c>
      <c r="M382" s="8" t="s">
        <v>132</v>
      </c>
      <c r="N382" s="8" t="s">
        <v>79</v>
      </c>
      <c r="O382" s="8" t="s">
        <v>117</v>
      </c>
      <c r="P382" s="8" t="s">
        <v>82</v>
      </c>
      <c r="Q382" s="8" t="s">
        <v>83</v>
      </c>
      <c r="R382" s="8" t="s">
        <v>79</v>
      </c>
      <c r="S382" s="8" t="s">
        <v>82</v>
      </c>
      <c r="T382" s="8" t="s">
        <v>106</v>
      </c>
      <c r="U382" s="8" t="s">
        <v>120</v>
      </c>
      <c r="V382" s="8" t="s">
        <v>112</v>
      </c>
      <c r="W382" s="9">
        <v>2</v>
      </c>
      <c r="X382" s="9">
        <v>3</v>
      </c>
      <c r="Y382" s="9">
        <v>3</v>
      </c>
      <c r="Z382" s="9">
        <v>3</v>
      </c>
      <c r="AA382" s="9">
        <v>3</v>
      </c>
      <c r="AB382" s="9">
        <v>3</v>
      </c>
      <c r="AC382" s="9">
        <v>2</v>
      </c>
      <c r="AD382" s="9">
        <v>3</v>
      </c>
      <c r="AE382" s="9">
        <v>2</v>
      </c>
      <c r="AF382" s="9">
        <v>3</v>
      </c>
      <c r="AG382" s="9">
        <v>3</v>
      </c>
      <c r="AH382" s="9">
        <v>2</v>
      </c>
      <c r="AI382" s="9">
        <v>2</v>
      </c>
      <c r="AJ382" s="9">
        <v>3</v>
      </c>
      <c r="AK382" s="9">
        <v>2</v>
      </c>
      <c r="AL382" s="10">
        <v>3</v>
      </c>
      <c r="AM382" s="10">
        <v>3</v>
      </c>
      <c r="AN382" s="10">
        <v>3</v>
      </c>
      <c r="AO382" s="10">
        <v>2</v>
      </c>
      <c r="AP382" s="10">
        <v>2</v>
      </c>
      <c r="AQ382" s="10">
        <v>0</v>
      </c>
      <c r="AR382" s="10">
        <v>1</v>
      </c>
      <c r="AS382" s="11">
        <v>0</v>
      </c>
      <c r="AT382" s="11">
        <v>0</v>
      </c>
      <c r="AU382" s="11">
        <v>0</v>
      </c>
      <c r="AV382" s="11">
        <v>3</v>
      </c>
      <c r="AW382" s="11">
        <v>2</v>
      </c>
      <c r="AX382" s="11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12">
        <f>SUM(data__22[[#This Row],[N1]:[N4]],data__22[[#This Row],[N10]:[N13]],data__22[[#This Row],[N16]:[N18]])/11</f>
        <v>2.7272727272727271</v>
      </c>
      <c r="BH382" s="13">
        <f>SUM(data__22[[#This Row],[N8]:[N9]],data__22[[#This Row],[N23]:[N25]])/5</f>
        <v>1</v>
      </c>
      <c r="BI382" s="12">
        <f>SUM(data__22[[#This Row],[N5]:[N7]])/3</f>
        <v>2.6666666666666665</v>
      </c>
      <c r="BJ382" s="12">
        <f>SUM(data__22[[#This Row],[N14]:[N15]],data__22[[#This Row],[N19]:[N22]],data__22[[#This Row],[N26]:[N28]])/9</f>
        <v>1.6666666666666667</v>
      </c>
      <c r="BK382" s="12">
        <f>SUM(data__22[[#This Row],[N29]:[N33]])/5</f>
        <v>0</v>
      </c>
      <c r="BL382" s="12">
        <f>SUM(data__22[[#This Row],[N34]:[N36]])/3</f>
        <v>0</v>
      </c>
    </row>
    <row r="383" spans="1:64" x14ac:dyDescent="0.3">
      <c r="A383" s="7">
        <v>20</v>
      </c>
      <c r="B383" s="7" t="s">
        <v>70</v>
      </c>
      <c r="C383" s="7" t="s">
        <v>96</v>
      </c>
      <c r="D383" s="7" t="s">
        <v>97</v>
      </c>
      <c r="E383" s="7" t="s">
        <v>73</v>
      </c>
      <c r="F383" s="7" t="s">
        <v>98</v>
      </c>
      <c r="G383" s="7" t="s">
        <v>439</v>
      </c>
      <c r="H383" s="7" t="s">
        <v>100</v>
      </c>
      <c r="I383" s="7" t="s">
        <v>76</v>
      </c>
      <c r="J383" s="7" t="s">
        <v>77</v>
      </c>
      <c r="K383" s="7" t="s">
        <v>125</v>
      </c>
      <c r="L383" s="8" t="s">
        <v>79</v>
      </c>
      <c r="M383" s="8" t="s">
        <v>102</v>
      </c>
      <c r="N383" s="8" t="s">
        <v>79</v>
      </c>
      <c r="O383" s="8" t="s">
        <v>138</v>
      </c>
      <c r="P383" s="8" t="s">
        <v>79</v>
      </c>
      <c r="Q383" s="8" t="s">
        <v>83</v>
      </c>
      <c r="R383" s="8" t="s">
        <v>79</v>
      </c>
      <c r="S383" s="8" t="s">
        <v>82</v>
      </c>
      <c r="T383" s="8" t="s">
        <v>86</v>
      </c>
      <c r="U383" s="8" t="s">
        <v>141</v>
      </c>
      <c r="V383" s="8" t="s">
        <v>112</v>
      </c>
      <c r="W383" s="9">
        <v>1</v>
      </c>
      <c r="X383" s="9">
        <v>1</v>
      </c>
      <c r="Y383" s="9">
        <v>1</v>
      </c>
      <c r="Z383" s="9">
        <v>2</v>
      </c>
      <c r="AA383" s="9">
        <v>1</v>
      </c>
      <c r="AB383" s="9">
        <v>1</v>
      </c>
      <c r="AC383" s="9">
        <v>1</v>
      </c>
      <c r="AD383" s="9">
        <v>1</v>
      </c>
      <c r="AE383" s="9">
        <v>1</v>
      </c>
      <c r="AF383" s="9">
        <v>1</v>
      </c>
      <c r="AG383" s="9">
        <v>1</v>
      </c>
      <c r="AH383" s="9">
        <v>0</v>
      </c>
      <c r="AI383" s="9">
        <v>1</v>
      </c>
      <c r="AJ383" s="9">
        <v>0</v>
      </c>
      <c r="AK383" s="9">
        <v>1</v>
      </c>
      <c r="AL383" s="10">
        <v>1</v>
      </c>
      <c r="AM383" s="10">
        <v>1</v>
      </c>
      <c r="AN383" s="10">
        <v>2</v>
      </c>
      <c r="AO383" s="10">
        <v>1</v>
      </c>
      <c r="AP383" s="10">
        <v>2</v>
      </c>
      <c r="AQ383" s="10">
        <v>1</v>
      </c>
      <c r="AR383" s="10">
        <v>2</v>
      </c>
      <c r="AS383" s="11">
        <v>1</v>
      </c>
      <c r="AT383" s="11">
        <v>1</v>
      </c>
      <c r="AU383" s="11">
        <v>2</v>
      </c>
      <c r="AV383" s="11">
        <v>1</v>
      </c>
      <c r="AW383" s="11">
        <v>1</v>
      </c>
      <c r="AX383" s="11">
        <v>2</v>
      </c>
      <c r="AY383" s="7">
        <v>1</v>
      </c>
      <c r="AZ383" s="7">
        <v>1</v>
      </c>
      <c r="BA383" s="7">
        <v>2</v>
      </c>
      <c r="BB383" s="7">
        <v>1</v>
      </c>
      <c r="BC383" s="7">
        <v>2</v>
      </c>
      <c r="BD383" s="7">
        <v>1</v>
      </c>
      <c r="BE383" s="7">
        <v>2</v>
      </c>
      <c r="BF383" s="7">
        <v>1</v>
      </c>
      <c r="BG383" s="12">
        <f>SUM(data__22[[#This Row],[N1]:[N4]],data__22[[#This Row],[N10]:[N13]],data__22[[#This Row],[N16]:[N18]])/11</f>
        <v>1.0909090909090908</v>
      </c>
      <c r="BH383" s="13">
        <f>SUM(data__22[[#This Row],[N8]:[N9]],data__22[[#This Row],[N23]:[N25]])/5</f>
        <v>1.2</v>
      </c>
      <c r="BI383" s="12">
        <f>SUM(data__22[[#This Row],[N5]:[N7]])/3</f>
        <v>1</v>
      </c>
      <c r="BJ383" s="12">
        <f>SUM(data__22[[#This Row],[N14]:[N15]],data__22[[#This Row],[N19]:[N22]],data__22[[#This Row],[N26]:[N28]])/9</f>
        <v>1.2222222222222223</v>
      </c>
      <c r="BK383" s="12">
        <f>SUM(data__22[[#This Row],[N29]:[N33]])/5</f>
        <v>1.4</v>
      </c>
      <c r="BL383" s="12">
        <f>SUM(data__22[[#This Row],[N34]:[N36]])/3</f>
        <v>1.3333333333333333</v>
      </c>
    </row>
    <row r="384" spans="1:64" x14ac:dyDescent="0.3">
      <c r="A384" s="7">
        <v>22</v>
      </c>
      <c r="B384" s="7" t="s">
        <v>70</v>
      </c>
      <c r="C384" s="7" t="s">
        <v>96</v>
      </c>
      <c r="D384" s="7" t="s">
        <v>72</v>
      </c>
      <c r="E384" s="7" t="s">
        <v>73</v>
      </c>
      <c r="F384" s="7" t="s">
        <v>74</v>
      </c>
      <c r="G384" s="7" t="s">
        <v>440</v>
      </c>
      <c r="H384" s="7" t="s">
        <v>74</v>
      </c>
      <c r="I384" s="7" t="s">
        <v>99</v>
      </c>
      <c r="J384" s="7" t="s">
        <v>77</v>
      </c>
      <c r="K384" s="7" t="s">
        <v>78</v>
      </c>
      <c r="L384" s="8" t="s">
        <v>79</v>
      </c>
      <c r="M384" s="8" t="s">
        <v>80</v>
      </c>
      <c r="N384" s="8" t="s">
        <v>79</v>
      </c>
      <c r="O384" s="8" t="s">
        <v>109</v>
      </c>
      <c r="P384" s="8" t="s">
        <v>79</v>
      </c>
      <c r="Q384" s="8" t="s">
        <v>83</v>
      </c>
      <c r="R384" s="8" t="s">
        <v>79</v>
      </c>
      <c r="S384" s="8" t="s">
        <v>82</v>
      </c>
      <c r="T384" s="8" t="s">
        <v>106</v>
      </c>
      <c r="U384" s="8" t="s">
        <v>87</v>
      </c>
      <c r="V384" s="8" t="s">
        <v>112</v>
      </c>
      <c r="W384" s="9">
        <v>2</v>
      </c>
      <c r="X384" s="9">
        <v>3</v>
      </c>
      <c r="Y384" s="9">
        <v>3</v>
      </c>
      <c r="Z384" s="9">
        <v>3</v>
      </c>
      <c r="AA384" s="9">
        <v>1</v>
      </c>
      <c r="AB384" s="9">
        <v>1</v>
      </c>
      <c r="AC384" s="9">
        <v>1</v>
      </c>
      <c r="AD384" s="9">
        <v>1</v>
      </c>
      <c r="AE384" s="9">
        <v>1</v>
      </c>
      <c r="AF384" s="9">
        <v>2</v>
      </c>
      <c r="AG384" s="9">
        <v>2</v>
      </c>
      <c r="AH384" s="9">
        <v>3</v>
      </c>
      <c r="AI384" s="9">
        <v>2</v>
      </c>
      <c r="AJ384" s="9">
        <v>2</v>
      </c>
      <c r="AK384" s="9">
        <v>2</v>
      </c>
      <c r="AL384" s="10">
        <v>3</v>
      </c>
      <c r="AM384" s="10">
        <v>3</v>
      </c>
      <c r="AN384" s="10">
        <v>3</v>
      </c>
      <c r="AO384" s="10">
        <v>3</v>
      </c>
      <c r="AP384" s="10">
        <v>0</v>
      </c>
      <c r="AQ384" s="10">
        <v>0</v>
      </c>
      <c r="AR384" s="10">
        <v>2</v>
      </c>
      <c r="AS384" s="11">
        <v>1</v>
      </c>
      <c r="AT384" s="11">
        <v>2</v>
      </c>
      <c r="AU384" s="11">
        <v>2</v>
      </c>
      <c r="AV384" s="11">
        <v>2</v>
      </c>
      <c r="AW384" s="11">
        <v>2</v>
      </c>
      <c r="AX384" s="11">
        <v>2</v>
      </c>
      <c r="AY384" s="7"/>
      <c r="AZ384" s="7"/>
      <c r="BA384" s="7"/>
      <c r="BB384" s="7"/>
      <c r="BC384" s="7"/>
      <c r="BD384" s="7"/>
      <c r="BE384" s="7"/>
      <c r="BF384" s="7"/>
      <c r="BG384" s="12">
        <f>SUM(data__22[[#This Row],[N1]:[N4]],data__22[[#This Row],[N10]:[N13]],data__22[[#This Row],[N16]:[N18]])/11</f>
        <v>2.6363636363636362</v>
      </c>
      <c r="BH384" s="13">
        <f>SUM(data__22[[#This Row],[N8]:[N9]],data__22[[#This Row],[N23]:[N25]])/5</f>
        <v>1.4</v>
      </c>
      <c r="BI384" s="12">
        <f>SUM(data__22[[#This Row],[N5]:[N7]])/3</f>
        <v>1</v>
      </c>
      <c r="BJ384" s="12">
        <f>SUM(data__22[[#This Row],[N14]:[N15]],data__22[[#This Row],[N19]:[N22]],data__22[[#This Row],[N26]:[N28]])/9</f>
        <v>1.6666666666666667</v>
      </c>
      <c r="BK384" s="12">
        <f>SUM(data__22[[#This Row],[N29]:[N33]])/5</f>
        <v>0</v>
      </c>
      <c r="BL384" s="12">
        <f>SUM(data__22[[#This Row],[N34]:[N36]])/3</f>
        <v>0</v>
      </c>
    </row>
    <row r="385" spans="1:64" x14ac:dyDescent="0.3">
      <c r="A385" s="7">
        <v>21</v>
      </c>
      <c r="B385" s="7" t="s">
        <v>70</v>
      </c>
      <c r="C385" s="7" t="s">
        <v>96</v>
      </c>
      <c r="D385" s="7" t="s">
        <v>149</v>
      </c>
      <c r="E385" s="7" t="s">
        <v>108</v>
      </c>
      <c r="F385" s="7" t="s">
        <v>74</v>
      </c>
      <c r="G385" s="7" t="s">
        <v>439</v>
      </c>
      <c r="H385" s="7" t="s">
        <v>74</v>
      </c>
      <c r="I385" s="7" t="s">
        <v>439</v>
      </c>
      <c r="J385" s="7" t="s">
        <v>77</v>
      </c>
      <c r="K385" s="7" t="s">
        <v>131</v>
      </c>
      <c r="L385" s="8" t="s">
        <v>79</v>
      </c>
      <c r="M385" s="8" t="s">
        <v>102</v>
      </c>
      <c r="N385" s="8" t="s">
        <v>82</v>
      </c>
      <c r="O385" s="8" t="s">
        <v>138</v>
      </c>
      <c r="P385" s="8" t="s">
        <v>79</v>
      </c>
      <c r="Q385" s="8" t="s">
        <v>103</v>
      </c>
      <c r="R385" s="8" t="s">
        <v>82</v>
      </c>
      <c r="S385" s="8" t="s">
        <v>79</v>
      </c>
      <c r="T385" s="8" t="s">
        <v>86</v>
      </c>
      <c r="U385" s="8" t="s">
        <v>87</v>
      </c>
      <c r="V385" s="8" t="s">
        <v>112</v>
      </c>
      <c r="W385" s="9">
        <v>2</v>
      </c>
      <c r="X385" s="9">
        <v>2</v>
      </c>
      <c r="Y385" s="9">
        <v>3</v>
      </c>
      <c r="Z385" s="9">
        <v>3</v>
      </c>
      <c r="AA385" s="9">
        <v>0</v>
      </c>
      <c r="AB385" s="9">
        <v>0</v>
      </c>
      <c r="AC385" s="9">
        <v>0</v>
      </c>
      <c r="AD385" s="9">
        <v>3</v>
      </c>
      <c r="AE385" s="9">
        <v>3</v>
      </c>
      <c r="AF385" s="9">
        <v>3</v>
      </c>
      <c r="AG385" s="9">
        <v>3</v>
      </c>
      <c r="AH385" s="9">
        <v>3</v>
      </c>
      <c r="AI385" s="9">
        <v>3</v>
      </c>
      <c r="AJ385" s="9">
        <v>3</v>
      </c>
      <c r="AK385" s="9">
        <v>3</v>
      </c>
      <c r="AL385" s="10">
        <v>3</v>
      </c>
      <c r="AM385" s="10">
        <v>3</v>
      </c>
      <c r="AN385" s="10">
        <v>3</v>
      </c>
      <c r="AO385" s="10">
        <v>3</v>
      </c>
      <c r="AP385" s="10">
        <v>0</v>
      </c>
      <c r="AQ385" s="10">
        <v>0</v>
      </c>
      <c r="AR385" s="10">
        <v>0</v>
      </c>
      <c r="AS385" s="11">
        <v>3</v>
      </c>
      <c r="AT385" s="11">
        <v>1</v>
      </c>
      <c r="AU385" s="11">
        <v>1</v>
      </c>
      <c r="AV385" s="11">
        <v>1</v>
      </c>
      <c r="AW385" s="11">
        <v>1</v>
      </c>
      <c r="AX385" s="11">
        <v>1</v>
      </c>
      <c r="AY385" s="7">
        <v>3</v>
      </c>
      <c r="AZ385" s="7">
        <v>3</v>
      </c>
      <c r="BA385" s="7">
        <v>3</v>
      </c>
      <c r="BB385" s="7">
        <v>2</v>
      </c>
      <c r="BC385" s="7">
        <v>3</v>
      </c>
      <c r="BD385" s="7">
        <v>3</v>
      </c>
      <c r="BE385" s="7">
        <v>1</v>
      </c>
      <c r="BF385" s="7">
        <v>1</v>
      </c>
      <c r="BG385" s="12">
        <f>SUM(data__22[[#This Row],[N1]:[N4]],data__22[[#This Row],[N10]:[N13]],data__22[[#This Row],[N16]:[N18]])/11</f>
        <v>2.8181818181818183</v>
      </c>
      <c r="BH385" s="13">
        <f>SUM(data__22[[#This Row],[N8]:[N9]],data__22[[#This Row],[N23]:[N25]])/5</f>
        <v>2.2000000000000002</v>
      </c>
      <c r="BI385" s="12">
        <f>SUM(data__22[[#This Row],[N5]:[N7]])/3</f>
        <v>0</v>
      </c>
      <c r="BJ385" s="12">
        <f>SUM(data__22[[#This Row],[N14]:[N15]],data__22[[#This Row],[N19]:[N22]],data__22[[#This Row],[N26]:[N28]])/9</f>
        <v>1.3333333333333333</v>
      </c>
      <c r="BK385" s="12">
        <f>SUM(data__22[[#This Row],[N29]:[N33]])/5</f>
        <v>2.8</v>
      </c>
      <c r="BL385" s="12">
        <f>SUM(data__22[[#This Row],[N34]:[N36]])/3</f>
        <v>1.6666666666666667</v>
      </c>
    </row>
    <row r="386" spans="1:64" x14ac:dyDescent="0.3">
      <c r="A386" s="7">
        <v>21</v>
      </c>
      <c r="B386" s="7" t="s">
        <v>70</v>
      </c>
      <c r="C386" s="7" t="s">
        <v>96</v>
      </c>
      <c r="D386" s="7" t="s">
        <v>97</v>
      </c>
      <c r="E386" s="7" t="s">
        <v>73</v>
      </c>
      <c r="F386" s="7" t="s">
        <v>136</v>
      </c>
      <c r="G386" s="7" t="s">
        <v>440</v>
      </c>
      <c r="H386" s="7" t="s">
        <v>136</v>
      </c>
      <c r="I386" s="7" t="s">
        <v>439</v>
      </c>
      <c r="J386" s="7" t="s">
        <v>77</v>
      </c>
      <c r="K386" s="7" t="s">
        <v>78</v>
      </c>
      <c r="L386" s="8" t="s">
        <v>82</v>
      </c>
      <c r="M386" s="8" t="s">
        <v>80</v>
      </c>
      <c r="N386" s="8" t="s">
        <v>79</v>
      </c>
      <c r="O386" s="8" t="s">
        <v>109</v>
      </c>
      <c r="P386" s="8" t="s">
        <v>79</v>
      </c>
      <c r="Q386" s="8" t="s">
        <v>83</v>
      </c>
      <c r="R386" s="8" t="s">
        <v>82</v>
      </c>
      <c r="S386" s="8" t="s">
        <v>79</v>
      </c>
      <c r="T386" s="8" t="s">
        <v>106</v>
      </c>
      <c r="U386" s="8" t="s">
        <v>120</v>
      </c>
      <c r="V386" s="8" t="s">
        <v>112</v>
      </c>
      <c r="W386" s="9">
        <v>0</v>
      </c>
      <c r="X386" s="9">
        <v>1</v>
      </c>
      <c r="Y386" s="9">
        <v>0</v>
      </c>
      <c r="Z386" s="9">
        <v>1</v>
      </c>
      <c r="AA386" s="9">
        <v>1</v>
      </c>
      <c r="AB386" s="9">
        <v>0</v>
      </c>
      <c r="AC386" s="9">
        <v>0</v>
      </c>
      <c r="AD386" s="9">
        <v>0</v>
      </c>
      <c r="AE386" s="9">
        <v>0</v>
      </c>
      <c r="AF386" s="9">
        <v>1</v>
      </c>
      <c r="AG386" s="9">
        <v>1</v>
      </c>
      <c r="AH386" s="9">
        <v>0</v>
      </c>
      <c r="AI386" s="9">
        <v>1</v>
      </c>
      <c r="AJ386" s="9">
        <v>1</v>
      </c>
      <c r="AK386" s="9">
        <v>1</v>
      </c>
      <c r="AL386" s="10">
        <v>1</v>
      </c>
      <c r="AM386" s="10">
        <v>1</v>
      </c>
      <c r="AN386" s="10">
        <v>1</v>
      </c>
      <c r="AO386" s="10">
        <v>0</v>
      </c>
      <c r="AP386" s="10">
        <v>1</v>
      </c>
      <c r="AQ386" s="10">
        <v>1</v>
      </c>
      <c r="AR386" s="10">
        <v>1</v>
      </c>
      <c r="AS386" s="11">
        <v>1</v>
      </c>
      <c r="AT386" s="11">
        <v>1</v>
      </c>
      <c r="AU386" s="11">
        <v>1</v>
      </c>
      <c r="AV386" s="11">
        <v>1</v>
      </c>
      <c r="AW386" s="11">
        <v>1</v>
      </c>
      <c r="AX386" s="11">
        <v>1</v>
      </c>
      <c r="AY386" s="7">
        <v>0</v>
      </c>
      <c r="AZ386" s="7">
        <v>1</v>
      </c>
      <c r="BA386" s="7">
        <v>1</v>
      </c>
      <c r="BB386" s="7">
        <v>0</v>
      </c>
      <c r="BC386" s="7">
        <v>1</v>
      </c>
      <c r="BD386" s="7">
        <v>1</v>
      </c>
      <c r="BE386" s="7">
        <v>1</v>
      </c>
      <c r="BF386" s="7">
        <v>0</v>
      </c>
      <c r="BG386" s="12">
        <f>SUM(data__22[[#This Row],[N1]:[N4]],data__22[[#This Row],[N10]:[N13]],data__22[[#This Row],[N16]:[N18]])/11</f>
        <v>0.72727272727272729</v>
      </c>
      <c r="BH386" s="13">
        <f>SUM(data__22[[#This Row],[N8]:[N9]],data__22[[#This Row],[N23]:[N25]])/5</f>
        <v>0.6</v>
      </c>
      <c r="BI386" s="12">
        <f>SUM(data__22[[#This Row],[N5]:[N7]])/3</f>
        <v>0.33333333333333331</v>
      </c>
      <c r="BJ386" s="12">
        <f>SUM(data__22[[#This Row],[N14]:[N15]],data__22[[#This Row],[N19]:[N22]],data__22[[#This Row],[N26]:[N28]])/9</f>
        <v>0.88888888888888884</v>
      </c>
      <c r="BK386" s="12">
        <f>SUM(data__22[[#This Row],[N29]:[N33]])/5</f>
        <v>0.6</v>
      </c>
      <c r="BL386" s="12">
        <f>SUM(data__22[[#This Row],[N34]:[N36]])/3</f>
        <v>0.66666666666666663</v>
      </c>
    </row>
    <row r="387" spans="1:64" x14ac:dyDescent="0.3">
      <c r="A387" s="7">
        <v>21</v>
      </c>
      <c r="B387" s="7" t="s">
        <v>70</v>
      </c>
      <c r="C387" s="7" t="s">
        <v>96</v>
      </c>
      <c r="D387" s="7" t="s">
        <v>97</v>
      </c>
      <c r="E387" s="7" t="s">
        <v>108</v>
      </c>
      <c r="F387" s="7" t="s">
        <v>74</v>
      </c>
      <c r="G387" s="7" t="s">
        <v>440</v>
      </c>
      <c r="H387" s="7" t="s">
        <v>136</v>
      </c>
      <c r="I387" s="7" t="s">
        <v>76</v>
      </c>
      <c r="J387" s="7" t="s">
        <v>77</v>
      </c>
      <c r="K387" s="7" t="s">
        <v>78</v>
      </c>
      <c r="L387" s="8" t="s">
        <v>79</v>
      </c>
      <c r="M387" s="8" t="s">
        <v>80</v>
      </c>
      <c r="N387" s="8" t="s">
        <v>79</v>
      </c>
      <c r="O387" s="8" t="s">
        <v>81</v>
      </c>
      <c r="P387" s="8" t="s">
        <v>82</v>
      </c>
      <c r="Q387" s="8" t="s">
        <v>103</v>
      </c>
      <c r="R387" s="8" t="s">
        <v>82</v>
      </c>
      <c r="S387" s="8" t="s">
        <v>82</v>
      </c>
      <c r="T387" s="8" t="s">
        <v>106</v>
      </c>
      <c r="U387" s="8" t="s">
        <v>120</v>
      </c>
      <c r="V387" s="8" t="s">
        <v>112</v>
      </c>
      <c r="W387" s="9">
        <v>1</v>
      </c>
      <c r="X387" s="9">
        <v>1</v>
      </c>
      <c r="Y387" s="9">
        <v>1</v>
      </c>
      <c r="Z387" s="9">
        <v>1</v>
      </c>
      <c r="AA387" s="9">
        <v>1</v>
      </c>
      <c r="AB387" s="9">
        <v>1</v>
      </c>
      <c r="AC387" s="9">
        <v>1</v>
      </c>
      <c r="AD387" s="9">
        <v>1</v>
      </c>
      <c r="AE387" s="9">
        <v>1</v>
      </c>
      <c r="AF387" s="9">
        <v>1</v>
      </c>
      <c r="AG387" s="9">
        <v>1</v>
      </c>
      <c r="AH387" s="9">
        <v>1</v>
      </c>
      <c r="AI387" s="9">
        <v>1</v>
      </c>
      <c r="AJ387" s="9">
        <v>1</v>
      </c>
      <c r="AK387" s="9">
        <v>1</v>
      </c>
      <c r="AL387" s="10">
        <v>1</v>
      </c>
      <c r="AM387" s="10">
        <v>1</v>
      </c>
      <c r="AN387" s="10">
        <v>1</v>
      </c>
      <c r="AO387" s="10">
        <v>1</v>
      </c>
      <c r="AP387" s="10">
        <v>1</v>
      </c>
      <c r="AQ387" s="10">
        <v>1</v>
      </c>
      <c r="AR387" s="10">
        <v>1</v>
      </c>
      <c r="AS387" s="11">
        <v>1</v>
      </c>
      <c r="AT387" s="11">
        <v>3</v>
      </c>
      <c r="AU387" s="11">
        <v>2</v>
      </c>
      <c r="AV387" s="11">
        <v>2</v>
      </c>
      <c r="AW387" s="11">
        <v>2</v>
      </c>
      <c r="AX387" s="11">
        <v>2</v>
      </c>
      <c r="AY387" s="7">
        <v>2</v>
      </c>
      <c r="AZ387" s="7">
        <v>2</v>
      </c>
      <c r="BA387" s="7">
        <v>2</v>
      </c>
      <c r="BB387" s="7">
        <v>2</v>
      </c>
      <c r="BC387" s="7">
        <v>2</v>
      </c>
      <c r="BD387" s="7">
        <v>2</v>
      </c>
      <c r="BE387" s="7">
        <v>2</v>
      </c>
      <c r="BF387" s="7">
        <v>2</v>
      </c>
      <c r="BG387" s="12">
        <f>SUM(data__22[[#This Row],[N1]:[N4]],data__22[[#This Row],[N10]:[N13]],data__22[[#This Row],[N16]:[N18]])/11</f>
        <v>1</v>
      </c>
      <c r="BH387" s="13">
        <f>SUM(data__22[[#This Row],[N8]:[N9]],data__22[[#This Row],[N23]:[N25]])/5</f>
        <v>1.6</v>
      </c>
      <c r="BI387" s="12">
        <f>SUM(data__22[[#This Row],[N5]:[N7]])/3</f>
        <v>1</v>
      </c>
      <c r="BJ387" s="12">
        <f>SUM(data__22[[#This Row],[N14]:[N15]],data__22[[#This Row],[N19]:[N22]],data__22[[#This Row],[N26]:[N28]])/9</f>
        <v>1.3333333333333333</v>
      </c>
      <c r="BK387" s="12">
        <f>SUM(data__22[[#This Row],[N29]:[N33]])/5</f>
        <v>2</v>
      </c>
      <c r="BL387" s="12">
        <f>SUM(data__22[[#This Row],[N34]:[N36]])/3</f>
        <v>2</v>
      </c>
    </row>
    <row r="388" spans="1:64" x14ac:dyDescent="0.3">
      <c r="A388" s="7">
        <v>25</v>
      </c>
      <c r="B388" s="7" t="s">
        <v>70</v>
      </c>
      <c r="C388" s="7" t="s">
        <v>153</v>
      </c>
      <c r="D388" s="7" t="s">
        <v>72</v>
      </c>
      <c r="E388" s="7" t="s">
        <v>73</v>
      </c>
      <c r="F388" s="7" t="s">
        <v>136</v>
      </c>
      <c r="G388" s="7" t="s">
        <v>439</v>
      </c>
      <c r="H388" s="7" t="s">
        <v>100</v>
      </c>
      <c r="I388" s="7" t="s">
        <v>76</v>
      </c>
      <c r="J388" s="7" t="s">
        <v>77</v>
      </c>
      <c r="K388" s="7" t="s">
        <v>125</v>
      </c>
      <c r="L388" s="8" t="s">
        <v>82</v>
      </c>
      <c r="M388" s="8" t="s">
        <v>102</v>
      </c>
      <c r="N388" s="8" t="s">
        <v>82</v>
      </c>
      <c r="O388" s="8" t="s">
        <v>117</v>
      </c>
      <c r="P388" s="8" t="s">
        <v>82</v>
      </c>
      <c r="Q388" s="8" t="s">
        <v>118</v>
      </c>
      <c r="R388" s="8" t="s">
        <v>79</v>
      </c>
      <c r="S388" s="8" t="s">
        <v>82</v>
      </c>
      <c r="T388" s="8" t="s">
        <v>106</v>
      </c>
      <c r="U388" s="8" t="s">
        <v>87</v>
      </c>
      <c r="V388" s="8" t="s">
        <v>457</v>
      </c>
      <c r="W388" s="9">
        <v>2</v>
      </c>
      <c r="X388" s="9">
        <v>2</v>
      </c>
      <c r="Y388" s="9">
        <v>2</v>
      </c>
      <c r="Z388" s="9">
        <v>2</v>
      </c>
      <c r="AA388" s="9">
        <v>2</v>
      </c>
      <c r="AB388" s="9">
        <v>2</v>
      </c>
      <c r="AC388" s="9">
        <v>2</v>
      </c>
      <c r="AD388" s="9">
        <v>2</v>
      </c>
      <c r="AE388" s="9">
        <v>2</v>
      </c>
      <c r="AF388" s="9">
        <v>2</v>
      </c>
      <c r="AG388" s="9">
        <v>2</v>
      </c>
      <c r="AH388" s="9">
        <v>2</v>
      </c>
      <c r="AI388" s="9">
        <v>2</v>
      </c>
      <c r="AJ388" s="9">
        <v>2</v>
      </c>
      <c r="AK388" s="9">
        <v>2</v>
      </c>
      <c r="AL388" s="10">
        <v>2</v>
      </c>
      <c r="AM388" s="10">
        <v>2</v>
      </c>
      <c r="AN388" s="10">
        <v>2</v>
      </c>
      <c r="AO388" s="10">
        <v>2</v>
      </c>
      <c r="AP388" s="10">
        <v>2</v>
      </c>
      <c r="AQ388" s="10">
        <v>2</v>
      </c>
      <c r="AR388" s="10">
        <v>2</v>
      </c>
      <c r="AS388" s="11">
        <v>2</v>
      </c>
      <c r="AT388" s="11">
        <v>2</v>
      </c>
      <c r="AU388" s="11">
        <v>2</v>
      </c>
      <c r="AV388" s="11">
        <v>2</v>
      </c>
      <c r="AW388" s="11">
        <v>2</v>
      </c>
      <c r="AX388" s="11">
        <v>2</v>
      </c>
      <c r="AY388" s="7">
        <v>2</v>
      </c>
      <c r="AZ388" s="7">
        <v>2</v>
      </c>
      <c r="BA388" s="7">
        <v>2</v>
      </c>
      <c r="BB388" s="7">
        <v>2</v>
      </c>
      <c r="BC388" s="7">
        <v>2</v>
      </c>
      <c r="BD388" s="7">
        <v>2</v>
      </c>
      <c r="BE388" s="7">
        <v>2</v>
      </c>
      <c r="BF388" s="7">
        <v>2</v>
      </c>
      <c r="BG388" s="12">
        <f>SUM(data__22[[#This Row],[N1]:[N4]],data__22[[#This Row],[N10]:[N13]],data__22[[#This Row],[N16]:[N18]])/11</f>
        <v>2</v>
      </c>
      <c r="BH388" s="13">
        <f>SUM(data__22[[#This Row],[N8]:[N9]],data__22[[#This Row],[N23]:[N25]])/5</f>
        <v>2</v>
      </c>
      <c r="BI388" s="12">
        <f>SUM(data__22[[#This Row],[N5]:[N7]])/3</f>
        <v>2</v>
      </c>
      <c r="BJ388" s="12">
        <f>SUM(data__22[[#This Row],[N14]:[N15]],data__22[[#This Row],[N19]:[N22]],data__22[[#This Row],[N26]:[N28]])/9</f>
        <v>2</v>
      </c>
      <c r="BK388" s="12">
        <f>SUM(data__22[[#This Row],[N29]:[N33]])/5</f>
        <v>2</v>
      </c>
      <c r="BL388" s="12">
        <f>SUM(data__22[[#This Row],[N34]:[N36]])/3</f>
        <v>2</v>
      </c>
    </row>
    <row r="389" spans="1:64" x14ac:dyDescent="0.3">
      <c r="A389" s="7">
        <v>21</v>
      </c>
      <c r="B389" s="7" t="s">
        <v>70</v>
      </c>
      <c r="C389" s="7" t="s">
        <v>96</v>
      </c>
      <c r="D389" s="7" t="s">
        <v>72</v>
      </c>
      <c r="E389" s="7" t="s">
        <v>108</v>
      </c>
      <c r="F389" s="7" t="s">
        <v>74</v>
      </c>
      <c r="G389" s="7" t="s">
        <v>99</v>
      </c>
      <c r="H389" s="7" t="s">
        <v>74</v>
      </c>
      <c r="I389" s="7" t="s">
        <v>439</v>
      </c>
      <c r="J389" s="7" t="s">
        <v>77</v>
      </c>
      <c r="K389" s="7" t="s">
        <v>122</v>
      </c>
      <c r="L389" s="8" t="s">
        <v>79</v>
      </c>
      <c r="M389" s="8" t="s">
        <v>80</v>
      </c>
      <c r="N389" s="8" t="s">
        <v>79</v>
      </c>
      <c r="O389" s="8" t="s">
        <v>81</v>
      </c>
      <c r="P389" s="8" t="s">
        <v>82</v>
      </c>
      <c r="Q389" s="8" t="s">
        <v>83</v>
      </c>
      <c r="R389" s="8" t="s">
        <v>79</v>
      </c>
      <c r="S389" s="8" t="s">
        <v>82</v>
      </c>
      <c r="T389" s="8" t="s">
        <v>106</v>
      </c>
      <c r="U389" s="8" t="s">
        <v>141</v>
      </c>
      <c r="V389" s="8" t="s">
        <v>127</v>
      </c>
      <c r="W389" s="9">
        <v>2</v>
      </c>
      <c r="X389" s="9">
        <v>2</v>
      </c>
      <c r="Y389" s="9">
        <v>2</v>
      </c>
      <c r="Z389" s="9">
        <v>2</v>
      </c>
      <c r="AA389" s="9">
        <v>2</v>
      </c>
      <c r="AB389" s="9">
        <v>2</v>
      </c>
      <c r="AC389" s="9">
        <v>2</v>
      </c>
      <c r="AD389" s="9">
        <v>2</v>
      </c>
      <c r="AE389" s="9">
        <v>2</v>
      </c>
      <c r="AF389" s="9">
        <v>2</v>
      </c>
      <c r="AG389" s="9">
        <v>2</v>
      </c>
      <c r="AH389" s="9">
        <v>2</v>
      </c>
      <c r="AI389" s="9">
        <v>2</v>
      </c>
      <c r="AJ389" s="9">
        <v>2</v>
      </c>
      <c r="AK389" s="9">
        <v>2</v>
      </c>
      <c r="AL389" s="10">
        <v>2</v>
      </c>
      <c r="AM389" s="10">
        <v>2</v>
      </c>
      <c r="AN389" s="10">
        <v>2</v>
      </c>
      <c r="AO389" s="10">
        <v>2</v>
      </c>
      <c r="AP389" s="10">
        <v>2</v>
      </c>
      <c r="AQ389" s="10">
        <v>2</v>
      </c>
      <c r="AR389" s="10">
        <v>2</v>
      </c>
      <c r="AS389" s="11">
        <v>2</v>
      </c>
      <c r="AT389" s="11">
        <v>2</v>
      </c>
      <c r="AU389" s="11">
        <v>2</v>
      </c>
      <c r="AV389" s="11">
        <v>2</v>
      </c>
      <c r="AW389" s="11">
        <v>2</v>
      </c>
      <c r="AX389" s="11">
        <v>2</v>
      </c>
      <c r="AY389" s="7">
        <v>2</v>
      </c>
      <c r="AZ389" s="7">
        <v>2</v>
      </c>
      <c r="BA389" s="7">
        <v>2</v>
      </c>
      <c r="BB389" s="7">
        <v>2</v>
      </c>
      <c r="BC389" s="7">
        <v>2</v>
      </c>
      <c r="BD389" s="7">
        <v>2</v>
      </c>
      <c r="BE389" s="7">
        <v>2</v>
      </c>
      <c r="BF389" s="7">
        <v>2</v>
      </c>
      <c r="BG389" s="12">
        <f>SUM(data__22[[#This Row],[N1]:[N4]],data__22[[#This Row],[N10]:[N13]],data__22[[#This Row],[N16]:[N18]])/11</f>
        <v>2</v>
      </c>
      <c r="BH389" s="13">
        <f>SUM(data__22[[#This Row],[N8]:[N9]],data__22[[#This Row],[N23]:[N25]])/5</f>
        <v>2</v>
      </c>
      <c r="BI389" s="12">
        <f>SUM(data__22[[#This Row],[N5]:[N7]])/3</f>
        <v>2</v>
      </c>
      <c r="BJ389" s="12">
        <f>SUM(data__22[[#This Row],[N14]:[N15]],data__22[[#This Row],[N19]:[N22]],data__22[[#This Row],[N26]:[N28]])/9</f>
        <v>2</v>
      </c>
      <c r="BK389" s="12">
        <f>SUM(data__22[[#This Row],[N29]:[N33]])/5</f>
        <v>2</v>
      </c>
      <c r="BL389" s="12">
        <f>SUM(data__22[[#This Row],[N34]:[N36]])/3</f>
        <v>2</v>
      </c>
    </row>
    <row r="390" spans="1:64" x14ac:dyDescent="0.3">
      <c r="A390" s="7">
        <v>21</v>
      </c>
      <c r="B390" s="7" t="s">
        <v>128</v>
      </c>
      <c r="C390" s="7" t="s">
        <v>96</v>
      </c>
      <c r="D390" s="7" t="s">
        <v>72</v>
      </c>
      <c r="E390" s="7" t="s">
        <v>114</v>
      </c>
      <c r="F390" s="7" t="s">
        <v>74</v>
      </c>
      <c r="G390" s="7" t="s">
        <v>439</v>
      </c>
      <c r="H390" s="7" t="s">
        <v>136</v>
      </c>
      <c r="I390" s="7" t="s">
        <v>76</v>
      </c>
      <c r="J390" s="7" t="s">
        <v>77</v>
      </c>
      <c r="K390" s="7" t="s">
        <v>125</v>
      </c>
      <c r="L390" s="8" t="s">
        <v>79</v>
      </c>
      <c r="M390" s="8" t="s">
        <v>80</v>
      </c>
      <c r="N390" s="8" t="s">
        <v>79</v>
      </c>
      <c r="O390" s="8" t="s">
        <v>109</v>
      </c>
      <c r="P390" s="8" t="s">
        <v>79</v>
      </c>
      <c r="Q390" s="8" t="s">
        <v>83</v>
      </c>
      <c r="R390" s="8" t="s">
        <v>79</v>
      </c>
      <c r="S390" s="8" t="s">
        <v>79</v>
      </c>
      <c r="T390" s="8" t="s">
        <v>106</v>
      </c>
      <c r="U390" s="8" t="s">
        <v>87</v>
      </c>
      <c r="V390" s="8" t="s">
        <v>455</v>
      </c>
      <c r="W390" s="9">
        <v>0</v>
      </c>
      <c r="X390" s="9">
        <v>0</v>
      </c>
      <c r="Y390" s="9">
        <v>1</v>
      </c>
      <c r="Z390" s="9">
        <v>0</v>
      </c>
      <c r="AA390" s="9">
        <v>0</v>
      </c>
      <c r="AB390" s="9">
        <v>0</v>
      </c>
      <c r="AC390" s="9">
        <v>0</v>
      </c>
      <c r="AD390" s="9">
        <v>1</v>
      </c>
      <c r="AE390" s="9">
        <v>0</v>
      </c>
      <c r="AF390" s="9">
        <v>0</v>
      </c>
      <c r="AG390" s="9">
        <v>0</v>
      </c>
      <c r="AH390" s="9">
        <v>1</v>
      </c>
      <c r="AI390" s="9">
        <v>0</v>
      </c>
      <c r="AJ390" s="9">
        <v>0</v>
      </c>
      <c r="AK390" s="9">
        <v>0</v>
      </c>
      <c r="AL390" s="10">
        <v>1</v>
      </c>
      <c r="AM390" s="10">
        <v>0</v>
      </c>
      <c r="AN390" s="10">
        <v>0</v>
      </c>
      <c r="AO390" s="10">
        <v>0</v>
      </c>
      <c r="AP390" s="10">
        <v>1</v>
      </c>
      <c r="AQ390" s="10">
        <v>0</v>
      </c>
      <c r="AR390" s="10">
        <v>0</v>
      </c>
      <c r="AS390" s="11">
        <v>1</v>
      </c>
      <c r="AT390" s="11">
        <v>1</v>
      </c>
      <c r="AU390" s="11">
        <v>1</v>
      </c>
      <c r="AV390" s="11">
        <v>0</v>
      </c>
      <c r="AW390" s="11">
        <v>1</v>
      </c>
      <c r="AX390" s="11">
        <v>1</v>
      </c>
      <c r="AY390" s="7">
        <v>0</v>
      </c>
      <c r="AZ390" s="7">
        <v>1</v>
      </c>
      <c r="BA390" s="7">
        <v>0</v>
      </c>
      <c r="BB390" s="7">
        <v>1</v>
      </c>
      <c r="BC390" s="7">
        <v>1</v>
      </c>
      <c r="BD390" s="7">
        <v>1</v>
      </c>
      <c r="BE390" s="7">
        <v>0</v>
      </c>
      <c r="BF390" s="7">
        <v>1</v>
      </c>
      <c r="BG390" s="12">
        <f>SUM(data__22[[#This Row],[N1]:[N4]],data__22[[#This Row],[N10]:[N13]],data__22[[#This Row],[N16]:[N18]])/11</f>
        <v>0.27272727272727271</v>
      </c>
      <c r="BH390" s="13">
        <f>SUM(data__22[[#This Row],[N8]:[N9]],data__22[[#This Row],[N23]:[N25]])/5</f>
        <v>0.8</v>
      </c>
      <c r="BI390" s="12">
        <f>SUM(data__22[[#This Row],[N5]:[N7]])/3</f>
        <v>0</v>
      </c>
      <c r="BJ390" s="12">
        <f>SUM(data__22[[#This Row],[N14]:[N15]],data__22[[#This Row],[N19]:[N22]],data__22[[#This Row],[N26]:[N28]])/9</f>
        <v>0.33333333333333331</v>
      </c>
      <c r="BK390" s="12">
        <f>SUM(data__22[[#This Row],[N29]:[N33]])/5</f>
        <v>0.6</v>
      </c>
      <c r="BL390" s="12">
        <f>SUM(data__22[[#This Row],[N34]:[N36]])/3</f>
        <v>0.66666666666666663</v>
      </c>
    </row>
    <row r="391" spans="1:64" x14ac:dyDescent="0.3">
      <c r="A391" s="7">
        <v>22</v>
      </c>
      <c r="B391" s="7" t="s">
        <v>128</v>
      </c>
      <c r="C391" s="7" t="s">
        <v>113</v>
      </c>
      <c r="D391" s="7" t="s">
        <v>72</v>
      </c>
      <c r="E391" s="7" t="s">
        <v>114</v>
      </c>
      <c r="F391" s="7" t="s">
        <v>136</v>
      </c>
      <c r="G391" s="7" t="s">
        <v>439</v>
      </c>
      <c r="H391" s="7" t="s">
        <v>74</v>
      </c>
      <c r="I391" s="7" t="s">
        <v>439</v>
      </c>
      <c r="J391" s="7" t="s">
        <v>77</v>
      </c>
      <c r="K391" s="7" t="s">
        <v>122</v>
      </c>
      <c r="L391" s="8" t="s">
        <v>79</v>
      </c>
      <c r="M391" s="8" t="s">
        <v>80</v>
      </c>
      <c r="N391" s="8" t="s">
        <v>79</v>
      </c>
      <c r="O391" s="8" t="s">
        <v>138</v>
      </c>
      <c r="P391" s="8" t="s">
        <v>79</v>
      </c>
      <c r="Q391" s="8" t="s">
        <v>83</v>
      </c>
      <c r="R391" s="8" t="s">
        <v>79</v>
      </c>
      <c r="S391" s="8" t="s">
        <v>82</v>
      </c>
      <c r="T391" s="8" t="s">
        <v>148</v>
      </c>
      <c r="U391" s="8" t="s">
        <v>120</v>
      </c>
      <c r="V391" s="8" t="s">
        <v>112</v>
      </c>
      <c r="W391" s="9">
        <v>2</v>
      </c>
      <c r="X391" s="9">
        <v>3</v>
      </c>
      <c r="Y391" s="9">
        <v>2</v>
      </c>
      <c r="Z391" s="9">
        <v>3</v>
      </c>
      <c r="AA391" s="9">
        <v>3</v>
      </c>
      <c r="AB391" s="9">
        <v>2</v>
      </c>
      <c r="AC391" s="9">
        <v>1</v>
      </c>
      <c r="AD391" s="9">
        <v>3</v>
      </c>
      <c r="AE391" s="9">
        <v>3</v>
      </c>
      <c r="AF391" s="9">
        <v>0</v>
      </c>
      <c r="AG391" s="9">
        <v>3</v>
      </c>
      <c r="AH391" s="9">
        <v>3</v>
      </c>
      <c r="AI391" s="9">
        <v>3</v>
      </c>
      <c r="AJ391" s="9">
        <v>3</v>
      </c>
      <c r="AK391" s="9">
        <v>3</v>
      </c>
      <c r="AL391" s="10">
        <v>3</v>
      </c>
      <c r="AM391" s="10">
        <v>3</v>
      </c>
      <c r="AN391" s="10">
        <v>3</v>
      </c>
      <c r="AO391" s="10">
        <v>0</v>
      </c>
      <c r="AP391" s="10">
        <v>0</v>
      </c>
      <c r="AQ391" s="10">
        <v>0</v>
      </c>
      <c r="AR391" s="10">
        <v>2</v>
      </c>
      <c r="AS391" s="11">
        <v>3</v>
      </c>
      <c r="AT391" s="11">
        <v>2</v>
      </c>
      <c r="AU391" s="11">
        <v>0</v>
      </c>
      <c r="AV391" s="11">
        <v>3</v>
      </c>
      <c r="AW391" s="11">
        <v>2</v>
      </c>
      <c r="AX391" s="11">
        <v>3</v>
      </c>
      <c r="AY391" s="7">
        <v>3</v>
      </c>
      <c r="AZ391" s="7">
        <v>3</v>
      </c>
      <c r="BA391" s="7">
        <v>3</v>
      </c>
      <c r="BB391" s="7">
        <v>3</v>
      </c>
      <c r="BC391" s="7">
        <v>3</v>
      </c>
      <c r="BD391" s="7">
        <v>0</v>
      </c>
      <c r="BE391" s="7">
        <v>0</v>
      </c>
      <c r="BF391" s="7">
        <v>0</v>
      </c>
      <c r="BG391" s="12">
        <f>SUM(data__22[[#This Row],[N1]:[N4]],data__22[[#This Row],[N10]:[N13]],data__22[[#This Row],[N16]:[N18]])/11</f>
        <v>2.5454545454545454</v>
      </c>
      <c r="BH391" s="13">
        <f>SUM(data__22[[#This Row],[N8]:[N9]],data__22[[#This Row],[N23]:[N25]])/5</f>
        <v>2.2000000000000002</v>
      </c>
      <c r="BI391" s="12">
        <f>SUM(data__22[[#This Row],[N5]:[N7]])/3</f>
        <v>2</v>
      </c>
      <c r="BJ391" s="12">
        <f>SUM(data__22[[#This Row],[N14]:[N15]],data__22[[#This Row],[N19]:[N22]],data__22[[#This Row],[N26]:[N28]])/9</f>
        <v>1.7777777777777777</v>
      </c>
      <c r="BK391" s="12">
        <f>SUM(data__22[[#This Row],[N29]:[N33]])/5</f>
        <v>3</v>
      </c>
      <c r="BL391" s="12">
        <f>SUM(data__22[[#This Row],[N34]:[N36]])/3</f>
        <v>0</v>
      </c>
    </row>
    <row r="392" spans="1:64" x14ac:dyDescent="0.3">
      <c r="A392" s="7">
        <v>22</v>
      </c>
      <c r="B392" s="7" t="s">
        <v>70</v>
      </c>
      <c r="C392" s="7" t="s">
        <v>96</v>
      </c>
      <c r="D392" s="7" t="s">
        <v>97</v>
      </c>
      <c r="E392" s="7" t="s">
        <v>108</v>
      </c>
      <c r="F392" s="7" t="s">
        <v>74</v>
      </c>
      <c r="G392" s="7" t="s">
        <v>439</v>
      </c>
      <c r="H392" s="7" t="s">
        <v>74</v>
      </c>
      <c r="I392" s="7" t="s">
        <v>76</v>
      </c>
      <c r="J392" s="7" t="s">
        <v>101</v>
      </c>
      <c r="K392" s="7" t="s">
        <v>122</v>
      </c>
      <c r="L392" s="8" t="s">
        <v>79</v>
      </c>
      <c r="M392" s="8" t="s">
        <v>102</v>
      </c>
      <c r="N392" s="8" t="s">
        <v>79</v>
      </c>
      <c r="O392" s="8" t="s">
        <v>117</v>
      </c>
      <c r="P392" s="8" t="s">
        <v>79</v>
      </c>
      <c r="Q392" s="8" t="s">
        <v>83</v>
      </c>
      <c r="R392" s="8" t="s">
        <v>79</v>
      </c>
      <c r="S392" s="8" t="s">
        <v>79</v>
      </c>
      <c r="T392" s="8" t="s">
        <v>106</v>
      </c>
      <c r="U392" s="8" t="s">
        <v>141</v>
      </c>
      <c r="V392" s="8" t="s">
        <v>127</v>
      </c>
      <c r="W392" s="9">
        <v>1</v>
      </c>
      <c r="X392" s="9">
        <v>2</v>
      </c>
      <c r="Y392" s="9">
        <v>1</v>
      </c>
      <c r="Z392" s="9">
        <v>0</v>
      </c>
      <c r="AA392" s="9">
        <v>3</v>
      </c>
      <c r="AB392" s="9">
        <v>1</v>
      </c>
      <c r="AC392" s="9">
        <v>1</v>
      </c>
      <c r="AD392" s="9">
        <v>2</v>
      </c>
      <c r="AE392" s="9">
        <v>3</v>
      </c>
      <c r="AF392" s="9">
        <v>1</v>
      </c>
      <c r="AG392" s="9">
        <v>2</v>
      </c>
      <c r="AH392" s="9">
        <v>0</v>
      </c>
      <c r="AI392" s="9">
        <v>2</v>
      </c>
      <c r="AJ392" s="9">
        <v>1</v>
      </c>
      <c r="AK392" s="9">
        <v>2</v>
      </c>
      <c r="AL392" s="10">
        <v>1</v>
      </c>
      <c r="AM392" s="10">
        <v>2</v>
      </c>
      <c r="AN392" s="10">
        <v>1</v>
      </c>
      <c r="AO392" s="10">
        <v>2</v>
      </c>
      <c r="AP392" s="10">
        <v>0</v>
      </c>
      <c r="AQ392" s="10">
        <v>2</v>
      </c>
      <c r="AR392" s="10">
        <v>0</v>
      </c>
      <c r="AS392" s="11">
        <v>1</v>
      </c>
      <c r="AT392" s="11">
        <v>2</v>
      </c>
      <c r="AU392" s="11">
        <v>1</v>
      </c>
      <c r="AV392" s="11">
        <v>1</v>
      </c>
      <c r="AW392" s="11">
        <v>2</v>
      </c>
      <c r="AX392" s="11">
        <v>1</v>
      </c>
      <c r="AY392" s="7">
        <v>1</v>
      </c>
      <c r="AZ392" s="7">
        <v>2</v>
      </c>
      <c r="BA392" s="7">
        <v>1</v>
      </c>
      <c r="BB392" s="7">
        <v>1</v>
      </c>
      <c r="BC392" s="7">
        <v>2</v>
      </c>
      <c r="BD392" s="7">
        <v>0</v>
      </c>
      <c r="BE392" s="7">
        <v>2</v>
      </c>
      <c r="BF392" s="7">
        <v>0</v>
      </c>
      <c r="BG392" s="12">
        <f>SUM(data__22[[#This Row],[N1]:[N4]],data__22[[#This Row],[N10]:[N13]],data__22[[#This Row],[N16]:[N18]])/11</f>
        <v>1.1818181818181819</v>
      </c>
      <c r="BH392" s="13">
        <f>SUM(data__22[[#This Row],[N8]:[N9]],data__22[[#This Row],[N23]:[N25]])/5</f>
        <v>1.8</v>
      </c>
      <c r="BI392" s="12">
        <f>SUM(data__22[[#This Row],[N5]:[N7]])/3</f>
        <v>1.6666666666666667</v>
      </c>
      <c r="BJ392" s="12">
        <f>SUM(data__22[[#This Row],[N14]:[N15]],data__22[[#This Row],[N19]:[N22]],data__22[[#This Row],[N26]:[N28]])/9</f>
        <v>1.2222222222222223</v>
      </c>
      <c r="BK392" s="12">
        <f>SUM(data__22[[#This Row],[N29]:[N33]])/5</f>
        <v>1.4</v>
      </c>
      <c r="BL392" s="12">
        <f>SUM(data__22[[#This Row],[N34]:[N36]])/3</f>
        <v>0.66666666666666663</v>
      </c>
    </row>
    <row r="393" spans="1:64" x14ac:dyDescent="0.3">
      <c r="A393" s="7">
        <v>20</v>
      </c>
      <c r="B393" s="7" t="s">
        <v>70</v>
      </c>
      <c r="C393" s="7" t="s">
        <v>96</v>
      </c>
      <c r="D393" s="7" t="s">
        <v>72</v>
      </c>
      <c r="E393" s="7" t="s">
        <v>108</v>
      </c>
      <c r="F393" s="7" t="s">
        <v>74</v>
      </c>
      <c r="G393" s="7" t="s">
        <v>440</v>
      </c>
      <c r="H393" s="7" t="s">
        <v>136</v>
      </c>
      <c r="I393" s="7" t="s">
        <v>76</v>
      </c>
      <c r="J393" s="7" t="s">
        <v>77</v>
      </c>
      <c r="K393" s="7" t="s">
        <v>122</v>
      </c>
      <c r="L393" s="8" t="s">
        <v>82</v>
      </c>
      <c r="M393" s="8" t="s">
        <v>80</v>
      </c>
      <c r="N393" s="8" t="s">
        <v>79</v>
      </c>
      <c r="O393" s="8" t="s">
        <v>109</v>
      </c>
      <c r="P393" s="8" t="s">
        <v>79</v>
      </c>
      <c r="Q393" s="8" t="s">
        <v>83</v>
      </c>
      <c r="R393" s="8" t="s">
        <v>79</v>
      </c>
      <c r="S393" s="8" t="s">
        <v>79</v>
      </c>
      <c r="T393" s="8" t="s">
        <v>148</v>
      </c>
      <c r="U393" s="8" t="s">
        <v>120</v>
      </c>
      <c r="V393" s="8" t="s">
        <v>457</v>
      </c>
      <c r="W393" s="9">
        <v>1</v>
      </c>
      <c r="X393" s="9">
        <v>1</v>
      </c>
      <c r="Y393" s="9">
        <v>1</v>
      </c>
      <c r="Z393" s="9">
        <v>1</v>
      </c>
      <c r="AA393" s="9">
        <v>1</v>
      </c>
      <c r="AB393" s="9">
        <v>1</v>
      </c>
      <c r="AC393" s="9">
        <v>1</v>
      </c>
      <c r="AD393" s="9">
        <v>1</v>
      </c>
      <c r="AE393" s="9">
        <v>1</v>
      </c>
      <c r="AF393" s="9">
        <v>1</v>
      </c>
      <c r="AG393" s="9">
        <v>1</v>
      </c>
      <c r="AH393" s="9">
        <v>1</v>
      </c>
      <c r="AI393" s="9">
        <v>1</v>
      </c>
      <c r="AJ393" s="9">
        <v>1</v>
      </c>
      <c r="AK393" s="9">
        <v>1</v>
      </c>
      <c r="AL393" s="10">
        <v>1</v>
      </c>
      <c r="AM393" s="10">
        <v>1</v>
      </c>
      <c r="AN393" s="10">
        <v>1</v>
      </c>
      <c r="AO393" s="10">
        <v>1</v>
      </c>
      <c r="AP393" s="10">
        <v>1</v>
      </c>
      <c r="AQ393" s="10">
        <v>1</v>
      </c>
      <c r="AR393" s="10">
        <v>1</v>
      </c>
      <c r="AS393" s="11">
        <v>1</v>
      </c>
      <c r="AT393" s="11">
        <v>1</v>
      </c>
      <c r="AU393" s="11">
        <v>1</v>
      </c>
      <c r="AV393" s="11">
        <v>1</v>
      </c>
      <c r="AW393" s="11">
        <v>1</v>
      </c>
      <c r="AX393" s="11">
        <v>1</v>
      </c>
      <c r="AY393" s="7">
        <v>1</v>
      </c>
      <c r="AZ393" s="7">
        <v>1</v>
      </c>
      <c r="BA393" s="7">
        <v>1</v>
      </c>
      <c r="BB393" s="7">
        <v>1</v>
      </c>
      <c r="BC393" s="7">
        <v>1</v>
      </c>
      <c r="BD393" s="7">
        <v>1</v>
      </c>
      <c r="BE393" s="7">
        <v>1</v>
      </c>
      <c r="BF393" s="7">
        <v>1</v>
      </c>
      <c r="BG393" s="12">
        <f>SUM(data__22[[#This Row],[N1]:[N4]],data__22[[#This Row],[N10]:[N13]],data__22[[#This Row],[N16]:[N18]])/11</f>
        <v>1</v>
      </c>
      <c r="BH393" s="13">
        <f>SUM(data__22[[#This Row],[N8]:[N9]],data__22[[#This Row],[N23]:[N25]])/5</f>
        <v>1</v>
      </c>
      <c r="BI393" s="12">
        <f>SUM(data__22[[#This Row],[N5]:[N7]])/3</f>
        <v>1</v>
      </c>
      <c r="BJ393" s="12">
        <f>SUM(data__22[[#This Row],[N14]:[N15]],data__22[[#This Row],[N19]:[N22]],data__22[[#This Row],[N26]:[N28]])/9</f>
        <v>1</v>
      </c>
      <c r="BK393" s="12">
        <f>SUM(data__22[[#This Row],[N29]:[N33]])/5</f>
        <v>1</v>
      </c>
      <c r="BL393" s="12">
        <f>SUM(data__22[[#This Row],[N34]:[N36]])/3</f>
        <v>1</v>
      </c>
    </row>
    <row r="394" spans="1:64" x14ac:dyDescent="0.3">
      <c r="A394" s="7">
        <v>27</v>
      </c>
      <c r="B394" s="7" t="s">
        <v>70</v>
      </c>
      <c r="C394" s="7" t="s">
        <v>153</v>
      </c>
      <c r="D394" s="7" t="s">
        <v>97</v>
      </c>
      <c r="E394" s="7" t="s">
        <v>108</v>
      </c>
      <c r="F394" s="7" t="s">
        <v>136</v>
      </c>
      <c r="G394" s="7" t="s">
        <v>440</v>
      </c>
      <c r="H394" s="7" t="s">
        <v>74</v>
      </c>
      <c r="I394" s="7" t="s">
        <v>76</v>
      </c>
      <c r="J394" s="7" t="s">
        <v>77</v>
      </c>
      <c r="K394" s="7" t="s">
        <v>78</v>
      </c>
      <c r="L394" s="8" t="s">
        <v>82</v>
      </c>
      <c r="M394" s="8" t="s">
        <v>80</v>
      </c>
      <c r="N394" s="8" t="s">
        <v>79</v>
      </c>
      <c r="O394" s="8" t="s">
        <v>109</v>
      </c>
      <c r="P394" s="8" t="s">
        <v>79</v>
      </c>
      <c r="Q394" s="8" t="s">
        <v>103</v>
      </c>
      <c r="R394" s="8" t="s">
        <v>79</v>
      </c>
      <c r="S394" s="8" t="s">
        <v>79</v>
      </c>
      <c r="T394" s="8" t="s">
        <v>86</v>
      </c>
      <c r="U394" s="8" t="s">
        <v>141</v>
      </c>
      <c r="V394" s="8" t="s">
        <v>127</v>
      </c>
      <c r="W394" s="9">
        <v>3</v>
      </c>
      <c r="X394" s="9">
        <v>3</v>
      </c>
      <c r="Y394" s="9">
        <v>3</v>
      </c>
      <c r="Z394" s="9">
        <v>3</v>
      </c>
      <c r="AA394" s="9">
        <v>3</v>
      </c>
      <c r="AB394" s="9">
        <v>2</v>
      </c>
      <c r="AC394" s="9">
        <v>2</v>
      </c>
      <c r="AD394" s="9">
        <v>1</v>
      </c>
      <c r="AE394" s="9">
        <v>3</v>
      </c>
      <c r="AF394" s="9">
        <v>3</v>
      </c>
      <c r="AG394" s="9">
        <v>3</v>
      </c>
      <c r="AH394" s="9">
        <v>3</v>
      </c>
      <c r="AI394" s="9">
        <v>3</v>
      </c>
      <c r="AJ394" s="9">
        <v>2</v>
      </c>
      <c r="AK394" s="9">
        <v>3</v>
      </c>
      <c r="AL394" s="10">
        <v>3</v>
      </c>
      <c r="AM394" s="10">
        <v>3</v>
      </c>
      <c r="AN394" s="10">
        <v>3</v>
      </c>
      <c r="AO394" s="10">
        <v>3</v>
      </c>
      <c r="AP394" s="10">
        <v>1</v>
      </c>
      <c r="AQ394" s="10">
        <v>3</v>
      </c>
      <c r="AR394" s="10">
        <v>1</v>
      </c>
      <c r="AS394" s="11">
        <v>2</v>
      </c>
      <c r="AT394" s="11">
        <v>3</v>
      </c>
      <c r="AU394" s="11">
        <v>3</v>
      </c>
      <c r="AV394" s="11">
        <v>2</v>
      </c>
      <c r="AW394" s="11">
        <v>1</v>
      </c>
      <c r="AX394" s="11">
        <v>1</v>
      </c>
      <c r="AY394" s="7">
        <v>3</v>
      </c>
      <c r="AZ394" s="7">
        <v>3</v>
      </c>
      <c r="BA394" s="7">
        <v>3</v>
      </c>
      <c r="BB394" s="7">
        <v>3</v>
      </c>
      <c r="BC394" s="7">
        <v>3</v>
      </c>
      <c r="BD394" s="7">
        <v>2</v>
      </c>
      <c r="BE394" s="7">
        <v>1</v>
      </c>
      <c r="BF394" s="7">
        <v>2</v>
      </c>
      <c r="BG394" s="12">
        <f>SUM(data__22[[#This Row],[N1]:[N4]],data__22[[#This Row],[N10]:[N13]],data__22[[#This Row],[N16]:[N18]])/11</f>
        <v>3</v>
      </c>
      <c r="BH394" s="13">
        <f>SUM(data__22[[#This Row],[N8]:[N9]],data__22[[#This Row],[N23]:[N25]])/5</f>
        <v>2.4</v>
      </c>
      <c r="BI394" s="12">
        <f>SUM(data__22[[#This Row],[N5]:[N7]])/3</f>
        <v>2.3333333333333335</v>
      </c>
      <c r="BJ394" s="12">
        <f>SUM(data__22[[#This Row],[N14]:[N15]],data__22[[#This Row],[N19]:[N22]],data__22[[#This Row],[N26]:[N28]])/9</f>
        <v>1.8888888888888888</v>
      </c>
      <c r="BK394" s="12">
        <f>SUM(data__22[[#This Row],[N29]:[N33]])/5</f>
        <v>3</v>
      </c>
      <c r="BL394" s="12">
        <f>SUM(data__22[[#This Row],[N34]:[N36]])/3</f>
        <v>1.6666666666666667</v>
      </c>
    </row>
    <row r="395" spans="1:64" x14ac:dyDescent="0.3">
      <c r="A395" s="7">
        <v>20</v>
      </c>
      <c r="B395" s="7" t="s">
        <v>70</v>
      </c>
      <c r="C395" s="7" t="s">
        <v>157</v>
      </c>
      <c r="D395" s="7" t="s">
        <v>97</v>
      </c>
      <c r="E395" s="7" t="s">
        <v>108</v>
      </c>
      <c r="F395" s="7" t="s">
        <v>74</v>
      </c>
      <c r="G395" s="7" t="s">
        <v>440</v>
      </c>
      <c r="H395" s="7" t="s">
        <v>74</v>
      </c>
      <c r="I395" s="7" t="s">
        <v>76</v>
      </c>
      <c r="J395" s="7" t="s">
        <v>101</v>
      </c>
      <c r="K395" s="7" t="s">
        <v>122</v>
      </c>
      <c r="L395" s="8" t="s">
        <v>79</v>
      </c>
      <c r="M395" s="8" t="s">
        <v>80</v>
      </c>
      <c r="N395" s="8" t="s">
        <v>79</v>
      </c>
      <c r="O395" s="8" t="s">
        <v>179</v>
      </c>
      <c r="P395" s="8" t="s">
        <v>82</v>
      </c>
      <c r="Q395" s="8" t="s">
        <v>83</v>
      </c>
      <c r="R395" s="8" t="s">
        <v>79</v>
      </c>
      <c r="S395" s="8" t="s">
        <v>82</v>
      </c>
      <c r="T395" s="8" t="s">
        <v>106</v>
      </c>
      <c r="U395" s="8" t="s">
        <v>141</v>
      </c>
      <c r="V395" s="8" t="s">
        <v>237</v>
      </c>
      <c r="W395" s="9">
        <v>1</v>
      </c>
      <c r="X395" s="9">
        <v>2</v>
      </c>
      <c r="Y395" s="9">
        <v>1</v>
      </c>
      <c r="Z395" s="9">
        <v>1</v>
      </c>
      <c r="AA395" s="9">
        <v>0</v>
      </c>
      <c r="AB395" s="9">
        <v>1</v>
      </c>
      <c r="AC395" s="9">
        <v>2</v>
      </c>
      <c r="AD395" s="9">
        <v>0</v>
      </c>
      <c r="AE395" s="9">
        <v>2</v>
      </c>
      <c r="AF395" s="9">
        <v>0</v>
      </c>
      <c r="AG395" s="9">
        <v>2</v>
      </c>
      <c r="AH395" s="9">
        <v>2</v>
      </c>
      <c r="AI395" s="9">
        <v>0</v>
      </c>
      <c r="AJ395" s="9">
        <v>2</v>
      </c>
      <c r="AK395" s="9">
        <v>1</v>
      </c>
      <c r="AL395" s="10">
        <v>1</v>
      </c>
      <c r="AM395" s="10">
        <v>3</v>
      </c>
      <c r="AN395" s="10">
        <v>1</v>
      </c>
      <c r="AO395" s="10">
        <v>3</v>
      </c>
      <c r="AP395" s="10">
        <v>1</v>
      </c>
      <c r="AQ395" s="10">
        <v>1</v>
      </c>
      <c r="AR395" s="10">
        <v>1</v>
      </c>
      <c r="AS395" s="11">
        <v>1</v>
      </c>
      <c r="AT395" s="11">
        <v>1</v>
      </c>
      <c r="AU395" s="11">
        <v>1</v>
      </c>
      <c r="AV395" s="11">
        <v>1</v>
      </c>
      <c r="AW395" s="11">
        <v>1</v>
      </c>
      <c r="AX395" s="11">
        <v>1</v>
      </c>
      <c r="AY395" s="7">
        <v>0</v>
      </c>
      <c r="AZ395" s="7">
        <v>0</v>
      </c>
      <c r="BA395" s="7">
        <v>0</v>
      </c>
      <c r="BB395" s="7">
        <v>1</v>
      </c>
      <c r="BC395" s="7">
        <v>1</v>
      </c>
      <c r="BD395" s="7">
        <v>1</v>
      </c>
      <c r="BE395" s="7">
        <v>0</v>
      </c>
      <c r="BF395" s="7">
        <v>0</v>
      </c>
      <c r="BG395" s="12">
        <f>SUM(data__22[[#This Row],[N1]:[N4]],data__22[[#This Row],[N10]:[N13]],data__22[[#This Row],[N16]:[N18]])/11</f>
        <v>1.2727272727272727</v>
      </c>
      <c r="BH395" s="13">
        <f>SUM(data__22[[#This Row],[N8]:[N9]],data__22[[#This Row],[N23]:[N25]])/5</f>
        <v>1</v>
      </c>
      <c r="BI395" s="12">
        <f>SUM(data__22[[#This Row],[N5]:[N7]])/3</f>
        <v>1</v>
      </c>
      <c r="BJ395" s="12">
        <f>SUM(data__22[[#This Row],[N14]:[N15]],data__22[[#This Row],[N19]:[N22]],data__22[[#This Row],[N26]:[N28]])/9</f>
        <v>1.3333333333333333</v>
      </c>
      <c r="BK395" s="12">
        <f>SUM(data__22[[#This Row],[N29]:[N33]])/5</f>
        <v>0.4</v>
      </c>
      <c r="BL395" s="12">
        <f>SUM(data__22[[#This Row],[N34]:[N36]])/3</f>
        <v>0.33333333333333331</v>
      </c>
    </row>
    <row r="396" spans="1:64" x14ac:dyDescent="0.3">
      <c r="A396" s="7">
        <v>22</v>
      </c>
      <c r="B396" s="7" t="s">
        <v>70</v>
      </c>
      <c r="C396" s="7" t="s">
        <v>71</v>
      </c>
      <c r="D396" s="7" t="s">
        <v>97</v>
      </c>
      <c r="E396" s="7" t="s">
        <v>108</v>
      </c>
      <c r="F396" s="7" t="s">
        <v>74</v>
      </c>
      <c r="G396" s="7" t="s">
        <v>439</v>
      </c>
      <c r="H396" s="7" t="s">
        <v>136</v>
      </c>
      <c r="I396" s="7" t="s">
        <v>76</v>
      </c>
      <c r="J396" s="7" t="s">
        <v>77</v>
      </c>
      <c r="K396" s="7" t="s">
        <v>131</v>
      </c>
      <c r="L396" s="8" t="s">
        <v>79</v>
      </c>
      <c r="M396" s="8" t="s">
        <v>80</v>
      </c>
      <c r="N396" s="8" t="s">
        <v>79</v>
      </c>
      <c r="O396" s="8" t="s">
        <v>138</v>
      </c>
      <c r="P396" s="8" t="s">
        <v>79</v>
      </c>
      <c r="Q396" s="8" t="s">
        <v>103</v>
      </c>
      <c r="R396" s="8" t="s">
        <v>82</v>
      </c>
      <c r="S396" s="8" t="s">
        <v>82</v>
      </c>
      <c r="T396" s="8" t="s">
        <v>106</v>
      </c>
      <c r="U396" s="8" t="s">
        <v>87</v>
      </c>
      <c r="V396" s="8" t="s">
        <v>112</v>
      </c>
      <c r="W396" s="9">
        <v>2</v>
      </c>
      <c r="X396" s="9">
        <v>3</v>
      </c>
      <c r="Y396" s="9">
        <v>3</v>
      </c>
      <c r="Z396" s="9">
        <v>3</v>
      </c>
      <c r="AA396" s="9">
        <v>2</v>
      </c>
      <c r="AB396" s="9">
        <v>2</v>
      </c>
      <c r="AC396" s="9">
        <v>2</v>
      </c>
      <c r="AD396" s="9">
        <v>3</v>
      </c>
      <c r="AE396" s="9">
        <v>3</v>
      </c>
      <c r="AF396" s="9">
        <v>3</v>
      </c>
      <c r="AG396" s="9">
        <v>3</v>
      </c>
      <c r="AH396" s="9">
        <v>3</v>
      </c>
      <c r="AI396" s="9">
        <v>3</v>
      </c>
      <c r="AJ396" s="9">
        <v>0</v>
      </c>
      <c r="AK396" s="9">
        <v>0</v>
      </c>
      <c r="AL396" s="10">
        <v>3</v>
      </c>
      <c r="AM396" s="10">
        <v>3</v>
      </c>
      <c r="AN396" s="10">
        <v>3</v>
      </c>
      <c r="AO396" s="10">
        <v>2</v>
      </c>
      <c r="AP396" s="10">
        <v>0</v>
      </c>
      <c r="AQ396" s="10">
        <v>0</v>
      </c>
      <c r="AR396" s="10">
        <v>0</v>
      </c>
      <c r="AS396" s="11">
        <v>3</v>
      </c>
      <c r="AT396" s="11">
        <v>2</v>
      </c>
      <c r="AU396" s="11">
        <v>2</v>
      </c>
      <c r="AV396" s="11">
        <v>2</v>
      </c>
      <c r="AW396" s="11">
        <v>2</v>
      </c>
      <c r="AX396" s="11">
        <v>2</v>
      </c>
      <c r="AY396" s="7">
        <v>3</v>
      </c>
      <c r="AZ396" s="7">
        <v>3</v>
      </c>
      <c r="BA396" s="7">
        <v>3</v>
      </c>
      <c r="BB396" s="7">
        <v>3</v>
      </c>
      <c r="BC396" s="7">
        <v>3</v>
      </c>
      <c r="BD396" s="7">
        <v>3</v>
      </c>
      <c r="BE396" s="7">
        <v>2</v>
      </c>
      <c r="BF396" s="7">
        <v>1</v>
      </c>
      <c r="BG396" s="12">
        <f>SUM(data__22[[#This Row],[N1]:[N4]],data__22[[#This Row],[N10]:[N13]],data__22[[#This Row],[N16]:[N18]])/11</f>
        <v>2.9090909090909092</v>
      </c>
      <c r="BH396" s="13">
        <f>SUM(data__22[[#This Row],[N8]:[N9]],data__22[[#This Row],[N23]:[N25]])/5</f>
        <v>2.6</v>
      </c>
      <c r="BI396" s="12">
        <f>SUM(data__22[[#This Row],[N5]:[N7]])/3</f>
        <v>2</v>
      </c>
      <c r="BJ396" s="12">
        <f>SUM(data__22[[#This Row],[N14]:[N15]],data__22[[#This Row],[N19]:[N22]],data__22[[#This Row],[N26]:[N28]])/9</f>
        <v>0.88888888888888884</v>
      </c>
      <c r="BK396" s="12">
        <f>SUM(data__22[[#This Row],[N29]:[N33]])/5</f>
        <v>3</v>
      </c>
      <c r="BL396" s="12">
        <f>SUM(data__22[[#This Row],[N34]:[N36]])/3</f>
        <v>2</v>
      </c>
    </row>
    <row r="397" spans="1:64" x14ac:dyDescent="0.3">
      <c r="A397" s="7">
        <v>21</v>
      </c>
      <c r="B397" s="7" t="s">
        <v>128</v>
      </c>
      <c r="C397" s="7" t="s">
        <v>96</v>
      </c>
      <c r="D397" s="7" t="s">
        <v>72</v>
      </c>
      <c r="E397" s="7" t="s">
        <v>108</v>
      </c>
      <c r="F397" s="7" t="s">
        <v>74</v>
      </c>
      <c r="G397" s="7" t="s">
        <v>438</v>
      </c>
      <c r="H397" s="7" t="s">
        <v>74</v>
      </c>
      <c r="I397" s="7" t="s">
        <v>76</v>
      </c>
      <c r="J397" s="7" t="s">
        <v>77</v>
      </c>
      <c r="K397" s="7" t="s">
        <v>122</v>
      </c>
      <c r="L397" s="8" t="s">
        <v>79</v>
      </c>
      <c r="M397" s="8" t="s">
        <v>80</v>
      </c>
      <c r="N397" s="8" t="s">
        <v>79</v>
      </c>
      <c r="O397" s="8" t="s">
        <v>179</v>
      </c>
      <c r="P397" s="8" t="s">
        <v>79</v>
      </c>
      <c r="Q397" s="8" t="s">
        <v>83</v>
      </c>
      <c r="R397" s="8" t="s">
        <v>82</v>
      </c>
      <c r="S397" s="8" t="s">
        <v>82</v>
      </c>
      <c r="T397" s="8" t="s">
        <v>86</v>
      </c>
      <c r="U397" s="8" t="s">
        <v>120</v>
      </c>
      <c r="V397" s="8" t="s">
        <v>112</v>
      </c>
      <c r="W397" s="9">
        <v>1</v>
      </c>
      <c r="X397" s="9">
        <v>2</v>
      </c>
      <c r="Y397" s="9">
        <v>2</v>
      </c>
      <c r="Z397" s="9">
        <v>2</v>
      </c>
      <c r="AA397" s="9">
        <v>3</v>
      </c>
      <c r="AB397" s="9">
        <v>2</v>
      </c>
      <c r="AC397" s="9">
        <v>2</v>
      </c>
      <c r="AD397" s="9">
        <v>2</v>
      </c>
      <c r="AE397" s="9">
        <v>2</v>
      </c>
      <c r="AF397" s="9">
        <v>2</v>
      </c>
      <c r="AG397" s="9">
        <v>2</v>
      </c>
      <c r="AH397" s="9">
        <v>2</v>
      </c>
      <c r="AI397" s="9">
        <v>2</v>
      </c>
      <c r="AJ397" s="9">
        <v>2</v>
      </c>
      <c r="AK397" s="9">
        <v>3</v>
      </c>
      <c r="AL397" s="10">
        <v>1</v>
      </c>
      <c r="AM397" s="10">
        <v>1</v>
      </c>
      <c r="AN397" s="10">
        <v>1</v>
      </c>
      <c r="AO397" s="10">
        <v>3</v>
      </c>
      <c r="AP397" s="10">
        <v>2</v>
      </c>
      <c r="AQ397" s="10">
        <v>2</v>
      </c>
      <c r="AR397" s="10">
        <v>2</v>
      </c>
      <c r="AS397" s="11">
        <v>2</v>
      </c>
      <c r="AT397" s="11">
        <v>1</v>
      </c>
      <c r="AU397" s="11">
        <v>0</v>
      </c>
      <c r="AV397" s="11">
        <v>0</v>
      </c>
      <c r="AW397" s="11">
        <v>1</v>
      </c>
      <c r="AX397" s="11">
        <v>1</v>
      </c>
      <c r="AY397" s="7">
        <v>1</v>
      </c>
      <c r="AZ397" s="7">
        <v>2</v>
      </c>
      <c r="BA397" s="7">
        <v>2</v>
      </c>
      <c r="BB397" s="7">
        <v>1</v>
      </c>
      <c r="BC397" s="7">
        <v>2</v>
      </c>
      <c r="BD397" s="7">
        <v>2</v>
      </c>
      <c r="BE397" s="7">
        <v>1</v>
      </c>
      <c r="BF397" s="7">
        <v>2</v>
      </c>
      <c r="BG397" s="12">
        <f>SUM(data__22[[#This Row],[N1]:[N4]],data__22[[#This Row],[N10]:[N13]],data__22[[#This Row],[N16]:[N18]])/11</f>
        <v>1.6363636363636365</v>
      </c>
      <c r="BH397" s="13">
        <f>SUM(data__22[[#This Row],[N8]:[N9]],data__22[[#This Row],[N23]:[N25]])/5</f>
        <v>1.4</v>
      </c>
      <c r="BI397" s="12">
        <f>SUM(data__22[[#This Row],[N5]:[N7]])/3</f>
        <v>2.3333333333333335</v>
      </c>
      <c r="BJ397" s="12">
        <f>SUM(data__22[[#This Row],[N14]:[N15]],data__22[[#This Row],[N19]:[N22]],data__22[[#This Row],[N26]:[N28]])/9</f>
        <v>1.7777777777777777</v>
      </c>
      <c r="BK397" s="12">
        <f>SUM(data__22[[#This Row],[N29]:[N33]])/5</f>
        <v>1.6</v>
      </c>
      <c r="BL397" s="12">
        <f>SUM(data__22[[#This Row],[N34]:[N36]])/3</f>
        <v>1.6666666666666667</v>
      </c>
    </row>
    <row r="398" spans="1:64" x14ac:dyDescent="0.3">
      <c r="A398" s="7">
        <v>23</v>
      </c>
      <c r="B398" s="7" t="s">
        <v>70</v>
      </c>
      <c r="C398" s="7" t="s">
        <v>96</v>
      </c>
      <c r="D398" s="7" t="s">
        <v>97</v>
      </c>
      <c r="E398" s="7" t="s">
        <v>108</v>
      </c>
      <c r="F398" s="7" t="s">
        <v>136</v>
      </c>
      <c r="G398" s="7" t="s">
        <v>99</v>
      </c>
      <c r="H398" s="7" t="s">
        <v>136</v>
      </c>
      <c r="I398" s="7" t="s">
        <v>76</v>
      </c>
      <c r="J398" s="7" t="s">
        <v>77</v>
      </c>
      <c r="K398" s="7" t="s">
        <v>122</v>
      </c>
      <c r="L398" s="8" t="s">
        <v>79</v>
      </c>
      <c r="M398" s="8" t="s">
        <v>80</v>
      </c>
      <c r="N398" s="8" t="s">
        <v>79</v>
      </c>
      <c r="O398" s="8" t="s">
        <v>81</v>
      </c>
      <c r="P398" s="8" t="s">
        <v>82</v>
      </c>
      <c r="Q398" s="8" t="s">
        <v>118</v>
      </c>
      <c r="R398" s="8" t="s">
        <v>79</v>
      </c>
      <c r="S398" s="8" t="s">
        <v>82</v>
      </c>
      <c r="T398" s="8" t="s">
        <v>106</v>
      </c>
      <c r="U398" s="8" t="s">
        <v>141</v>
      </c>
      <c r="V398" s="8" t="s">
        <v>112</v>
      </c>
      <c r="W398" s="9">
        <v>1</v>
      </c>
      <c r="X398" s="9">
        <v>3</v>
      </c>
      <c r="Y398" s="9">
        <v>3</v>
      </c>
      <c r="Z398" s="9">
        <v>3</v>
      </c>
      <c r="AA398" s="9">
        <v>1</v>
      </c>
      <c r="AB398" s="9">
        <v>2</v>
      </c>
      <c r="AC398" s="9">
        <v>1</v>
      </c>
      <c r="AD398" s="9">
        <v>3</v>
      </c>
      <c r="AE398" s="9">
        <v>1</v>
      </c>
      <c r="AF398" s="9">
        <v>0</v>
      </c>
      <c r="AG398" s="9">
        <v>1</v>
      </c>
      <c r="AH398" s="9">
        <v>1</v>
      </c>
      <c r="AI398" s="9">
        <v>0</v>
      </c>
      <c r="AJ398" s="9">
        <v>3</v>
      </c>
      <c r="AK398" s="9">
        <v>3</v>
      </c>
      <c r="AL398" s="10">
        <v>3</v>
      </c>
      <c r="AM398" s="10">
        <v>3</v>
      </c>
      <c r="AN398" s="10">
        <v>3</v>
      </c>
      <c r="AO398" s="10">
        <v>3</v>
      </c>
      <c r="AP398" s="10">
        <v>0</v>
      </c>
      <c r="AQ398" s="10">
        <v>0</v>
      </c>
      <c r="AR398" s="10">
        <v>1</v>
      </c>
      <c r="AS398" s="11">
        <v>1</v>
      </c>
      <c r="AT398" s="11">
        <v>0</v>
      </c>
      <c r="AU398" s="11">
        <v>0</v>
      </c>
      <c r="AV398" s="11">
        <v>3</v>
      </c>
      <c r="AW398" s="11">
        <v>1</v>
      </c>
      <c r="AX398" s="11">
        <v>1</v>
      </c>
      <c r="AY398" s="7">
        <v>3</v>
      </c>
      <c r="AZ398" s="7">
        <v>3</v>
      </c>
      <c r="BA398" s="7">
        <v>3</v>
      </c>
      <c r="BB398" s="7">
        <v>1</v>
      </c>
      <c r="BC398" s="7">
        <v>1</v>
      </c>
      <c r="BD398" s="7">
        <v>1</v>
      </c>
      <c r="BE398" s="7">
        <v>1</v>
      </c>
      <c r="BF398" s="7">
        <v>3</v>
      </c>
      <c r="BG398" s="12">
        <f>SUM(data__22[[#This Row],[N1]:[N4]],data__22[[#This Row],[N10]:[N13]],data__22[[#This Row],[N16]:[N18]])/11</f>
        <v>1.9090909090909092</v>
      </c>
      <c r="BH398" s="13">
        <f>SUM(data__22[[#This Row],[N8]:[N9]],data__22[[#This Row],[N23]:[N25]])/5</f>
        <v>1</v>
      </c>
      <c r="BI398" s="12">
        <f>SUM(data__22[[#This Row],[N5]:[N7]])/3</f>
        <v>1.3333333333333333</v>
      </c>
      <c r="BJ398" s="12">
        <f>SUM(data__22[[#This Row],[N14]:[N15]],data__22[[#This Row],[N19]:[N22]],data__22[[#This Row],[N26]:[N28]])/9</f>
        <v>1.6666666666666667</v>
      </c>
      <c r="BK398" s="12">
        <f>SUM(data__22[[#This Row],[N29]:[N33]])/5</f>
        <v>2.2000000000000002</v>
      </c>
      <c r="BL398" s="12">
        <f>SUM(data__22[[#This Row],[N34]:[N36]])/3</f>
        <v>1.6666666666666667</v>
      </c>
    </row>
    <row r="399" spans="1:64" x14ac:dyDescent="0.3">
      <c r="A399" s="7">
        <v>22</v>
      </c>
      <c r="B399" s="7" t="s">
        <v>128</v>
      </c>
      <c r="C399" s="7" t="s">
        <v>96</v>
      </c>
      <c r="D399" s="7" t="s">
        <v>149</v>
      </c>
      <c r="E399" s="7" t="s">
        <v>114</v>
      </c>
      <c r="F399" s="7" t="s">
        <v>98</v>
      </c>
      <c r="G399" s="7" t="s">
        <v>439</v>
      </c>
      <c r="H399" s="7" t="s">
        <v>100</v>
      </c>
      <c r="I399" s="7" t="s">
        <v>76</v>
      </c>
      <c r="J399" s="7" t="s">
        <v>77</v>
      </c>
      <c r="K399" s="7" t="s">
        <v>125</v>
      </c>
      <c r="L399" s="8" t="s">
        <v>79</v>
      </c>
      <c r="M399" s="8" t="s">
        <v>80</v>
      </c>
      <c r="N399" s="8" t="s">
        <v>79</v>
      </c>
      <c r="O399" s="8" t="s">
        <v>179</v>
      </c>
      <c r="P399" s="8" t="s">
        <v>82</v>
      </c>
      <c r="Q399" s="8" t="s">
        <v>83</v>
      </c>
      <c r="R399" s="8" t="s">
        <v>79</v>
      </c>
      <c r="S399" s="8" t="s">
        <v>79</v>
      </c>
      <c r="T399" s="8" t="s">
        <v>106</v>
      </c>
      <c r="U399" s="8" t="s">
        <v>141</v>
      </c>
      <c r="V399" s="8" t="s">
        <v>457</v>
      </c>
      <c r="W399" s="9">
        <v>2</v>
      </c>
      <c r="X399" s="9">
        <v>2</v>
      </c>
      <c r="Y399" s="9">
        <v>2</v>
      </c>
      <c r="Z399" s="9">
        <v>2</v>
      </c>
      <c r="AA399" s="9">
        <v>2</v>
      </c>
      <c r="AB399" s="9">
        <v>2</v>
      </c>
      <c r="AC399" s="9">
        <v>2</v>
      </c>
      <c r="AD399" s="9">
        <v>2</v>
      </c>
      <c r="AE399" s="9">
        <v>2</v>
      </c>
      <c r="AF399" s="9">
        <v>2</v>
      </c>
      <c r="AG399" s="9">
        <v>2</v>
      </c>
      <c r="AH399" s="9">
        <v>2</v>
      </c>
      <c r="AI399" s="9">
        <v>2</v>
      </c>
      <c r="AJ399" s="9">
        <v>2</v>
      </c>
      <c r="AK399" s="9">
        <v>2</v>
      </c>
      <c r="AL399" s="10">
        <v>1</v>
      </c>
      <c r="AM399" s="10">
        <v>1</v>
      </c>
      <c r="AN399" s="10">
        <v>2</v>
      </c>
      <c r="AO399" s="10">
        <v>1</v>
      </c>
      <c r="AP399" s="10">
        <v>1</v>
      </c>
      <c r="AQ399" s="10">
        <v>2</v>
      </c>
      <c r="AR399" s="10">
        <v>2</v>
      </c>
      <c r="AS399" s="11">
        <v>1</v>
      </c>
      <c r="AT399" s="11">
        <v>3</v>
      </c>
      <c r="AU399" s="11">
        <v>3</v>
      </c>
      <c r="AV399" s="11">
        <v>3</v>
      </c>
      <c r="AW399" s="11">
        <v>3</v>
      </c>
      <c r="AX399" s="11">
        <v>3</v>
      </c>
      <c r="AY399" s="7"/>
      <c r="AZ399" s="7"/>
      <c r="BA399" s="7"/>
      <c r="BB399" s="7"/>
      <c r="BC399" s="7"/>
      <c r="BD399" s="7"/>
      <c r="BE399" s="7"/>
      <c r="BF399" s="7"/>
      <c r="BG399" s="12">
        <f>SUM(data__22[[#This Row],[N1]:[N4]],data__22[[#This Row],[N10]:[N13]],data__22[[#This Row],[N16]:[N18]])/11</f>
        <v>1.8181818181818181</v>
      </c>
      <c r="BH399" s="13">
        <f>SUM(data__22[[#This Row],[N8]:[N9]],data__22[[#This Row],[N23]:[N25]])/5</f>
        <v>2.2000000000000002</v>
      </c>
      <c r="BI399" s="12">
        <f>SUM(data__22[[#This Row],[N5]:[N7]])/3</f>
        <v>2</v>
      </c>
      <c r="BJ399" s="12">
        <f>SUM(data__22[[#This Row],[N14]:[N15]],data__22[[#This Row],[N19]:[N22]],data__22[[#This Row],[N26]:[N28]])/9</f>
        <v>2.1111111111111112</v>
      </c>
      <c r="BK399" s="12">
        <f>SUM(data__22[[#This Row],[N29]:[N33]])/5</f>
        <v>0</v>
      </c>
      <c r="BL399" s="12">
        <f>SUM(data__22[[#This Row],[N34]:[N36]])/3</f>
        <v>0</v>
      </c>
    </row>
    <row r="400" spans="1:64" x14ac:dyDescent="0.3">
      <c r="A400" s="7">
        <v>23</v>
      </c>
      <c r="B400" s="7" t="s">
        <v>70</v>
      </c>
      <c r="C400" s="7" t="s">
        <v>113</v>
      </c>
      <c r="D400" s="7" t="s">
        <v>97</v>
      </c>
      <c r="E400" s="7" t="s">
        <v>108</v>
      </c>
      <c r="F400" s="7" t="s">
        <v>74</v>
      </c>
      <c r="G400" s="7" t="s">
        <v>440</v>
      </c>
      <c r="H400" s="7" t="s">
        <v>74</v>
      </c>
      <c r="I400" s="7" t="s">
        <v>76</v>
      </c>
      <c r="J400" s="7" t="s">
        <v>101</v>
      </c>
      <c r="K400" s="7" t="s">
        <v>131</v>
      </c>
      <c r="L400" s="8" t="s">
        <v>79</v>
      </c>
      <c r="M400" s="8" t="s">
        <v>80</v>
      </c>
      <c r="N400" s="8" t="s">
        <v>79</v>
      </c>
      <c r="O400" s="8" t="s">
        <v>81</v>
      </c>
      <c r="P400" s="8" t="s">
        <v>79</v>
      </c>
      <c r="Q400" s="8" t="s">
        <v>83</v>
      </c>
      <c r="R400" s="8" t="s">
        <v>79</v>
      </c>
      <c r="S400" s="8" t="s">
        <v>79</v>
      </c>
      <c r="T400" s="8" t="s">
        <v>106</v>
      </c>
      <c r="U400" s="8" t="s">
        <v>141</v>
      </c>
      <c r="V400" s="8" t="s">
        <v>457</v>
      </c>
      <c r="W400" s="9">
        <v>3</v>
      </c>
      <c r="X400" s="9">
        <v>3</v>
      </c>
      <c r="Y400" s="9">
        <v>3</v>
      </c>
      <c r="Z400" s="9">
        <v>2</v>
      </c>
      <c r="AA400" s="9">
        <v>1</v>
      </c>
      <c r="AB400" s="9">
        <v>1</v>
      </c>
      <c r="AC400" s="9">
        <v>2</v>
      </c>
      <c r="AD400" s="9">
        <v>3</v>
      </c>
      <c r="AE400" s="9">
        <v>3</v>
      </c>
      <c r="AF400" s="9">
        <v>3</v>
      </c>
      <c r="AG400" s="9">
        <v>3</v>
      </c>
      <c r="AH400" s="9">
        <v>3</v>
      </c>
      <c r="AI400" s="9">
        <v>3</v>
      </c>
      <c r="AJ400" s="9">
        <v>3</v>
      </c>
      <c r="AK400" s="9">
        <v>2</v>
      </c>
      <c r="AL400" s="10">
        <v>3</v>
      </c>
      <c r="AM400" s="10">
        <v>3</v>
      </c>
      <c r="AN400" s="10">
        <v>3</v>
      </c>
      <c r="AO400" s="10">
        <v>0</v>
      </c>
      <c r="AP400" s="10">
        <v>0</v>
      </c>
      <c r="AQ400" s="10">
        <v>0</v>
      </c>
      <c r="AR400" s="10">
        <v>1</v>
      </c>
      <c r="AS400" s="11">
        <v>1</v>
      </c>
      <c r="AT400" s="11">
        <v>0</v>
      </c>
      <c r="AU400" s="11">
        <v>2</v>
      </c>
      <c r="AV400" s="11">
        <v>1</v>
      </c>
      <c r="AW400" s="11">
        <v>3</v>
      </c>
      <c r="AX400" s="11">
        <v>2</v>
      </c>
      <c r="AY400" s="7">
        <v>2</v>
      </c>
      <c r="AZ400" s="7">
        <v>2</v>
      </c>
      <c r="BA400" s="7">
        <v>3</v>
      </c>
      <c r="BB400" s="7">
        <v>3</v>
      </c>
      <c r="BC400" s="7">
        <v>3</v>
      </c>
      <c r="BD400" s="7">
        <v>2</v>
      </c>
      <c r="BE400" s="7">
        <v>2</v>
      </c>
      <c r="BF400" s="7">
        <v>2</v>
      </c>
      <c r="BG400" s="12">
        <f>SUM(data__22[[#This Row],[N1]:[N4]],data__22[[#This Row],[N10]:[N13]],data__22[[#This Row],[N16]:[N18]])/11</f>
        <v>2.9090909090909092</v>
      </c>
      <c r="BH400" s="13">
        <f>SUM(data__22[[#This Row],[N8]:[N9]],data__22[[#This Row],[N23]:[N25]])/5</f>
        <v>1.8</v>
      </c>
      <c r="BI400" s="12">
        <f>SUM(data__22[[#This Row],[N5]:[N7]])/3</f>
        <v>1.3333333333333333</v>
      </c>
      <c r="BJ400" s="12">
        <f>SUM(data__22[[#This Row],[N14]:[N15]],data__22[[#This Row],[N19]:[N22]],data__22[[#This Row],[N26]:[N28]])/9</f>
        <v>1.3333333333333333</v>
      </c>
      <c r="BK400" s="12">
        <f>SUM(data__22[[#This Row],[N29]:[N33]])/5</f>
        <v>2.6</v>
      </c>
      <c r="BL400" s="12">
        <f>SUM(data__22[[#This Row],[N34]:[N36]])/3</f>
        <v>2</v>
      </c>
    </row>
    <row r="401" spans="1:64" x14ac:dyDescent="0.3">
      <c r="A401" s="7">
        <v>26</v>
      </c>
      <c r="B401" s="7" t="s">
        <v>70</v>
      </c>
      <c r="C401" s="7" t="s">
        <v>153</v>
      </c>
      <c r="D401" s="7" t="s">
        <v>72</v>
      </c>
      <c r="E401" s="7" t="s">
        <v>73</v>
      </c>
      <c r="F401" s="7" t="s">
        <v>74</v>
      </c>
      <c r="G401" s="7" t="s">
        <v>439</v>
      </c>
      <c r="H401" s="7" t="s">
        <v>74</v>
      </c>
      <c r="I401" s="7" t="s">
        <v>439</v>
      </c>
      <c r="J401" s="7" t="s">
        <v>77</v>
      </c>
      <c r="K401" s="7" t="s">
        <v>78</v>
      </c>
      <c r="L401" s="8" t="s">
        <v>79</v>
      </c>
      <c r="M401" s="8" t="s">
        <v>80</v>
      </c>
      <c r="N401" s="8" t="s">
        <v>79</v>
      </c>
      <c r="O401" s="8" t="s">
        <v>117</v>
      </c>
      <c r="P401" s="8" t="s">
        <v>82</v>
      </c>
      <c r="Q401" s="8" t="s">
        <v>103</v>
      </c>
      <c r="R401" s="8" t="s">
        <v>79</v>
      </c>
      <c r="S401" s="8" t="s">
        <v>79</v>
      </c>
      <c r="T401" s="8" t="s">
        <v>86</v>
      </c>
      <c r="U401" s="8" t="s">
        <v>120</v>
      </c>
      <c r="V401" s="8" t="s">
        <v>457</v>
      </c>
      <c r="W401" s="9">
        <v>0</v>
      </c>
      <c r="X401" s="9">
        <v>2</v>
      </c>
      <c r="Y401" s="9">
        <v>2</v>
      </c>
      <c r="Z401" s="9">
        <v>2</v>
      </c>
      <c r="AA401" s="9">
        <v>2</v>
      </c>
      <c r="AB401" s="9">
        <v>1</v>
      </c>
      <c r="AC401" s="9">
        <v>1</v>
      </c>
      <c r="AD401" s="9">
        <v>2</v>
      </c>
      <c r="AE401" s="9">
        <v>3</v>
      </c>
      <c r="AF401" s="9">
        <v>3</v>
      </c>
      <c r="AG401" s="9">
        <v>3</v>
      </c>
      <c r="AH401" s="9">
        <v>1</v>
      </c>
      <c r="AI401" s="9">
        <v>3</v>
      </c>
      <c r="AJ401" s="9">
        <v>0</v>
      </c>
      <c r="AK401" s="9">
        <v>3</v>
      </c>
      <c r="AL401" s="10">
        <v>0</v>
      </c>
      <c r="AM401" s="10">
        <v>1</v>
      </c>
      <c r="AN401" s="10">
        <v>2</v>
      </c>
      <c r="AO401" s="10">
        <v>3</v>
      </c>
      <c r="AP401" s="10">
        <v>0</v>
      </c>
      <c r="AQ401" s="10">
        <v>1</v>
      </c>
      <c r="AR401" s="10">
        <v>2</v>
      </c>
      <c r="AS401" s="11">
        <v>3</v>
      </c>
      <c r="AT401" s="11">
        <v>0</v>
      </c>
      <c r="AU401" s="11">
        <v>1</v>
      </c>
      <c r="AV401" s="11">
        <v>2</v>
      </c>
      <c r="AW401" s="11">
        <v>3</v>
      </c>
      <c r="AX401" s="11">
        <v>0</v>
      </c>
      <c r="AY401" s="7">
        <v>1</v>
      </c>
      <c r="AZ401" s="7">
        <v>2</v>
      </c>
      <c r="BA401" s="7">
        <v>3</v>
      </c>
      <c r="BB401" s="7">
        <v>0</v>
      </c>
      <c r="BC401" s="7">
        <v>1</v>
      </c>
      <c r="BD401" s="7">
        <v>1</v>
      </c>
      <c r="BE401" s="7">
        <v>2</v>
      </c>
      <c r="BF401" s="7">
        <v>2</v>
      </c>
      <c r="BG401" s="12">
        <f>SUM(data__22[[#This Row],[N1]:[N4]],data__22[[#This Row],[N10]:[N13]],data__22[[#This Row],[N16]:[N18]])/11</f>
        <v>1.7272727272727273</v>
      </c>
      <c r="BH401" s="13">
        <f>SUM(data__22[[#This Row],[N8]:[N9]],data__22[[#This Row],[N23]:[N25]])/5</f>
        <v>1.8</v>
      </c>
      <c r="BI401" s="12">
        <f>SUM(data__22[[#This Row],[N5]:[N7]])/3</f>
        <v>1.3333333333333333</v>
      </c>
      <c r="BJ401" s="12">
        <f>SUM(data__22[[#This Row],[N14]:[N15]],data__22[[#This Row],[N19]:[N22]],data__22[[#This Row],[N26]:[N28]])/9</f>
        <v>1.5555555555555556</v>
      </c>
      <c r="BK401" s="12">
        <f>SUM(data__22[[#This Row],[N29]:[N33]])/5</f>
        <v>1.4</v>
      </c>
      <c r="BL401" s="12">
        <f>SUM(data__22[[#This Row],[N34]:[N36]])/3</f>
        <v>1.6666666666666667</v>
      </c>
    </row>
    <row r="402" spans="1:64" x14ac:dyDescent="0.3">
      <c r="A402" s="7">
        <v>22</v>
      </c>
      <c r="B402" s="7" t="s">
        <v>70</v>
      </c>
      <c r="C402" s="7" t="s">
        <v>96</v>
      </c>
      <c r="D402" s="7" t="s">
        <v>97</v>
      </c>
      <c r="E402" s="7" t="s">
        <v>108</v>
      </c>
      <c r="F402" s="7" t="s">
        <v>136</v>
      </c>
      <c r="G402" s="7" t="s">
        <v>440</v>
      </c>
      <c r="H402" s="7" t="s">
        <v>98</v>
      </c>
      <c r="I402" s="7" t="s">
        <v>76</v>
      </c>
      <c r="J402" s="7" t="s">
        <v>77</v>
      </c>
      <c r="K402" s="7" t="s">
        <v>122</v>
      </c>
      <c r="L402" s="8" t="s">
        <v>79</v>
      </c>
      <c r="M402" s="8" t="s">
        <v>132</v>
      </c>
      <c r="N402" s="8" t="s">
        <v>79</v>
      </c>
      <c r="O402" s="8" t="s">
        <v>179</v>
      </c>
      <c r="P402" s="8" t="s">
        <v>79</v>
      </c>
      <c r="Q402" s="8" t="s">
        <v>103</v>
      </c>
      <c r="R402" s="8" t="s">
        <v>79</v>
      </c>
      <c r="S402" s="8" t="s">
        <v>82</v>
      </c>
      <c r="T402" s="8" t="s">
        <v>106</v>
      </c>
      <c r="U402" s="8" t="s">
        <v>87</v>
      </c>
      <c r="V402" s="8" t="s">
        <v>457</v>
      </c>
      <c r="W402" s="9">
        <v>2</v>
      </c>
      <c r="X402" s="9">
        <v>2</v>
      </c>
      <c r="Y402" s="9">
        <v>2</v>
      </c>
      <c r="Z402" s="9">
        <v>1</v>
      </c>
      <c r="AA402" s="9">
        <v>2</v>
      </c>
      <c r="AB402" s="9">
        <v>2</v>
      </c>
      <c r="AC402" s="9">
        <v>2</v>
      </c>
      <c r="AD402" s="9">
        <v>0</v>
      </c>
      <c r="AE402" s="9">
        <v>1</v>
      </c>
      <c r="AF402" s="9">
        <v>1</v>
      </c>
      <c r="AG402" s="9">
        <v>1</v>
      </c>
      <c r="AH402" s="9">
        <v>3</v>
      </c>
      <c r="AI402" s="9">
        <v>3</v>
      </c>
      <c r="AJ402" s="9">
        <v>3</v>
      </c>
      <c r="AK402" s="9">
        <v>3</v>
      </c>
      <c r="AL402" s="10">
        <v>3</v>
      </c>
      <c r="AM402" s="10">
        <v>3</v>
      </c>
      <c r="AN402" s="10">
        <v>3</v>
      </c>
      <c r="AO402" s="10">
        <v>3</v>
      </c>
      <c r="AP402" s="10">
        <v>2</v>
      </c>
      <c r="AQ402" s="10">
        <v>3</v>
      </c>
      <c r="AR402" s="10">
        <v>3</v>
      </c>
      <c r="AS402" s="11">
        <v>1</v>
      </c>
      <c r="AT402" s="11">
        <v>0</v>
      </c>
      <c r="AU402" s="11">
        <v>0</v>
      </c>
      <c r="AV402" s="11">
        <v>1</v>
      </c>
      <c r="AW402" s="11">
        <v>3</v>
      </c>
      <c r="AX402" s="11">
        <v>3</v>
      </c>
      <c r="AY402" s="7">
        <v>2</v>
      </c>
      <c r="AZ402" s="7">
        <v>2</v>
      </c>
      <c r="BA402" s="7">
        <v>2</v>
      </c>
      <c r="BB402" s="7">
        <v>2</v>
      </c>
      <c r="BC402" s="7">
        <v>2</v>
      </c>
      <c r="BD402" s="7">
        <v>2</v>
      </c>
      <c r="BE402" s="7">
        <v>2</v>
      </c>
      <c r="BF402" s="7">
        <v>2</v>
      </c>
      <c r="BG402" s="12">
        <f>SUM(data__22[[#This Row],[N1]:[N4]],data__22[[#This Row],[N10]:[N13]],data__22[[#This Row],[N16]:[N18]])/11</f>
        <v>2.1818181818181817</v>
      </c>
      <c r="BH402" s="13">
        <f>SUM(data__22[[#This Row],[N8]:[N9]],data__22[[#This Row],[N23]:[N25]])/5</f>
        <v>0.4</v>
      </c>
      <c r="BI402" s="12">
        <f>SUM(data__22[[#This Row],[N5]:[N7]])/3</f>
        <v>2</v>
      </c>
      <c r="BJ402" s="12">
        <f>SUM(data__22[[#This Row],[N14]:[N15]],data__22[[#This Row],[N19]:[N22]],data__22[[#This Row],[N26]:[N28]])/9</f>
        <v>2.6666666666666665</v>
      </c>
      <c r="BK402" s="12">
        <f>SUM(data__22[[#This Row],[N29]:[N33]])/5</f>
        <v>2</v>
      </c>
      <c r="BL402" s="12">
        <f>SUM(data__22[[#This Row],[N34]:[N36]])/3</f>
        <v>2</v>
      </c>
    </row>
    <row r="403" spans="1:64" x14ac:dyDescent="0.3">
      <c r="A403" s="7">
        <v>20</v>
      </c>
      <c r="B403" s="7" t="s">
        <v>70</v>
      </c>
      <c r="C403" s="7" t="s">
        <v>157</v>
      </c>
      <c r="D403" s="7" t="s">
        <v>72</v>
      </c>
      <c r="E403" s="7" t="s">
        <v>114</v>
      </c>
      <c r="F403" s="7" t="s">
        <v>74</v>
      </c>
      <c r="G403" s="7" t="s">
        <v>439</v>
      </c>
      <c r="H403" s="7" t="s">
        <v>74</v>
      </c>
      <c r="I403" s="7" t="s">
        <v>439</v>
      </c>
      <c r="J403" s="7" t="s">
        <v>77</v>
      </c>
      <c r="K403" s="7" t="s">
        <v>78</v>
      </c>
      <c r="L403" s="8" t="s">
        <v>79</v>
      </c>
      <c r="M403" s="8" t="s">
        <v>132</v>
      </c>
      <c r="N403" s="8" t="s">
        <v>79</v>
      </c>
      <c r="O403" s="8" t="s">
        <v>81</v>
      </c>
      <c r="P403" s="8" t="s">
        <v>79</v>
      </c>
      <c r="Q403" s="8" t="s">
        <v>83</v>
      </c>
      <c r="R403" s="8" t="s">
        <v>79</v>
      </c>
      <c r="S403" s="8" t="s">
        <v>79</v>
      </c>
      <c r="T403" s="8" t="s">
        <v>148</v>
      </c>
      <c r="U403" s="8" t="s">
        <v>141</v>
      </c>
      <c r="V403" s="8" t="s">
        <v>457</v>
      </c>
      <c r="W403" s="9">
        <v>0</v>
      </c>
      <c r="X403" s="9">
        <v>1</v>
      </c>
      <c r="Y403" s="9">
        <v>1</v>
      </c>
      <c r="Z403" s="9">
        <v>2</v>
      </c>
      <c r="AA403" s="9">
        <v>3</v>
      </c>
      <c r="AB403" s="9">
        <v>3</v>
      </c>
      <c r="AC403" s="9">
        <v>3</v>
      </c>
      <c r="AD403" s="9">
        <v>3</v>
      </c>
      <c r="AE403" s="9">
        <v>3</v>
      </c>
      <c r="AF403" s="9">
        <v>3</v>
      </c>
      <c r="AG403" s="9">
        <v>1</v>
      </c>
      <c r="AH403" s="9">
        <v>2</v>
      </c>
      <c r="AI403" s="9">
        <v>2</v>
      </c>
      <c r="AJ403" s="9">
        <v>2</v>
      </c>
      <c r="AK403" s="9">
        <v>1</v>
      </c>
      <c r="AL403" s="10">
        <v>3</v>
      </c>
      <c r="AM403" s="10">
        <v>3</v>
      </c>
      <c r="AN403" s="10">
        <v>2</v>
      </c>
      <c r="AO403" s="10">
        <v>3</v>
      </c>
      <c r="AP403" s="10">
        <v>2</v>
      </c>
      <c r="AQ403" s="10">
        <v>2</v>
      </c>
      <c r="AR403" s="10">
        <v>2</v>
      </c>
      <c r="AS403" s="11">
        <v>0</v>
      </c>
      <c r="AT403" s="11">
        <v>0</v>
      </c>
      <c r="AU403" s="11">
        <v>0</v>
      </c>
      <c r="AV403" s="11">
        <v>0</v>
      </c>
      <c r="AW403" s="11">
        <v>0</v>
      </c>
      <c r="AX403" s="11">
        <v>0</v>
      </c>
      <c r="AY403" s="7">
        <v>2</v>
      </c>
      <c r="AZ403" s="7">
        <v>2</v>
      </c>
      <c r="BA403" s="7">
        <v>2</v>
      </c>
      <c r="BB403" s="7">
        <v>2</v>
      </c>
      <c r="BC403" s="7">
        <v>3</v>
      </c>
      <c r="BD403" s="7">
        <v>3</v>
      </c>
      <c r="BE403" s="7">
        <v>3</v>
      </c>
      <c r="BF403" s="7">
        <v>3</v>
      </c>
      <c r="BG403" s="12">
        <f>SUM(data__22[[#This Row],[N1]:[N4]],data__22[[#This Row],[N10]:[N13]],data__22[[#This Row],[N16]:[N18]])/11</f>
        <v>1.8181818181818181</v>
      </c>
      <c r="BH403" s="13">
        <f>SUM(data__22[[#This Row],[N8]:[N9]],data__22[[#This Row],[N23]:[N25]])/5</f>
        <v>1.2</v>
      </c>
      <c r="BI403" s="12">
        <f>SUM(data__22[[#This Row],[N5]:[N7]])/3</f>
        <v>3</v>
      </c>
      <c r="BJ403" s="12">
        <f>SUM(data__22[[#This Row],[N14]:[N15]],data__22[[#This Row],[N19]:[N22]],data__22[[#This Row],[N26]:[N28]])/9</f>
        <v>1.3333333333333333</v>
      </c>
      <c r="BK403" s="12">
        <f>SUM(data__22[[#This Row],[N29]:[N33]])/5</f>
        <v>2.2000000000000002</v>
      </c>
      <c r="BL403" s="12">
        <f>SUM(data__22[[#This Row],[N34]:[N36]])/3</f>
        <v>3</v>
      </c>
    </row>
    <row r="404" spans="1:64" x14ac:dyDescent="0.3">
      <c r="A404" s="7">
        <v>22</v>
      </c>
      <c r="B404" s="7" t="s">
        <v>70</v>
      </c>
      <c r="C404" s="7" t="s">
        <v>113</v>
      </c>
      <c r="D404" s="7" t="s">
        <v>97</v>
      </c>
      <c r="E404" s="7" t="s">
        <v>108</v>
      </c>
      <c r="F404" s="7" t="s">
        <v>74</v>
      </c>
      <c r="G404" s="7" t="s">
        <v>439</v>
      </c>
      <c r="H404" s="7" t="s">
        <v>100</v>
      </c>
      <c r="I404" s="7" t="s">
        <v>76</v>
      </c>
      <c r="J404" s="7" t="s">
        <v>77</v>
      </c>
      <c r="K404" s="7" t="s">
        <v>78</v>
      </c>
      <c r="L404" s="8" t="s">
        <v>79</v>
      </c>
      <c r="M404" s="8" t="s">
        <v>80</v>
      </c>
      <c r="N404" s="8" t="s">
        <v>79</v>
      </c>
      <c r="O404" s="8" t="s">
        <v>81</v>
      </c>
      <c r="P404" s="8" t="s">
        <v>79</v>
      </c>
      <c r="Q404" s="8" t="s">
        <v>118</v>
      </c>
      <c r="R404" s="8" t="s">
        <v>82</v>
      </c>
      <c r="S404" s="8" t="s">
        <v>79</v>
      </c>
      <c r="T404" s="8" t="s">
        <v>106</v>
      </c>
      <c r="U404" s="8" t="s">
        <v>120</v>
      </c>
      <c r="V404" s="8" t="s">
        <v>455</v>
      </c>
      <c r="W404" s="9">
        <v>1</v>
      </c>
      <c r="X404" s="9">
        <v>2</v>
      </c>
      <c r="Y404" s="9">
        <v>2</v>
      </c>
      <c r="Z404" s="9">
        <v>1</v>
      </c>
      <c r="AA404" s="9">
        <v>2</v>
      </c>
      <c r="AB404" s="9">
        <v>1</v>
      </c>
      <c r="AC404" s="9">
        <v>2</v>
      </c>
      <c r="AD404" s="9">
        <v>1</v>
      </c>
      <c r="AE404" s="9">
        <v>2</v>
      </c>
      <c r="AF404" s="9">
        <v>1</v>
      </c>
      <c r="AG404" s="9">
        <v>2</v>
      </c>
      <c r="AH404" s="9">
        <v>1</v>
      </c>
      <c r="AI404" s="9">
        <v>2</v>
      </c>
      <c r="AJ404" s="9">
        <v>2</v>
      </c>
      <c r="AK404" s="9">
        <v>2</v>
      </c>
      <c r="AL404" s="10">
        <v>0</v>
      </c>
      <c r="AM404" s="10">
        <v>0</v>
      </c>
      <c r="AN404" s="10">
        <v>0</v>
      </c>
      <c r="AO404" s="10">
        <v>0</v>
      </c>
      <c r="AP404" s="10">
        <v>1</v>
      </c>
      <c r="AQ404" s="10">
        <v>0</v>
      </c>
      <c r="AR404" s="10">
        <v>0</v>
      </c>
      <c r="AS404" s="11">
        <v>1</v>
      </c>
      <c r="AT404" s="11">
        <v>1</v>
      </c>
      <c r="AU404" s="11">
        <v>0</v>
      </c>
      <c r="AV404" s="11">
        <v>1</v>
      </c>
      <c r="AW404" s="11">
        <v>1</v>
      </c>
      <c r="AX404" s="11">
        <v>1</v>
      </c>
      <c r="AY404" s="7">
        <v>1</v>
      </c>
      <c r="AZ404" s="7">
        <v>0</v>
      </c>
      <c r="BA404" s="7">
        <v>1</v>
      </c>
      <c r="BB404" s="7">
        <v>1</v>
      </c>
      <c r="BC404" s="7">
        <v>1</v>
      </c>
      <c r="BD404" s="7">
        <v>1</v>
      </c>
      <c r="BE404" s="7">
        <v>1</v>
      </c>
      <c r="BF404" s="7">
        <v>1</v>
      </c>
      <c r="BG404" s="12">
        <f>SUM(data__22[[#This Row],[N1]:[N4]],data__22[[#This Row],[N10]:[N13]],data__22[[#This Row],[N16]:[N18]])/11</f>
        <v>1.0909090909090908</v>
      </c>
      <c r="BH404" s="13">
        <f>SUM(data__22[[#This Row],[N8]:[N9]],data__22[[#This Row],[N23]:[N25]])/5</f>
        <v>1</v>
      </c>
      <c r="BI404" s="12">
        <f>SUM(data__22[[#This Row],[N5]:[N7]])/3</f>
        <v>1.6666666666666667</v>
      </c>
      <c r="BJ404" s="12">
        <f>SUM(data__22[[#This Row],[N14]:[N15]],data__22[[#This Row],[N19]:[N22]],data__22[[#This Row],[N26]:[N28]])/9</f>
        <v>0.88888888888888884</v>
      </c>
      <c r="BK404" s="12">
        <f>SUM(data__22[[#This Row],[N29]:[N33]])/5</f>
        <v>0.8</v>
      </c>
      <c r="BL404" s="12">
        <f>SUM(data__22[[#This Row],[N34]:[N36]])/3</f>
        <v>1</v>
      </c>
    </row>
    <row r="405" spans="1:64" x14ac:dyDescent="0.3">
      <c r="A405" s="7">
        <v>25</v>
      </c>
      <c r="B405" s="7" t="s">
        <v>70</v>
      </c>
      <c r="C405" s="7" t="s">
        <v>153</v>
      </c>
      <c r="D405" s="7" t="s">
        <v>149</v>
      </c>
      <c r="E405" s="7" t="s">
        <v>73</v>
      </c>
      <c r="F405" s="7" t="s">
        <v>74</v>
      </c>
      <c r="G405" s="7" t="s">
        <v>439</v>
      </c>
      <c r="H405" s="7" t="s">
        <v>98</v>
      </c>
      <c r="I405" s="7" t="s">
        <v>76</v>
      </c>
      <c r="J405" s="7" t="s">
        <v>77</v>
      </c>
      <c r="K405" s="7" t="s">
        <v>122</v>
      </c>
      <c r="L405" s="8" t="s">
        <v>79</v>
      </c>
      <c r="M405" s="8" t="s">
        <v>102</v>
      </c>
      <c r="N405" s="8" t="s">
        <v>82</v>
      </c>
      <c r="O405" s="8" t="s">
        <v>138</v>
      </c>
      <c r="P405" s="8" t="s">
        <v>82</v>
      </c>
      <c r="Q405" s="8" t="s">
        <v>103</v>
      </c>
      <c r="R405" s="8" t="s">
        <v>79</v>
      </c>
      <c r="S405" s="8" t="s">
        <v>79</v>
      </c>
      <c r="T405" s="8" t="s">
        <v>86</v>
      </c>
      <c r="U405" s="8" t="s">
        <v>87</v>
      </c>
      <c r="V405" s="8" t="s">
        <v>457</v>
      </c>
      <c r="W405" s="9">
        <v>3</v>
      </c>
      <c r="X405" s="9">
        <v>2</v>
      </c>
      <c r="Y405" s="9">
        <v>3</v>
      </c>
      <c r="Z405" s="9">
        <v>1</v>
      </c>
      <c r="AA405" s="9">
        <v>3</v>
      </c>
      <c r="AB405" s="9">
        <v>3</v>
      </c>
      <c r="AC405" s="9">
        <v>3</v>
      </c>
      <c r="AD405" s="9">
        <v>3</v>
      </c>
      <c r="AE405" s="9">
        <v>3</v>
      </c>
      <c r="AF405" s="9">
        <v>3</v>
      </c>
      <c r="AG405" s="9">
        <v>1</v>
      </c>
      <c r="AH405" s="9">
        <v>1</v>
      </c>
      <c r="AI405" s="9">
        <v>2</v>
      </c>
      <c r="AJ405" s="9">
        <v>3</v>
      </c>
      <c r="AK405" s="9">
        <v>3</v>
      </c>
      <c r="AL405" s="10">
        <v>3</v>
      </c>
      <c r="AM405" s="10">
        <v>3</v>
      </c>
      <c r="AN405" s="10">
        <v>3</v>
      </c>
      <c r="AO405" s="10">
        <v>3</v>
      </c>
      <c r="AP405" s="10">
        <v>3</v>
      </c>
      <c r="AQ405" s="10">
        <v>3</v>
      </c>
      <c r="AR405" s="10">
        <v>3</v>
      </c>
      <c r="AS405" s="11">
        <v>1</v>
      </c>
      <c r="AT405" s="11">
        <v>0</v>
      </c>
      <c r="AU405" s="11">
        <v>0</v>
      </c>
      <c r="AV405" s="11">
        <v>3</v>
      </c>
      <c r="AW405" s="11">
        <v>3</v>
      </c>
      <c r="AX405" s="11">
        <v>3</v>
      </c>
      <c r="AY405" s="7">
        <v>2</v>
      </c>
      <c r="AZ405" s="7">
        <v>2</v>
      </c>
      <c r="BA405" s="7">
        <v>1</v>
      </c>
      <c r="BB405" s="7">
        <v>2</v>
      </c>
      <c r="BC405" s="7">
        <v>1</v>
      </c>
      <c r="BD405" s="7">
        <v>1</v>
      </c>
      <c r="BE405" s="7">
        <v>2</v>
      </c>
      <c r="BF405" s="7">
        <v>2</v>
      </c>
      <c r="BG405" s="12">
        <f>SUM(data__22[[#This Row],[N1]:[N4]],data__22[[#This Row],[N10]:[N13]],data__22[[#This Row],[N16]:[N18]])/11</f>
        <v>2.2727272727272729</v>
      </c>
      <c r="BH405" s="13">
        <f>SUM(data__22[[#This Row],[N8]:[N9]],data__22[[#This Row],[N23]:[N25]])/5</f>
        <v>1.4</v>
      </c>
      <c r="BI405" s="12">
        <f>SUM(data__22[[#This Row],[N5]:[N7]])/3</f>
        <v>3</v>
      </c>
      <c r="BJ405" s="12">
        <f>SUM(data__22[[#This Row],[N14]:[N15]],data__22[[#This Row],[N19]:[N22]],data__22[[#This Row],[N26]:[N28]])/9</f>
        <v>3</v>
      </c>
      <c r="BK405" s="12">
        <f>SUM(data__22[[#This Row],[N29]:[N33]])/5</f>
        <v>1.6</v>
      </c>
      <c r="BL405" s="12">
        <f>SUM(data__22[[#This Row],[N34]:[N36]])/3</f>
        <v>1.6666666666666667</v>
      </c>
    </row>
    <row r="406" spans="1:64" x14ac:dyDescent="0.3">
      <c r="A406" s="7">
        <v>25</v>
      </c>
      <c r="B406" s="7" t="s">
        <v>70</v>
      </c>
      <c r="C406" s="7" t="s">
        <v>153</v>
      </c>
      <c r="D406" s="7" t="s">
        <v>149</v>
      </c>
      <c r="E406" s="7" t="s">
        <v>73</v>
      </c>
      <c r="F406" s="7" t="s">
        <v>74</v>
      </c>
      <c r="G406" s="7" t="s">
        <v>439</v>
      </c>
      <c r="H406" s="7" t="s">
        <v>98</v>
      </c>
      <c r="I406" s="7" t="s">
        <v>76</v>
      </c>
      <c r="J406" s="7" t="s">
        <v>77</v>
      </c>
      <c r="K406" s="7" t="s">
        <v>122</v>
      </c>
      <c r="L406" s="8" t="s">
        <v>79</v>
      </c>
      <c r="M406" s="8" t="s">
        <v>102</v>
      </c>
      <c r="N406" s="8" t="s">
        <v>82</v>
      </c>
      <c r="O406" s="8" t="s">
        <v>138</v>
      </c>
      <c r="P406" s="8" t="s">
        <v>82</v>
      </c>
      <c r="Q406" s="8" t="s">
        <v>103</v>
      </c>
      <c r="R406" s="8" t="s">
        <v>79</v>
      </c>
      <c r="S406" s="8" t="s">
        <v>79</v>
      </c>
      <c r="T406" s="8" t="s">
        <v>86</v>
      </c>
      <c r="U406" s="8" t="s">
        <v>87</v>
      </c>
      <c r="V406" s="8" t="s">
        <v>457</v>
      </c>
      <c r="W406" s="9">
        <v>3</v>
      </c>
      <c r="X406" s="9">
        <v>2</v>
      </c>
      <c r="Y406" s="9">
        <v>3</v>
      </c>
      <c r="Z406" s="9">
        <v>1</v>
      </c>
      <c r="AA406" s="9">
        <v>3</v>
      </c>
      <c r="AB406" s="9">
        <v>3</v>
      </c>
      <c r="AC406" s="9">
        <v>3</v>
      </c>
      <c r="AD406" s="9">
        <v>3</v>
      </c>
      <c r="AE406" s="9">
        <v>3</v>
      </c>
      <c r="AF406" s="9">
        <v>3</v>
      </c>
      <c r="AG406" s="9">
        <v>1</v>
      </c>
      <c r="AH406" s="9">
        <v>1</v>
      </c>
      <c r="AI406" s="9">
        <v>2</v>
      </c>
      <c r="AJ406" s="9">
        <v>3</v>
      </c>
      <c r="AK406" s="9">
        <v>3</v>
      </c>
      <c r="AL406" s="10">
        <v>3</v>
      </c>
      <c r="AM406" s="10">
        <v>3</v>
      </c>
      <c r="AN406" s="10">
        <v>3</v>
      </c>
      <c r="AO406" s="10">
        <v>3</v>
      </c>
      <c r="AP406" s="10">
        <v>3</v>
      </c>
      <c r="AQ406" s="10">
        <v>3</v>
      </c>
      <c r="AR406" s="10">
        <v>3</v>
      </c>
      <c r="AS406" s="11">
        <v>1</v>
      </c>
      <c r="AT406" s="11">
        <v>0</v>
      </c>
      <c r="AU406" s="11">
        <v>0</v>
      </c>
      <c r="AV406" s="11">
        <v>3</v>
      </c>
      <c r="AW406" s="11">
        <v>3</v>
      </c>
      <c r="AX406" s="11">
        <v>3</v>
      </c>
      <c r="AY406" s="7">
        <v>2</v>
      </c>
      <c r="AZ406" s="7">
        <v>2</v>
      </c>
      <c r="BA406" s="7">
        <v>1</v>
      </c>
      <c r="BB406" s="7">
        <v>2</v>
      </c>
      <c r="BC406" s="7">
        <v>1</v>
      </c>
      <c r="BD406" s="7">
        <v>1</v>
      </c>
      <c r="BE406" s="7">
        <v>2</v>
      </c>
      <c r="BF406" s="7">
        <v>2</v>
      </c>
      <c r="BG406" s="12">
        <f>SUM(data__22[[#This Row],[N1]:[N4]],data__22[[#This Row],[N10]:[N13]],data__22[[#This Row],[N16]:[N18]])/11</f>
        <v>2.2727272727272729</v>
      </c>
      <c r="BH406" s="13">
        <f>SUM(data__22[[#This Row],[N8]:[N9]],data__22[[#This Row],[N23]:[N25]])/5</f>
        <v>1.4</v>
      </c>
      <c r="BI406" s="12">
        <f>SUM(data__22[[#This Row],[N5]:[N7]])/3</f>
        <v>3</v>
      </c>
      <c r="BJ406" s="12">
        <f>SUM(data__22[[#This Row],[N14]:[N15]],data__22[[#This Row],[N19]:[N22]],data__22[[#This Row],[N26]:[N28]])/9</f>
        <v>3</v>
      </c>
      <c r="BK406" s="12">
        <f>SUM(data__22[[#This Row],[N29]:[N33]])/5</f>
        <v>1.6</v>
      </c>
      <c r="BL406" s="12">
        <f>SUM(data__22[[#This Row],[N34]:[N36]])/3</f>
        <v>1.6666666666666667</v>
      </c>
    </row>
    <row r="407" spans="1:64" x14ac:dyDescent="0.3">
      <c r="A407" s="7">
        <v>25</v>
      </c>
      <c r="B407" s="7" t="s">
        <v>70</v>
      </c>
      <c r="C407" s="7" t="s">
        <v>153</v>
      </c>
      <c r="D407" s="7" t="s">
        <v>149</v>
      </c>
      <c r="E407" s="7" t="s">
        <v>73</v>
      </c>
      <c r="F407" s="7" t="s">
        <v>74</v>
      </c>
      <c r="G407" s="7" t="s">
        <v>439</v>
      </c>
      <c r="H407" s="7" t="s">
        <v>98</v>
      </c>
      <c r="I407" s="7" t="s">
        <v>76</v>
      </c>
      <c r="J407" s="7" t="s">
        <v>77</v>
      </c>
      <c r="K407" s="7" t="s">
        <v>122</v>
      </c>
      <c r="L407" s="8" t="s">
        <v>79</v>
      </c>
      <c r="M407" s="8" t="s">
        <v>102</v>
      </c>
      <c r="N407" s="8" t="s">
        <v>82</v>
      </c>
      <c r="O407" s="8" t="s">
        <v>138</v>
      </c>
      <c r="P407" s="8" t="s">
        <v>82</v>
      </c>
      <c r="Q407" s="8" t="s">
        <v>103</v>
      </c>
      <c r="R407" s="8" t="s">
        <v>79</v>
      </c>
      <c r="S407" s="8" t="s">
        <v>79</v>
      </c>
      <c r="T407" s="8" t="s">
        <v>86</v>
      </c>
      <c r="U407" s="8" t="s">
        <v>87</v>
      </c>
      <c r="V407" s="8" t="s">
        <v>457</v>
      </c>
      <c r="W407" s="9">
        <v>3</v>
      </c>
      <c r="X407" s="9">
        <v>2</v>
      </c>
      <c r="Y407" s="9">
        <v>3</v>
      </c>
      <c r="Z407" s="9">
        <v>1</v>
      </c>
      <c r="AA407" s="9">
        <v>3</v>
      </c>
      <c r="AB407" s="9">
        <v>3</v>
      </c>
      <c r="AC407" s="9">
        <v>3</v>
      </c>
      <c r="AD407" s="9">
        <v>3</v>
      </c>
      <c r="AE407" s="9">
        <v>3</v>
      </c>
      <c r="AF407" s="9">
        <v>3</v>
      </c>
      <c r="AG407" s="9">
        <v>1</v>
      </c>
      <c r="AH407" s="9">
        <v>1</v>
      </c>
      <c r="AI407" s="9">
        <v>2</v>
      </c>
      <c r="AJ407" s="9">
        <v>3</v>
      </c>
      <c r="AK407" s="9">
        <v>3</v>
      </c>
      <c r="AL407" s="10">
        <v>3</v>
      </c>
      <c r="AM407" s="10">
        <v>3</v>
      </c>
      <c r="AN407" s="10">
        <v>3</v>
      </c>
      <c r="AO407" s="10">
        <v>3</v>
      </c>
      <c r="AP407" s="10">
        <v>3</v>
      </c>
      <c r="AQ407" s="10">
        <v>3</v>
      </c>
      <c r="AR407" s="10">
        <v>3</v>
      </c>
      <c r="AS407" s="11">
        <v>1</v>
      </c>
      <c r="AT407" s="11">
        <v>0</v>
      </c>
      <c r="AU407" s="11">
        <v>0</v>
      </c>
      <c r="AV407" s="11">
        <v>3</v>
      </c>
      <c r="AW407" s="11">
        <v>3</v>
      </c>
      <c r="AX407" s="11">
        <v>3</v>
      </c>
      <c r="AY407" s="7">
        <v>2</v>
      </c>
      <c r="AZ407" s="7">
        <v>2</v>
      </c>
      <c r="BA407" s="7">
        <v>1</v>
      </c>
      <c r="BB407" s="7">
        <v>2</v>
      </c>
      <c r="BC407" s="7">
        <v>1</v>
      </c>
      <c r="BD407" s="7">
        <v>1</v>
      </c>
      <c r="BE407" s="7">
        <v>2</v>
      </c>
      <c r="BF407" s="7">
        <v>2</v>
      </c>
      <c r="BG407" s="12">
        <f>SUM(data__22[[#This Row],[N1]:[N4]],data__22[[#This Row],[N10]:[N13]],data__22[[#This Row],[N16]:[N18]])/11</f>
        <v>2.2727272727272729</v>
      </c>
      <c r="BH407" s="13">
        <f>SUM(data__22[[#This Row],[N8]:[N9]],data__22[[#This Row],[N23]:[N25]])/5</f>
        <v>1.4</v>
      </c>
      <c r="BI407" s="12">
        <f>SUM(data__22[[#This Row],[N5]:[N7]])/3</f>
        <v>3</v>
      </c>
      <c r="BJ407" s="12">
        <f>SUM(data__22[[#This Row],[N14]:[N15]],data__22[[#This Row],[N19]:[N22]],data__22[[#This Row],[N26]:[N28]])/9</f>
        <v>3</v>
      </c>
      <c r="BK407" s="12">
        <f>SUM(data__22[[#This Row],[N29]:[N33]])/5</f>
        <v>1.6</v>
      </c>
      <c r="BL407" s="12">
        <f>SUM(data__22[[#This Row],[N34]:[N36]])/3</f>
        <v>1.6666666666666667</v>
      </c>
    </row>
    <row r="408" spans="1:64" x14ac:dyDescent="0.3">
      <c r="A408" s="7">
        <v>22</v>
      </c>
      <c r="B408" s="7" t="s">
        <v>70</v>
      </c>
      <c r="C408" s="7" t="s">
        <v>113</v>
      </c>
      <c r="D408" s="7" t="s">
        <v>72</v>
      </c>
      <c r="E408" s="7" t="s">
        <v>114</v>
      </c>
      <c r="F408" s="7" t="s">
        <v>100</v>
      </c>
      <c r="G408" s="7" t="s">
        <v>440</v>
      </c>
      <c r="H408" s="7" t="s">
        <v>165</v>
      </c>
      <c r="I408" s="7" t="s">
        <v>76</v>
      </c>
      <c r="J408" s="7" t="s">
        <v>77</v>
      </c>
      <c r="K408" s="7" t="s">
        <v>125</v>
      </c>
      <c r="L408" s="8" t="s">
        <v>79</v>
      </c>
      <c r="M408" s="8" t="s">
        <v>201</v>
      </c>
      <c r="N408" s="8" t="s">
        <v>79</v>
      </c>
      <c r="O408" s="8" t="s">
        <v>81</v>
      </c>
      <c r="P408" s="8" t="s">
        <v>82</v>
      </c>
      <c r="Q408" s="8" t="s">
        <v>83</v>
      </c>
      <c r="R408" s="8" t="s">
        <v>79</v>
      </c>
      <c r="S408" s="8" t="s">
        <v>82</v>
      </c>
      <c r="T408" s="8" t="s">
        <v>106</v>
      </c>
      <c r="U408" s="8" t="s">
        <v>141</v>
      </c>
      <c r="V408" s="8" t="s">
        <v>457</v>
      </c>
      <c r="W408" s="9">
        <v>1</v>
      </c>
      <c r="X408" s="9">
        <v>1</v>
      </c>
      <c r="Y408" s="9">
        <v>0</v>
      </c>
      <c r="Z408" s="9">
        <v>0</v>
      </c>
      <c r="AA408" s="9">
        <v>3</v>
      </c>
      <c r="AB408" s="9">
        <v>3</v>
      </c>
      <c r="AC408" s="9">
        <v>3</v>
      </c>
      <c r="AD408" s="9">
        <v>0</v>
      </c>
      <c r="AE408" s="9">
        <v>0</v>
      </c>
      <c r="AF408" s="9">
        <v>0</v>
      </c>
      <c r="AG408" s="9">
        <v>1</v>
      </c>
      <c r="AH408" s="9">
        <v>1</v>
      </c>
      <c r="AI408" s="9">
        <v>1</v>
      </c>
      <c r="AJ408" s="9">
        <v>3</v>
      </c>
      <c r="AK408" s="9">
        <v>3</v>
      </c>
      <c r="AL408" s="10">
        <v>3</v>
      </c>
      <c r="AM408" s="10">
        <v>3</v>
      </c>
      <c r="AN408" s="10">
        <v>3</v>
      </c>
      <c r="AO408" s="10">
        <v>1</v>
      </c>
      <c r="AP408" s="10">
        <v>0</v>
      </c>
      <c r="AQ408" s="10">
        <v>0</v>
      </c>
      <c r="AR408" s="10">
        <v>3</v>
      </c>
      <c r="AS408" s="11">
        <v>0</v>
      </c>
      <c r="AT408" s="11">
        <v>0</v>
      </c>
      <c r="AU408" s="11">
        <v>1</v>
      </c>
      <c r="AV408" s="11">
        <v>3</v>
      </c>
      <c r="AW408" s="11">
        <v>3</v>
      </c>
      <c r="AX408" s="11">
        <v>3</v>
      </c>
      <c r="AY408" s="7">
        <v>1</v>
      </c>
      <c r="AZ408" s="7">
        <v>1</v>
      </c>
      <c r="BA408" s="7">
        <v>1</v>
      </c>
      <c r="BB408" s="7">
        <v>1</v>
      </c>
      <c r="BC408" s="7">
        <v>1</v>
      </c>
      <c r="BD408" s="7">
        <v>3</v>
      </c>
      <c r="BE408" s="7">
        <v>3</v>
      </c>
      <c r="BF408" s="7">
        <v>3</v>
      </c>
      <c r="BG408" s="12">
        <f>SUM(data__22[[#This Row],[N1]:[N4]],data__22[[#This Row],[N10]:[N13]],data__22[[#This Row],[N16]:[N18]])/11</f>
        <v>1.2727272727272727</v>
      </c>
      <c r="BH408" s="13">
        <f>SUM(data__22[[#This Row],[N8]:[N9]],data__22[[#This Row],[N23]:[N25]])/5</f>
        <v>0.2</v>
      </c>
      <c r="BI408" s="12">
        <f>SUM(data__22[[#This Row],[N5]:[N7]])/3</f>
        <v>3</v>
      </c>
      <c r="BJ408" s="12">
        <f>SUM(data__22[[#This Row],[N14]:[N15]],data__22[[#This Row],[N19]:[N22]],data__22[[#This Row],[N26]:[N28]])/9</f>
        <v>2.1111111111111112</v>
      </c>
      <c r="BK408" s="12">
        <f>SUM(data__22[[#This Row],[N29]:[N33]])/5</f>
        <v>1</v>
      </c>
      <c r="BL408" s="12">
        <f>SUM(data__22[[#This Row],[N34]:[N36]])/3</f>
        <v>3</v>
      </c>
    </row>
    <row r="409" spans="1:64" x14ac:dyDescent="0.3">
      <c r="A409" s="7">
        <v>22</v>
      </c>
      <c r="B409" s="7" t="s">
        <v>70</v>
      </c>
      <c r="C409" s="7" t="s">
        <v>113</v>
      </c>
      <c r="D409" s="7" t="s">
        <v>72</v>
      </c>
      <c r="E409" s="7" t="s">
        <v>114</v>
      </c>
      <c r="F409" s="7" t="s">
        <v>100</v>
      </c>
      <c r="G409" s="7" t="s">
        <v>440</v>
      </c>
      <c r="H409" s="7" t="s">
        <v>165</v>
      </c>
      <c r="I409" s="7" t="s">
        <v>76</v>
      </c>
      <c r="J409" s="7" t="s">
        <v>77</v>
      </c>
      <c r="K409" s="7" t="s">
        <v>125</v>
      </c>
      <c r="L409" s="8" t="s">
        <v>79</v>
      </c>
      <c r="M409" s="8" t="s">
        <v>201</v>
      </c>
      <c r="N409" s="8" t="s">
        <v>79</v>
      </c>
      <c r="O409" s="8" t="s">
        <v>81</v>
      </c>
      <c r="P409" s="8" t="s">
        <v>82</v>
      </c>
      <c r="Q409" s="8" t="s">
        <v>83</v>
      </c>
      <c r="R409" s="8" t="s">
        <v>79</v>
      </c>
      <c r="S409" s="8" t="s">
        <v>82</v>
      </c>
      <c r="T409" s="8" t="s">
        <v>106</v>
      </c>
      <c r="U409" s="8" t="s">
        <v>141</v>
      </c>
      <c r="V409" s="8" t="s">
        <v>457</v>
      </c>
      <c r="W409" s="9">
        <v>1</v>
      </c>
      <c r="X409" s="9">
        <v>1</v>
      </c>
      <c r="Y409" s="9">
        <v>0</v>
      </c>
      <c r="Z409" s="9">
        <v>0</v>
      </c>
      <c r="AA409" s="9">
        <v>3</v>
      </c>
      <c r="AB409" s="9">
        <v>3</v>
      </c>
      <c r="AC409" s="9">
        <v>3</v>
      </c>
      <c r="AD409" s="9">
        <v>0</v>
      </c>
      <c r="AE409" s="9">
        <v>0</v>
      </c>
      <c r="AF409" s="9">
        <v>0</v>
      </c>
      <c r="AG409" s="9">
        <v>1</v>
      </c>
      <c r="AH409" s="9">
        <v>1</v>
      </c>
      <c r="AI409" s="9">
        <v>1</v>
      </c>
      <c r="AJ409" s="9">
        <v>3</v>
      </c>
      <c r="AK409" s="9">
        <v>3</v>
      </c>
      <c r="AL409" s="10">
        <v>3</v>
      </c>
      <c r="AM409" s="10">
        <v>3</v>
      </c>
      <c r="AN409" s="10">
        <v>3</v>
      </c>
      <c r="AO409" s="10">
        <v>1</v>
      </c>
      <c r="AP409" s="10">
        <v>0</v>
      </c>
      <c r="AQ409" s="10">
        <v>0</v>
      </c>
      <c r="AR409" s="10">
        <v>3</v>
      </c>
      <c r="AS409" s="11">
        <v>0</v>
      </c>
      <c r="AT409" s="11">
        <v>0</v>
      </c>
      <c r="AU409" s="11">
        <v>1</v>
      </c>
      <c r="AV409" s="11">
        <v>3</v>
      </c>
      <c r="AW409" s="11">
        <v>3</v>
      </c>
      <c r="AX409" s="11">
        <v>3</v>
      </c>
      <c r="AY409" s="7">
        <v>1</v>
      </c>
      <c r="AZ409" s="7">
        <v>1</v>
      </c>
      <c r="BA409" s="7">
        <v>1</v>
      </c>
      <c r="BB409" s="7">
        <v>1</v>
      </c>
      <c r="BC409" s="7">
        <v>1</v>
      </c>
      <c r="BD409" s="7">
        <v>3</v>
      </c>
      <c r="BE409" s="7">
        <v>3</v>
      </c>
      <c r="BF409" s="7">
        <v>3</v>
      </c>
      <c r="BG409" s="12">
        <f>SUM(data__22[[#This Row],[N1]:[N4]],data__22[[#This Row],[N10]:[N13]],data__22[[#This Row],[N16]:[N18]])/11</f>
        <v>1.2727272727272727</v>
      </c>
      <c r="BH409" s="13">
        <f>SUM(data__22[[#This Row],[N8]:[N9]],data__22[[#This Row],[N23]:[N25]])/5</f>
        <v>0.2</v>
      </c>
      <c r="BI409" s="12">
        <f>SUM(data__22[[#This Row],[N5]:[N7]])/3</f>
        <v>3</v>
      </c>
      <c r="BJ409" s="12">
        <f>SUM(data__22[[#This Row],[N14]:[N15]],data__22[[#This Row],[N19]:[N22]],data__22[[#This Row],[N26]:[N28]])/9</f>
        <v>2.1111111111111112</v>
      </c>
      <c r="BK409" s="12">
        <f>SUM(data__22[[#This Row],[N29]:[N33]])/5</f>
        <v>1</v>
      </c>
      <c r="BL409" s="12">
        <f>SUM(data__22[[#This Row],[N34]:[N36]])/3</f>
        <v>3</v>
      </c>
    </row>
    <row r="410" spans="1:64" x14ac:dyDescent="0.3">
      <c r="A410" s="7">
        <v>24</v>
      </c>
      <c r="B410" s="7" t="s">
        <v>70</v>
      </c>
      <c r="C410" s="7" t="s">
        <v>71</v>
      </c>
      <c r="D410" s="7" t="s">
        <v>72</v>
      </c>
      <c r="E410" s="7" t="s">
        <v>114</v>
      </c>
      <c r="F410" s="7" t="s">
        <v>98</v>
      </c>
      <c r="G410" s="7" t="s">
        <v>440</v>
      </c>
      <c r="H410" s="7" t="s">
        <v>165</v>
      </c>
      <c r="I410" s="7" t="s">
        <v>76</v>
      </c>
      <c r="J410" s="7" t="s">
        <v>77</v>
      </c>
      <c r="K410" s="7" t="s">
        <v>125</v>
      </c>
      <c r="L410" s="8" t="s">
        <v>79</v>
      </c>
      <c r="M410" s="8" t="s">
        <v>102</v>
      </c>
      <c r="N410" s="8" t="s">
        <v>82</v>
      </c>
      <c r="O410" s="8" t="s">
        <v>179</v>
      </c>
      <c r="P410" s="8" t="s">
        <v>79</v>
      </c>
      <c r="Q410" s="8" t="s">
        <v>103</v>
      </c>
      <c r="R410" s="8" t="s">
        <v>79</v>
      </c>
      <c r="S410" s="8" t="s">
        <v>82</v>
      </c>
      <c r="T410" s="8" t="s">
        <v>106</v>
      </c>
      <c r="U410" s="8" t="s">
        <v>141</v>
      </c>
      <c r="V410" s="8" t="s">
        <v>457</v>
      </c>
      <c r="W410" s="9">
        <v>3</v>
      </c>
      <c r="X410" s="9">
        <v>2</v>
      </c>
      <c r="Y410" s="9">
        <v>2</v>
      </c>
      <c r="Z410" s="9">
        <v>2</v>
      </c>
      <c r="AA410" s="9">
        <v>2</v>
      </c>
      <c r="AB410" s="9">
        <v>2</v>
      </c>
      <c r="AC410" s="9">
        <v>2</v>
      </c>
      <c r="AD410" s="9">
        <v>2</v>
      </c>
      <c r="AE410" s="9">
        <v>2</v>
      </c>
      <c r="AF410" s="9">
        <v>2</v>
      </c>
      <c r="AG410" s="9">
        <v>2</v>
      </c>
      <c r="AH410" s="9">
        <v>2</v>
      </c>
      <c r="AI410" s="9">
        <v>2</v>
      </c>
      <c r="AJ410" s="9">
        <v>2</v>
      </c>
      <c r="AK410" s="9">
        <v>2</v>
      </c>
      <c r="AL410" s="10">
        <v>3</v>
      </c>
      <c r="AM410" s="10">
        <v>3</v>
      </c>
      <c r="AN410" s="10">
        <v>3</v>
      </c>
      <c r="AO410" s="10">
        <v>3</v>
      </c>
      <c r="AP410" s="10">
        <v>3</v>
      </c>
      <c r="AQ410" s="10">
        <v>3</v>
      </c>
      <c r="AR410" s="10">
        <v>3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  <c r="AX410" s="11">
        <v>0</v>
      </c>
      <c r="AY410" s="7">
        <v>2</v>
      </c>
      <c r="AZ410" s="7">
        <v>2</v>
      </c>
      <c r="BA410" s="7">
        <v>3</v>
      </c>
      <c r="BB410" s="7">
        <v>3</v>
      </c>
      <c r="BC410" s="7">
        <v>3</v>
      </c>
      <c r="BD410" s="7">
        <v>3</v>
      </c>
      <c r="BE410" s="7">
        <v>2</v>
      </c>
      <c r="BF410" s="7">
        <v>2</v>
      </c>
      <c r="BG410" s="12">
        <f>SUM(data__22[[#This Row],[N1]:[N4]],data__22[[#This Row],[N10]:[N13]],data__22[[#This Row],[N16]:[N18]])/11</f>
        <v>2.3636363636363638</v>
      </c>
      <c r="BH410" s="13">
        <f>SUM(data__22[[#This Row],[N8]:[N9]],data__22[[#This Row],[N23]:[N25]])/5</f>
        <v>0.8</v>
      </c>
      <c r="BI410" s="12">
        <f>SUM(data__22[[#This Row],[N5]:[N7]])/3</f>
        <v>2</v>
      </c>
      <c r="BJ410" s="12">
        <f>SUM(data__22[[#This Row],[N14]:[N15]],data__22[[#This Row],[N19]:[N22]],data__22[[#This Row],[N26]:[N28]])/9</f>
        <v>1.7777777777777777</v>
      </c>
      <c r="BK410" s="12">
        <f>SUM(data__22[[#This Row],[N29]:[N33]])/5</f>
        <v>2.6</v>
      </c>
      <c r="BL410" s="12">
        <f>SUM(data__22[[#This Row],[N34]:[N36]])/3</f>
        <v>2.3333333333333335</v>
      </c>
    </row>
    <row r="411" spans="1:64" x14ac:dyDescent="0.3">
      <c r="A411" s="7">
        <v>24</v>
      </c>
      <c r="B411" s="7" t="s">
        <v>70</v>
      </c>
      <c r="C411" s="7" t="s">
        <v>71</v>
      </c>
      <c r="D411" s="7" t="s">
        <v>72</v>
      </c>
      <c r="E411" s="7" t="s">
        <v>114</v>
      </c>
      <c r="F411" s="7" t="s">
        <v>98</v>
      </c>
      <c r="G411" s="7" t="s">
        <v>440</v>
      </c>
      <c r="H411" s="7" t="s">
        <v>165</v>
      </c>
      <c r="I411" s="7" t="s">
        <v>76</v>
      </c>
      <c r="J411" s="7" t="s">
        <v>77</v>
      </c>
      <c r="K411" s="7" t="s">
        <v>125</v>
      </c>
      <c r="L411" s="8" t="s">
        <v>79</v>
      </c>
      <c r="M411" s="8" t="s">
        <v>102</v>
      </c>
      <c r="N411" s="8" t="s">
        <v>82</v>
      </c>
      <c r="O411" s="8" t="s">
        <v>179</v>
      </c>
      <c r="P411" s="8" t="s">
        <v>79</v>
      </c>
      <c r="Q411" s="8" t="s">
        <v>103</v>
      </c>
      <c r="R411" s="8" t="s">
        <v>79</v>
      </c>
      <c r="S411" s="8" t="s">
        <v>82</v>
      </c>
      <c r="T411" s="8" t="s">
        <v>106</v>
      </c>
      <c r="U411" s="8" t="s">
        <v>141</v>
      </c>
      <c r="V411" s="8" t="s">
        <v>457</v>
      </c>
      <c r="W411" s="9">
        <v>3</v>
      </c>
      <c r="X411" s="9">
        <v>2</v>
      </c>
      <c r="Y411" s="9">
        <v>2</v>
      </c>
      <c r="Z411" s="9">
        <v>2</v>
      </c>
      <c r="AA411" s="9">
        <v>2</v>
      </c>
      <c r="AB411" s="9">
        <v>2</v>
      </c>
      <c r="AC411" s="9">
        <v>2</v>
      </c>
      <c r="AD411" s="9">
        <v>2</v>
      </c>
      <c r="AE411" s="9">
        <v>2</v>
      </c>
      <c r="AF411" s="9">
        <v>2</v>
      </c>
      <c r="AG411" s="9">
        <v>2</v>
      </c>
      <c r="AH411" s="9">
        <v>2</v>
      </c>
      <c r="AI411" s="9">
        <v>2</v>
      </c>
      <c r="AJ411" s="9">
        <v>2</v>
      </c>
      <c r="AK411" s="9">
        <v>2</v>
      </c>
      <c r="AL411" s="10">
        <v>3</v>
      </c>
      <c r="AM411" s="10">
        <v>3</v>
      </c>
      <c r="AN411" s="10">
        <v>3</v>
      </c>
      <c r="AO411" s="10">
        <v>3</v>
      </c>
      <c r="AP411" s="10">
        <v>3</v>
      </c>
      <c r="AQ411" s="10">
        <v>3</v>
      </c>
      <c r="AR411" s="10">
        <v>3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7">
        <v>2</v>
      </c>
      <c r="AZ411" s="7">
        <v>2</v>
      </c>
      <c r="BA411" s="7">
        <v>3</v>
      </c>
      <c r="BB411" s="7">
        <v>3</v>
      </c>
      <c r="BC411" s="7">
        <v>3</v>
      </c>
      <c r="BD411" s="7">
        <v>3</v>
      </c>
      <c r="BE411" s="7">
        <v>2</v>
      </c>
      <c r="BF411" s="7">
        <v>2</v>
      </c>
      <c r="BG411" s="12">
        <f>SUM(data__22[[#This Row],[N1]:[N4]],data__22[[#This Row],[N10]:[N13]],data__22[[#This Row],[N16]:[N18]])/11</f>
        <v>2.3636363636363638</v>
      </c>
      <c r="BH411" s="13">
        <f>SUM(data__22[[#This Row],[N8]:[N9]],data__22[[#This Row],[N23]:[N25]])/5</f>
        <v>0.8</v>
      </c>
      <c r="BI411" s="12">
        <f>SUM(data__22[[#This Row],[N5]:[N7]])/3</f>
        <v>2</v>
      </c>
      <c r="BJ411" s="12">
        <f>SUM(data__22[[#This Row],[N14]:[N15]],data__22[[#This Row],[N19]:[N22]],data__22[[#This Row],[N26]:[N28]])/9</f>
        <v>1.7777777777777777</v>
      </c>
      <c r="BK411" s="12">
        <f>SUM(data__22[[#This Row],[N29]:[N33]])/5</f>
        <v>2.6</v>
      </c>
      <c r="BL411" s="12">
        <f>SUM(data__22[[#This Row],[N34]:[N36]])/3</f>
        <v>2.3333333333333335</v>
      </c>
    </row>
    <row r="412" spans="1:64" x14ac:dyDescent="0.3">
      <c r="A412" s="7">
        <v>24</v>
      </c>
      <c r="B412" s="7" t="s">
        <v>70</v>
      </c>
      <c r="C412" s="7" t="s">
        <v>71</v>
      </c>
      <c r="D412" s="7" t="s">
        <v>72</v>
      </c>
      <c r="E412" s="7" t="s">
        <v>114</v>
      </c>
      <c r="F412" s="7" t="s">
        <v>98</v>
      </c>
      <c r="G412" s="7" t="s">
        <v>440</v>
      </c>
      <c r="H412" s="7" t="s">
        <v>165</v>
      </c>
      <c r="I412" s="7" t="s">
        <v>76</v>
      </c>
      <c r="J412" s="7" t="s">
        <v>77</v>
      </c>
      <c r="K412" s="7" t="s">
        <v>125</v>
      </c>
      <c r="L412" s="8" t="s">
        <v>79</v>
      </c>
      <c r="M412" s="8" t="s">
        <v>102</v>
      </c>
      <c r="N412" s="8" t="s">
        <v>82</v>
      </c>
      <c r="O412" s="8" t="s">
        <v>179</v>
      </c>
      <c r="P412" s="8" t="s">
        <v>79</v>
      </c>
      <c r="Q412" s="8" t="s">
        <v>103</v>
      </c>
      <c r="R412" s="8" t="s">
        <v>79</v>
      </c>
      <c r="S412" s="8" t="s">
        <v>82</v>
      </c>
      <c r="T412" s="8" t="s">
        <v>106</v>
      </c>
      <c r="U412" s="8" t="s">
        <v>141</v>
      </c>
      <c r="V412" s="8" t="s">
        <v>457</v>
      </c>
      <c r="W412" s="9">
        <v>3</v>
      </c>
      <c r="X412" s="9">
        <v>2</v>
      </c>
      <c r="Y412" s="9">
        <v>2</v>
      </c>
      <c r="Z412" s="9">
        <v>2</v>
      </c>
      <c r="AA412" s="9">
        <v>2</v>
      </c>
      <c r="AB412" s="9">
        <v>2</v>
      </c>
      <c r="AC412" s="9">
        <v>2</v>
      </c>
      <c r="AD412" s="9">
        <v>2</v>
      </c>
      <c r="AE412" s="9">
        <v>2</v>
      </c>
      <c r="AF412" s="9">
        <v>2</v>
      </c>
      <c r="AG412" s="9">
        <v>2</v>
      </c>
      <c r="AH412" s="9">
        <v>2</v>
      </c>
      <c r="AI412" s="9">
        <v>2</v>
      </c>
      <c r="AJ412" s="9">
        <v>2</v>
      </c>
      <c r="AK412" s="9">
        <v>2</v>
      </c>
      <c r="AL412" s="10">
        <v>3</v>
      </c>
      <c r="AM412" s="10">
        <v>3</v>
      </c>
      <c r="AN412" s="10">
        <v>3</v>
      </c>
      <c r="AO412" s="10">
        <v>3</v>
      </c>
      <c r="AP412" s="10">
        <v>3</v>
      </c>
      <c r="AQ412" s="10">
        <v>3</v>
      </c>
      <c r="AR412" s="10">
        <v>3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7">
        <v>2</v>
      </c>
      <c r="AZ412" s="7">
        <v>2</v>
      </c>
      <c r="BA412" s="7">
        <v>3</v>
      </c>
      <c r="BB412" s="7">
        <v>3</v>
      </c>
      <c r="BC412" s="7">
        <v>3</v>
      </c>
      <c r="BD412" s="7">
        <v>3</v>
      </c>
      <c r="BE412" s="7">
        <v>2</v>
      </c>
      <c r="BF412" s="7">
        <v>2</v>
      </c>
      <c r="BG412" s="12">
        <f>SUM(data__22[[#This Row],[N1]:[N4]],data__22[[#This Row],[N10]:[N13]],data__22[[#This Row],[N16]:[N18]])/11</f>
        <v>2.3636363636363638</v>
      </c>
      <c r="BH412" s="13">
        <f>SUM(data__22[[#This Row],[N8]:[N9]],data__22[[#This Row],[N23]:[N25]])/5</f>
        <v>0.8</v>
      </c>
      <c r="BI412" s="12">
        <f>SUM(data__22[[#This Row],[N5]:[N7]])/3</f>
        <v>2</v>
      </c>
      <c r="BJ412" s="12">
        <f>SUM(data__22[[#This Row],[N14]:[N15]],data__22[[#This Row],[N19]:[N22]],data__22[[#This Row],[N26]:[N28]])/9</f>
        <v>1.7777777777777777</v>
      </c>
      <c r="BK412" s="12">
        <f>SUM(data__22[[#This Row],[N29]:[N33]])/5</f>
        <v>2.6</v>
      </c>
      <c r="BL412" s="12">
        <f>SUM(data__22[[#This Row],[N34]:[N36]])/3</f>
        <v>2.3333333333333335</v>
      </c>
    </row>
    <row r="413" spans="1:64" x14ac:dyDescent="0.3">
      <c r="A413" s="7">
        <v>24</v>
      </c>
      <c r="B413" s="7" t="s">
        <v>70</v>
      </c>
      <c r="C413" s="7" t="s">
        <v>71</v>
      </c>
      <c r="D413" s="7" t="s">
        <v>72</v>
      </c>
      <c r="E413" s="7" t="s">
        <v>114</v>
      </c>
      <c r="F413" s="7" t="s">
        <v>98</v>
      </c>
      <c r="G413" s="7" t="s">
        <v>440</v>
      </c>
      <c r="H413" s="7" t="s">
        <v>165</v>
      </c>
      <c r="I413" s="7" t="s">
        <v>76</v>
      </c>
      <c r="J413" s="7" t="s">
        <v>77</v>
      </c>
      <c r="K413" s="7" t="s">
        <v>125</v>
      </c>
      <c r="L413" s="8" t="s">
        <v>79</v>
      </c>
      <c r="M413" s="8" t="s">
        <v>102</v>
      </c>
      <c r="N413" s="8" t="s">
        <v>82</v>
      </c>
      <c r="O413" s="8" t="s">
        <v>179</v>
      </c>
      <c r="P413" s="8" t="s">
        <v>79</v>
      </c>
      <c r="Q413" s="8" t="s">
        <v>103</v>
      </c>
      <c r="R413" s="8" t="s">
        <v>79</v>
      </c>
      <c r="S413" s="8" t="s">
        <v>82</v>
      </c>
      <c r="T413" s="8" t="s">
        <v>106</v>
      </c>
      <c r="U413" s="8" t="s">
        <v>141</v>
      </c>
      <c r="V413" s="8" t="s">
        <v>457</v>
      </c>
      <c r="W413" s="9">
        <v>3</v>
      </c>
      <c r="X413" s="9">
        <v>2</v>
      </c>
      <c r="Y413" s="9">
        <v>2</v>
      </c>
      <c r="Z413" s="9">
        <v>2</v>
      </c>
      <c r="AA413" s="9">
        <v>2</v>
      </c>
      <c r="AB413" s="9">
        <v>2</v>
      </c>
      <c r="AC413" s="9">
        <v>2</v>
      </c>
      <c r="AD413" s="9">
        <v>2</v>
      </c>
      <c r="AE413" s="9">
        <v>2</v>
      </c>
      <c r="AF413" s="9">
        <v>2</v>
      </c>
      <c r="AG413" s="9">
        <v>2</v>
      </c>
      <c r="AH413" s="9">
        <v>2</v>
      </c>
      <c r="AI413" s="9">
        <v>2</v>
      </c>
      <c r="AJ413" s="9">
        <v>2</v>
      </c>
      <c r="AK413" s="9">
        <v>2</v>
      </c>
      <c r="AL413" s="10">
        <v>3</v>
      </c>
      <c r="AM413" s="10">
        <v>3</v>
      </c>
      <c r="AN413" s="10">
        <v>3</v>
      </c>
      <c r="AO413" s="10">
        <v>3</v>
      </c>
      <c r="AP413" s="10">
        <v>3</v>
      </c>
      <c r="AQ413" s="10">
        <v>3</v>
      </c>
      <c r="AR413" s="10">
        <v>3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7">
        <v>2</v>
      </c>
      <c r="AZ413" s="7">
        <v>2</v>
      </c>
      <c r="BA413" s="7">
        <v>3</v>
      </c>
      <c r="BB413" s="7">
        <v>3</v>
      </c>
      <c r="BC413" s="7">
        <v>3</v>
      </c>
      <c r="BD413" s="7">
        <v>3</v>
      </c>
      <c r="BE413" s="7">
        <v>2</v>
      </c>
      <c r="BF413" s="7">
        <v>2</v>
      </c>
      <c r="BG413" s="12">
        <f>SUM(data__22[[#This Row],[N1]:[N4]],data__22[[#This Row],[N10]:[N13]],data__22[[#This Row],[N16]:[N18]])/11</f>
        <v>2.3636363636363638</v>
      </c>
      <c r="BH413" s="13">
        <f>SUM(data__22[[#This Row],[N8]:[N9]],data__22[[#This Row],[N23]:[N25]])/5</f>
        <v>0.8</v>
      </c>
      <c r="BI413" s="12">
        <f>SUM(data__22[[#This Row],[N5]:[N7]])/3</f>
        <v>2</v>
      </c>
      <c r="BJ413" s="12">
        <f>SUM(data__22[[#This Row],[N14]:[N15]],data__22[[#This Row],[N19]:[N22]],data__22[[#This Row],[N26]:[N28]])/9</f>
        <v>1.7777777777777777</v>
      </c>
      <c r="BK413" s="12">
        <f>SUM(data__22[[#This Row],[N29]:[N33]])/5</f>
        <v>2.6</v>
      </c>
      <c r="BL413" s="12">
        <f>SUM(data__22[[#This Row],[N34]:[N36]])/3</f>
        <v>2.3333333333333335</v>
      </c>
    </row>
    <row r="414" spans="1:64" x14ac:dyDescent="0.3">
      <c r="A414" s="7">
        <v>24</v>
      </c>
      <c r="B414" s="7" t="s">
        <v>70</v>
      </c>
      <c r="C414" s="7" t="s">
        <v>71</v>
      </c>
      <c r="D414" s="7" t="s">
        <v>72</v>
      </c>
      <c r="E414" s="7" t="s">
        <v>114</v>
      </c>
      <c r="F414" s="7" t="s">
        <v>98</v>
      </c>
      <c r="G414" s="7" t="s">
        <v>440</v>
      </c>
      <c r="H414" s="7" t="s">
        <v>165</v>
      </c>
      <c r="I414" s="7" t="s">
        <v>76</v>
      </c>
      <c r="J414" s="7" t="s">
        <v>77</v>
      </c>
      <c r="K414" s="7" t="s">
        <v>125</v>
      </c>
      <c r="L414" s="8" t="s">
        <v>79</v>
      </c>
      <c r="M414" s="8" t="s">
        <v>102</v>
      </c>
      <c r="N414" s="8" t="s">
        <v>82</v>
      </c>
      <c r="O414" s="8" t="s">
        <v>179</v>
      </c>
      <c r="P414" s="8" t="s">
        <v>79</v>
      </c>
      <c r="Q414" s="8" t="s">
        <v>103</v>
      </c>
      <c r="R414" s="8" t="s">
        <v>79</v>
      </c>
      <c r="S414" s="8" t="s">
        <v>82</v>
      </c>
      <c r="T414" s="8" t="s">
        <v>106</v>
      </c>
      <c r="U414" s="8" t="s">
        <v>141</v>
      </c>
      <c r="V414" s="8" t="s">
        <v>457</v>
      </c>
      <c r="W414" s="9">
        <v>3</v>
      </c>
      <c r="X414" s="9">
        <v>2</v>
      </c>
      <c r="Y414" s="9">
        <v>2</v>
      </c>
      <c r="Z414" s="9">
        <v>2</v>
      </c>
      <c r="AA414" s="9">
        <v>2</v>
      </c>
      <c r="AB414" s="9">
        <v>2</v>
      </c>
      <c r="AC414" s="9">
        <v>2</v>
      </c>
      <c r="AD414" s="9">
        <v>2</v>
      </c>
      <c r="AE414" s="9">
        <v>2</v>
      </c>
      <c r="AF414" s="9">
        <v>2</v>
      </c>
      <c r="AG414" s="9">
        <v>2</v>
      </c>
      <c r="AH414" s="9">
        <v>2</v>
      </c>
      <c r="AI414" s="9">
        <v>2</v>
      </c>
      <c r="AJ414" s="9">
        <v>2</v>
      </c>
      <c r="AK414" s="9">
        <v>2</v>
      </c>
      <c r="AL414" s="10">
        <v>3</v>
      </c>
      <c r="AM414" s="10">
        <v>3</v>
      </c>
      <c r="AN414" s="10">
        <v>3</v>
      </c>
      <c r="AO414" s="10">
        <v>3</v>
      </c>
      <c r="AP414" s="10">
        <v>3</v>
      </c>
      <c r="AQ414" s="10">
        <v>3</v>
      </c>
      <c r="AR414" s="10">
        <v>3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7">
        <v>2</v>
      </c>
      <c r="AZ414" s="7">
        <v>2</v>
      </c>
      <c r="BA414" s="7">
        <v>3</v>
      </c>
      <c r="BB414" s="7">
        <v>3</v>
      </c>
      <c r="BC414" s="7">
        <v>3</v>
      </c>
      <c r="BD414" s="7">
        <v>3</v>
      </c>
      <c r="BE414" s="7">
        <v>2</v>
      </c>
      <c r="BF414" s="7">
        <v>2</v>
      </c>
      <c r="BG414" s="12">
        <f>SUM(data__22[[#This Row],[N1]:[N4]],data__22[[#This Row],[N10]:[N13]],data__22[[#This Row],[N16]:[N18]])/11</f>
        <v>2.3636363636363638</v>
      </c>
      <c r="BH414" s="13">
        <f>SUM(data__22[[#This Row],[N8]:[N9]],data__22[[#This Row],[N23]:[N25]])/5</f>
        <v>0.8</v>
      </c>
      <c r="BI414" s="12">
        <f>SUM(data__22[[#This Row],[N5]:[N7]])/3</f>
        <v>2</v>
      </c>
      <c r="BJ414" s="12">
        <f>SUM(data__22[[#This Row],[N14]:[N15]],data__22[[#This Row],[N19]:[N22]],data__22[[#This Row],[N26]:[N28]])/9</f>
        <v>1.7777777777777777</v>
      </c>
      <c r="BK414" s="12">
        <f>SUM(data__22[[#This Row],[N29]:[N33]])/5</f>
        <v>2.6</v>
      </c>
      <c r="BL414" s="12">
        <f>SUM(data__22[[#This Row],[N34]:[N36]])/3</f>
        <v>2.3333333333333335</v>
      </c>
    </row>
    <row r="415" spans="1:64" x14ac:dyDescent="0.3">
      <c r="A415" s="7">
        <v>24</v>
      </c>
      <c r="B415" s="7" t="s">
        <v>70</v>
      </c>
      <c r="C415" s="7" t="s">
        <v>71</v>
      </c>
      <c r="D415" s="7" t="s">
        <v>72</v>
      </c>
      <c r="E415" s="7" t="s">
        <v>114</v>
      </c>
      <c r="F415" s="7" t="s">
        <v>98</v>
      </c>
      <c r="G415" s="7" t="s">
        <v>440</v>
      </c>
      <c r="H415" s="7" t="s">
        <v>165</v>
      </c>
      <c r="I415" s="7" t="s">
        <v>76</v>
      </c>
      <c r="J415" s="7" t="s">
        <v>77</v>
      </c>
      <c r="K415" s="7" t="s">
        <v>125</v>
      </c>
      <c r="L415" s="8" t="s">
        <v>79</v>
      </c>
      <c r="M415" s="8" t="s">
        <v>102</v>
      </c>
      <c r="N415" s="8" t="s">
        <v>82</v>
      </c>
      <c r="O415" s="8" t="s">
        <v>179</v>
      </c>
      <c r="P415" s="8" t="s">
        <v>79</v>
      </c>
      <c r="Q415" s="8" t="s">
        <v>103</v>
      </c>
      <c r="R415" s="8" t="s">
        <v>79</v>
      </c>
      <c r="S415" s="8" t="s">
        <v>82</v>
      </c>
      <c r="T415" s="8" t="s">
        <v>106</v>
      </c>
      <c r="U415" s="8" t="s">
        <v>141</v>
      </c>
      <c r="V415" s="8" t="s">
        <v>457</v>
      </c>
      <c r="W415" s="9">
        <v>3</v>
      </c>
      <c r="X415" s="9">
        <v>2</v>
      </c>
      <c r="Y415" s="9">
        <v>2</v>
      </c>
      <c r="Z415" s="9">
        <v>2</v>
      </c>
      <c r="AA415" s="9">
        <v>2</v>
      </c>
      <c r="AB415" s="9">
        <v>2</v>
      </c>
      <c r="AC415" s="9">
        <v>2</v>
      </c>
      <c r="AD415" s="9">
        <v>2</v>
      </c>
      <c r="AE415" s="9">
        <v>2</v>
      </c>
      <c r="AF415" s="9">
        <v>2</v>
      </c>
      <c r="AG415" s="9">
        <v>2</v>
      </c>
      <c r="AH415" s="9">
        <v>2</v>
      </c>
      <c r="AI415" s="9">
        <v>2</v>
      </c>
      <c r="AJ415" s="9">
        <v>2</v>
      </c>
      <c r="AK415" s="9">
        <v>2</v>
      </c>
      <c r="AL415" s="10">
        <v>3</v>
      </c>
      <c r="AM415" s="10">
        <v>3</v>
      </c>
      <c r="AN415" s="10">
        <v>3</v>
      </c>
      <c r="AO415" s="10">
        <v>3</v>
      </c>
      <c r="AP415" s="10">
        <v>3</v>
      </c>
      <c r="AQ415" s="10">
        <v>3</v>
      </c>
      <c r="AR415" s="10">
        <v>3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7">
        <v>2</v>
      </c>
      <c r="AZ415" s="7">
        <v>2</v>
      </c>
      <c r="BA415" s="7">
        <v>3</v>
      </c>
      <c r="BB415" s="7">
        <v>3</v>
      </c>
      <c r="BC415" s="7">
        <v>3</v>
      </c>
      <c r="BD415" s="7">
        <v>3</v>
      </c>
      <c r="BE415" s="7">
        <v>2</v>
      </c>
      <c r="BF415" s="7">
        <v>2</v>
      </c>
      <c r="BG415" s="12">
        <f>SUM(data__22[[#This Row],[N1]:[N4]],data__22[[#This Row],[N10]:[N13]],data__22[[#This Row],[N16]:[N18]])/11</f>
        <v>2.3636363636363638</v>
      </c>
      <c r="BH415" s="13">
        <f>SUM(data__22[[#This Row],[N8]:[N9]],data__22[[#This Row],[N23]:[N25]])/5</f>
        <v>0.8</v>
      </c>
      <c r="BI415" s="12">
        <f>SUM(data__22[[#This Row],[N5]:[N7]])/3</f>
        <v>2</v>
      </c>
      <c r="BJ415" s="12">
        <f>SUM(data__22[[#This Row],[N14]:[N15]],data__22[[#This Row],[N19]:[N22]],data__22[[#This Row],[N26]:[N28]])/9</f>
        <v>1.7777777777777777</v>
      </c>
      <c r="BK415" s="12">
        <f>SUM(data__22[[#This Row],[N29]:[N33]])/5</f>
        <v>2.6</v>
      </c>
      <c r="BL415" s="12">
        <f>SUM(data__22[[#This Row],[N34]:[N36]])/3</f>
        <v>2.3333333333333335</v>
      </c>
    </row>
    <row r="416" spans="1:64" x14ac:dyDescent="0.3">
      <c r="A416" s="7">
        <v>24</v>
      </c>
      <c r="B416" s="7" t="s">
        <v>70</v>
      </c>
      <c r="C416" s="7" t="s">
        <v>71</v>
      </c>
      <c r="D416" s="7" t="s">
        <v>72</v>
      </c>
      <c r="E416" s="7" t="s">
        <v>114</v>
      </c>
      <c r="F416" s="7" t="s">
        <v>98</v>
      </c>
      <c r="G416" s="7" t="s">
        <v>440</v>
      </c>
      <c r="H416" s="7" t="s">
        <v>165</v>
      </c>
      <c r="I416" s="7" t="s">
        <v>76</v>
      </c>
      <c r="J416" s="7" t="s">
        <v>77</v>
      </c>
      <c r="K416" s="7" t="s">
        <v>125</v>
      </c>
      <c r="L416" s="8" t="s">
        <v>79</v>
      </c>
      <c r="M416" s="8" t="s">
        <v>102</v>
      </c>
      <c r="N416" s="8" t="s">
        <v>82</v>
      </c>
      <c r="O416" s="8" t="s">
        <v>179</v>
      </c>
      <c r="P416" s="8" t="s">
        <v>79</v>
      </c>
      <c r="Q416" s="8" t="s">
        <v>103</v>
      </c>
      <c r="R416" s="8" t="s">
        <v>79</v>
      </c>
      <c r="S416" s="8" t="s">
        <v>82</v>
      </c>
      <c r="T416" s="8" t="s">
        <v>106</v>
      </c>
      <c r="U416" s="8" t="s">
        <v>141</v>
      </c>
      <c r="V416" s="8" t="s">
        <v>457</v>
      </c>
      <c r="W416" s="9">
        <v>3</v>
      </c>
      <c r="X416" s="9">
        <v>2</v>
      </c>
      <c r="Y416" s="9">
        <v>2</v>
      </c>
      <c r="Z416" s="9">
        <v>2</v>
      </c>
      <c r="AA416" s="9">
        <v>2</v>
      </c>
      <c r="AB416" s="9">
        <v>2</v>
      </c>
      <c r="AC416" s="9">
        <v>2</v>
      </c>
      <c r="AD416" s="9">
        <v>2</v>
      </c>
      <c r="AE416" s="9">
        <v>2</v>
      </c>
      <c r="AF416" s="9">
        <v>2</v>
      </c>
      <c r="AG416" s="9">
        <v>2</v>
      </c>
      <c r="AH416" s="9">
        <v>2</v>
      </c>
      <c r="AI416" s="9">
        <v>2</v>
      </c>
      <c r="AJ416" s="9">
        <v>2</v>
      </c>
      <c r="AK416" s="9">
        <v>2</v>
      </c>
      <c r="AL416" s="10">
        <v>3</v>
      </c>
      <c r="AM416" s="10">
        <v>3</v>
      </c>
      <c r="AN416" s="10">
        <v>3</v>
      </c>
      <c r="AO416" s="10">
        <v>3</v>
      </c>
      <c r="AP416" s="10">
        <v>3</v>
      </c>
      <c r="AQ416" s="10">
        <v>3</v>
      </c>
      <c r="AR416" s="10">
        <v>3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7">
        <v>2</v>
      </c>
      <c r="AZ416" s="7">
        <v>2</v>
      </c>
      <c r="BA416" s="7">
        <v>3</v>
      </c>
      <c r="BB416" s="7">
        <v>3</v>
      </c>
      <c r="BC416" s="7">
        <v>3</v>
      </c>
      <c r="BD416" s="7">
        <v>3</v>
      </c>
      <c r="BE416" s="7">
        <v>2</v>
      </c>
      <c r="BF416" s="7">
        <v>2</v>
      </c>
      <c r="BG416" s="12">
        <f>SUM(data__22[[#This Row],[N1]:[N4]],data__22[[#This Row],[N10]:[N13]],data__22[[#This Row],[N16]:[N18]])/11</f>
        <v>2.3636363636363638</v>
      </c>
      <c r="BH416" s="13">
        <f>SUM(data__22[[#This Row],[N8]:[N9]],data__22[[#This Row],[N23]:[N25]])/5</f>
        <v>0.8</v>
      </c>
      <c r="BI416" s="12">
        <f>SUM(data__22[[#This Row],[N5]:[N7]])/3</f>
        <v>2</v>
      </c>
      <c r="BJ416" s="12">
        <f>SUM(data__22[[#This Row],[N14]:[N15]],data__22[[#This Row],[N19]:[N22]],data__22[[#This Row],[N26]:[N28]])/9</f>
        <v>1.7777777777777777</v>
      </c>
      <c r="BK416" s="12">
        <f>SUM(data__22[[#This Row],[N29]:[N33]])/5</f>
        <v>2.6</v>
      </c>
      <c r="BL416" s="12">
        <f>SUM(data__22[[#This Row],[N34]:[N36]])/3</f>
        <v>2.3333333333333335</v>
      </c>
    </row>
    <row r="417" spans="1:64" x14ac:dyDescent="0.3">
      <c r="A417" s="7">
        <v>24</v>
      </c>
      <c r="B417" s="7" t="s">
        <v>70</v>
      </c>
      <c r="C417" s="7" t="s">
        <v>71</v>
      </c>
      <c r="D417" s="7" t="s">
        <v>72</v>
      </c>
      <c r="E417" s="7" t="s">
        <v>114</v>
      </c>
      <c r="F417" s="7" t="s">
        <v>98</v>
      </c>
      <c r="G417" s="7" t="s">
        <v>440</v>
      </c>
      <c r="H417" s="7" t="s">
        <v>165</v>
      </c>
      <c r="I417" s="7" t="s">
        <v>76</v>
      </c>
      <c r="J417" s="7" t="s">
        <v>77</v>
      </c>
      <c r="K417" s="7" t="s">
        <v>125</v>
      </c>
      <c r="L417" s="8" t="s">
        <v>79</v>
      </c>
      <c r="M417" s="8" t="s">
        <v>102</v>
      </c>
      <c r="N417" s="8" t="s">
        <v>82</v>
      </c>
      <c r="O417" s="8" t="s">
        <v>179</v>
      </c>
      <c r="P417" s="8" t="s">
        <v>79</v>
      </c>
      <c r="Q417" s="8" t="s">
        <v>103</v>
      </c>
      <c r="R417" s="8" t="s">
        <v>79</v>
      </c>
      <c r="S417" s="8" t="s">
        <v>82</v>
      </c>
      <c r="T417" s="8" t="s">
        <v>106</v>
      </c>
      <c r="U417" s="8" t="s">
        <v>141</v>
      </c>
      <c r="V417" s="8" t="s">
        <v>457</v>
      </c>
      <c r="W417" s="9">
        <v>3</v>
      </c>
      <c r="X417" s="9">
        <v>2</v>
      </c>
      <c r="Y417" s="9">
        <v>2</v>
      </c>
      <c r="Z417" s="9">
        <v>2</v>
      </c>
      <c r="AA417" s="9">
        <v>2</v>
      </c>
      <c r="AB417" s="9">
        <v>2</v>
      </c>
      <c r="AC417" s="9">
        <v>2</v>
      </c>
      <c r="AD417" s="9">
        <v>2</v>
      </c>
      <c r="AE417" s="9">
        <v>2</v>
      </c>
      <c r="AF417" s="9">
        <v>2</v>
      </c>
      <c r="AG417" s="9">
        <v>2</v>
      </c>
      <c r="AH417" s="9">
        <v>2</v>
      </c>
      <c r="AI417" s="9">
        <v>2</v>
      </c>
      <c r="AJ417" s="9">
        <v>2</v>
      </c>
      <c r="AK417" s="9">
        <v>2</v>
      </c>
      <c r="AL417" s="10">
        <v>3</v>
      </c>
      <c r="AM417" s="10">
        <v>3</v>
      </c>
      <c r="AN417" s="10">
        <v>3</v>
      </c>
      <c r="AO417" s="10">
        <v>3</v>
      </c>
      <c r="AP417" s="10">
        <v>3</v>
      </c>
      <c r="AQ417" s="10">
        <v>3</v>
      </c>
      <c r="AR417" s="10">
        <v>3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7">
        <v>2</v>
      </c>
      <c r="AZ417" s="7">
        <v>2</v>
      </c>
      <c r="BA417" s="7">
        <v>3</v>
      </c>
      <c r="BB417" s="7">
        <v>3</v>
      </c>
      <c r="BC417" s="7">
        <v>3</v>
      </c>
      <c r="BD417" s="7">
        <v>3</v>
      </c>
      <c r="BE417" s="7">
        <v>2</v>
      </c>
      <c r="BF417" s="7">
        <v>2</v>
      </c>
      <c r="BG417" s="12">
        <f>SUM(data__22[[#This Row],[N1]:[N4]],data__22[[#This Row],[N10]:[N13]],data__22[[#This Row],[N16]:[N18]])/11</f>
        <v>2.3636363636363638</v>
      </c>
      <c r="BH417" s="13">
        <f>SUM(data__22[[#This Row],[N8]:[N9]],data__22[[#This Row],[N23]:[N25]])/5</f>
        <v>0.8</v>
      </c>
      <c r="BI417" s="12">
        <f>SUM(data__22[[#This Row],[N5]:[N7]])/3</f>
        <v>2</v>
      </c>
      <c r="BJ417" s="12">
        <f>SUM(data__22[[#This Row],[N14]:[N15]],data__22[[#This Row],[N19]:[N22]],data__22[[#This Row],[N26]:[N28]])/9</f>
        <v>1.7777777777777777</v>
      </c>
      <c r="BK417" s="12">
        <f>SUM(data__22[[#This Row],[N29]:[N33]])/5</f>
        <v>2.6</v>
      </c>
      <c r="BL417" s="12">
        <f>SUM(data__22[[#This Row],[N34]:[N36]])/3</f>
        <v>2.3333333333333335</v>
      </c>
    </row>
    <row r="418" spans="1:64" x14ac:dyDescent="0.3">
      <c r="A418" s="7">
        <v>24</v>
      </c>
      <c r="B418" s="7" t="s">
        <v>70</v>
      </c>
      <c r="C418" s="7" t="s">
        <v>71</v>
      </c>
      <c r="D418" s="7" t="s">
        <v>72</v>
      </c>
      <c r="E418" s="7" t="s">
        <v>114</v>
      </c>
      <c r="F418" s="7" t="s">
        <v>98</v>
      </c>
      <c r="G418" s="7" t="s">
        <v>440</v>
      </c>
      <c r="H418" s="7" t="s">
        <v>165</v>
      </c>
      <c r="I418" s="7" t="s">
        <v>76</v>
      </c>
      <c r="J418" s="7" t="s">
        <v>77</v>
      </c>
      <c r="K418" s="7" t="s">
        <v>125</v>
      </c>
      <c r="L418" s="8" t="s">
        <v>79</v>
      </c>
      <c r="M418" s="8" t="s">
        <v>102</v>
      </c>
      <c r="N418" s="8" t="s">
        <v>82</v>
      </c>
      <c r="O418" s="8" t="s">
        <v>179</v>
      </c>
      <c r="P418" s="8" t="s">
        <v>79</v>
      </c>
      <c r="Q418" s="8" t="s">
        <v>103</v>
      </c>
      <c r="R418" s="8" t="s">
        <v>79</v>
      </c>
      <c r="S418" s="8" t="s">
        <v>82</v>
      </c>
      <c r="T418" s="8" t="s">
        <v>106</v>
      </c>
      <c r="U418" s="8" t="s">
        <v>141</v>
      </c>
      <c r="V418" s="8" t="s">
        <v>457</v>
      </c>
      <c r="W418" s="9">
        <v>3</v>
      </c>
      <c r="X418" s="9">
        <v>2</v>
      </c>
      <c r="Y418" s="9">
        <v>2</v>
      </c>
      <c r="Z418" s="9">
        <v>2</v>
      </c>
      <c r="AA418" s="9">
        <v>2</v>
      </c>
      <c r="AB418" s="9">
        <v>2</v>
      </c>
      <c r="AC418" s="9">
        <v>2</v>
      </c>
      <c r="AD418" s="9">
        <v>2</v>
      </c>
      <c r="AE418" s="9">
        <v>2</v>
      </c>
      <c r="AF418" s="9">
        <v>2</v>
      </c>
      <c r="AG418" s="9">
        <v>2</v>
      </c>
      <c r="AH418" s="9">
        <v>2</v>
      </c>
      <c r="AI418" s="9">
        <v>2</v>
      </c>
      <c r="AJ418" s="9">
        <v>2</v>
      </c>
      <c r="AK418" s="9">
        <v>2</v>
      </c>
      <c r="AL418" s="10">
        <v>3</v>
      </c>
      <c r="AM418" s="10">
        <v>3</v>
      </c>
      <c r="AN418" s="10">
        <v>3</v>
      </c>
      <c r="AO418" s="10">
        <v>3</v>
      </c>
      <c r="AP418" s="10">
        <v>3</v>
      </c>
      <c r="AQ418" s="10">
        <v>3</v>
      </c>
      <c r="AR418" s="10">
        <v>3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7">
        <v>2</v>
      </c>
      <c r="AZ418" s="7">
        <v>2</v>
      </c>
      <c r="BA418" s="7">
        <v>3</v>
      </c>
      <c r="BB418" s="7">
        <v>3</v>
      </c>
      <c r="BC418" s="7">
        <v>3</v>
      </c>
      <c r="BD418" s="7">
        <v>3</v>
      </c>
      <c r="BE418" s="7">
        <v>2</v>
      </c>
      <c r="BF418" s="7">
        <v>2</v>
      </c>
      <c r="BG418" s="12">
        <f>SUM(data__22[[#This Row],[N1]:[N4]],data__22[[#This Row],[N10]:[N13]],data__22[[#This Row],[N16]:[N18]])/11</f>
        <v>2.3636363636363638</v>
      </c>
      <c r="BH418" s="13">
        <f>SUM(data__22[[#This Row],[N8]:[N9]],data__22[[#This Row],[N23]:[N25]])/5</f>
        <v>0.8</v>
      </c>
      <c r="BI418" s="12">
        <f>SUM(data__22[[#This Row],[N5]:[N7]])/3</f>
        <v>2</v>
      </c>
      <c r="BJ418" s="12">
        <f>SUM(data__22[[#This Row],[N14]:[N15]],data__22[[#This Row],[N19]:[N22]],data__22[[#This Row],[N26]:[N28]])/9</f>
        <v>1.7777777777777777</v>
      </c>
      <c r="BK418" s="12">
        <f>SUM(data__22[[#This Row],[N29]:[N33]])/5</f>
        <v>2.6</v>
      </c>
      <c r="BL418" s="12">
        <f>SUM(data__22[[#This Row],[N34]:[N36]])/3</f>
        <v>2.3333333333333335</v>
      </c>
    </row>
    <row r="419" spans="1:64" x14ac:dyDescent="0.3">
      <c r="A419" s="7">
        <v>24</v>
      </c>
      <c r="B419" s="7" t="s">
        <v>70</v>
      </c>
      <c r="C419" s="7" t="s">
        <v>71</v>
      </c>
      <c r="D419" s="7" t="s">
        <v>72</v>
      </c>
      <c r="E419" s="7" t="s">
        <v>114</v>
      </c>
      <c r="F419" s="7" t="s">
        <v>98</v>
      </c>
      <c r="G419" s="7" t="s">
        <v>440</v>
      </c>
      <c r="H419" s="7" t="s">
        <v>165</v>
      </c>
      <c r="I419" s="7" t="s">
        <v>76</v>
      </c>
      <c r="J419" s="7" t="s">
        <v>77</v>
      </c>
      <c r="K419" s="7" t="s">
        <v>125</v>
      </c>
      <c r="L419" s="8" t="s">
        <v>79</v>
      </c>
      <c r="M419" s="8" t="s">
        <v>102</v>
      </c>
      <c r="N419" s="8" t="s">
        <v>82</v>
      </c>
      <c r="O419" s="8" t="s">
        <v>179</v>
      </c>
      <c r="P419" s="8" t="s">
        <v>79</v>
      </c>
      <c r="Q419" s="8" t="s">
        <v>103</v>
      </c>
      <c r="R419" s="8" t="s">
        <v>79</v>
      </c>
      <c r="S419" s="8" t="s">
        <v>82</v>
      </c>
      <c r="T419" s="8" t="s">
        <v>106</v>
      </c>
      <c r="U419" s="8" t="s">
        <v>141</v>
      </c>
      <c r="V419" s="8" t="s">
        <v>457</v>
      </c>
      <c r="W419" s="9">
        <v>3</v>
      </c>
      <c r="X419" s="9">
        <v>2</v>
      </c>
      <c r="Y419" s="9">
        <v>2</v>
      </c>
      <c r="Z419" s="9">
        <v>2</v>
      </c>
      <c r="AA419" s="9">
        <v>2</v>
      </c>
      <c r="AB419" s="9">
        <v>2</v>
      </c>
      <c r="AC419" s="9">
        <v>2</v>
      </c>
      <c r="AD419" s="9">
        <v>2</v>
      </c>
      <c r="AE419" s="9">
        <v>2</v>
      </c>
      <c r="AF419" s="9">
        <v>2</v>
      </c>
      <c r="AG419" s="9">
        <v>2</v>
      </c>
      <c r="AH419" s="9">
        <v>2</v>
      </c>
      <c r="AI419" s="9">
        <v>2</v>
      </c>
      <c r="AJ419" s="9">
        <v>2</v>
      </c>
      <c r="AK419" s="9">
        <v>2</v>
      </c>
      <c r="AL419" s="10">
        <v>3</v>
      </c>
      <c r="AM419" s="10">
        <v>3</v>
      </c>
      <c r="AN419" s="10">
        <v>3</v>
      </c>
      <c r="AO419" s="10">
        <v>3</v>
      </c>
      <c r="AP419" s="10">
        <v>3</v>
      </c>
      <c r="AQ419" s="10">
        <v>3</v>
      </c>
      <c r="AR419" s="10">
        <v>3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7">
        <v>2</v>
      </c>
      <c r="AZ419" s="7">
        <v>2</v>
      </c>
      <c r="BA419" s="7">
        <v>3</v>
      </c>
      <c r="BB419" s="7">
        <v>3</v>
      </c>
      <c r="BC419" s="7">
        <v>3</v>
      </c>
      <c r="BD419" s="7">
        <v>3</v>
      </c>
      <c r="BE419" s="7">
        <v>2</v>
      </c>
      <c r="BF419" s="7">
        <v>2</v>
      </c>
      <c r="BG419" s="12">
        <f>SUM(data__22[[#This Row],[N1]:[N4]],data__22[[#This Row],[N10]:[N13]],data__22[[#This Row],[N16]:[N18]])/11</f>
        <v>2.3636363636363638</v>
      </c>
      <c r="BH419" s="13">
        <f>SUM(data__22[[#This Row],[N8]:[N9]],data__22[[#This Row],[N23]:[N25]])/5</f>
        <v>0.8</v>
      </c>
      <c r="BI419" s="12">
        <f>SUM(data__22[[#This Row],[N5]:[N7]])/3</f>
        <v>2</v>
      </c>
      <c r="BJ419" s="12">
        <f>SUM(data__22[[#This Row],[N14]:[N15]],data__22[[#This Row],[N19]:[N22]],data__22[[#This Row],[N26]:[N28]])/9</f>
        <v>1.7777777777777777</v>
      </c>
      <c r="BK419" s="12">
        <f>SUM(data__22[[#This Row],[N29]:[N33]])/5</f>
        <v>2.6</v>
      </c>
      <c r="BL419" s="12">
        <f>SUM(data__22[[#This Row],[N34]:[N36]])/3</f>
        <v>2.3333333333333335</v>
      </c>
    </row>
    <row r="420" spans="1:64" x14ac:dyDescent="0.3">
      <c r="A420" s="7">
        <v>24</v>
      </c>
      <c r="B420" s="7" t="s">
        <v>70</v>
      </c>
      <c r="C420" s="7" t="s">
        <v>71</v>
      </c>
      <c r="D420" s="7" t="s">
        <v>72</v>
      </c>
      <c r="E420" s="7" t="s">
        <v>114</v>
      </c>
      <c r="F420" s="7" t="s">
        <v>98</v>
      </c>
      <c r="G420" s="7" t="s">
        <v>440</v>
      </c>
      <c r="H420" s="7" t="s">
        <v>165</v>
      </c>
      <c r="I420" s="7" t="s">
        <v>76</v>
      </c>
      <c r="J420" s="7" t="s">
        <v>77</v>
      </c>
      <c r="K420" s="7" t="s">
        <v>125</v>
      </c>
      <c r="L420" s="8" t="s">
        <v>79</v>
      </c>
      <c r="M420" s="8" t="s">
        <v>102</v>
      </c>
      <c r="N420" s="8" t="s">
        <v>82</v>
      </c>
      <c r="O420" s="8" t="s">
        <v>179</v>
      </c>
      <c r="P420" s="8" t="s">
        <v>79</v>
      </c>
      <c r="Q420" s="8" t="s">
        <v>103</v>
      </c>
      <c r="R420" s="8" t="s">
        <v>79</v>
      </c>
      <c r="S420" s="8" t="s">
        <v>82</v>
      </c>
      <c r="T420" s="8" t="s">
        <v>106</v>
      </c>
      <c r="U420" s="8" t="s">
        <v>141</v>
      </c>
      <c r="V420" s="8" t="s">
        <v>457</v>
      </c>
      <c r="W420" s="9">
        <v>3</v>
      </c>
      <c r="X420" s="9">
        <v>2</v>
      </c>
      <c r="Y420" s="9">
        <v>2</v>
      </c>
      <c r="Z420" s="9">
        <v>2</v>
      </c>
      <c r="AA420" s="9">
        <v>2</v>
      </c>
      <c r="AB420" s="9">
        <v>2</v>
      </c>
      <c r="AC420" s="9">
        <v>2</v>
      </c>
      <c r="AD420" s="9">
        <v>2</v>
      </c>
      <c r="AE420" s="9">
        <v>2</v>
      </c>
      <c r="AF420" s="9">
        <v>2</v>
      </c>
      <c r="AG420" s="9">
        <v>2</v>
      </c>
      <c r="AH420" s="9">
        <v>2</v>
      </c>
      <c r="AI420" s="9">
        <v>2</v>
      </c>
      <c r="AJ420" s="9">
        <v>2</v>
      </c>
      <c r="AK420" s="9">
        <v>2</v>
      </c>
      <c r="AL420" s="10">
        <v>3</v>
      </c>
      <c r="AM420" s="10">
        <v>3</v>
      </c>
      <c r="AN420" s="10">
        <v>3</v>
      </c>
      <c r="AO420" s="10">
        <v>3</v>
      </c>
      <c r="AP420" s="10">
        <v>3</v>
      </c>
      <c r="AQ420" s="10">
        <v>3</v>
      </c>
      <c r="AR420" s="10">
        <v>3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7">
        <v>2</v>
      </c>
      <c r="AZ420" s="7">
        <v>2</v>
      </c>
      <c r="BA420" s="7">
        <v>3</v>
      </c>
      <c r="BB420" s="7">
        <v>3</v>
      </c>
      <c r="BC420" s="7">
        <v>3</v>
      </c>
      <c r="BD420" s="7">
        <v>3</v>
      </c>
      <c r="BE420" s="7">
        <v>2</v>
      </c>
      <c r="BF420" s="7">
        <v>2</v>
      </c>
      <c r="BG420" s="12">
        <f>SUM(data__22[[#This Row],[N1]:[N4]],data__22[[#This Row],[N10]:[N13]],data__22[[#This Row],[N16]:[N18]])/11</f>
        <v>2.3636363636363638</v>
      </c>
      <c r="BH420" s="13">
        <f>SUM(data__22[[#This Row],[N8]:[N9]],data__22[[#This Row],[N23]:[N25]])/5</f>
        <v>0.8</v>
      </c>
      <c r="BI420" s="12">
        <f>SUM(data__22[[#This Row],[N5]:[N7]])/3</f>
        <v>2</v>
      </c>
      <c r="BJ420" s="12">
        <f>SUM(data__22[[#This Row],[N14]:[N15]],data__22[[#This Row],[N19]:[N22]],data__22[[#This Row],[N26]:[N28]])/9</f>
        <v>1.7777777777777777</v>
      </c>
      <c r="BK420" s="12">
        <f>SUM(data__22[[#This Row],[N29]:[N33]])/5</f>
        <v>2.6</v>
      </c>
      <c r="BL420" s="12">
        <f>SUM(data__22[[#This Row],[N34]:[N36]])/3</f>
        <v>2.3333333333333335</v>
      </c>
    </row>
    <row r="421" spans="1:64" x14ac:dyDescent="0.3">
      <c r="A421" s="7">
        <v>24</v>
      </c>
      <c r="B421" s="7" t="s">
        <v>70</v>
      </c>
      <c r="C421" s="7" t="s">
        <v>71</v>
      </c>
      <c r="D421" s="7" t="s">
        <v>72</v>
      </c>
      <c r="E421" s="7" t="s">
        <v>114</v>
      </c>
      <c r="F421" s="7" t="s">
        <v>98</v>
      </c>
      <c r="G421" s="7" t="s">
        <v>440</v>
      </c>
      <c r="H421" s="7" t="s">
        <v>165</v>
      </c>
      <c r="I421" s="7" t="s">
        <v>76</v>
      </c>
      <c r="J421" s="7" t="s">
        <v>77</v>
      </c>
      <c r="K421" s="7" t="s">
        <v>125</v>
      </c>
      <c r="L421" s="8" t="s">
        <v>79</v>
      </c>
      <c r="M421" s="8" t="s">
        <v>102</v>
      </c>
      <c r="N421" s="8" t="s">
        <v>82</v>
      </c>
      <c r="O421" s="8" t="s">
        <v>179</v>
      </c>
      <c r="P421" s="8" t="s">
        <v>79</v>
      </c>
      <c r="Q421" s="8" t="s">
        <v>103</v>
      </c>
      <c r="R421" s="8" t="s">
        <v>79</v>
      </c>
      <c r="S421" s="8" t="s">
        <v>82</v>
      </c>
      <c r="T421" s="8" t="s">
        <v>106</v>
      </c>
      <c r="U421" s="8" t="s">
        <v>141</v>
      </c>
      <c r="V421" s="8" t="s">
        <v>457</v>
      </c>
      <c r="W421" s="9">
        <v>3</v>
      </c>
      <c r="X421" s="9">
        <v>2</v>
      </c>
      <c r="Y421" s="9">
        <v>2</v>
      </c>
      <c r="Z421" s="9">
        <v>2</v>
      </c>
      <c r="AA421" s="9">
        <v>2</v>
      </c>
      <c r="AB421" s="9">
        <v>2</v>
      </c>
      <c r="AC421" s="9">
        <v>2</v>
      </c>
      <c r="AD421" s="9">
        <v>2</v>
      </c>
      <c r="AE421" s="9">
        <v>2</v>
      </c>
      <c r="AF421" s="9">
        <v>2</v>
      </c>
      <c r="AG421" s="9">
        <v>2</v>
      </c>
      <c r="AH421" s="9">
        <v>2</v>
      </c>
      <c r="AI421" s="9">
        <v>2</v>
      </c>
      <c r="AJ421" s="9">
        <v>2</v>
      </c>
      <c r="AK421" s="9">
        <v>2</v>
      </c>
      <c r="AL421" s="10">
        <v>3</v>
      </c>
      <c r="AM421" s="10">
        <v>3</v>
      </c>
      <c r="AN421" s="10">
        <v>3</v>
      </c>
      <c r="AO421" s="10">
        <v>3</v>
      </c>
      <c r="AP421" s="10">
        <v>3</v>
      </c>
      <c r="AQ421" s="10">
        <v>3</v>
      </c>
      <c r="AR421" s="10">
        <v>3</v>
      </c>
      <c r="AS421" s="11">
        <v>0</v>
      </c>
      <c r="AT421" s="11">
        <v>0</v>
      </c>
      <c r="AU421" s="11">
        <v>0</v>
      </c>
      <c r="AV421" s="11">
        <v>0</v>
      </c>
      <c r="AW421" s="11">
        <v>0</v>
      </c>
      <c r="AX421" s="11">
        <v>0</v>
      </c>
      <c r="AY421" s="7">
        <v>2</v>
      </c>
      <c r="AZ421" s="7">
        <v>2</v>
      </c>
      <c r="BA421" s="7">
        <v>3</v>
      </c>
      <c r="BB421" s="7">
        <v>3</v>
      </c>
      <c r="BC421" s="7">
        <v>3</v>
      </c>
      <c r="BD421" s="7">
        <v>3</v>
      </c>
      <c r="BE421" s="7">
        <v>2</v>
      </c>
      <c r="BF421" s="7">
        <v>2</v>
      </c>
      <c r="BG421" s="12">
        <f>SUM(data__22[[#This Row],[N1]:[N4]],data__22[[#This Row],[N10]:[N13]],data__22[[#This Row],[N16]:[N18]])/11</f>
        <v>2.3636363636363638</v>
      </c>
      <c r="BH421" s="13">
        <f>SUM(data__22[[#This Row],[N8]:[N9]],data__22[[#This Row],[N23]:[N25]])/5</f>
        <v>0.8</v>
      </c>
      <c r="BI421" s="12">
        <f>SUM(data__22[[#This Row],[N5]:[N7]])/3</f>
        <v>2</v>
      </c>
      <c r="BJ421" s="12">
        <f>SUM(data__22[[#This Row],[N14]:[N15]],data__22[[#This Row],[N19]:[N22]],data__22[[#This Row],[N26]:[N28]])/9</f>
        <v>1.7777777777777777</v>
      </c>
      <c r="BK421" s="12">
        <f>SUM(data__22[[#This Row],[N29]:[N33]])/5</f>
        <v>2.6</v>
      </c>
      <c r="BL421" s="12">
        <f>SUM(data__22[[#This Row],[N34]:[N36]])/3</f>
        <v>2.3333333333333335</v>
      </c>
    </row>
    <row r="422" spans="1:64" x14ac:dyDescent="0.3">
      <c r="A422" s="7">
        <v>24</v>
      </c>
      <c r="B422" s="7" t="s">
        <v>70</v>
      </c>
      <c r="C422" s="7" t="s">
        <v>71</v>
      </c>
      <c r="D422" s="7" t="s">
        <v>72</v>
      </c>
      <c r="E422" s="7" t="s">
        <v>114</v>
      </c>
      <c r="F422" s="7" t="s">
        <v>98</v>
      </c>
      <c r="G422" s="7" t="s">
        <v>440</v>
      </c>
      <c r="H422" s="7" t="s">
        <v>165</v>
      </c>
      <c r="I422" s="7" t="s">
        <v>76</v>
      </c>
      <c r="J422" s="7" t="s">
        <v>77</v>
      </c>
      <c r="K422" s="7" t="s">
        <v>125</v>
      </c>
      <c r="L422" s="8" t="s">
        <v>79</v>
      </c>
      <c r="M422" s="8" t="s">
        <v>102</v>
      </c>
      <c r="N422" s="8" t="s">
        <v>82</v>
      </c>
      <c r="O422" s="8" t="s">
        <v>179</v>
      </c>
      <c r="P422" s="8" t="s">
        <v>79</v>
      </c>
      <c r="Q422" s="8" t="s">
        <v>103</v>
      </c>
      <c r="R422" s="8" t="s">
        <v>79</v>
      </c>
      <c r="S422" s="8" t="s">
        <v>82</v>
      </c>
      <c r="T422" s="8" t="s">
        <v>106</v>
      </c>
      <c r="U422" s="8" t="s">
        <v>141</v>
      </c>
      <c r="V422" s="8" t="s">
        <v>457</v>
      </c>
      <c r="W422" s="9">
        <v>3</v>
      </c>
      <c r="X422" s="9">
        <v>2</v>
      </c>
      <c r="Y422" s="9">
        <v>2</v>
      </c>
      <c r="Z422" s="9">
        <v>2</v>
      </c>
      <c r="AA422" s="9">
        <v>2</v>
      </c>
      <c r="AB422" s="9">
        <v>2</v>
      </c>
      <c r="AC422" s="9">
        <v>2</v>
      </c>
      <c r="AD422" s="9">
        <v>2</v>
      </c>
      <c r="AE422" s="9">
        <v>2</v>
      </c>
      <c r="AF422" s="9">
        <v>2</v>
      </c>
      <c r="AG422" s="9">
        <v>2</v>
      </c>
      <c r="AH422" s="9">
        <v>2</v>
      </c>
      <c r="AI422" s="9">
        <v>2</v>
      </c>
      <c r="AJ422" s="9">
        <v>2</v>
      </c>
      <c r="AK422" s="9">
        <v>2</v>
      </c>
      <c r="AL422" s="10">
        <v>3</v>
      </c>
      <c r="AM422" s="10">
        <v>3</v>
      </c>
      <c r="AN422" s="10">
        <v>3</v>
      </c>
      <c r="AO422" s="10">
        <v>3</v>
      </c>
      <c r="AP422" s="10">
        <v>3</v>
      </c>
      <c r="AQ422" s="10">
        <v>3</v>
      </c>
      <c r="AR422" s="10">
        <v>3</v>
      </c>
      <c r="AS422" s="11">
        <v>0</v>
      </c>
      <c r="AT422" s="11">
        <v>0</v>
      </c>
      <c r="AU422" s="11">
        <v>0</v>
      </c>
      <c r="AV422" s="11">
        <v>0</v>
      </c>
      <c r="AW422" s="11">
        <v>0</v>
      </c>
      <c r="AX422" s="11">
        <v>0</v>
      </c>
      <c r="AY422" s="7">
        <v>2</v>
      </c>
      <c r="AZ422" s="7">
        <v>2</v>
      </c>
      <c r="BA422" s="7">
        <v>3</v>
      </c>
      <c r="BB422" s="7">
        <v>3</v>
      </c>
      <c r="BC422" s="7">
        <v>3</v>
      </c>
      <c r="BD422" s="7">
        <v>3</v>
      </c>
      <c r="BE422" s="7">
        <v>2</v>
      </c>
      <c r="BF422" s="7">
        <v>2</v>
      </c>
      <c r="BG422" s="12">
        <f>SUM(data__22[[#This Row],[N1]:[N4]],data__22[[#This Row],[N10]:[N13]],data__22[[#This Row],[N16]:[N18]])/11</f>
        <v>2.3636363636363638</v>
      </c>
      <c r="BH422" s="13">
        <f>SUM(data__22[[#This Row],[N8]:[N9]],data__22[[#This Row],[N23]:[N25]])/5</f>
        <v>0.8</v>
      </c>
      <c r="BI422" s="12">
        <f>SUM(data__22[[#This Row],[N5]:[N7]])/3</f>
        <v>2</v>
      </c>
      <c r="BJ422" s="12">
        <f>SUM(data__22[[#This Row],[N14]:[N15]],data__22[[#This Row],[N19]:[N22]],data__22[[#This Row],[N26]:[N28]])/9</f>
        <v>1.7777777777777777</v>
      </c>
      <c r="BK422" s="12">
        <f>SUM(data__22[[#This Row],[N29]:[N33]])/5</f>
        <v>2.6</v>
      </c>
      <c r="BL422" s="12">
        <f>SUM(data__22[[#This Row],[N34]:[N36]])/3</f>
        <v>2.3333333333333335</v>
      </c>
    </row>
    <row r="423" spans="1:64" x14ac:dyDescent="0.3">
      <c r="A423" s="7">
        <v>22</v>
      </c>
      <c r="B423" s="7" t="s">
        <v>128</v>
      </c>
      <c r="C423" s="7" t="s">
        <v>113</v>
      </c>
      <c r="D423" s="7" t="s">
        <v>72</v>
      </c>
      <c r="E423" s="7" t="s">
        <v>73</v>
      </c>
      <c r="F423" s="7" t="s">
        <v>98</v>
      </c>
      <c r="G423" s="7" t="s">
        <v>440</v>
      </c>
      <c r="H423" s="7" t="s">
        <v>165</v>
      </c>
      <c r="I423" s="7" t="s">
        <v>76</v>
      </c>
      <c r="J423" s="7" t="s">
        <v>77</v>
      </c>
      <c r="K423" s="7" t="s">
        <v>122</v>
      </c>
      <c r="L423" s="8" t="s">
        <v>79</v>
      </c>
      <c r="M423" s="8" t="s">
        <v>102</v>
      </c>
      <c r="N423" s="8" t="s">
        <v>79</v>
      </c>
      <c r="O423" s="8" t="s">
        <v>117</v>
      </c>
      <c r="P423" s="8" t="s">
        <v>79</v>
      </c>
      <c r="Q423" s="8" t="s">
        <v>103</v>
      </c>
      <c r="R423" s="8" t="s">
        <v>79</v>
      </c>
      <c r="S423" s="8" t="s">
        <v>79</v>
      </c>
      <c r="T423" s="8" t="s">
        <v>106</v>
      </c>
      <c r="U423" s="8" t="s">
        <v>87</v>
      </c>
      <c r="V423" s="8" t="s">
        <v>457</v>
      </c>
      <c r="W423" s="9">
        <v>1</v>
      </c>
      <c r="X423" s="9">
        <v>1</v>
      </c>
      <c r="Y423" s="9">
        <v>1</v>
      </c>
      <c r="Z423" s="9">
        <v>2</v>
      </c>
      <c r="AA423" s="9">
        <v>3</v>
      </c>
      <c r="AB423" s="9">
        <v>3</v>
      </c>
      <c r="AC423" s="9">
        <v>3</v>
      </c>
      <c r="AD423" s="9">
        <v>3</v>
      </c>
      <c r="AE423" s="9">
        <v>3</v>
      </c>
      <c r="AF423" s="9">
        <v>2</v>
      </c>
      <c r="AG423" s="9">
        <v>2</v>
      </c>
      <c r="AH423" s="9">
        <v>2</v>
      </c>
      <c r="AI423" s="9">
        <v>1</v>
      </c>
      <c r="AJ423" s="9">
        <v>2</v>
      </c>
      <c r="AK423" s="9">
        <v>1</v>
      </c>
      <c r="AL423" s="10">
        <v>3</v>
      </c>
      <c r="AM423" s="10">
        <v>3</v>
      </c>
      <c r="AN423" s="10">
        <v>3</v>
      </c>
      <c r="AO423" s="10">
        <v>0</v>
      </c>
      <c r="AP423" s="10">
        <v>0</v>
      </c>
      <c r="AQ423" s="10">
        <v>0</v>
      </c>
      <c r="AR423" s="10">
        <v>3</v>
      </c>
      <c r="AS423" s="11">
        <v>1</v>
      </c>
      <c r="AT423" s="11">
        <v>0</v>
      </c>
      <c r="AU423" s="11">
        <v>2</v>
      </c>
      <c r="AV423" s="11">
        <v>1</v>
      </c>
      <c r="AW423" s="11">
        <v>3</v>
      </c>
      <c r="AX423" s="11">
        <v>3</v>
      </c>
      <c r="AY423" s="7">
        <v>1</v>
      </c>
      <c r="AZ423" s="7">
        <v>1</v>
      </c>
      <c r="BA423" s="7">
        <v>2</v>
      </c>
      <c r="BB423" s="7">
        <v>1</v>
      </c>
      <c r="BC423" s="7">
        <v>2</v>
      </c>
      <c r="BD423" s="7">
        <v>2</v>
      </c>
      <c r="BE423" s="7">
        <v>2</v>
      </c>
      <c r="BF423" s="7">
        <v>1</v>
      </c>
      <c r="BG423" s="12">
        <f>SUM(data__22[[#This Row],[N1]:[N4]],data__22[[#This Row],[N10]:[N13]],data__22[[#This Row],[N16]:[N18]])/11</f>
        <v>1.9090909090909092</v>
      </c>
      <c r="BH423" s="13">
        <f>SUM(data__22[[#This Row],[N8]:[N9]],data__22[[#This Row],[N23]:[N25]])/5</f>
        <v>1.8</v>
      </c>
      <c r="BI423" s="12">
        <f>SUM(data__22[[#This Row],[N5]:[N7]])/3</f>
        <v>3</v>
      </c>
      <c r="BJ423" s="12">
        <f>SUM(data__22[[#This Row],[N14]:[N15]],data__22[[#This Row],[N19]:[N22]],data__22[[#This Row],[N26]:[N28]])/9</f>
        <v>1.4444444444444444</v>
      </c>
      <c r="BK423" s="12">
        <f>SUM(data__22[[#This Row],[N29]:[N33]])/5</f>
        <v>1.4</v>
      </c>
      <c r="BL423" s="12">
        <f>SUM(data__22[[#This Row],[N34]:[N36]])/3</f>
        <v>1.6666666666666667</v>
      </c>
    </row>
    <row r="424" spans="1:64" x14ac:dyDescent="0.3">
      <c r="A424" s="7">
        <v>22</v>
      </c>
      <c r="B424" s="7" t="s">
        <v>128</v>
      </c>
      <c r="C424" s="7" t="s">
        <v>113</v>
      </c>
      <c r="D424" s="7" t="s">
        <v>72</v>
      </c>
      <c r="E424" s="7" t="s">
        <v>73</v>
      </c>
      <c r="F424" s="7" t="s">
        <v>98</v>
      </c>
      <c r="G424" s="7" t="s">
        <v>440</v>
      </c>
      <c r="H424" s="7" t="s">
        <v>165</v>
      </c>
      <c r="I424" s="7" t="s">
        <v>76</v>
      </c>
      <c r="J424" s="7" t="s">
        <v>77</v>
      </c>
      <c r="K424" s="7" t="s">
        <v>122</v>
      </c>
      <c r="L424" s="8" t="s">
        <v>79</v>
      </c>
      <c r="M424" s="8" t="s">
        <v>102</v>
      </c>
      <c r="N424" s="8" t="s">
        <v>79</v>
      </c>
      <c r="O424" s="8" t="s">
        <v>117</v>
      </c>
      <c r="P424" s="8" t="s">
        <v>79</v>
      </c>
      <c r="Q424" s="8" t="s">
        <v>103</v>
      </c>
      <c r="R424" s="8" t="s">
        <v>79</v>
      </c>
      <c r="S424" s="8" t="s">
        <v>79</v>
      </c>
      <c r="T424" s="8" t="s">
        <v>106</v>
      </c>
      <c r="U424" s="8" t="s">
        <v>87</v>
      </c>
      <c r="V424" s="8" t="s">
        <v>457</v>
      </c>
      <c r="W424" s="9">
        <v>1</v>
      </c>
      <c r="X424" s="9">
        <v>1</v>
      </c>
      <c r="Y424" s="9">
        <v>1</v>
      </c>
      <c r="Z424" s="9">
        <v>2</v>
      </c>
      <c r="AA424" s="9">
        <v>3</v>
      </c>
      <c r="AB424" s="9">
        <v>3</v>
      </c>
      <c r="AC424" s="9">
        <v>3</v>
      </c>
      <c r="AD424" s="9">
        <v>3</v>
      </c>
      <c r="AE424" s="9">
        <v>3</v>
      </c>
      <c r="AF424" s="9">
        <v>2</v>
      </c>
      <c r="AG424" s="9">
        <v>2</v>
      </c>
      <c r="AH424" s="9">
        <v>2</v>
      </c>
      <c r="AI424" s="9">
        <v>1</v>
      </c>
      <c r="AJ424" s="9">
        <v>2</v>
      </c>
      <c r="AK424" s="9">
        <v>1</v>
      </c>
      <c r="AL424" s="10">
        <v>3</v>
      </c>
      <c r="AM424" s="10">
        <v>3</v>
      </c>
      <c r="AN424" s="10">
        <v>3</v>
      </c>
      <c r="AO424" s="10">
        <v>0</v>
      </c>
      <c r="AP424" s="10">
        <v>0</v>
      </c>
      <c r="AQ424" s="10">
        <v>0</v>
      </c>
      <c r="AR424" s="10">
        <v>3</v>
      </c>
      <c r="AS424" s="11">
        <v>1</v>
      </c>
      <c r="AT424" s="11">
        <v>0</v>
      </c>
      <c r="AU424" s="11">
        <v>2</v>
      </c>
      <c r="AV424" s="11">
        <v>1</v>
      </c>
      <c r="AW424" s="11">
        <v>3</v>
      </c>
      <c r="AX424" s="11">
        <v>3</v>
      </c>
      <c r="AY424" s="7">
        <v>1</v>
      </c>
      <c r="AZ424" s="7">
        <v>1</v>
      </c>
      <c r="BA424" s="7">
        <v>2</v>
      </c>
      <c r="BB424" s="7">
        <v>1</v>
      </c>
      <c r="BC424" s="7">
        <v>2</v>
      </c>
      <c r="BD424" s="7">
        <v>2</v>
      </c>
      <c r="BE424" s="7">
        <v>2</v>
      </c>
      <c r="BF424" s="7">
        <v>1</v>
      </c>
      <c r="BG424" s="12">
        <f>SUM(data__22[[#This Row],[N1]:[N4]],data__22[[#This Row],[N10]:[N13]],data__22[[#This Row],[N16]:[N18]])/11</f>
        <v>1.9090909090909092</v>
      </c>
      <c r="BH424" s="13">
        <f>SUM(data__22[[#This Row],[N8]:[N9]],data__22[[#This Row],[N23]:[N25]])/5</f>
        <v>1.8</v>
      </c>
      <c r="BI424" s="12">
        <f>SUM(data__22[[#This Row],[N5]:[N7]])/3</f>
        <v>3</v>
      </c>
      <c r="BJ424" s="12">
        <f>SUM(data__22[[#This Row],[N14]:[N15]],data__22[[#This Row],[N19]:[N22]],data__22[[#This Row],[N26]:[N28]])/9</f>
        <v>1.4444444444444444</v>
      </c>
      <c r="BK424" s="12">
        <f>SUM(data__22[[#This Row],[N29]:[N33]])/5</f>
        <v>1.4</v>
      </c>
      <c r="BL424" s="12">
        <f>SUM(data__22[[#This Row],[N34]:[N36]])/3</f>
        <v>1.6666666666666667</v>
      </c>
    </row>
    <row r="425" spans="1:64" x14ac:dyDescent="0.3">
      <c r="A425" s="7">
        <v>22</v>
      </c>
      <c r="B425" s="7" t="s">
        <v>128</v>
      </c>
      <c r="C425" s="7" t="s">
        <v>113</v>
      </c>
      <c r="D425" s="7" t="s">
        <v>72</v>
      </c>
      <c r="E425" s="7" t="s">
        <v>73</v>
      </c>
      <c r="F425" s="7" t="s">
        <v>98</v>
      </c>
      <c r="G425" s="7" t="s">
        <v>440</v>
      </c>
      <c r="H425" s="7" t="s">
        <v>165</v>
      </c>
      <c r="I425" s="7" t="s">
        <v>76</v>
      </c>
      <c r="J425" s="7" t="s">
        <v>77</v>
      </c>
      <c r="K425" s="7" t="s">
        <v>122</v>
      </c>
      <c r="L425" s="8" t="s">
        <v>79</v>
      </c>
      <c r="M425" s="8" t="s">
        <v>102</v>
      </c>
      <c r="N425" s="8" t="s">
        <v>79</v>
      </c>
      <c r="O425" s="8" t="s">
        <v>117</v>
      </c>
      <c r="P425" s="8" t="s">
        <v>79</v>
      </c>
      <c r="Q425" s="8" t="s">
        <v>103</v>
      </c>
      <c r="R425" s="8" t="s">
        <v>79</v>
      </c>
      <c r="S425" s="8" t="s">
        <v>79</v>
      </c>
      <c r="T425" s="8" t="s">
        <v>106</v>
      </c>
      <c r="U425" s="8" t="s">
        <v>87</v>
      </c>
      <c r="V425" s="8" t="s">
        <v>457</v>
      </c>
      <c r="W425" s="9">
        <v>1</v>
      </c>
      <c r="X425" s="9">
        <v>1</v>
      </c>
      <c r="Y425" s="9">
        <v>1</v>
      </c>
      <c r="Z425" s="9">
        <v>2</v>
      </c>
      <c r="AA425" s="9">
        <v>3</v>
      </c>
      <c r="AB425" s="9">
        <v>3</v>
      </c>
      <c r="AC425" s="9">
        <v>3</v>
      </c>
      <c r="AD425" s="9">
        <v>3</v>
      </c>
      <c r="AE425" s="9">
        <v>3</v>
      </c>
      <c r="AF425" s="9">
        <v>2</v>
      </c>
      <c r="AG425" s="9">
        <v>2</v>
      </c>
      <c r="AH425" s="9">
        <v>2</v>
      </c>
      <c r="AI425" s="9">
        <v>1</v>
      </c>
      <c r="AJ425" s="9">
        <v>2</v>
      </c>
      <c r="AK425" s="9">
        <v>1</v>
      </c>
      <c r="AL425" s="10">
        <v>3</v>
      </c>
      <c r="AM425" s="10">
        <v>3</v>
      </c>
      <c r="AN425" s="10">
        <v>3</v>
      </c>
      <c r="AO425" s="10">
        <v>0</v>
      </c>
      <c r="AP425" s="10">
        <v>0</v>
      </c>
      <c r="AQ425" s="10">
        <v>0</v>
      </c>
      <c r="AR425" s="10">
        <v>3</v>
      </c>
      <c r="AS425" s="11">
        <v>1</v>
      </c>
      <c r="AT425" s="11">
        <v>0</v>
      </c>
      <c r="AU425" s="11">
        <v>2</v>
      </c>
      <c r="AV425" s="11">
        <v>1</v>
      </c>
      <c r="AW425" s="11">
        <v>3</v>
      </c>
      <c r="AX425" s="11">
        <v>3</v>
      </c>
      <c r="AY425" s="7">
        <v>1</v>
      </c>
      <c r="AZ425" s="7">
        <v>1</v>
      </c>
      <c r="BA425" s="7">
        <v>2</v>
      </c>
      <c r="BB425" s="7">
        <v>1</v>
      </c>
      <c r="BC425" s="7">
        <v>2</v>
      </c>
      <c r="BD425" s="7">
        <v>2</v>
      </c>
      <c r="BE425" s="7">
        <v>2</v>
      </c>
      <c r="BF425" s="7">
        <v>1</v>
      </c>
      <c r="BG425" s="12">
        <f>SUM(data__22[[#This Row],[N1]:[N4]],data__22[[#This Row],[N10]:[N13]],data__22[[#This Row],[N16]:[N18]])/11</f>
        <v>1.9090909090909092</v>
      </c>
      <c r="BH425" s="13">
        <f>SUM(data__22[[#This Row],[N8]:[N9]],data__22[[#This Row],[N23]:[N25]])/5</f>
        <v>1.8</v>
      </c>
      <c r="BI425" s="12">
        <f>SUM(data__22[[#This Row],[N5]:[N7]])/3</f>
        <v>3</v>
      </c>
      <c r="BJ425" s="12">
        <f>SUM(data__22[[#This Row],[N14]:[N15]],data__22[[#This Row],[N19]:[N22]],data__22[[#This Row],[N26]:[N28]])/9</f>
        <v>1.4444444444444444</v>
      </c>
      <c r="BK425" s="12">
        <f>SUM(data__22[[#This Row],[N29]:[N33]])/5</f>
        <v>1.4</v>
      </c>
      <c r="BL425" s="12">
        <f>SUM(data__22[[#This Row],[N34]:[N36]])/3</f>
        <v>1.6666666666666667</v>
      </c>
    </row>
    <row r="426" spans="1:64" x14ac:dyDescent="0.3">
      <c r="A426" s="7">
        <v>22</v>
      </c>
      <c r="B426" s="7" t="s">
        <v>128</v>
      </c>
      <c r="C426" s="7" t="s">
        <v>113</v>
      </c>
      <c r="D426" s="7" t="s">
        <v>72</v>
      </c>
      <c r="E426" s="7" t="s">
        <v>73</v>
      </c>
      <c r="F426" s="7" t="s">
        <v>98</v>
      </c>
      <c r="G426" s="7" t="s">
        <v>440</v>
      </c>
      <c r="H426" s="7" t="s">
        <v>165</v>
      </c>
      <c r="I426" s="7" t="s">
        <v>76</v>
      </c>
      <c r="J426" s="7" t="s">
        <v>77</v>
      </c>
      <c r="K426" s="7" t="s">
        <v>122</v>
      </c>
      <c r="L426" s="8" t="s">
        <v>79</v>
      </c>
      <c r="M426" s="8" t="s">
        <v>102</v>
      </c>
      <c r="N426" s="8" t="s">
        <v>79</v>
      </c>
      <c r="O426" s="8" t="s">
        <v>117</v>
      </c>
      <c r="P426" s="8" t="s">
        <v>79</v>
      </c>
      <c r="Q426" s="8" t="s">
        <v>103</v>
      </c>
      <c r="R426" s="8" t="s">
        <v>79</v>
      </c>
      <c r="S426" s="8" t="s">
        <v>79</v>
      </c>
      <c r="T426" s="8" t="s">
        <v>106</v>
      </c>
      <c r="U426" s="8" t="s">
        <v>87</v>
      </c>
      <c r="V426" s="8" t="s">
        <v>457</v>
      </c>
      <c r="W426" s="9">
        <v>1</v>
      </c>
      <c r="X426" s="9">
        <v>1</v>
      </c>
      <c r="Y426" s="9">
        <v>1</v>
      </c>
      <c r="Z426" s="9">
        <v>2</v>
      </c>
      <c r="AA426" s="9">
        <v>3</v>
      </c>
      <c r="AB426" s="9">
        <v>3</v>
      </c>
      <c r="AC426" s="9">
        <v>3</v>
      </c>
      <c r="AD426" s="9">
        <v>3</v>
      </c>
      <c r="AE426" s="9">
        <v>3</v>
      </c>
      <c r="AF426" s="9">
        <v>2</v>
      </c>
      <c r="AG426" s="9">
        <v>2</v>
      </c>
      <c r="AH426" s="9">
        <v>2</v>
      </c>
      <c r="AI426" s="9">
        <v>1</v>
      </c>
      <c r="AJ426" s="9">
        <v>2</v>
      </c>
      <c r="AK426" s="9">
        <v>1</v>
      </c>
      <c r="AL426" s="10">
        <v>3</v>
      </c>
      <c r="AM426" s="10">
        <v>3</v>
      </c>
      <c r="AN426" s="10">
        <v>3</v>
      </c>
      <c r="AO426" s="10">
        <v>0</v>
      </c>
      <c r="AP426" s="10">
        <v>0</v>
      </c>
      <c r="AQ426" s="10">
        <v>0</v>
      </c>
      <c r="AR426" s="10">
        <v>3</v>
      </c>
      <c r="AS426" s="11">
        <v>1</v>
      </c>
      <c r="AT426" s="11">
        <v>0</v>
      </c>
      <c r="AU426" s="11">
        <v>2</v>
      </c>
      <c r="AV426" s="11">
        <v>1</v>
      </c>
      <c r="AW426" s="11">
        <v>3</v>
      </c>
      <c r="AX426" s="11">
        <v>3</v>
      </c>
      <c r="AY426" s="7">
        <v>1</v>
      </c>
      <c r="AZ426" s="7">
        <v>1</v>
      </c>
      <c r="BA426" s="7">
        <v>2</v>
      </c>
      <c r="BB426" s="7">
        <v>1</v>
      </c>
      <c r="BC426" s="7">
        <v>2</v>
      </c>
      <c r="BD426" s="7">
        <v>2</v>
      </c>
      <c r="BE426" s="7">
        <v>2</v>
      </c>
      <c r="BF426" s="7">
        <v>1</v>
      </c>
      <c r="BG426" s="12">
        <f>SUM(data__22[[#This Row],[N1]:[N4]],data__22[[#This Row],[N10]:[N13]],data__22[[#This Row],[N16]:[N18]])/11</f>
        <v>1.9090909090909092</v>
      </c>
      <c r="BH426" s="13">
        <f>SUM(data__22[[#This Row],[N8]:[N9]],data__22[[#This Row],[N23]:[N25]])/5</f>
        <v>1.8</v>
      </c>
      <c r="BI426" s="12">
        <f>SUM(data__22[[#This Row],[N5]:[N7]])/3</f>
        <v>3</v>
      </c>
      <c r="BJ426" s="12">
        <f>SUM(data__22[[#This Row],[N14]:[N15]],data__22[[#This Row],[N19]:[N22]],data__22[[#This Row],[N26]:[N28]])/9</f>
        <v>1.4444444444444444</v>
      </c>
      <c r="BK426" s="12">
        <f>SUM(data__22[[#This Row],[N29]:[N33]])/5</f>
        <v>1.4</v>
      </c>
      <c r="BL426" s="12">
        <f>SUM(data__22[[#This Row],[N34]:[N36]])/3</f>
        <v>1.6666666666666667</v>
      </c>
    </row>
    <row r="427" spans="1:64" x14ac:dyDescent="0.3">
      <c r="A427" s="7">
        <v>22</v>
      </c>
      <c r="B427" s="7" t="s">
        <v>128</v>
      </c>
      <c r="C427" s="7" t="s">
        <v>113</v>
      </c>
      <c r="D427" s="7" t="s">
        <v>72</v>
      </c>
      <c r="E427" s="7" t="s">
        <v>73</v>
      </c>
      <c r="F427" s="7" t="s">
        <v>98</v>
      </c>
      <c r="G427" s="7" t="s">
        <v>440</v>
      </c>
      <c r="H427" s="7" t="s">
        <v>165</v>
      </c>
      <c r="I427" s="7" t="s">
        <v>76</v>
      </c>
      <c r="J427" s="7" t="s">
        <v>77</v>
      </c>
      <c r="K427" s="7" t="s">
        <v>122</v>
      </c>
      <c r="L427" s="8" t="s">
        <v>79</v>
      </c>
      <c r="M427" s="8" t="s">
        <v>102</v>
      </c>
      <c r="N427" s="8" t="s">
        <v>79</v>
      </c>
      <c r="O427" s="8" t="s">
        <v>117</v>
      </c>
      <c r="P427" s="8" t="s">
        <v>79</v>
      </c>
      <c r="Q427" s="8" t="s">
        <v>103</v>
      </c>
      <c r="R427" s="8" t="s">
        <v>79</v>
      </c>
      <c r="S427" s="8" t="s">
        <v>79</v>
      </c>
      <c r="T427" s="8" t="s">
        <v>106</v>
      </c>
      <c r="U427" s="8" t="s">
        <v>87</v>
      </c>
      <c r="V427" s="8" t="s">
        <v>457</v>
      </c>
      <c r="W427" s="9">
        <v>1</v>
      </c>
      <c r="X427" s="9">
        <v>1</v>
      </c>
      <c r="Y427" s="9">
        <v>1</v>
      </c>
      <c r="Z427" s="9">
        <v>2</v>
      </c>
      <c r="AA427" s="9">
        <v>3</v>
      </c>
      <c r="AB427" s="9">
        <v>3</v>
      </c>
      <c r="AC427" s="9">
        <v>3</v>
      </c>
      <c r="AD427" s="9">
        <v>3</v>
      </c>
      <c r="AE427" s="9">
        <v>3</v>
      </c>
      <c r="AF427" s="9">
        <v>2</v>
      </c>
      <c r="AG427" s="9">
        <v>2</v>
      </c>
      <c r="AH427" s="9">
        <v>2</v>
      </c>
      <c r="AI427" s="9">
        <v>1</v>
      </c>
      <c r="AJ427" s="9">
        <v>2</v>
      </c>
      <c r="AK427" s="9">
        <v>1</v>
      </c>
      <c r="AL427" s="10">
        <v>3</v>
      </c>
      <c r="AM427" s="10">
        <v>3</v>
      </c>
      <c r="AN427" s="10">
        <v>3</v>
      </c>
      <c r="AO427" s="10">
        <v>0</v>
      </c>
      <c r="AP427" s="10">
        <v>0</v>
      </c>
      <c r="AQ427" s="10">
        <v>0</v>
      </c>
      <c r="AR427" s="10">
        <v>3</v>
      </c>
      <c r="AS427" s="11">
        <v>1</v>
      </c>
      <c r="AT427" s="11">
        <v>0</v>
      </c>
      <c r="AU427" s="11">
        <v>2</v>
      </c>
      <c r="AV427" s="11">
        <v>1</v>
      </c>
      <c r="AW427" s="11">
        <v>3</v>
      </c>
      <c r="AX427" s="11">
        <v>3</v>
      </c>
      <c r="AY427" s="7">
        <v>1</v>
      </c>
      <c r="AZ427" s="7">
        <v>1</v>
      </c>
      <c r="BA427" s="7">
        <v>2</v>
      </c>
      <c r="BB427" s="7">
        <v>1</v>
      </c>
      <c r="BC427" s="7">
        <v>2</v>
      </c>
      <c r="BD427" s="7">
        <v>2</v>
      </c>
      <c r="BE427" s="7">
        <v>2</v>
      </c>
      <c r="BF427" s="7">
        <v>1</v>
      </c>
      <c r="BG427" s="12">
        <f>SUM(data__22[[#This Row],[N1]:[N4]],data__22[[#This Row],[N10]:[N13]],data__22[[#This Row],[N16]:[N18]])/11</f>
        <v>1.9090909090909092</v>
      </c>
      <c r="BH427" s="13">
        <f>SUM(data__22[[#This Row],[N8]:[N9]],data__22[[#This Row],[N23]:[N25]])/5</f>
        <v>1.8</v>
      </c>
      <c r="BI427" s="12">
        <f>SUM(data__22[[#This Row],[N5]:[N7]])/3</f>
        <v>3</v>
      </c>
      <c r="BJ427" s="12">
        <f>SUM(data__22[[#This Row],[N14]:[N15]],data__22[[#This Row],[N19]:[N22]],data__22[[#This Row],[N26]:[N28]])/9</f>
        <v>1.4444444444444444</v>
      </c>
      <c r="BK427" s="12">
        <f>SUM(data__22[[#This Row],[N29]:[N33]])/5</f>
        <v>1.4</v>
      </c>
      <c r="BL427" s="12">
        <f>SUM(data__22[[#This Row],[N34]:[N36]])/3</f>
        <v>1.6666666666666667</v>
      </c>
    </row>
    <row r="428" spans="1:64" x14ac:dyDescent="0.3">
      <c r="A428" s="7">
        <v>22</v>
      </c>
      <c r="B428" s="7" t="s">
        <v>128</v>
      </c>
      <c r="C428" s="7" t="s">
        <v>113</v>
      </c>
      <c r="D428" s="7" t="s">
        <v>72</v>
      </c>
      <c r="E428" s="7" t="s">
        <v>73</v>
      </c>
      <c r="F428" s="7" t="s">
        <v>98</v>
      </c>
      <c r="G428" s="7" t="s">
        <v>440</v>
      </c>
      <c r="H428" s="7" t="s">
        <v>165</v>
      </c>
      <c r="I428" s="7" t="s">
        <v>76</v>
      </c>
      <c r="J428" s="7" t="s">
        <v>77</v>
      </c>
      <c r="K428" s="7" t="s">
        <v>122</v>
      </c>
      <c r="L428" s="8" t="s">
        <v>79</v>
      </c>
      <c r="M428" s="8" t="s">
        <v>102</v>
      </c>
      <c r="N428" s="8" t="s">
        <v>79</v>
      </c>
      <c r="O428" s="8" t="s">
        <v>117</v>
      </c>
      <c r="P428" s="8" t="s">
        <v>79</v>
      </c>
      <c r="Q428" s="8" t="s">
        <v>103</v>
      </c>
      <c r="R428" s="8" t="s">
        <v>79</v>
      </c>
      <c r="S428" s="8" t="s">
        <v>79</v>
      </c>
      <c r="T428" s="8" t="s">
        <v>106</v>
      </c>
      <c r="U428" s="8" t="s">
        <v>87</v>
      </c>
      <c r="V428" s="8" t="s">
        <v>457</v>
      </c>
      <c r="W428" s="9">
        <v>1</v>
      </c>
      <c r="X428" s="9">
        <v>1</v>
      </c>
      <c r="Y428" s="9">
        <v>1</v>
      </c>
      <c r="Z428" s="9">
        <v>2</v>
      </c>
      <c r="AA428" s="9">
        <v>3</v>
      </c>
      <c r="AB428" s="9">
        <v>3</v>
      </c>
      <c r="AC428" s="9">
        <v>3</v>
      </c>
      <c r="AD428" s="9">
        <v>3</v>
      </c>
      <c r="AE428" s="9">
        <v>3</v>
      </c>
      <c r="AF428" s="9">
        <v>2</v>
      </c>
      <c r="AG428" s="9">
        <v>2</v>
      </c>
      <c r="AH428" s="9">
        <v>2</v>
      </c>
      <c r="AI428" s="9">
        <v>1</v>
      </c>
      <c r="AJ428" s="9">
        <v>2</v>
      </c>
      <c r="AK428" s="9">
        <v>1</v>
      </c>
      <c r="AL428" s="10">
        <v>3</v>
      </c>
      <c r="AM428" s="10">
        <v>3</v>
      </c>
      <c r="AN428" s="10">
        <v>3</v>
      </c>
      <c r="AO428" s="10">
        <v>0</v>
      </c>
      <c r="AP428" s="10">
        <v>0</v>
      </c>
      <c r="AQ428" s="10">
        <v>0</v>
      </c>
      <c r="AR428" s="10">
        <v>3</v>
      </c>
      <c r="AS428" s="11">
        <v>1</v>
      </c>
      <c r="AT428" s="11">
        <v>0</v>
      </c>
      <c r="AU428" s="11">
        <v>2</v>
      </c>
      <c r="AV428" s="11">
        <v>1</v>
      </c>
      <c r="AW428" s="11">
        <v>3</v>
      </c>
      <c r="AX428" s="11">
        <v>3</v>
      </c>
      <c r="AY428" s="7">
        <v>1</v>
      </c>
      <c r="AZ428" s="7">
        <v>1</v>
      </c>
      <c r="BA428" s="7">
        <v>2</v>
      </c>
      <c r="BB428" s="7">
        <v>1</v>
      </c>
      <c r="BC428" s="7">
        <v>2</v>
      </c>
      <c r="BD428" s="7">
        <v>2</v>
      </c>
      <c r="BE428" s="7">
        <v>2</v>
      </c>
      <c r="BF428" s="7">
        <v>1</v>
      </c>
      <c r="BG428" s="12">
        <f>SUM(data__22[[#This Row],[N1]:[N4]],data__22[[#This Row],[N10]:[N13]],data__22[[#This Row],[N16]:[N18]])/11</f>
        <v>1.9090909090909092</v>
      </c>
      <c r="BH428" s="13">
        <f>SUM(data__22[[#This Row],[N8]:[N9]],data__22[[#This Row],[N23]:[N25]])/5</f>
        <v>1.8</v>
      </c>
      <c r="BI428" s="12">
        <f>SUM(data__22[[#This Row],[N5]:[N7]])/3</f>
        <v>3</v>
      </c>
      <c r="BJ428" s="12">
        <f>SUM(data__22[[#This Row],[N14]:[N15]],data__22[[#This Row],[N19]:[N22]],data__22[[#This Row],[N26]:[N28]])/9</f>
        <v>1.4444444444444444</v>
      </c>
      <c r="BK428" s="12">
        <f>SUM(data__22[[#This Row],[N29]:[N33]])/5</f>
        <v>1.4</v>
      </c>
      <c r="BL428" s="12">
        <f>SUM(data__22[[#This Row],[N34]:[N36]])/3</f>
        <v>1.6666666666666667</v>
      </c>
    </row>
    <row r="429" spans="1:64" x14ac:dyDescent="0.3">
      <c r="A429" s="7">
        <v>22</v>
      </c>
      <c r="B429" s="7" t="s">
        <v>128</v>
      </c>
      <c r="C429" s="7" t="s">
        <v>113</v>
      </c>
      <c r="D429" s="7" t="s">
        <v>72</v>
      </c>
      <c r="E429" s="7" t="s">
        <v>73</v>
      </c>
      <c r="F429" s="7" t="s">
        <v>98</v>
      </c>
      <c r="G429" s="7" t="s">
        <v>440</v>
      </c>
      <c r="H429" s="7" t="s">
        <v>165</v>
      </c>
      <c r="I429" s="7" t="s">
        <v>76</v>
      </c>
      <c r="J429" s="7" t="s">
        <v>77</v>
      </c>
      <c r="K429" s="7" t="s">
        <v>122</v>
      </c>
      <c r="L429" s="8" t="s">
        <v>79</v>
      </c>
      <c r="M429" s="8" t="s">
        <v>102</v>
      </c>
      <c r="N429" s="8" t="s">
        <v>79</v>
      </c>
      <c r="O429" s="8" t="s">
        <v>117</v>
      </c>
      <c r="P429" s="8" t="s">
        <v>79</v>
      </c>
      <c r="Q429" s="8" t="s">
        <v>103</v>
      </c>
      <c r="R429" s="8" t="s">
        <v>79</v>
      </c>
      <c r="S429" s="8" t="s">
        <v>79</v>
      </c>
      <c r="T429" s="8" t="s">
        <v>106</v>
      </c>
      <c r="U429" s="8" t="s">
        <v>87</v>
      </c>
      <c r="V429" s="8" t="s">
        <v>457</v>
      </c>
      <c r="W429" s="9">
        <v>1</v>
      </c>
      <c r="X429" s="9">
        <v>1</v>
      </c>
      <c r="Y429" s="9">
        <v>1</v>
      </c>
      <c r="Z429" s="9">
        <v>2</v>
      </c>
      <c r="AA429" s="9">
        <v>3</v>
      </c>
      <c r="AB429" s="9">
        <v>3</v>
      </c>
      <c r="AC429" s="9">
        <v>3</v>
      </c>
      <c r="AD429" s="9">
        <v>3</v>
      </c>
      <c r="AE429" s="9">
        <v>3</v>
      </c>
      <c r="AF429" s="9">
        <v>2</v>
      </c>
      <c r="AG429" s="9">
        <v>2</v>
      </c>
      <c r="AH429" s="9">
        <v>2</v>
      </c>
      <c r="AI429" s="9">
        <v>1</v>
      </c>
      <c r="AJ429" s="9">
        <v>2</v>
      </c>
      <c r="AK429" s="9">
        <v>1</v>
      </c>
      <c r="AL429" s="10">
        <v>3</v>
      </c>
      <c r="AM429" s="10">
        <v>3</v>
      </c>
      <c r="AN429" s="10">
        <v>3</v>
      </c>
      <c r="AO429" s="10">
        <v>0</v>
      </c>
      <c r="AP429" s="10">
        <v>0</v>
      </c>
      <c r="AQ429" s="10">
        <v>0</v>
      </c>
      <c r="AR429" s="10">
        <v>3</v>
      </c>
      <c r="AS429" s="11">
        <v>1</v>
      </c>
      <c r="AT429" s="11">
        <v>0</v>
      </c>
      <c r="AU429" s="11">
        <v>2</v>
      </c>
      <c r="AV429" s="11">
        <v>1</v>
      </c>
      <c r="AW429" s="11">
        <v>3</v>
      </c>
      <c r="AX429" s="11">
        <v>3</v>
      </c>
      <c r="AY429" s="7">
        <v>1</v>
      </c>
      <c r="AZ429" s="7">
        <v>1</v>
      </c>
      <c r="BA429" s="7">
        <v>2</v>
      </c>
      <c r="BB429" s="7">
        <v>1</v>
      </c>
      <c r="BC429" s="7">
        <v>2</v>
      </c>
      <c r="BD429" s="7">
        <v>2</v>
      </c>
      <c r="BE429" s="7">
        <v>2</v>
      </c>
      <c r="BF429" s="7">
        <v>1</v>
      </c>
      <c r="BG429" s="12">
        <f>SUM(data__22[[#This Row],[N1]:[N4]],data__22[[#This Row],[N10]:[N13]],data__22[[#This Row],[N16]:[N18]])/11</f>
        <v>1.9090909090909092</v>
      </c>
      <c r="BH429" s="13">
        <f>SUM(data__22[[#This Row],[N8]:[N9]],data__22[[#This Row],[N23]:[N25]])/5</f>
        <v>1.8</v>
      </c>
      <c r="BI429" s="12">
        <f>SUM(data__22[[#This Row],[N5]:[N7]])/3</f>
        <v>3</v>
      </c>
      <c r="BJ429" s="12">
        <f>SUM(data__22[[#This Row],[N14]:[N15]],data__22[[#This Row],[N19]:[N22]],data__22[[#This Row],[N26]:[N28]])/9</f>
        <v>1.4444444444444444</v>
      </c>
      <c r="BK429" s="12">
        <f>SUM(data__22[[#This Row],[N29]:[N33]])/5</f>
        <v>1.4</v>
      </c>
      <c r="BL429" s="12">
        <f>SUM(data__22[[#This Row],[N34]:[N36]])/3</f>
        <v>1.6666666666666667</v>
      </c>
    </row>
    <row r="430" spans="1:64" x14ac:dyDescent="0.3">
      <c r="A430" s="7">
        <v>22</v>
      </c>
      <c r="B430" s="7" t="s">
        <v>128</v>
      </c>
      <c r="C430" s="7" t="s">
        <v>113</v>
      </c>
      <c r="D430" s="7" t="s">
        <v>72</v>
      </c>
      <c r="E430" s="7" t="s">
        <v>73</v>
      </c>
      <c r="F430" s="7" t="s">
        <v>98</v>
      </c>
      <c r="G430" s="7" t="s">
        <v>440</v>
      </c>
      <c r="H430" s="7" t="s">
        <v>165</v>
      </c>
      <c r="I430" s="7" t="s">
        <v>76</v>
      </c>
      <c r="J430" s="7" t="s">
        <v>77</v>
      </c>
      <c r="K430" s="7" t="s">
        <v>122</v>
      </c>
      <c r="L430" s="8" t="s">
        <v>79</v>
      </c>
      <c r="M430" s="8" t="s">
        <v>102</v>
      </c>
      <c r="N430" s="8" t="s">
        <v>79</v>
      </c>
      <c r="O430" s="8" t="s">
        <v>117</v>
      </c>
      <c r="P430" s="8" t="s">
        <v>79</v>
      </c>
      <c r="Q430" s="8" t="s">
        <v>103</v>
      </c>
      <c r="R430" s="8" t="s">
        <v>79</v>
      </c>
      <c r="S430" s="8" t="s">
        <v>79</v>
      </c>
      <c r="T430" s="8" t="s">
        <v>106</v>
      </c>
      <c r="U430" s="8" t="s">
        <v>87</v>
      </c>
      <c r="V430" s="8" t="s">
        <v>457</v>
      </c>
      <c r="W430" s="9">
        <v>1</v>
      </c>
      <c r="X430" s="9">
        <v>1</v>
      </c>
      <c r="Y430" s="9">
        <v>1</v>
      </c>
      <c r="Z430" s="9">
        <v>2</v>
      </c>
      <c r="AA430" s="9">
        <v>3</v>
      </c>
      <c r="AB430" s="9">
        <v>3</v>
      </c>
      <c r="AC430" s="9">
        <v>3</v>
      </c>
      <c r="AD430" s="9">
        <v>3</v>
      </c>
      <c r="AE430" s="9">
        <v>3</v>
      </c>
      <c r="AF430" s="9">
        <v>2</v>
      </c>
      <c r="AG430" s="9">
        <v>2</v>
      </c>
      <c r="AH430" s="9">
        <v>2</v>
      </c>
      <c r="AI430" s="9">
        <v>1</v>
      </c>
      <c r="AJ430" s="9">
        <v>2</v>
      </c>
      <c r="AK430" s="9">
        <v>1</v>
      </c>
      <c r="AL430" s="10">
        <v>3</v>
      </c>
      <c r="AM430" s="10">
        <v>3</v>
      </c>
      <c r="AN430" s="10">
        <v>3</v>
      </c>
      <c r="AO430" s="10">
        <v>0</v>
      </c>
      <c r="AP430" s="10">
        <v>0</v>
      </c>
      <c r="AQ430" s="10">
        <v>0</v>
      </c>
      <c r="AR430" s="10">
        <v>3</v>
      </c>
      <c r="AS430" s="11">
        <v>1</v>
      </c>
      <c r="AT430" s="11">
        <v>0</v>
      </c>
      <c r="AU430" s="11">
        <v>2</v>
      </c>
      <c r="AV430" s="11">
        <v>1</v>
      </c>
      <c r="AW430" s="11">
        <v>3</v>
      </c>
      <c r="AX430" s="11">
        <v>3</v>
      </c>
      <c r="AY430" s="7">
        <v>1</v>
      </c>
      <c r="AZ430" s="7">
        <v>1</v>
      </c>
      <c r="BA430" s="7">
        <v>2</v>
      </c>
      <c r="BB430" s="7">
        <v>1</v>
      </c>
      <c r="BC430" s="7">
        <v>2</v>
      </c>
      <c r="BD430" s="7">
        <v>2</v>
      </c>
      <c r="BE430" s="7">
        <v>2</v>
      </c>
      <c r="BF430" s="7">
        <v>1</v>
      </c>
      <c r="BG430" s="12">
        <f>SUM(data__22[[#This Row],[N1]:[N4]],data__22[[#This Row],[N10]:[N13]],data__22[[#This Row],[N16]:[N18]])/11</f>
        <v>1.9090909090909092</v>
      </c>
      <c r="BH430" s="13">
        <f>SUM(data__22[[#This Row],[N8]:[N9]],data__22[[#This Row],[N23]:[N25]])/5</f>
        <v>1.8</v>
      </c>
      <c r="BI430" s="12">
        <f>SUM(data__22[[#This Row],[N5]:[N7]])/3</f>
        <v>3</v>
      </c>
      <c r="BJ430" s="12">
        <f>SUM(data__22[[#This Row],[N14]:[N15]],data__22[[#This Row],[N19]:[N22]],data__22[[#This Row],[N26]:[N28]])/9</f>
        <v>1.4444444444444444</v>
      </c>
      <c r="BK430" s="12">
        <f>SUM(data__22[[#This Row],[N29]:[N33]])/5</f>
        <v>1.4</v>
      </c>
      <c r="BL430" s="12">
        <f>SUM(data__22[[#This Row],[N34]:[N36]])/3</f>
        <v>1.6666666666666667</v>
      </c>
    </row>
    <row r="431" spans="1:64" x14ac:dyDescent="0.3">
      <c r="A431" s="7">
        <v>22</v>
      </c>
      <c r="B431" s="7" t="s">
        <v>128</v>
      </c>
      <c r="C431" s="7" t="s">
        <v>113</v>
      </c>
      <c r="D431" s="7" t="s">
        <v>72</v>
      </c>
      <c r="E431" s="7" t="s">
        <v>73</v>
      </c>
      <c r="F431" s="7" t="s">
        <v>98</v>
      </c>
      <c r="G431" s="7" t="s">
        <v>440</v>
      </c>
      <c r="H431" s="7" t="s">
        <v>165</v>
      </c>
      <c r="I431" s="7" t="s">
        <v>76</v>
      </c>
      <c r="J431" s="7" t="s">
        <v>77</v>
      </c>
      <c r="K431" s="7" t="s">
        <v>122</v>
      </c>
      <c r="L431" s="8" t="s">
        <v>79</v>
      </c>
      <c r="M431" s="8" t="s">
        <v>102</v>
      </c>
      <c r="N431" s="8" t="s">
        <v>79</v>
      </c>
      <c r="O431" s="8" t="s">
        <v>117</v>
      </c>
      <c r="P431" s="8" t="s">
        <v>79</v>
      </c>
      <c r="Q431" s="8" t="s">
        <v>103</v>
      </c>
      <c r="R431" s="8" t="s">
        <v>79</v>
      </c>
      <c r="S431" s="8" t="s">
        <v>79</v>
      </c>
      <c r="T431" s="8" t="s">
        <v>106</v>
      </c>
      <c r="U431" s="8" t="s">
        <v>87</v>
      </c>
      <c r="V431" s="8" t="s">
        <v>457</v>
      </c>
      <c r="W431" s="9">
        <v>1</v>
      </c>
      <c r="X431" s="9">
        <v>1</v>
      </c>
      <c r="Y431" s="9">
        <v>1</v>
      </c>
      <c r="Z431" s="9">
        <v>2</v>
      </c>
      <c r="AA431" s="9">
        <v>3</v>
      </c>
      <c r="AB431" s="9">
        <v>3</v>
      </c>
      <c r="AC431" s="9">
        <v>3</v>
      </c>
      <c r="AD431" s="9">
        <v>3</v>
      </c>
      <c r="AE431" s="9">
        <v>3</v>
      </c>
      <c r="AF431" s="9">
        <v>2</v>
      </c>
      <c r="AG431" s="9">
        <v>2</v>
      </c>
      <c r="AH431" s="9">
        <v>2</v>
      </c>
      <c r="AI431" s="9">
        <v>1</v>
      </c>
      <c r="AJ431" s="9">
        <v>2</v>
      </c>
      <c r="AK431" s="9">
        <v>1</v>
      </c>
      <c r="AL431" s="10">
        <v>3</v>
      </c>
      <c r="AM431" s="10">
        <v>3</v>
      </c>
      <c r="AN431" s="10">
        <v>3</v>
      </c>
      <c r="AO431" s="10">
        <v>0</v>
      </c>
      <c r="AP431" s="10">
        <v>0</v>
      </c>
      <c r="AQ431" s="10">
        <v>0</v>
      </c>
      <c r="AR431" s="10">
        <v>3</v>
      </c>
      <c r="AS431" s="11">
        <v>1</v>
      </c>
      <c r="AT431" s="11">
        <v>0</v>
      </c>
      <c r="AU431" s="11">
        <v>2</v>
      </c>
      <c r="AV431" s="11">
        <v>1</v>
      </c>
      <c r="AW431" s="11">
        <v>3</v>
      </c>
      <c r="AX431" s="11">
        <v>3</v>
      </c>
      <c r="AY431" s="7">
        <v>1</v>
      </c>
      <c r="AZ431" s="7">
        <v>1</v>
      </c>
      <c r="BA431" s="7">
        <v>2</v>
      </c>
      <c r="BB431" s="7">
        <v>1</v>
      </c>
      <c r="BC431" s="7">
        <v>2</v>
      </c>
      <c r="BD431" s="7">
        <v>2</v>
      </c>
      <c r="BE431" s="7">
        <v>2</v>
      </c>
      <c r="BF431" s="7">
        <v>1</v>
      </c>
      <c r="BG431" s="12">
        <f>SUM(data__22[[#This Row],[N1]:[N4]],data__22[[#This Row],[N10]:[N13]],data__22[[#This Row],[N16]:[N18]])/11</f>
        <v>1.9090909090909092</v>
      </c>
      <c r="BH431" s="13">
        <f>SUM(data__22[[#This Row],[N8]:[N9]],data__22[[#This Row],[N23]:[N25]])/5</f>
        <v>1.8</v>
      </c>
      <c r="BI431" s="12">
        <f>SUM(data__22[[#This Row],[N5]:[N7]])/3</f>
        <v>3</v>
      </c>
      <c r="BJ431" s="12">
        <f>SUM(data__22[[#This Row],[N14]:[N15]],data__22[[#This Row],[N19]:[N22]],data__22[[#This Row],[N26]:[N28]])/9</f>
        <v>1.4444444444444444</v>
      </c>
      <c r="BK431" s="12">
        <f>SUM(data__22[[#This Row],[N29]:[N33]])/5</f>
        <v>1.4</v>
      </c>
      <c r="BL431" s="12">
        <f>SUM(data__22[[#This Row],[N34]:[N36]])/3</f>
        <v>1.6666666666666667</v>
      </c>
    </row>
    <row r="432" spans="1:64" x14ac:dyDescent="0.3">
      <c r="A432" s="7">
        <v>26</v>
      </c>
      <c r="B432" s="7" t="s">
        <v>70</v>
      </c>
      <c r="C432" s="7" t="s">
        <v>153</v>
      </c>
      <c r="D432" s="7" t="s">
        <v>149</v>
      </c>
      <c r="E432" s="7" t="s">
        <v>108</v>
      </c>
      <c r="F432" s="7" t="s">
        <v>74</v>
      </c>
      <c r="G432" s="7" t="s">
        <v>439</v>
      </c>
      <c r="H432" s="7" t="s">
        <v>74</v>
      </c>
      <c r="I432" s="7" t="s">
        <v>439</v>
      </c>
      <c r="J432" s="7" t="s">
        <v>77</v>
      </c>
      <c r="K432" s="7" t="s">
        <v>78</v>
      </c>
      <c r="L432" s="8" t="s">
        <v>79</v>
      </c>
      <c r="M432" s="8" t="s">
        <v>80</v>
      </c>
      <c r="N432" s="8" t="s">
        <v>79</v>
      </c>
      <c r="O432" s="8" t="s">
        <v>138</v>
      </c>
      <c r="P432" s="8" t="s">
        <v>79</v>
      </c>
      <c r="Q432" s="8" t="s">
        <v>118</v>
      </c>
      <c r="R432" s="8" t="s">
        <v>79</v>
      </c>
      <c r="S432" s="8" t="s">
        <v>79</v>
      </c>
      <c r="T432" s="8" t="s">
        <v>86</v>
      </c>
      <c r="U432" s="8" t="s">
        <v>141</v>
      </c>
      <c r="V432" s="8" t="s">
        <v>455</v>
      </c>
      <c r="W432" s="9">
        <v>3</v>
      </c>
      <c r="X432" s="9">
        <v>2</v>
      </c>
      <c r="Y432" s="9">
        <v>3</v>
      </c>
      <c r="Z432" s="9">
        <v>2</v>
      </c>
      <c r="AA432" s="9">
        <v>3</v>
      </c>
      <c r="AB432" s="9">
        <v>3</v>
      </c>
      <c r="AC432" s="9">
        <v>3</v>
      </c>
      <c r="AD432" s="9">
        <v>2</v>
      </c>
      <c r="AE432" s="9">
        <v>2</v>
      </c>
      <c r="AF432" s="9">
        <v>3</v>
      </c>
      <c r="AG432" s="9">
        <v>2</v>
      </c>
      <c r="AH432" s="9">
        <v>2</v>
      </c>
      <c r="AI432" s="9">
        <v>2</v>
      </c>
      <c r="AJ432" s="9">
        <v>3</v>
      </c>
      <c r="AK432" s="9">
        <v>1</v>
      </c>
      <c r="AL432" s="10">
        <v>3</v>
      </c>
      <c r="AM432" s="10">
        <v>3</v>
      </c>
      <c r="AN432" s="10">
        <v>3</v>
      </c>
      <c r="AO432" s="10">
        <v>0</v>
      </c>
      <c r="AP432" s="10">
        <v>0</v>
      </c>
      <c r="AQ432" s="10">
        <v>0</v>
      </c>
      <c r="AR432" s="10">
        <v>2</v>
      </c>
      <c r="AS432" s="11">
        <v>1</v>
      </c>
      <c r="AT432" s="11">
        <v>0</v>
      </c>
      <c r="AU432" s="11">
        <v>1</v>
      </c>
      <c r="AV432" s="11">
        <v>0</v>
      </c>
      <c r="AW432" s="11">
        <v>3</v>
      </c>
      <c r="AX432" s="11">
        <v>3</v>
      </c>
      <c r="AY432" s="7">
        <v>2</v>
      </c>
      <c r="AZ432" s="7">
        <v>2</v>
      </c>
      <c r="BA432" s="7">
        <v>2</v>
      </c>
      <c r="BB432" s="7">
        <v>2</v>
      </c>
      <c r="BC432" s="7">
        <v>2</v>
      </c>
      <c r="BD432" s="7">
        <v>3</v>
      </c>
      <c r="BE432" s="7">
        <v>2</v>
      </c>
      <c r="BF432" s="7">
        <v>3</v>
      </c>
      <c r="BG432" s="12">
        <f>SUM(data__22[[#This Row],[N1]:[N4]],data__22[[#This Row],[N10]:[N13]],data__22[[#This Row],[N16]:[N18]])/11</f>
        <v>2.5454545454545454</v>
      </c>
      <c r="BH432" s="13">
        <f>SUM(data__22[[#This Row],[N8]:[N9]],data__22[[#This Row],[N23]:[N25]])/5</f>
        <v>1.2</v>
      </c>
      <c r="BI432" s="12">
        <f>SUM(data__22[[#This Row],[N5]:[N7]])/3</f>
        <v>3</v>
      </c>
      <c r="BJ432" s="12">
        <f>SUM(data__22[[#This Row],[N14]:[N15]],data__22[[#This Row],[N19]:[N22]],data__22[[#This Row],[N26]:[N28]])/9</f>
        <v>1.3333333333333333</v>
      </c>
      <c r="BK432" s="12">
        <f>SUM(data__22[[#This Row],[N29]:[N33]])/5</f>
        <v>2</v>
      </c>
      <c r="BL432" s="12">
        <f>SUM(data__22[[#This Row],[N34]:[N36]])/3</f>
        <v>2.6666666666666665</v>
      </c>
    </row>
    <row r="433" spans="1:64" x14ac:dyDescent="0.3">
      <c r="A433" s="7">
        <v>26</v>
      </c>
      <c r="B433" s="7" t="s">
        <v>70</v>
      </c>
      <c r="C433" s="7" t="s">
        <v>153</v>
      </c>
      <c r="D433" s="7" t="s">
        <v>149</v>
      </c>
      <c r="E433" s="7" t="s">
        <v>108</v>
      </c>
      <c r="F433" s="7" t="s">
        <v>74</v>
      </c>
      <c r="G433" s="7" t="s">
        <v>439</v>
      </c>
      <c r="H433" s="7" t="s">
        <v>74</v>
      </c>
      <c r="I433" s="7" t="s">
        <v>439</v>
      </c>
      <c r="J433" s="7" t="s">
        <v>77</v>
      </c>
      <c r="K433" s="7" t="s">
        <v>78</v>
      </c>
      <c r="L433" s="8" t="s">
        <v>79</v>
      </c>
      <c r="M433" s="8" t="s">
        <v>80</v>
      </c>
      <c r="N433" s="8" t="s">
        <v>79</v>
      </c>
      <c r="O433" s="8" t="s">
        <v>138</v>
      </c>
      <c r="P433" s="8" t="s">
        <v>79</v>
      </c>
      <c r="Q433" s="8" t="s">
        <v>118</v>
      </c>
      <c r="R433" s="8" t="s">
        <v>79</v>
      </c>
      <c r="S433" s="8" t="s">
        <v>79</v>
      </c>
      <c r="T433" s="8" t="s">
        <v>86</v>
      </c>
      <c r="U433" s="8" t="s">
        <v>141</v>
      </c>
      <c r="V433" s="8" t="s">
        <v>455</v>
      </c>
      <c r="W433" s="9">
        <v>3</v>
      </c>
      <c r="X433" s="9">
        <v>2</v>
      </c>
      <c r="Y433" s="9">
        <v>3</v>
      </c>
      <c r="Z433" s="9">
        <v>2</v>
      </c>
      <c r="AA433" s="9">
        <v>3</v>
      </c>
      <c r="AB433" s="9">
        <v>3</v>
      </c>
      <c r="AC433" s="9">
        <v>3</v>
      </c>
      <c r="AD433" s="9">
        <v>2</v>
      </c>
      <c r="AE433" s="9">
        <v>2</v>
      </c>
      <c r="AF433" s="9">
        <v>3</v>
      </c>
      <c r="AG433" s="9">
        <v>2</v>
      </c>
      <c r="AH433" s="9">
        <v>2</v>
      </c>
      <c r="AI433" s="9">
        <v>2</v>
      </c>
      <c r="AJ433" s="9">
        <v>3</v>
      </c>
      <c r="AK433" s="9">
        <v>1</v>
      </c>
      <c r="AL433" s="10">
        <v>3</v>
      </c>
      <c r="AM433" s="10">
        <v>3</v>
      </c>
      <c r="AN433" s="10">
        <v>3</v>
      </c>
      <c r="AO433" s="10">
        <v>0</v>
      </c>
      <c r="AP433" s="10">
        <v>0</v>
      </c>
      <c r="AQ433" s="10">
        <v>0</v>
      </c>
      <c r="AR433" s="10">
        <v>2</v>
      </c>
      <c r="AS433" s="11">
        <v>1</v>
      </c>
      <c r="AT433" s="11">
        <v>0</v>
      </c>
      <c r="AU433" s="11">
        <v>1</v>
      </c>
      <c r="AV433" s="11">
        <v>0</v>
      </c>
      <c r="AW433" s="11">
        <v>3</v>
      </c>
      <c r="AX433" s="11">
        <v>3</v>
      </c>
      <c r="AY433" s="7">
        <v>2</v>
      </c>
      <c r="AZ433" s="7">
        <v>2</v>
      </c>
      <c r="BA433" s="7">
        <v>2</v>
      </c>
      <c r="BB433" s="7">
        <v>2</v>
      </c>
      <c r="BC433" s="7">
        <v>2</v>
      </c>
      <c r="BD433" s="7">
        <v>3</v>
      </c>
      <c r="BE433" s="7">
        <v>2</v>
      </c>
      <c r="BF433" s="7">
        <v>3</v>
      </c>
      <c r="BG433" s="12">
        <f>SUM(data__22[[#This Row],[N1]:[N4]],data__22[[#This Row],[N10]:[N13]],data__22[[#This Row],[N16]:[N18]])/11</f>
        <v>2.5454545454545454</v>
      </c>
      <c r="BH433" s="13">
        <f>SUM(data__22[[#This Row],[N8]:[N9]],data__22[[#This Row],[N23]:[N25]])/5</f>
        <v>1.2</v>
      </c>
      <c r="BI433" s="12">
        <f>SUM(data__22[[#This Row],[N5]:[N7]])/3</f>
        <v>3</v>
      </c>
      <c r="BJ433" s="12">
        <f>SUM(data__22[[#This Row],[N14]:[N15]],data__22[[#This Row],[N19]:[N22]],data__22[[#This Row],[N26]:[N28]])/9</f>
        <v>1.3333333333333333</v>
      </c>
      <c r="BK433" s="12">
        <f>SUM(data__22[[#This Row],[N29]:[N33]])/5</f>
        <v>2</v>
      </c>
      <c r="BL433" s="12">
        <f>SUM(data__22[[#This Row],[N34]:[N36]])/3</f>
        <v>2.6666666666666665</v>
      </c>
    </row>
    <row r="434" spans="1:64" x14ac:dyDescent="0.3">
      <c r="A434" s="7">
        <v>26</v>
      </c>
      <c r="B434" s="7" t="s">
        <v>70</v>
      </c>
      <c r="C434" s="7" t="s">
        <v>153</v>
      </c>
      <c r="D434" s="7" t="s">
        <v>149</v>
      </c>
      <c r="E434" s="7" t="s">
        <v>108</v>
      </c>
      <c r="F434" s="7" t="s">
        <v>74</v>
      </c>
      <c r="G434" s="7" t="s">
        <v>439</v>
      </c>
      <c r="H434" s="7" t="s">
        <v>74</v>
      </c>
      <c r="I434" s="7" t="s">
        <v>439</v>
      </c>
      <c r="J434" s="7" t="s">
        <v>77</v>
      </c>
      <c r="K434" s="7" t="s">
        <v>78</v>
      </c>
      <c r="L434" s="8" t="s">
        <v>79</v>
      </c>
      <c r="M434" s="8" t="s">
        <v>80</v>
      </c>
      <c r="N434" s="8" t="s">
        <v>79</v>
      </c>
      <c r="O434" s="8" t="s">
        <v>138</v>
      </c>
      <c r="P434" s="8" t="s">
        <v>79</v>
      </c>
      <c r="Q434" s="8" t="s">
        <v>118</v>
      </c>
      <c r="R434" s="8" t="s">
        <v>79</v>
      </c>
      <c r="S434" s="8" t="s">
        <v>79</v>
      </c>
      <c r="T434" s="8" t="s">
        <v>86</v>
      </c>
      <c r="U434" s="8" t="s">
        <v>141</v>
      </c>
      <c r="V434" s="8" t="s">
        <v>455</v>
      </c>
      <c r="W434" s="9">
        <v>3</v>
      </c>
      <c r="X434" s="9">
        <v>2</v>
      </c>
      <c r="Y434" s="9">
        <v>3</v>
      </c>
      <c r="Z434" s="9">
        <v>2</v>
      </c>
      <c r="AA434" s="9">
        <v>3</v>
      </c>
      <c r="AB434" s="9">
        <v>3</v>
      </c>
      <c r="AC434" s="9">
        <v>3</v>
      </c>
      <c r="AD434" s="9">
        <v>2</v>
      </c>
      <c r="AE434" s="9">
        <v>2</v>
      </c>
      <c r="AF434" s="9">
        <v>3</v>
      </c>
      <c r="AG434" s="9">
        <v>2</v>
      </c>
      <c r="AH434" s="9">
        <v>2</v>
      </c>
      <c r="AI434" s="9">
        <v>2</v>
      </c>
      <c r="AJ434" s="9">
        <v>3</v>
      </c>
      <c r="AK434" s="9">
        <v>1</v>
      </c>
      <c r="AL434" s="10">
        <v>3</v>
      </c>
      <c r="AM434" s="10">
        <v>3</v>
      </c>
      <c r="AN434" s="10">
        <v>3</v>
      </c>
      <c r="AO434" s="10">
        <v>0</v>
      </c>
      <c r="AP434" s="10">
        <v>0</v>
      </c>
      <c r="AQ434" s="10">
        <v>0</v>
      </c>
      <c r="AR434" s="10">
        <v>2</v>
      </c>
      <c r="AS434" s="11">
        <v>1</v>
      </c>
      <c r="AT434" s="11">
        <v>0</v>
      </c>
      <c r="AU434" s="11">
        <v>1</v>
      </c>
      <c r="AV434" s="11">
        <v>0</v>
      </c>
      <c r="AW434" s="11">
        <v>3</v>
      </c>
      <c r="AX434" s="11">
        <v>3</v>
      </c>
      <c r="AY434" s="7">
        <v>2</v>
      </c>
      <c r="AZ434" s="7">
        <v>2</v>
      </c>
      <c r="BA434" s="7">
        <v>2</v>
      </c>
      <c r="BB434" s="7">
        <v>2</v>
      </c>
      <c r="BC434" s="7">
        <v>2</v>
      </c>
      <c r="BD434" s="7">
        <v>3</v>
      </c>
      <c r="BE434" s="7">
        <v>2</v>
      </c>
      <c r="BF434" s="7">
        <v>3</v>
      </c>
      <c r="BG434" s="12">
        <f>SUM(data__22[[#This Row],[N1]:[N4]],data__22[[#This Row],[N10]:[N13]],data__22[[#This Row],[N16]:[N18]])/11</f>
        <v>2.5454545454545454</v>
      </c>
      <c r="BH434" s="13">
        <f>SUM(data__22[[#This Row],[N8]:[N9]],data__22[[#This Row],[N23]:[N25]])/5</f>
        <v>1.2</v>
      </c>
      <c r="BI434" s="12">
        <f>SUM(data__22[[#This Row],[N5]:[N7]])/3</f>
        <v>3</v>
      </c>
      <c r="BJ434" s="12">
        <f>SUM(data__22[[#This Row],[N14]:[N15]],data__22[[#This Row],[N19]:[N22]],data__22[[#This Row],[N26]:[N28]])/9</f>
        <v>1.3333333333333333</v>
      </c>
      <c r="BK434" s="12">
        <f>SUM(data__22[[#This Row],[N29]:[N33]])/5</f>
        <v>2</v>
      </c>
      <c r="BL434" s="12">
        <f>SUM(data__22[[#This Row],[N34]:[N36]])/3</f>
        <v>2.6666666666666665</v>
      </c>
    </row>
    <row r="435" spans="1:64" x14ac:dyDescent="0.3">
      <c r="A435" s="7">
        <v>26</v>
      </c>
      <c r="B435" s="7" t="s">
        <v>70</v>
      </c>
      <c r="C435" s="7" t="s">
        <v>153</v>
      </c>
      <c r="D435" s="7" t="s">
        <v>149</v>
      </c>
      <c r="E435" s="7" t="s">
        <v>108</v>
      </c>
      <c r="F435" s="7" t="s">
        <v>74</v>
      </c>
      <c r="G435" s="7" t="s">
        <v>439</v>
      </c>
      <c r="H435" s="7" t="s">
        <v>74</v>
      </c>
      <c r="I435" s="7" t="s">
        <v>439</v>
      </c>
      <c r="J435" s="7" t="s">
        <v>77</v>
      </c>
      <c r="K435" s="7" t="s">
        <v>78</v>
      </c>
      <c r="L435" s="8" t="s">
        <v>79</v>
      </c>
      <c r="M435" s="8" t="s">
        <v>80</v>
      </c>
      <c r="N435" s="8" t="s">
        <v>79</v>
      </c>
      <c r="O435" s="8" t="s">
        <v>138</v>
      </c>
      <c r="P435" s="8" t="s">
        <v>79</v>
      </c>
      <c r="Q435" s="8" t="s">
        <v>118</v>
      </c>
      <c r="R435" s="8" t="s">
        <v>79</v>
      </c>
      <c r="S435" s="8" t="s">
        <v>79</v>
      </c>
      <c r="T435" s="8" t="s">
        <v>86</v>
      </c>
      <c r="U435" s="8" t="s">
        <v>141</v>
      </c>
      <c r="V435" s="8" t="s">
        <v>455</v>
      </c>
      <c r="W435" s="9">
        <v>3</v>
      </c>
      <c r="X435" s="9">
        <v>2</v>
      </c>
      <c r="Y435" s="9">
        <v>3</v>
      </c>
      <c r="Z435" s="9">
        <v>2</v>
      </c>
      <c r="AA435" s="9">
        <v>3</v>
      </c>
      <c r="AB435" s="9">
        <v>3</v>
      </c>
      <c r="AC435" s="9">
        <v>3</v>
      </c>
      <c r="AD435" s="9">
        <v>2</v>
      </c>
      <c r="AE435" s="9">
        <v>2</v>
      </c>
      <c r="AF435" s="9">
        <v>3</v>
      </c>
      <c r="AG435" s="9">
        <v>2</v>
      </c>
      <c r="AH435" s="9">
        <v>2</v>
      </c>
      <c r="AI435" s="9">
        <v>2</v>
      </c>
      <c r="AJ435" s="9">
        <v>3</v>
      </c>
      <c r="AK435" s="9">
        <v>1</v>
      </c>
      <c r="AL435" s="10">
        <v>3</v>
      </c>
      <c r="AM435" s="10">
        <v>3</v>
      </c>
      <c r="AN435" s="10">
        <v>3</v>
      </c>
      <c r="AO435" s="10">
        <v>0</v>
      </c>
      <c r="AP435" s="10">
        <v>0</v>
      </c>
      <c r="AQ435" s="10">
        <v>0</v>
      </c>
      <c r="AR435" s="10">
        <v>2</v>
      </c>
      <c r="AS435" s="11">
        <v>1</v>
      </c>
      <c r="AT435" s="11">
        <v>0</v>
      </c>
      <c r="AU435" s="11">
        <v>1</v>
      </c>
      <c r="AV435" s="11">
        <v>0</v>
      </c>
      <c r="AW435" s="11">
        <v>3</v>
      </c>
      <c r="AX435" s="11">
        <v>3</v>
      </c>
      <c r="AY435" s="7">
        <v>2</v>
      </c>
      <c r="AZ435" s="7">
        <v>2</v>
      </c>
      <c r="BA435" s="7">
        <v>2</v>
      </c>
      <c r="BB435" s="7">
        <v>2</v>
      </c>
      <c r="BC435" s="7">
        <v>2</v>
      </c>
      <c r="BD435" s="7">
        <v>3</v>
      </c>
      <c r="BE435" s="7">
        <v>2</v>
      </c>
      <c r="BF435" s="7">
        <v>3</v>
      </c>
      <c r="BG435" s="12">
        <f>SUM(data__22[[#This Row],[N1]:[N4]],data__22[[#This Row],[N10]:[N13]],data__22[[#This Row],[N16]:[N18]])/11</f>
        <v>2.5454545454545454</v>
      </c>
      <c r="BH435" s="13">
        <f>SUM(data__22[[#This Row],[N8]:[N9]],data__22[[#This Row],[N23]:[N25]])/5</f>
        <v>1.2</v>
      </c>
      <c r="BI435" s="12">
        <f>SUM(data__22[[#This Row],[N5]:[N7]])/3</f>
        <v>3</v>
      </c>
      <c r="BJ435" s="12">
        <f>SUM(data__22[[#This Row],[N14]:[N15]],data__22[[#This Row],[N19]:[N22]],data__22[[#This Row],[N26]:[N28]])/9</f>
        <v>1.3333333333333333</v>
      </c>
      <c r="BK435" s="12">
        <f>SUM(data__22[[#This Row],[N29]:[N33]])/5</f>
        <v>2</v>
      </c>
      <c r="BL435" s="12">
        <f>SUM(data__22[[#This Row],[N34]:[N36]])/3</f>
        <v>2.6666666666666665</v>
      </c>
    </row>
    <row r="436" spans="1:64" x14ac:dyDescent="0.3">
      <c r="A436" s="7">
        <v>26</v>
      </c>
      <c r="B436" s="7" t="s">
        <v>70</v>
      </c>
      <c r="C436" s="7" t="s">
        <v>153</v>
      </c>
      <c r="D436" s="7" t="s">
        <v>149</v>
      </c>
      <c r="E436" s="7" t="s">
        <v>108</v>
      </c>
      <c r="F436" s="7" t="s">
        <v>74</v>
      </c>
      <c r="G436" s="7" t="s">
        <v>439</v>
      </c>
      <c r="H436" s="7" t="s">
        <v>74</v>
      </c>
      <c r="I436" s="7" t="s">
        <v>439</v>
      </c>
      <c r="J436" s="7" t="s">
        <v>77</v>
      </c>
      <c r="K436" s="7" t="s">
        <v>78</v>
      </c>
      <c r="L436" s="8" t="s">
        <v>79</v>
      </c>
      <c r="M436" s="8" t="s">
        <v>80</v>
      </c>
      <c r="N436" s="8" t="s">
        <v>79</v>
      </c>
      <c r="O436" s="8" t="s">
        <v>138</v>
      </c>
      <c r="P436" s="8" t="s">
        <v>79</v>
      </c>
      <c r="Q436" s="8" t="s">
        <v>118</v>
      </c>
      <c r="R436" s="8" t="s">
        <v>79</v>
      </c>
      <c r="S436" s="8" t="s">
        <v>79</v>
      </c>
      <c r="T436" s="8" t="s">
        <v>86</v>
      </c>
      <c r="U436" s="8" t="s">
        <v>141</v>
      </c>
      <c r="V436" s="8" t="s">
        <v>455</v>
      </c>
      <c r="W436" s="9">
        <v>3</v>
      </c>
      <c r="X436" s="9">
        <v>2</v>
      </c>
      <c r="Y436" s="9">
        <v>3</v>
      </c>
      <c r="Z436" s="9">
        <v>2</v>
      </c>
      <c r="AA436" s="9">
        <v>3</v>
      </c>
      <c r="AB436" s="9">
        <v>3</v>
      </c>
      <c r="AC436" s="9">
        <v>3</v>
      </c>
      <c r="AD436" s="9">
        <v>2</v>
      </c>
      <c r="AE436" s="9">
        <v>2</v>
      </c>
      <c r="AF436" s="9">
        <v>3</v>
      </c>
      <c r="AG436" s="9">
        <v>2</v>
      </c>
      <c r="AH436" s="9">
        <v>2</v>
      </c>
      <c r="AI436" s="9">
        <v>2</v>
      </c>
      <c r="AJ436" s="9">
        <v>3</v>
      </c>
      <c r="AK436" s="9">
        <v>1</v>
      </c>
      <c r="AL436" s="10">
        <v>3</v>
      </c>
      <c r="AM436" s="10">
        <v>3</v>
      </c>
      <c r="AN436" s="10">
        <v>3</v>
      </c>
      <c r="AO436" s="10">
        <v>0</v>
      </c>
      <c r="AP436" s="10">
        <v>0</v>
      </c>
      <c r="AQ436" s="10">
        <v>0</v>
      </c>
      <c r="AR436" s="10">
        <v>2</v>
      </c>
      <c r="AS436" s="11">
        <v>1</v>
      </c>
      <c r="AT436" s="11">
        <v>0</v>
      </c>
      <c r="AU436" s="11">
        <v>1</v>
      </c>
      <c r="AV436" s="11">
        <v>0</v>
      </c>
      <c r="AW436" s="11">
        <v>3</v>
      </c>
      <c r="AX436" s="11">
        <v>3</v>
      </c>
      <c r="AY436" s="7">
        <v>2</v>
      </c>
      <c r="AZ436" s="7">
        <v>2</v>
      </c>
      <c r="BA436" s="7">
        <v>2</v>
      </c>
      <c r="BB436" s="7">
        <v>2</v>
      </c>
      <c r="BC436" s="7">
        <v>2</v>
      </c>
      <c r="BD436" s="7">
        <v>3</v>
      </c>
      <c r="BE436" s="7">
        <v>2</v>
      </c>
      <c r="BF436" s="7">
        <v>3</v>
      </c>
      <c r="BG436" s="12">
        <f>SUM(data__22[[#This Row],[N1]:[N4]],data__22[[#This Row],[N10]:[N13]],data__22[[#This Row],[N16]:[N18]])/11</f>
        <v>2.5454545454545454</v>
      </c>
      <c r="BH436" s="13">
        <f>SUM(data__22[[#This Row],[N8]:[N9]],data__22[[#This Row],[N23]:[N25]])/5</f>
        <v>1.2</v>
      </c>
      <c r="BI436" s="12">
        <f>SUM(data__22[[#This Row],[N5]:[N7]])/3</f>
        <v>3</v>
      </c>
      <c r="BJ436" s="12">
        <f>SUM(data__22[[#This Row],[N14]:[N15]],data__22[[#This Row],[N19]:[N22]],data__22[[#This Row],[N26]:[N28]])/9</f>
        <v>1.3333333333333333</v>
      </c>
      <c r="BK436" s="12">
        <f>SUM(data__22[[#This Row],[N29]:[N33]])/5</f>
        <v>2</v>
      </c>
      <c r="BL436" s="12">
        <f>SUM(data__22[[#This Row],[N34]:[N36]])/3</f>
        <v>2.6666666666666665</v>
      </c>
    </row>
    <row r="437" spans="1:64" x14ac:dyDescent="0.3">
      <c r="A437" s="7">
        <v>26</v>
      </c>
      <c r="B437" s="7" t="s">
        <v>70</v>
      </c>
      <c r="C437" s="7" t="s">
        <v>153</v>
      </c>
      <c r="D437" s="7" t="s">
        <v>149</v>
      </c>
      <c r="E437" s="7" t="s">
        <v>108</v>
      </c>
      <c r="F437" s="7" t="s">
        <v>74</v>
      </c>
      <c r="G437" s="7" t="s">
        <v>439</v>
      </c>
      <c r="H437" s="7" t="s">
        <v>74</v>
      </c>
      <c r="I437" s="7" t="s">
        <v>439</v>
      </c>
      <c r="J437" s="7" t="s">
        <v>77</v>
      </c>
      <c r="K437" s="7" t="s">
        <v>78</v>
      </c>
      <c r="L437" s="8" t="s">
        <v>79</v>
      </c>
      <c r="M437" s="8" t="s">
        <v>80</v>
      </c>
      <c r="N437" s="8" t="s">
        <v>79</v>
      </c>
      <c r="O437" s="8" t="s">
        <v>138</v>
      </c>
      <c r="P437" s="8" t="s">
        <v>79</v>
      </c>
      <c r="Q437" s="8" t="s">
        <v>118</v>
      </c>
      <c r="R437" s="8" t="s">
        <v>79</v>
      </c>
      <c r="S437" s="8" t="s">
        <v>79</v>
      </c>
      <c r="T437" s="8" t="s">
        <v>86</v>
      </c>
      <c r="U437" s="8" t="s">
        <v>141</v>
      </c>
      <c r="V437" s="8" t="s">
        <v>455</v>
      </c>
      <c r="W437" s="9">
        <v>3</v>
      </c>
      <c r="X437" s="9">
        <v>2</v>
      </c>
      <c r="Y437" s="9">
        <v>3</v>
      </c>
      <c r="Z437" s="9">
        <v>2</v>
      </c>
      <c r="AA437" s="9">
        <v>3</v>
      </c>
      <c r="AB437" s="9">
        <v>3</v>
      </c>
      <c r="AC437" s="9">
        <v>3</v>
      </c>
      <c r="AD437" s="9">
        <v>2</v>
      </c>
      <c r="AE437" s="9">
        <v>2</v>
      </c>
      <c r="AF437" s="9">
        <v>3</v>
      </c>
      <c r="AG437" s="9">
        <v>2</v>
      </c>
      <c r="AH437" s="9">
        <v>2</v>
      </c>
      <c r="AI437" s="9">
        <v>2</v>
      </c>
      <c r="AJ437" s="9">
        <v>3</v>
      </c>
      <c r="AK437" s="9">
        <v>1</v>
      </c>
      <c r="AL437" s="10">
        <v>3</v>
      </c>
      <c r="AM437" s="10">
        <v>3</v>
      </c>
      <c r="AN437" s="10">
        <v>3</v>
      </c>
      <c r="AO437" s="10">
        <v>0</v>
      </c>
      <c r="AP437" s="10">
        <v>0</v>
      </c>
      <c r="AQ437" s="10">
        <v>0</v>
      </c>
      <c r="AR437" s="10">
        <v>2</v>
      </c>
      <c r="AS437" s="11">
        <v>1</v>
      </c>
      <c r="AT437" s="11">
        <v>0</v>
      </c>
      <c r="AU437" s="11">
        <v>1</v>
      </c>
      <c r="AV437" s="11">
        <v>0</v>
      </c>
      <c r="AW437" s="11">
        <v>3</v>
      </c>
      <c r="AX437" s="11">
        <v>3</v>
      </c>
      <c r="AY437" s="7">
        <v>2</v>
      </c>
      <c r="AZ437" s="7">
        <v>2</v>
      </c>
      <c r="BA437" s="7">
        <v>2</v>
      </c>
      <c r="BB437" s="7">
        <v>2</v>
      </c>
      <c r="BC437" s="7">
        <v>2</v>
      </c>
      <c r="BD437" s="7">
        <v>3</v>
      </c>
      <c r="BE437" s="7">
        <v>2</v>
      </c>
      <c r="BF437" s="7">
        <v>3</v>
      </c>
      <c r="BG437" s="12">
        <f>SUM(data__22[[#This Row],[N1]:[N4]],data__22[[#This Row],[N10]:[N13]],data__22[[#This Row],[N16]:[N18]])/11</f>
        <v>2.5454545454545454</v>
      </c>
      <c r="BH437" s="13">
        <f>SUM(data__22[[#This Row],[N8]:[N9]],data__22[[#This Row],[N23]:[N25]])/5</f>
        <v>1.2</v>
      </c>
      <c r="BI437" s="12">
        <f>SUM(data__22[[#This Row],[N5]:[N7]])/3</f>
        <v>3</v>
      </c>
      <c r="BJ437" s="12">
        <f>SUM(data__22[[#This Row],[N14]:[N15]],data__22[[#This Row],[N19]:[N22]],data__22[[#This Row],[N26]:[N28]])/9</f>
        <v>1.3333333333333333</v>
      </c>
      <c r="BK437" s="12">
        <f>SUM(data__22[[#This Row],[N29]:[N33]])/5</f>
        <v>2</v>
      </c>
      <c r="BL437" s="12">
        <f>SUM(data__22[[#This Row],[N34]:[N36]])/3</f>
        <v>2.6666666666666665</v>
      </c>
    </row>
    <row r="438" spans="1:64" x14ac:dyDescent="0.3">
      <c r="A438" s="7">
        <v>26</v>
      </c>
      <c r="B438" s="7" t="s">
        <v>70</v>
      </c>
      <c r="C438" s="7" t="s">
        <v>153</v>
      </c>
      <c r="D438" s="7" t="s">
        <v>149</v>
      </c>
      <c r="E438" s="7" t="s">
        <v>108</v>
      </c>
      <c r="F438" s="7" t="s">
        <v>74</v>
      </c>
      <c r="G438" s="7" t="s">
        <v>439</v>
      </c>
      <c r="H438" s="7" t="s">
        <v>74</v>
      </c>
      <c r="I438" s="7" t="s">
        <v>439</v>
      </c>
      <c r="J438" s="7" t="s">
        <v>77</v>
      </c>
      <c r="K438" s="7" t="s">
        <v>78</v>
      </c>
      <c r="L438" s="8" t="s">
        <v>79</v>
      </c>
      <c r="M438" s="8" t="s">
        <v>80</v>
      </c>
      <c r="N438" s="8" t="s">
        <v>79</v>
      </c>
      <c r="O438" s="8" t="s">
        <v>138</v>
      </c>
      <c r="P438" s="8" t="s">
        <v>79</v>
      </c>
      <c r="Q438" s="8" t="s">
        <v>118</v>
      </c>
      <c r="R438" s="8" t="s">
        <v>79</v>
      </c>
      <c r="S438" s="8" t="s">
        <v>79</v>
      </c>
      <c r="T438" s="8" t="s">
        <v>86</v>
      </c>
      <c r="U438" s="8" t="s">
        <v>141</v>
      </c>
      <c r="V438" s="8" t="s">
        <v>455</v>
      </c>
      <c r="W438" s="9">
        <v>3</v>
      </c>
      <c r="X438" s="9">
        <v>2</v>
      </c>
      <c r="Y438" s="9">
        <v>3</v>
      </c>
      <c r="Z438" s="9">
        <v>2</v>
      </c>
      <c r="AA438" s="9">
        <v>3</v>
      </c>
      <c r="AB438" s="9">
        <v>3</v>
      </c>
      <c r="AC438" s="9">
        <v>3</v>
      </c>
      <c r="AD438" s="9">
        <v>2</v>
      </c>
      <c r="AE438" s="9">
        <v>2</v>
      </c>
      <c r="AF438" s="9">
        <v>3</v>
      </c>
      <c r="AG438" s="9">
        <v>2</v>
      </c>
      <c r="AH438" s="9">
        <v>2</v>
      </c>
      <c r="AI438" s="9">
        <v>2</v>
      </c>
      <c r="AJ438" s="9">
        <v>3</v>
      </c>
      <c r="AK438" s="9">
        <v>1</v>
      </c>
      <c r="AL438" s="10">
        <v>3</v>
      </c>
      <c r="AM438" s="10">
        <v>3</v>
      </c>
      <c r="AN438" s="10">
        <v>3</v>
      </c>
      <c r="AO438" s="10">
        <v>0</v>
      </c>
      <c r="AP438" s="10">
        <v>0</v>
      </c>
      <c r="AQ438" s="10">
        <v>0</v>
      </c>
      <c r="AR438" s="10">
        <v>2</v>
      </c>
      <c r="AS438" s="11">
        <v>1</v>
      </c>
      <c r="AT438" s="11">
        <v>0</v>
      </c>
      <c r="AU438" s="11">
        <v>1</v>
      </c>
      <c r="AV438" s="11">
        <v>0</v>
      </c>
      <c r="AW438" s="11">
        <v>3</v>
      </c>
      <c r="AX438" s="11">
        <v>3</v>
      </c>
      <c r="AY438" s="7">
        <v>2</v>
      </c>
      <c r="AZ438" s="7">
        <v>2</v>
      </c>
      <c r="BA438" s="7">
        <v>2</v>
      </c>
      <c r="BB438" s="7">
        <v>2</v>
      </c>
      <c r="BC438" s="7">
        <v>2</v>
      </c>
      <c r="BD438" s="7">
        <v>3</v>
      </c>
      <c r="BE438" s="7">
        <v>2</v>
      </c>
      <c r="BF438" s="7">
        <v>3</v>
      </c>
      <c r="BG438" s="12">
        <f>SUM(data__22[[#This Row],[N1]:[N4]],data__22[[#This Row],[N10]:[N13]],data__22[[#This Row],[N16]:[N18]])/11</f>
        <v>2.5454545454545454</v>
      </c>
      <c r="BH438" s="13">
        <f>SUM(data__22[[#This Row],[N8]:[N9]],data__22[[#This Row],[N23]:[N25]])/5</f>
        <v>1.2</v>
      </c>
      <c r="BI438" s="12">
        <f>SUM(data__22[[#This Row],[N5]:[N7]])/3</f>
        <v>3</v>
      </c>
      <c r="BJ438" s="12">
        <f>SUM(data__22[[#This Row],[N14]:[N15]],data__22[[#This Row],[N19]:[N22]],data__22[[#This Row],[N26]:[N28]])/9</f>
        <v>1.3333333333333333</v>
      </c>
      <c r="BK438" s="12">
        <f>SUM(data__22[[#This Row],[N29]:[N33]])/5</f>
        <v>2</v>
      </c>
      <c r="BL438" s="12">
        <f>SUM(data__22[[#This Row],[N34]:[N36]])/3</f>
        <v>2.6666666666666665</v>
      </c>
    </row>
    <row r="439" spans="1:64" x14ac:dyDescent="0.3">
      <c r="A439" s="7">
        <v>26</v>
      </c>
      <c r="B439" s="7" t="s">
        <v>70</v>
      </c>
      <c r="C439" s="7" t="s">
        <v>153</v>
      </c>
      <c r="D439" s="7" t="s">
        <v>149</v>
      </c>
      <c r="E439" s="7" t="s">
        <v>108</v>
      </c>
      <c r="F439" s="7" t="s">
        <v>74</v>
      </c>
      <c r="G439" s="7" t="s">
        <v>439</v>
      </c>
      <c r="H439" s="7" t="s">
        <v>74</v>
      </c>
      <c r="I439" s="7" t="s">
        <v>439</v>
      </c>
      <c r="J439" s="7" t="s">
        <v>77</v>
      </c>
      <c r="K439" s="7" t="s">
        <v>78</v>
      </c>
      <c r="L439" s="8" t="s">
        <v>79</v>
      </c>
      <c r="M439" s="8" t="s">
        <v>80</v>
      </c>
      <c r="N439" s="8" t="s">
        <v>79</v>
      </c>
      <c r="O439" s="8" t="s">
        <v>138</v>
      </c>
      <c r="P439" s="8" t="s">
        <v>79</v>
      </c>
      <c r="Q439" s="8" t="s">
        <v>118</v>
      </c>
      <c r="R439" s="8" t="s">
        <v>79</v>
      </c>
      <c r="S439" s="8" t="s">
        <v>79</v>
      </c>
      <c r="T439" s="8" t="s">
        <v>86</v>
      </c>
      <c r="U439" s="8" t="s">
        <v>141</v>
      </c>
      <c r="V439" s="8" t="s">
        <v>455</v>
      </c>
      <c r="W439" s="9">
        <v>3</v>
      </c>
      <c r="X439" s="9">
        <v>2</v>
      </c>
      <c r="Y439" s="9">
        <v>3</v>
      </c>
      <c r="Z439" s="9">
        <v>2</v>
      </c>
      <c r="AA439" s="9">
        <v>3</v>
      </c>
      <c r="AB439" s="9">
        <v>3</v>
      </c>
      <c r="AC439" s="9">
        <v>3</v>
      </c>
      <c r="AD439" s="9">
        <v>2</v>
      </c>
      <c r="AE439" s="9">
        <v>2</v>
      </c>
      <c r="AF439" s="9">
        <v>3</v>
      </c>
      <c r="AG439" s="9">
        <v>2</v>
      </c>
      <c r="AH439" s="9">
        <v>2</v>
      </c>
      <c r="AI439" s="9">
        <v>2</v>
      </c>
      <c r="AJ439" s="9">
        <v>3</v>
      </c>
      <c r="AK439" s="9">
        <v>1</v>
      </c>
      <c r="AL439" s="10">
        <v>3</v>
      </c>
      <c r="AM439" s="10">
        <v>3</v>
      </c>
      <c r="AN439" s="10">
        <v>3</v>
      </c>
      <c r="AO439" s="10">
        <v>0</v>
      </c>
      <c r="AP439" s="10">
        <v>0</v>
      </c>
      <c r="AQ439" s="10">
        <v>0</v>
      </c>
      <c r="AR439" s="10">
        <v>2</v>
      </c>
      <c r="AS439" s="11">
        <v>1</v>
      </c>
      <c r="AT439" s="11">
        <v>0</v>
      </c>
      <c r="AU439" s="11">
        <v>1</v>
      </c>
      <c r="AV439" s="11">
        <v>0</v>
      </c>
      <c r="AW439" s="11">
        <v>3</v>
      </c>
      <c r="AX439" s="11">
        <v>3</v>
      </c>
      <c r="AY439" s="7">
        <v>2</v>
      </c>
      <c r="AZ439" s="7">
        <v>2</v>
      </c>
      <c r="BA439" s="7">
        <v>2</v>
      </c>
      <c r="BB439" s="7">
        <v>2</v>
      </c>
      <c r="BC439" s="7">
        <v>2</v>
      </c>
      <c r="BD439" s="7">
        <v>3</v>
      </c>
      <c r="BE439" s="7">
        <v>2</v>
      </c>
      <c r="BF439" s="7">
        <v>3</v>
      </c>
      <c r="BG439" s="12">
        <f>SUM(data__22[[#This Row],[N1]:[N4]],data__22[[#This Row],[N10]:[N13]],data__22[[#This Row],[N16]:[N18]])/11</f>
        <v>2.5454545454545454</v>
      </c>
      <c r="BH439" s="13">
        <f>SUM(data__22[[#This Row],[N8]:[N9]],data__22[[#This Row],[N23]:[N25]])/5</f>
        <v>1.2</v>
      </c>
      <c r="BI439" s="12">
        <f>SUM(data__22[[#This Row],[N5]:[N7]])/3</f>
        <v>3</v>
      </c>
      <c r="BJ439" s="12">
        <f>SUM(data__22[[#This Row],[N14]:[N15]],data__22[[#This Row],[N19]:[N22]],data__22[[#This Row],[N26]:[N28]])/9</f>
        <v>1.3333333333333333</v>
      </c>
      <c r="BK439" s="12">
        <f>SUM(data__22[[#This Row],[N29]:[N33]])/5</f>
        <v>2</v>
      </c>
      <c r="BL439" s="12">
        <f>SUM(data__22[[#This Row],[N34]:[N36]])/3</f>
        <v>2.6666666666666665</v>
      </c>
    </row>
    <row r="440" spans="1:64" x14ac:dyDescent="0.3">
      <c r="A440" s="7">
        <v>26</v>
      </c>
      <c r="B440" s="7" t="s">
        <v>70</v>
      </c>
      <c r="C440" s="7" t="s">
        <v>153</v>
      </c>
      <c r="D440" s="7" t="s">
        <v>149</v>
      </c>
      <c r="E440" s="7" t="s">
        <v>108</v>
      </c>
      <c r="F440" s="7" t="s">
        <v>74</v>
      </c>
      <c r="G440" s="7" t="s">
        <v>439</v>
      </c>
      <c r="H440" s="7" t="s">
        <v>74</v>
      </c>
      <c r="I440" s="7" t="s">
        <v>439</v>
      </c>
      <c r="J440" s="7" t="s">
        <v>77</v>
      </c>
      <c r="K440" s="7" t="s">
        <v>78</v>
      </c>
      <c r="L440" s="8" t="s">
        <v>79</v>
      </c>
      <c r="M440" s="8" t="s">
        <v>80</v>
      </c>
      <c r="N440" s="8" t="s">
        <v>79</v>
      </c>
      <c r="O440" s="8" t="s">
        <v>138</v>
      </c>
      <c r="P440" s="8" t="s">
        <v>79</v>
      </c>
      <c r="Q440" s="8" t="s">
        <v>118</v>
      </c>
      <c r="R440" s="8" t="s">
        <v>79</v>
      </c>
      <c r="S440" s="8" t="s">
        <v>79</v>
      </c>
      <c r="T440" s="8" t="s">
        <v>86</v>
      </c>
      <c r="U440" s="8" t="s">
        <v>141</v>
      </c>
      <c r="V440" s="8" t="s">
        <v>455</v>
      </c>
      <c r="W440" s="9">
        <v>3</v>
      </c>
      <c r="X440" s="9">
        <v>2</v>
      </c>
      <c r="Y440" s="9">
        <v>3</v>
      </c>
      <c r="Z440" s="9">
        <v>2</v>
      </c>
      <c r="AA440" s="9">
        <v>3</v>
      </c>
      <c r="AB440" s="9">
        <v>3</v>
      </c>
      <c r="AC440" s="9">
        <v>3</v>
      </c>
      <c r="AD440" s="9">
        <v>2</v>
      </c>
      <c r="AE440" s="9">
        <v>2</v>
      </c>
      <c r="AF440" s="9">
        <v>3</v>
      </c>
      <c r="AG440" s="9">
        <v>2</v>
      </c>
      <c r="AH440" s="9">
        <v>2</v>
      </c>
      <c r="AI440" s="9">
        <v>2</v>
      </c>
      <c r="AJ440" s="9">
        <v>3</v>
      </c>
      <c r="AK440" s="9">
        <v>1</v>
      </c>
      <c r="AL440" s="10">
        <v>3</v>
      </c>
      <c r="AM440" s="10">
        <v>3</v>
      </c>
      <c r="AN440" s="10">
        <v>3</v>
      </c>
      <c r="AO440" s="10">
        <v>0</v>
      </c>
      <c r="AP440" s="10">
        <v>0</v>
      </c>
      <c r="AQ440" s="10">
        <v>0</v>
      </c>
      <c r="AR440" s="10">
        <v>2</v>
      </c>
      <c r="AS440" s="11">
        <v>1</v>
      </c>
      <c r="AT440" s="11">
        <v>0</v>
      </c>
      <c r="AU440" s="11">
        <v>1</v>
      </c>
      <c r="AV440" s="11">
        <v>0</v>
      </c>
      <c r="AW440" s="11">
        <v>3</v>
      </c>
      <c r="AX440" s="11">
        <v>3</v>
      </c>
      <c r="AY440" s="7">
        <v>2</v>
      </c>
      <c r="AZ440" s="7">
        <v>2</v>
      </c>
      <c r="BA440" s="7">
        <v>2</v>
      </c>
      <c r="BB440" s="7">
        <v>2</v>
      </c>
      <c r="BC440" s="7">
        <v>2</v>
      </c>
      <c r="BD440" s="7">
        <v>3</v>
      </c>
      <c r="BE440" s="7">
        <v>2</v>
      </c>
      <c r="BF440" s="7">
        <v>3</v>
      </c>
      <c r="BG440" s="12">
        <f>SUM(data__22[[#This Row],[N1]:[N4]],data__22[[#This Row],[N10]:[N13]],data__22[[#This Row],[N16]:[N18]])/11</f>
        <v>2.5454545454545454</v>
      </c>
      <c r="BH440" s="13">
        <f>SUM(data__22[[#This Row],[N8]:[N9]],data__22[[#This Row],[N23]:[N25]])/5</f>
        <v>1.2</v>
      </c>
      <c r="BI440" s="12">
        <f>SUM(data__22[[#This Row],[N5]:[N7]])/3</f>
        <v>3</v>
      </c>
      <c r="BJ440" s="12">
        <f>SUM(data__22[[#This Row],[N14]:[N15]],data__22[[#This Row],[N19]:[N22]],data__22[[#This Row],[N26]:[N28]])/9</f>
        <v>1.3333333333333333</v>
      </c>
      <c r="BK440" s="12">
        <f>SUM(data__22[[#This Row],[N29]:[N33]])/5</f>
        <v>2</v>
      </c>
      <c r="BL440" s="12">
        <f>SUM(data__22[[#This Row],[N34]:[N36]])/3</f>
        <v>2.6666666666666665</v>
      </c>
    </row>
    <row r="441" spans="1:64" x14ac:dyDescent="0.3">
      <c r="A441" s="7">
        <v>26</v>
      </c>
      <c r="B441" s="7" t="s">
        <v>70</v>
      </c>
      <c r="C441" s="7" t="s">
        <v>153</v>
      </c>
      <c r="D441" s="7" t="s">
        <v>149</v>
      </c>
      <c r="E441" s="7" t="s">
        <v>108</v>
      </c>
      <c r="F441" s="7" t="s">
        <v>74</v>
      </c>
      <c r="G441" s="7" t="s">
        <v>439</v>
      </c>
      <c r="H441" s="7" t="s">
        <v>74</v>
      </c>
      <c r="I441" s="7" t="s">
        <v>439</v>
      </c>
      <c r="J441" s="7" t="s">
        <v>77</v>
      </c>
      <c r="K441" s="7" t="s">
        <v>78</v>
      </c>
      <c r="L441" s="8" t="s">
        <v>79</v>
      </c>
      <c r="M441" s="8" t="s">
        <v>80</v>
      </c>
      <c r="N441" s="8" t="s">
        <v>79</v>
      </c>
      <c r="O441" s="8" t="s">
        <v>138</v>
      </c>
      <c r="P441" s="8" t="s">
        <v>79</v>
      </c>
      <c r="Q441" s="8" t="s">
        <v>118</v>
      </c>
      <c r="R441" s="8" t="s">
        <v>79</v>
      </c>
      <c r="S441" s="8" t="s">
        <v>79</v>
      </c>
      <c r="T441" s="8" t="s">
        <v>86</v>
      </c>
      <c r="U441" s="8" t="s">
        <v>141</v>
      </c>
      <c r="V441" s="8" t="s">
        <v>455</v>
      </c>
      <c r="W441" s="9">
        <v>3</v>
      </c>
      <c r="X441" s="9">
        <v>2</v>
      </c>
      <c r="Y441" s="9">
        <v>3</v>
      </c>
      <c r="Z441" s="9">
        <v>2</v>
      </c>
      <c r="AA441" s="9">
        <v>3</v>
      </c>
      <c r="AB441" s="9">
        <v>3</v>
      </c>
      <c r="AC441" s="9">
        <v>3</v>
      </c>
      <c r="AD441" s="9">
        <v>2</v>
      </c>
      <c r="AE441" s="9">
        <v>2</v>
      </c>
      <c r="AF441" s="9">
        <v>3</v>
      </c>
      <c r="AG441" s="9">
        <v>2</v>
      </c>
      <c r="AH441" s="9">
        <v>2</v>
      </c>
      <c r="AI441" s="9">
        <v>2</v>
      </c>
      <c r="AJ441" s="9">
        <v>3</v>
      </c>
      <c r="AK441" s="9">
        <v>1</v>
      </c>
      <c r="AL441" s="10">
        <v>3</v>
      </c>
      <c r="AM441" s="10">
        <v>3</v>
      </c>
      <c r="AN441" s="10">
        <v>3</v>
      </c>
      <c r="AO441" s="10">
        <v>0</v>
      </c>
      <c r="AP441" s="10">
        <v>0</v>
      </c>
      <c r="AQ441" s="10">
        <v>0</v>
      </c>
      <c r="AR441" s="10">
        <v>2</v>
      </c>
      <c r="AS441" s="11">
        <v>1</v>
      </c>
      <c r="AT441" s="11">
        <v>0</v>
      </c>
      <c r="AU441" s="11">
        <v>1</v>
      </c>
      <c r="AV441" s="11">
        <v>0</v>
      </c>
      <c r="AW441" s="11">
        <v>3</v>
      </c>
      <c r="AX441" s="11">
        <v>3</v>
      </c>
      <c r="AY441" s="7">
        <v>2</v>
      </c>
      <c r="AZ441" s="7">
        <v>2</v>
      </c>
      <c r="BA441" s="7">
        <v>2</v>
      </c>
      <c r="BB441" s="7">
        <v>2</v>
      </c>
      <c r="BC441" s="7">
        <v>2</v>
      </c>
      <c r="BD441" s="7">
        <v>3</v>
      </c>
      <c r="BE441" s="7">
        <v>2</v>
      </c>
      <c r="BF441" s="7">
        <v>3</v>
      </c>
      <c r="BG441" s="12">
        <f>SUM(data__22[[#This Row],[N1]:[N4]],data__22[[#This Row],[N10]:[N13]],data__22[[#This Row],[N16]:[N18]])/11</f>
        <v>2.5454545454545454</v>
      </c>
      <c r="BH441" s="13">
        <f>SUM(data__22[[#This Row],[N8]:[N9]],data__22[[#This Row],[N23]:[N25]])/5</f>
        <v>1.2</v>
      </c>
      <c r="BI441" s="12">
        <f>SUM(data__22[[#This Row],[N5]:[N7]])/3</f>
        <v>3</v>
      </c>
      <c r="BJ441" s="12">
        <f>SUM(data__22[[#This Row],[N14]:[N15]],data__22[[#This Row],[N19]:[N22]],data__22[[#This Row],[N26]:[N28]])/9</f>
        <v>1.3333333333333333</v>
      </c>
      <c r="BK441" s="12">
        <f>SUM(data__22[[#This Row],[N29]:[N33]])/5</f>
        <v>2</v>
      </c>
      <c r="BL441" s="12">
        <f>SUM(data__22[[#This Row],[N34]:[N36]])/3</f>
        <v>2.6666666666666665</v>
      </c>
    </row>
    <row r="442" spans="1:64" x14ac:dyDescent="0.3">
      <c r="A442" s="7">
        <v>26</v>
      </c>
      <c r="B442" s="7" t="s">
        <v>70</v>
      </c>
      <c r="C442" s="7" t="s">
        <v>153</v>
      </c>
      <c r="D442" s="7" t="s">
        <v>149</v>
      </c>
      <c r="E442" s="7" t="s">
        <v>108</v>
      </c>
      <c r="F442" s="7" t="s">
        <v>74</v>
      </c>
      <c r="G442" s="7" t="s">
        <v>439</v>
      </c>
      <c r="H442" s="7" t="s">
        <v>74</v>
      </c>
      <c r="I442" s="7" t="s">
        <v>439</v>
      </c>
      <c r="J442" s="7" t="s">
        <v>77</v>
      </c>
      <c r="K442" s="7" t="s">
        <v>78</v>
      </c>
      <c r="L442" s="8" t="s">
        <v>79</v>
      </c>
      <c r="M442" s="8" t="s">
        <v>80</v>
      </c>
      <c r="N442" s="8" t="s">
        <v>79</v>
      </c>
      <c r="O442" s="8" t="s">
        <v>138</v>
      </c>
      <c r="P442" s="8" t="s">
        <v>79</v>
      </c>
      <c r="Q442" s="8" t="s">
        <v>118</v>
      </c>
      <c r="R442" s="8" t="s">
        <v>79</v>
      </c>
      <c r="S442" s="8" t="s">
        <v>79</v>
      </c>
      <c r="T442" s="8" t="s">
        <v>86</v>
      </c>
      <c r="U442" s="8" t="s">
        <v>141</v>
      </c>
      <c r="V442" s="8" t="s">
        <v>455</v>
      </c>
      <c r="W442" s="9">
        <v>3</v>
      </c>
      <c r="X442" s="9">
        <v>2</v>
      </c>
      <c r="Y442" s="9">
        <v>3</v>
      </c>
      <c r="Z442" s="9">
        <v>2</v>
      </c>
      <c r="AA442" s="9">
        <v>3</v>
      </c>
      <c r="AB442" s="9">
        <v>3</v>
      </c>
      <c r="AC442" s="9">
        <v>3</v>
      </c>
      <c r="AD442" s="9">
        <v>2</v>
      </c>
      <c r="AE442" s="9">
        <v>2</v>
      </c>
      <c r="AF442" s="9">
        <v>3</v>
      </c>
      <c r="AG442" s="9">
        <v>2</v>
      </c>
      <c r="AH442" s="9">
        <v>2</v>
      </c>
      <c r="AI442" s="9">
        <v>2</v>
      </c>
      <c r="AJ442" s="9">
        <v>3</v>
      </c>
      <c r="AK442" s="9">
        <v>1</v>
      </c>
      <c r="AL442" s="10">
        <v>3</v>
      </c>
      <c r="AM442" s="10">
        <v>3</v>
      </c>
      <c r="AN442" s="10">
        <v>3</v>
      </c>
      <c r="AO442" s="10">
        <v>0</v>
      </c>
      <c r="AP442" s="10">
        <v>0</v>
      </c>
      <c r="AQ442" s="10">
        <v>0</v>
      </c>
      <c r="AR442" s="10">
        <v>2</v>
      </c>
      <c r="AS442" s="11">
        <v>1</v>
      </c>
      <c r="AT442" s="11">
        <v>0</v>
      </c>
      <c r="AU442" s="11">
        <v>1</v>
      </c>
      <c r="AV442" s="11">
        <v>0</v>
      </c>
      <c r="AW442" s="11">
        <v>3</v>
      </c>
      <c r="AX442" s="11">
        <v>3</v>
      </c>
      <c r="AY442" s="7">
        <v>2</v>
      </c>
      <c r="AZ442" s="7">
        <v>2</v>
      </c>
      <c r="BA442" s="7">
        <v>2</v>
      </c>
      <c r="BB442" s="7">
        <v>2</v>
      </c>
      <c r="BC442" s="7">
        <v>2</v>
      </c>
      <c r="BD442" s="7">
        <v>3</v>
      </c>
      <c r="BE442" s="7">
        <v>2</v>
      </c>
      <c r="BF442" s="7">
        <v>3</v>
      </c>
      <c r="BG442" s="12">
        <f>SUM(data__22[[#This Row],[N1]:[N4]],data__22[[#This Row],[N10]:[N13]],data__22[[#This Row],[N16]:[N18]])/11</f>
        <v>2.5454545454545454</v>
      </c>
      <c r="BH442" s="13">
        <f>SUM(data__22[[#This Row],[N8]:[N9]],data__22[[#This Row],[N23]:[N25]])/5</f>
        <v>1.2</v>
      </c>
      <c r="BI442" s="12">
        <f>SUM(data__22[[#This Row],[N5]:[N7]])/3</f>
        <v>3</v>
      </c>
      <c r="BJ442" s="12">
        <f>SUM(data__22[[#This Row],[N14]:[N15]],data__22[[#This Row],[N19]:[N22]],data__22[[#This Row],[N26]:[N28]])/9</f>
        <v>1.3333333333333333</v>
      </c>
      <c r="BK442" s="12">
        <f>SUM(data__22[[#This Row],[N29]:[N33]])/5</f>
        <v>2</v>
      </c>
      <c r="BL442" s="12">
        <f>SUM(data__22[[#This Row],[N34]:[N36]])/3</f>
        <v>2.6666666666666665</v>
      </c>
    </row>
    <row r="443" spans="1:64" x14ac:dyDescent="0.3">
      <c r="A443" s="7">
        <v>26</v>
      </c>
      <c r="B443" s="7" t="s">
        <v>70</v>
      </c>
      <c r="C443" s="7" t="s">
        <v>153</v>
      </c>
      <c r="D443" s="7" t="s">
        <v>149</v>
      </c>
      <c r="E443" s="7" t="s">
        <v>108</v>
      </c>
      <c r="F443" s="7" t="s">
        <v>74</v>
      </c>
      <c r="G443" s="7" t="s">
        <v>439</v>
      </c>
      <c r="H443" s="7" t="s">
        <v>74</v>
      </c>
      <c r="I443" s="7" t="s">
        <v>439</v>
      </c>
      <c r="J443" s="7" t="s">
        <v>77</v>
      </c>
      <c r="K443" s="7" t="s">
        <v>78</v>
      </c>
      <c r="L443" s="8" t="s">
        <v>79</v>
      </c>
      <c r="M443" s="8" t="s">
        <v>80</v>
      </c>
      <c r="N443" s="8" t="s">
        <v>79</v>
      </c>
      <c r="O443" s="8" t="s">
        <v>138</v>
      </c>
      <c r="P443" s="8" t="s">
        <v>79</v>
      </c>
      <c r="Q443" s="8" t="s">
        <v>118</v>
      </c>
      <c r="R443" s="8" t="s">
        <v>79</v>
      </c>
      <c r="S443" s="8" t="s">
        <v>79</v>
      </c>
      <c r="T443" s="8" t="s">
        <v>86</v>
      </c>
      <c r="U443" s="8" t="s">
        <v>141</v>
      </c>
      <c r="V443" s="8" t="s">
        <v>455</v>
      </c>
      <c r="W443" s="9">
        <v>3</v>
      </c>
      <c r="X443" s="9">
        <v>2</v>
      </c>
      <c r="Y443" s="9">
        <v>3</v>
      </c>
      <c r="Z443" s="9">
        <v>2</v>
      </c>
      <c r="AA443" s="9">
        <v>3</v>
      </c>
      <c r="AB443" s="9">
        <v>3</v>
      </c>
      <c r="AC443" s="9">
        <v>3</v>
      </c>
      <c r="AD443" s="9">
        <v>2</v>
      </c>
      <c r="AE443" s="9">
        <v>2</v>
      </c>
      <c r="AF443" s="9">
        <v>3</v>
      </c>
      <c r="AG443" s="9">
        <v>2</v>
      </c>
      <c r="AH443" s="9">
        <v>2</v>
      </c>
      <c r="AI443" s="9">
        <v>2</v>
      </c>
      <c r="AJ443" s="9">
        <v>3</v>
      </c>
      <c r="AK443" s="9">
        <v>1</v>
      </c>
      <c r="AL443" s="10">
        <v>3</v>
      </c>
      <c r="AM443" s="10">
        <v>3</v>
      </c>
      <c r="AN443" s="10">
        <v>3</v>
      </c>
      <c r="AO443" s="10">
        <v>0</v>
      </c>
      <c r="AP443" s="10">
        <v>0</v>
      </c>
      <c r="AQ443" s="10">
        <v>0</v>
      </c>
      <c r="AR443" s="10">
        <v>2</v>
      </c>
      <c r="AS443" s="11">
        <v>1</v>
      </c>
      <c r="AT443" s="11">
        <v>0</v>
      </c>
      <c r="AU443" s="11">
        <v>1</v>
      </c>
      <c r="AV443" s="11">
        <v>0</v>
      </c>
      <c r="AW443" s="11">
        <v>3</v>
      </c>
      <c r="AX443" s="11">
        <v>3</v>
      </c>
      <c r="AY443" s="7">
        <v>2</v>
      </c>
      <c r="AZ443" s="7">
        <v>2</v>
      </c>
      <c r="BA443" s="7">
        <v>2</v>
      </c>
      <c r="BB443" s="7">
        <v>2</v>
      </c>
      <c r="BC443" s="7">
        <v>2</v>
      </c>
      <c r="BD443" s="7">
        <v>3</v>
      </c>
      <c r="BE443" s="7">
        <v>2</v>
      </c>
      <c r="BF443" s="7">
        <v>3</v>
      </c>
      <c r="BG443" s="12">
        <f>SUM(data__22[[#This Row],[N1]:[N4]],data__22[[#This Row],[N10]:[N13]],data__22[[#This Row],[N16]:[N18]])/11</f>
        <v>2.5454545454545454</v>
      </c>
      <c r="BH443" s="13">
        <f>SUM(data__22[[#This Row],[N8]:[N9]],data__22[[#This Row],[N23]:[N25]])/5</f>
        <v>1.2</v>
      </c>
      <c r="BI443" s="12">
        <f>SUM(data__22[[#This Row],[N5]:[N7]])/3</f>
        <v>3</v>
      </c>
      <c r="BJ443" s="12">
        <f>SUM(data__22[[#This Row],[N14]:[N15]],data__22[[#This Row],[N19]:[N22]],data__22[[#This Row],[N26]:[N28]])/9</f>
        <v>1.3333333333333333</v>
      </c>
      <c r="BK443" s="12">
        <f>SUM(data__22[[#This Row],[N29]:[N33]])/5</f>
        <v>2</v>
      </c>
      <c r="BL443" s="12">
        <f>SUM(data__22[[#This Row],[N34]:[N36]])/3</f>
        <v>2.6666666666666665</v>
      </c>
    </row>
    <row r="444" spans="1:64" x14ac:dyDescent="0.3">
      <c r="A444" s="7">
        <v>23</v>
      </c>
      <c r="B444" s="7" t="s">
        <v>70</v>
      </c>
      <c r="C444" s="7" t="s">
        <v>113</v>
      </c>
      <c r="D444" s="7" t="s">
        <v>149</v>
      </c>
      <c r="E444" s="7" t="s">
        <v>73</v>
      </c>
      <c r="F444" s="7" t="s">
        <v>136</v>
      </c>
      <c r="G444" s="7" t="s">
        <v>439</v>
      </c>
      <c r="H444" s="7" t="s">
        <v>98</v>
      </c>
      <c r="I444" s="7" t="s">
        <v>76</v>
      </c>
      <c r="J444" s="7" t="s">
        <v>77</v>
      </c>
      <c r="K444" s="7" t="s">
        <v>122</v>
      </c>
      <c r="L444" s="8" t="s">
        <v>82</v>
      </c>
      <c r="M444" s="8" t="s">
        <v>80</v>
      </c>
      <c r="N444" s="8" t="s">
        <v>79</v>
      </c>
      <c r="O444" s="8" t="s">
        <v>117</v>
      </c>
      <c r="P444" s="8" t="s">
        <v>79</v>
      </c>
      <c r="Q444" s="8" t="s">
        <v>83</v>
      </c>
      <c r="R444" s="8" t="s">
        <v>82</v>
      </c>
      <c r="S444" s="8" t="s">
        <v>79</v>
      </c>
      <c r="T444" s="8" t="s">
        <v>106</v>
      </c>
      <c r="U444" s="8" t="s">
        <v>141</v>
      </c>
      <c r="V444" s="8" t="s">
        <v>112</v>
      </c>
      <c r="W444" s="9">
        <v>3</v>
      </c>
      <c r="X444" s="9">
        <v>3</v>
      </c>
      <c r="Y444" s="9">
        <v>2</v>
      </c>
      <c r="Z444" s="9">
        <v>3</v>
      </c>
      <c r="AA444" s="9">
        <v>3</v>
      </c>
      <c r="AB444" s="9">
        <v>2</v>
      </c>
      <c r="AC444" s="9">
        <v>2</v>
      </c>
      <c r="AD444" s="9">
        <v>2</v>
      </c>
      <c r="AE444" s="9">
        <v>2</v>
      </c>
      <c r="AF444" s="9">
        <v>3</v>
      </c>
      <c r="AG444" s="9">
        <v>3</v>
      </c>
      <c r="AH444" s="9">
        <v>2</v>
      </c>
      <c r="AI444" s="9">
        <v>3</v>
      </c>
      <c r="AJ444" s="9">
        <v>2</v>
      </c>
      <c r="AK444" s="9">
        <v>1</v>
      </c>
      <c r="AL444" s="10">
        <v>3</v>
      </c>
      <c r="AM444" s="10">
        <v>3</v>
      </c>
      <c r="AN444" s="10">
        <v>3</v>
      </c>
      <c r="AO444" s="10">
        <v>0</v>
      </c>
      <c r="AP444" s="10">
        <v>0</v>
      </c>
      <c r="AQ444" s="10">
        <v>0</v>
      </c>
      <c r="AR444" s="10">
        <v>0</v>
      </c>
      <c r="AS444" s="11">
        <v>2</v>
      </c>
      <c r="AT444" s="11">
        <v>2</v>
      </c>
      <c r="AU444" s="11">
        <v>2</v>
      </c>
      <c r="AV444" s="11">
        <v>2</v>
      </c>
      <c r="AW444" s="11">
        <v>1</v>
      </c>
      <c r="AX444" s="11">
        <v>2</v>
      </c>
      <c r="AY444" s="7">
        <v>3</v>
      </c>
      <c r="AZ444" s="7">
        <v>3</v>
      </c>
      <c r="BA444" s="7">
        <v>3</v>
      </c>
      <c r="BB444" s="7">
        <v>3</v>
      </c>
      <c r="BC444" s="7">
        <v>2</v>
      </c>
      <c r="BD444" s="7">
        <v>3</v>
      </c>
      <c r="BE444" s="7">
        <v>2</v>
      </c>
      <c r="BF444" s="7">
        <v>0</v>
      </c>
      <c r="BG444" s="12">
        <f>SUM(data__22[[#This Row],[N1]:[N4]],data__22[[#This Row],[N10]:[N13]],data__22[[#This Row],[N16]:[N18]])/11</f>
        <v>2.8181818181818183</v>
      </c>
      <c r="BH444" s="13">
        <f>SUM(data__22[[#This Row],[N8]:[N9]],data__22[[#This Row],[N23]:[N25]])/5</f>
        <v>2</v>
      </c>
      <c r="BI444" s="12">
        <f>SUM(data__22[[#This Row],[N5]:[N7]])/3</f>
        <v>2.3333333333333335</v>
      </c>
      <c r="BJ444" s="12">
        <f>SUM(data__22[[#This Row],[N14]:[N15]],data__22[[#This Row],[N19]:[N22]],data__22[[#This Row],[N26]:[N28]])/9</f>
        <v>0.88888888888888884</v>
      </c>
      <c r="BK444" s="12">
        <f>SUM(data__22[[#This Row],[N29]:[N33]])/5</f>
        <v>2.8</v>
      </c>
      <c r="BL444" s="12">
        <f>SUM(data__22[[#This Row],[N34]:[N36]])/3</f>
        <v>1.6666666666666667</v>
      </c>
    </row>
    <row r="445" spans="1:64" x14ac:dyDescent="0.3">
      <c r="A445" s="7">
        <v>22</v>
      </c>
      <c r="B445" s="7" t="s">
        <v>70</v>
      </c>
      <c r="C445" s="7" t="s">
        <v>96</v>
      </c>
      <c r="D445" s="7" t="s">
        <v>72</v>
      </c>
      <c r="E445" s="7" t="s">
        <v>114</v>
      </c>
      <c r="F445" s="7" t="s">
        <v>100</v>
      </c>
      <c r="G445" s="7" t="s">
        <v>439</v>
      </c>
      <c r="H445" s="7" t="s">
        <v>98</v>
      </c>
      <c r="I445" s="7" t="s">
        <v>76</v>
      </c>
      <c r="J445" s="7" t="s">
        <v>77</v>
      </c>
      <c r="K445" s="7" t="s">
        <v>125</v>
      </c>
      <c r="L445" s="8" t="s">
        <v>79</v>
      </c>
      <c r="M445" s="8" t="s">
        <v>80</v>
      </c>
      <c r="N445" s="8" t="s">
        <v>79</v>
      </c>
      <c r="O445" s="8" t="s">
        <v>109</v>
      </c>
      <c r="P445" s="8" t="s">
        <v>79</v>
      </c>
      <c r="Q445" s="8" t="s">
        <v>83</v>
      </c>
      <c r="R445" s="8" t="s">
        <v>79</v>
      </c>
      <c r="S445" s="8" t="s">
        <v>79</v>
      </c>
      <c r="T445" s="8" t="s">
        <v>106</v>
      </c>
      <c r="U445" s="8" t="s">
        <v>87</v>
      </c>
      <c r="V445" s="8" t="s">
        <v>112</v>
      </c>
      <c r="W445" s="9">
        <v>3</v>
      </c>
      <c r="X445" s="9">
        <v>3</v>
      </c>
      <c r="Y445" s="9">
        <v>3</v>
      </c>
      <c r="Z445" s="9">
        <v>3</v>
      </c>
      <c r="AA445" s="9">
        <v>0</v>
      </c>
      <c r="AB445" s="9">
        <v>0</v>
      </c>
      <c r="AC445" s="9">
        <v>0</v>
      </c>
      <c r="AD445" s="9">
        <v>0</v>
      </c>
      <c r="AE445" s="9">
        <v>2</v>
      </c>
      <c r="AF445" s="9">
        <v>2</v>
      </c>
      <c r="AG445" s="9">
        <v>2</v>
      </c>
      <c r="AH445" s="9">
        <v>2</v>
      </c>
      <c r="AI445" s="9">
        <v>3</v>
      </c>
      <c r="AJ445" s="9">
        <v>3</v>
      </c>
      <c r="AK445" s="9">
        <v>3</v>
      </c>
      <c r="AL445" s="10">
        <v>3</v>
      </c>
      <c r="AM445" s="10">
        <v>3</v>
      </c>
      <c r="AN445" s="10">
        <v>3</v>
      </c>
      <c r="AO445" s="10">
        <v>3</v>
      </c>
      <c r="AP445" s="10">
        <v>3</v>
      </c>
      <c r="AQ445" s="10">
        <v>0</v>
      </c>
      <c r="AR445" s="10">
        <v>0</v>
      </c>
      <c r="AS445" s="11">
        <v>3</v>
      </c>
      <c r="AT445" s="11">
        <v>3</v>
      </c>
      <c r="AU445" s="11">
        <v>3</v>
      </c>
      <c r="AV445" s="11">
        <v>3</v>
      </c>
      <c r="AW445" s="11">
        <v>3</v>
      </c>
      <c r="AX445" s="11">
        <v>3</v>
      </c>
      <c r="AY445" s="7">
        <v>3</v>
      </c>
      <c r="AZ445" s="7">
        <v>3</v>
      </c>
      <c r="BA445" s="7">
        <v>3</v>
      </c>
      <c r="BB445" s="7">
        <v>3</v>
      </c>
      <c r="BC445" s="7">
        <v>3</v>
      </c>
      <c r="BD445" s="7">
        <v>3</v>
      </c>
      <c r="BE445" s="7">
        <v>3</v>
      </c>
      <c r="BF445" s="7">
        <v>3</v>
      </c>
      <c r="BG445" s="12">
        <f>SUM(data__22[[#This Row],[N1]:[N4]],data__22[[#This Row],[N10]:[N13]],data__22[[#This Row],[N16]:[N18]])/11</f>
        <v>2.7272727272727271</v>
      </c>
      <c r="BH445" s="13">
        <f>SUM(data__22[[#This Row],[N8]:[N9]],data__22[[#This Row],[N23]:[N25]])/5</f>
        <v>2.2000000000000002</v>
      </c>
      <c r="BI445" s="12">
        <f>SUM(data__22[[#This Row],[N5]:[N7]])/3</f>
        <v>0</v>
      </c>
      <c r="BJ445" s="12">
        <f>SUM(data__22[[#This Row],[N14]:[N15]],data__22[[#This Row],[N19]:[N22]],data__22[[#This Row],[N26]:[N28]])/9</f>
        <v>2.3333333333333335</v>
      </c>
      <c r="BK445" s="12">
        <f>SUM(data__22[[#This Row],[N29]:[N33]])/5</f>
        <v>3</v>
      </c>
      <c r="BL445" s="12">
        <f>SUM(data__22[[#This Row],[N34]:[N36]])/3</f>
        <v>3</v>
      </c>
    </row>
    <row r="446" spans="1:64" x14ac:dyDescent="0.3">
      <c r="A446" s="7">
        <v>20</v>
      </c>
      <c r="B446" s="7" t="s">
        <v>70</v>
      </c>
      <c r="C446" s="7" t="s">
        <v>96</v>
      </c>
      <c r="D446" s="7" t="s">
        <v>97</v>
      </c>
      <c r="E446" s="7" t="s">
        <v>73</v>
      </c>
      <c r="F446" s="7" t="s">
        <v>98</v>
      </c>
      <c r="G446" s="7" t="s">
        <v>440</v>
      </c>
      <c r="H446" s="7" t="s">
        <v>100</v>
      </c>
      <c r="I446" s="7" t="s">
        <v>76</v>
      </c>
      <c r="J446" s="7" t="s">
        <v>77</v>
      </c>
      <c r="K446" s="7" t="s">
        <v>122</v>
      </c>
      <c r="L446" s="8" t="s">
        <v>79</v>
      </c>
      <c r="M446" s="8" t="s">
        <v>80</v>
      </c>
      <c r="N446" s="8" t="s">
        <v>79</v>
      </c>
      <c r="O446" s="8" t="s">
        <v>138</v>
      </c>
      <c r="P446" s="8" t="s">
        <v>79</v>
      </c>
      <c r="Q446" s="8" t="s">
        <v>83</v>
      </c>
      <c r="R446" s="8" t="s">
        <v>79</v>
      </c>
      <c r="S446" s="8" t="s">
        <v>79</v>
      </c>
      <c r="T446" s="8" t="s">
        <v>86</v>
      </c>
      <c r="U446" s="8" t="s">
        <v>141</v>
      </c>
      <c r="V446" s="8" t="s">
        <v>112</v>
      </c>
      <c r="W446" s="9">
        <v>1</v>
      </c>
      <c r="X446" s="9">
        <v>2</v>
      </c>
      <c r="Y446" s="9">
        <v>2</v>
      </c>
      <c r="Z446" s="9">
        <v>1</v>
      </c>
      <c r="AA446" s="9">
        <v>2</v>
      </c>
      <c r="AB446" s="9">
        <v>1</v>
      </c>
      <c r="AC446" s="9">
        <v>2</v>
      </c>
      <c r="AD446" s="9">
        <v>1</v>
      </c>
      <c r="AE446" s="9">
        <v>2</v>
      </c>
      <c r="AF446" s="9">
        <v>1</v>
      </c>
      <c r="AG446" s="9">
        <v>2</v>
      </c>
      <c r="AH446" s="9">
        <v>1</v>
      </c>
      <c r="AI446" s="9">
        <v>1</v>
      </c>
      <c r="AJ446" s="9">
        <v>2</v>
      </c>
      <c r="AK446" s="9">
        <v>1</v>
      </c>
      <c r="AL446" s="10">
        <v>1</v>
      </c>
      <c r="AM446" s="10">
        <v>2</v>
      </c>
      <c r="AN446" s="10">
        <v>1</v>
      </c>
      <c r="AO446" s="10">
        <v>2</v>
      </c>
      <c r="AP446" s="10">
        <v>1</v>
      </c>
      <c r="AQ446" s="10">
        <v>2</v>
      </c>
      <c r="AR446" s="10">
        <v>1</v>
      </c>
      <c r="AS446" s="11">
        <v>1</v>
      </c>
      <c r="AT446" s="11">
        <v>2</v>
      </c>
      <c r="AU446" s="11">
        <v>1</v>
      </c>
      <c r="AV446" s="11">
        <v>2</v>
      </c>
      <c r="AW446" s="11">
        <v>1</v>
      </c>
      <c r="AX446" s="11">
        <v>2</v>
      </c>
      <c r="AY446" s="7">
        <v>1</v>
      </c>
      <c r="AZ446" s="7">
        <v>2</v>
      </c>
      <c r="BA446" s="7">
        <v>1</v>
      </c>
      <c r="BB446" s="7">
        <v>1</v>
      </c>
      <c r="BC446" s="7">
        <v>2</v>
      </c>
      <c r="BD446" s="7">
        <v>1</v>
      </c>
      <c r="BE446" s="7">
        <v>2</v>
      </c>
      <c r="BF446" s="7">
        <v>1</v>
      </c>
      <c r="BG446" s="12">
        <f>SUM(data__22[[#This Row],[N1]:[N4]],data__22[[#This Row],[N10]:[N13]],data__22[[#This Row],[N16]:[N18]])/11</f>
        <v>1.3636363636363635</v>
      </c>
      <c r="BH446" s="13">
        <f>SUM(data__22[[#This Row],[N8]:[N9]],data__22[[#This Row],[N23]:[N25]])/5</f>
        <v>1.4</v>
      </c>
      <c r="BI446" s="12">
        <f>SUM(data__22[[#This Row],[N5]:[N7]])/3</f>
        <v>1.6666666666666667</v>
      </c>
      <c r="BJ446" s="12">
        <f>SUM(data__22[[#This Row],[N14]:[N15]],data__22[[#This Row],[N19]:[N22]],data__22[[#This Row],[N26]:[N28]])/9</f>
        <v>1.5555555555555556</v>
      </c>
      <c r="BK446" s="12">
        <f>SUM(data__22[[#This Row],[N29]:[N33]])/5</f>
        <v>1.4</v>
      </c>
      <c r="BL446" s="12">
        <f>SUM(data__22[[#This Row],[N34]:[N36]])/3</f>
        <v>1.3333333333333333</v>
      </c>
    </row>
    <row r="447" spans="1:64" x14ac:dyDescent="0.3">
      <c r="A447" s="7">
        <v>23</v>
      </c>
      <c r="B447" s="7" t="s">
        <v>70</v>
      </c>
      <c r="C447" s="7" t="s">
        <v>113</v>
      </c>
      <c r="D447" s="7" t="s">
        <v>72</v>
      </c>
      <c r="E447" s="7" t="s">
        <v>108</v>
      </c>
      <c r="F447" s="7" t="s">
        <v>136</v>
      </c>
      <c r="G447" s="7" t="s">
        <v>440</v>
      </c>
      <c r="H447" s="7" t="s">
        <v>136</v>
      </c>
      <c r="I447" s="7" t="s">
        <v>76</v>
      </c>
      <c r="J447" s="7" t="s">
        <v>77</v>
      </c>
      <c r="K447" s="7" t="s">
        <v>122</v>
      </c>
      <c r="L447" s="8" t="s">
        <v>82</v>
      </c>
      <c r="M447" s="8" t="s">
        <v>80</v>
      </c>
      <c r="N447" s="8" t="s">
        <v>79</v>
      </c>
      <c r="O447" s="8" t="s">
        <v>138</v>
      </c>
      <c r="P447" s="8" t="s">
        <v>82</v>
      </c>
      <c r="Q447" s="8" t="s">
        <v>83</v>
      </c>
      <c r="R447" s="8" t="s">
        <v>82</v>
      </c>
      <c r="S447" s="8" t="s">
        <v>82</v>
      </c>
      <c r="T447" s="8" t="s">
        <v>106</v>
      </c>
      <c r="U447" s="8" t="s">
        <v>141</v>
      </c>
      <c r="V447" s="8" t="s">
        <v>457</v>
      </c>
      <c r="W447" s="9">
        <v>3</v>
      </c>
      <c r="X447" s="9">
        <v>2</v>
      </c>
      <c r="Y447" s="9">
        <v>3</v>
      </c>
      <c r="Z447" s="9">
        <v>2</v>
      </c>
      <c r="AA447" s="9">
        <v>1</v>
      </c>
      <c r="AB447" s="9">
        <v>1</v>
      </c>
      <c r="AC447" s="9">
        <v>1</v>
      </c>
      <c r="AD447" s="9">
        <v>1</v>
      </c>
      <c r="AE447" s="9">
        <v>1</v>
      </c>
      <c r="AF447" s="9">
        <v>1</v>
      </c>
      <c r="AG447" s="9">
        <v>1</v>
      </c>
      <c r="AH447" s="9">
        <v>2</v>
      </c>
      <c r="AI447" s="9">
        <v>1</v>
      </c>
      <c r="AJ447" s="9">
        <v>1</v>
      </c>
      <c r="AK447" s="9">
        <v>3</v>
      </c>
      <c r="AL447" s="10">
        <v>1</v>
      </c>
      <c r="AM447" s="10">
        <v>2</v>
      </c>
      <c r="AN447" s="10">
        <v>1</v>
      </c>
      <c r="AO447" s="10">
        <v>2</v>
      </c>
      <c r="AP447" s="10">
        <v>2</v>
      </c>
      <c r="AQ447" s="10">
        <v>1</v>
      </c>
      <c r="AR447" s="10">
        <v>1</v>
      </c>
      <c r="AS447" s="11">
        <v>1</v>
      </c>
      <c r="AT447" s="11">
        <v>2</v>
      </c>
      <c r="AU447" s="11">
        <v>0</v>
      </c>
      <c r="AV447" s="11">
        <v>3</v>
      </c>
      <c r="AW447" s="11">
        <v>1</v>
      </c>
      <c r="AX447" s="11">
        <v>0</v>
      </c>
      <c r="AY447" s="7">
        <v>3</v>
      </c>
      <c r="AZ447" s="7">
        <v>3</v>
      </c>
      <c r="BA447" s="7">
        <v>3</v>
      </c>
      <c r="BB447" s="7">
        <v>3</v>
      </c>
      <c r="BC447" s="7">
        <v>3</v>
      </c>
      <c r="BD447" s="7">
        <v>2</v>
      </c>
      <c r="BE447" s="7">
        <v>3</v>
      </c>
      <c r="BF447" s="7">
        <v>3</v>
      </c>
      <c r="BG447" s="12">
        <f>SUM(data__22[[#This Row],[N1]:[N4]],data__22[[#This Row],[N10]:[N13]],data__22[[#This Row],[N16]:[N18]])/11</f>
        <v>1.7272727272727273</v>
      </c>
      <c r="BH447" s="13">
        <f>SUM(data__22[[#This Row],[N8]:[N9]],data__22[[#This Row],[N23]:[N25]])/5</f>
        <v>1</v>
      </c>
      <c r="BI447" s="12">
        <f>SUM(data__22[[#This Row],[N5]:[N7]])/3</f>
        <v>1</v>
      </c>
      <c r="BJ447" s="12">
        <f>SUM(data__22[[#This Row],[N14]:[N15]],data__22[[#This Row],[N19]:[N22]],data__22[[#This Row],[N26]:[N28]])/9</f>
        <v>1.5555555555555556</v>
      </c>
      <c r="BK447" s="12">
        <f>SUM(data__22[[#This Row],[N29]:[N33]])/5</f>
        <v>3</v>
      </c>
      <c r="BL447" s="12">
        <f>SUM(data__22[[#This Row],[N34]:[N36]])/3</f>
        <v>2.6666666666666665</v>
      </c>
    </row>
    <row r="448" spans="1:64" x14ac:dyDescent="0.3">
      <c r="A448" s="7">
        <v>22</v>
      </c>
      <c r="B448" s="7" t="s">
        <v>70</v>
      </c>
      <c r="C448" s="7" t="s">
        <v>113</v>
      </c>
      <c r="D448" s="7" t="s">
        <v>97</v>
      </c>
      <c r="E448" s="7" t="s">
        <v>114</v>
      </c>
      <c r="F448" s="7" t="s">
        <v>74</v>
      </c>
      <c r="G448" s="7" t="s">
        <v>99</v>
      </c>
      <c r="H448" s="7" t="s">
        <v>136</v>
      </c>
      <c r="I448" s="7" t="s">
        <v>76</v>
      </c>
      <c r="J448" s="7" t="s">
        <v>77</v>
      </c>
      <c r="K448" s="7" t="s">
        <v>122</v>
      </c>
      <c r="L448" s="8" t="s">
        <v>79</v>
      </c>
      <c r="M448" s="8" t="s">
        <v>80</v>
      </c>
      <c r="N448" s="8" t="s">
        <v>79</v>
      </c>
      <c r="O448" s="8" t="s">
        <v>81</v>
      </c>
      <c r="P448" s="8" t="s">
        <v>82</v>
      </c>
      <c r="Q448" s="8" t="s">
        <v>83</v>
      </c>
      <c r="R448" s="8" t="s">
        <v>82</v>
      </c>
      <c r="S448" s="8" t="s">
        <v>82</v>
      </c>
      <c r="T448" s="8" t="s">
        <v>106</v>
      </c>
      <c r="U448" s="8" t="s">
        <v>87</v>
      </c>
      <c r="V448" s="8" t="s">
        <v>112</v>
      </c>
      <c r="W448" s="9">
        <v>3</v>
      </c>
      <c r="X448" s="9">
        <v>3</v>
      </c>
      <c r="Y448" s="9">
        <v>3</v>
      </c>
      <c r="Z448" s="9">
        <v>1</v>
      </c>
      <c r="AA448" s="9">
        <v>2</v>
      </c>
      <c r="AB448" s="9">
        <v>0</v>
      </c>
      <c r="AC448" s="9">
        <v>0</v>
      </c>
      <c r="AD448" s="9">
        <v>2</v>
      </c>
      <c r="AE448" s="9">
        <v>0</v>
      </c>
      <c r="AF448" s="9">
        <v>2</v>
      </c>
      <c r="AG448" s="9">
        <v>3</v>
      </c>
      <c r="AH448" s="9">
        <v>2</v>
      </c>
      <c r="AI448" s="9">
        <v>3</v>
      </c>
      <c r="AJ448" s="9">
        <v>2</v>
      </c>
      <c r="AK448" s="9">
        <v>3</v>
      </c>
      <c r="AL448" s="10">
        <v>3</v>
      </c>
      <c r="AM448" s="10">
        <v>3</v>
      </c>
      <c r="AN448" s="10">
        <v>3</v>
      </c>
      <c r="AO448" s="10">
        <v>2</v>
      </c>
      <c r="AP448" s="10">
        <v>0</v>
      </c>
      <c r="AQ448" s="10">
        <v>0</v>
      </c>
      <c r="AR448" s="10">
        <v>0</v>
      </c>
      <c r="AS448" s="11">
        <v>0</v>
      </c>
      <c r="AT448" s="11">
        <v>0</v>
      </c>
      <c r="AU448" s="11">
        <v>2</v>
      </c>
      <c r="AV448" s="11">
        <v>2</v>
      </c>
      <c r="AW448" s="11">
        <v>0</v>
      </c>
      <c r="AX448" s="11">
        <v>0</v>
      </c>
      <c r="AY448" s="7">
        <v>3</v>
      </c>
      <c r="AZ448" s="7">
        <v>3</v>
      </c>
      <c r="BA448" s="7">
        <v>3</v>
      </c>
      <c r="BB448" s="7">
        <v>3</v>
      </c>
      <c r="BC448" s="7">
        <v>3</v>
      </c>
      <c r="BD448" s="7">
        <v>3</v>
      </c>
      <c r="BE448" s="7">
        <v>0</v>
      </c>
      <c r="BF448" s="7">
        <v>0</v>
      </c>
      <c r="BG448" s="12">
        <f>SUM(data__22[[#This Row],[N1]:[N4]],data__22[[#This Row],[N10]:[N13]],data__22[[#This Row],[N16]:[N18]])/11</f>
        <v>2.6363636363636362</v>
      </c>
      <c r="BH448" s="13">
        <f>SUM(data__22[[#This Row],[N8]:[N9]],data__22[[#This Row],[N23]:[N25]])/5</f>
        <v>0.8</v>
      </c>
      <c r="BI448" s="12">
        <f>SUM(data__22[[#This Row],[N5]:[N7]])/3</f>
        <v>0.66666666666666663</v>
      </c>
      <c r="BJ448" s="12">
        <f>SUM(data__22[[#This Row],[N14]:[N15]],data__22[[#This Row],[N19]:[N22]],data__22[[#This Row],[N26]:[N28]])/9</f>
        <v>1</v>
      </c>
      <c r="BK448" s="12">
        <f>SUM(data__22[[#This Row],[N29]:[N33]])/5</f>
        <v>3</v>
      </c>
      <c r="BL448" s="12">
        <f>SUM(data__22[[#This Row],[N34]:[N36]])/3</f>
        <v>1</v>
      </c>
    </row>
    <row r="449" spans="1:64" x14ac:dyDescent="0.3">
      <c r="A449" s="7">
        <v>20</v>
      </c>
      <c r="B449" s="7" t="s">
        <v>70</v>
      </c>
      <c r="C449" s="7" t="s">
        <v>96</v>
      </c>
      <c r="D449" s="7" t="s">
        <v>97</v>
      </c>
      <c r="E449" s="7" t="s">
        <v>108</v>
      </c>
      <c r="F449" s="7" t="s">
        <v>74</v>
      </c>
      <c r="G449" s="7" t="s">
        <v>440</v>
      </c>
      <c r="H449" s="7" t="s">
        <v>136</v>
      </c>
      <c r="I449" s="7" t="s">
        <v>76</v>
      </c>
      <c r="J449" s="7" t="s">
        <v>77</v>
      </c>
      <c r="K449" s="7" t="s">
        <v>78</v>
      </c>
      <c r="L449" s="8" t="s">
        <v>79</v>
      </c>
      <c r="M449" s="8" t="s">
        <v>102</v>
      </c>
      <c r="N449" s="8" t="s">
        <v>79</v>
      </c>
      <c r="O449" s="8" t="s">
        <v>81</v>
      </c>
      <c r="P449" s="8" t="s">
        <v>79</v>
      </c>
      <c r="Q449" s="8" t="s">
        <v>83</v>
      </c>
      <c r="R449" s="8" t="s">
        <v>82</v>
      </c>
      <c r="S449" s="8" t="s">
        <v>79</v>
      </c>
      <c r="T449" s="8" t="s">
        <v>148</v>
      </c>
      <c r="U449" s="8" t="s">
        <v>120</v>
      </c>
      <c r="V449" s="8" t="s">
        <v>127</v>
      </c>
      <c r="W449" s="9">
        <v>1</v>
      </c>
      <c r="X449" s="9">
        <v>1</v>
      </c>
      <c r="Y449" s="9">
        <v>1</v>
      </c>
      <c r="Z449" s="9">
        <v>1</v>
      </c>
      <c r="AA449" s="9">
        <v>1</v>
      </c>
      <c r="AB449" s="9">
        <v>1</v>
      </c>
      <c r="AC449" s="9">
        <v>1</v>
      </c>
      <c r="AD449" s="9">
        <v>1</v>
      </c>
      <c r="AE449" s="9">
        <v>1</v>
      </c>
      <c r="AF449" s="9">
        <v>1</v>
      </c>
      <c r="AG449" s="9">
        <v>1</v>
      </c>
      <c r="AH449" s="9">
        <v>1</v>
      </c>
      <c r="AI449" s="9">
        <v>1</v>
      </c>
      <c r="AJ449" s="9">
        <v>1</v>
      </c>
      <c r="AK449" s="9">
        <v>1</v>
      </c>
      <c r="AL449" s="10">
        <v>2</v>
      </c>
      <c r="AM449" s="10">
        <v>2</v>
      </c>
      <c r="AN449" s="10">
        <v>2</v>
      </c>
      <c r="AO449" s="10">
        <v>2</v>
      </c>
      <c r="AP449" s="10">
        <v>2</v>
      </c>
      <c r="AQ449" s="10">
        <v>2</v>
      </c>
      <c r="AR449" s="10">
        <v>2</v>
      </c>
      <c r="AS449" s="11">
        <v>1</v>
      </c>
      <c r="AT449" s="11">
        <v>2</v>
      </c>
      <c r="AU449" s="11">
        <v>2</v>
      </c>
      <c r="AV449" s="11">
        <v>2</v>
      </c>
      <c r="AW449" s="11">
        <v>2</v>
      </c>
      <c r="AX449" s="11">
        <v>2</v>
      </c>
      <c r="AY449" s="7">
        <v>2</v>
      </c>
      <c r="AZ449" s="7">
        <v>2</v>
      </c>
      <c r="BA449" s="7">
        <v>2</v>
      </c>
      <c r="BB449" s="7">
        <v>2</v>
      </c>
      <c r="BC449" s="7">
        <v>2</v>
      </c>
      <c r="BD449" s="7">
        <v>2</v>
      </c>
      <c r="BE449" s="7">
        <v>2</v>
      </c>
      <c r="BF449" s="7">
        <v>2</v>
      </c>
      <c r="BG449" s="12">
        <f>SUM(data__22[[#This Row],[N1]:[N4]],data__22[[#This Row],[N10]:[N13]],data__22[[#This Row],[N16]:[N18]])/11</f>
        <v>1.2727272727272727</v>
      </c>
      <c r="BH449" s="13">
        <f>SUM(data__22[[#This Row],[N8]:[N9]],data__22[[#This Row],[N23]:[N25]])/5</f>
        <v>1.4</v>
      </c>
      <c r="BI449" s="12">
        <f>SUM(data__22[[#This Row],[N5]:[N7]])/3</f>
        <v>1</v>
      </c>
      <c r="BJ449" s="12">
        <f>SUM(data__22[[#This Row],[N14]:[N15]],data__22[[#This Row],[N19]:[N22]],data__22[[#This Row],[N26]:[N28]])/9</f>
        <v>1.7777777777777777</v>
      </c>
      <c r="BK449" s="12">
        <f>SUM(data__22[[#This Row],[N29]:[N33]])/5</f>
        <v>2</v>
      </c>
      <c r="BL449" s="12">
        <f>SUM(data__22[[#This Row],[N34]:[N36]])/3</f>
        <v>2</v>
      </c>
    </row>
    <row r="450" spans="1:64" x14ac:dyDescent="0.3">
      <c r="A450" s="7">
        <v>23</v>
      </c>
      <c r="B450" s="7" t="s">
        <v>70</v>
      </c>
      <c r="C450" s="7" t="s">
        <v>113</v>
      </c>
      <c r="D450" s="7" t="s">
        <v>97</v>
      </c>
      <c r="E450" s="7" t="s">
        <v>114</v>
      </c>
      <c r="F450" s="7" t="s">
        <v>98</v>
      </c>
      <c r="G450" s="7" t="s">
        <v>438</v>
      </c>
      <c r="H450" s="7" t="s">
        <v>100</v>
      </c>
      <c r="I450" s="7" t="s">
        <v>76</v>
      </c>
      <c r="J450" s="7" t="s">
        <v>101</v>
      </c>
      <c r="K450" s="7" t="s">
        <v>125</v>
      </c>
      <c r="L450" s="8" t="s">
        <v>82</v>
      </c>
      <c r="M450" s="8" t="s">
        <v>80</v>
      </c>
      <c r="N450" s="8" t="s">
        <v>82</v>
      </c>
      <c r="O450" s="8" t="s">
        <v>117</v>
      </c>
      <c r="P450" s="8" t="s">
        <v>82</v>
      </c>
      <c r="Q450" s="8" t="s">
        <v>83</v>
      </c>
      <c r="R450" s="8" t="s">
        <v>82</v>
      </c>
      <c r="S450" s="8" t="s">
        <v>82</v>
      </c>
      <c r="T450" s="8" t="s">
        <v>106</v>
      </c>
      <c r="U450" s="8" t="s">
        <v>87</v>
      </c>
      <c r="V450" s="8" t="s">
        <v>112</v>
      </c>
      <c r="W450" s="9">
        <v>3</v>
      </c>
      <c r="X450" s="9">
        <v>3</v>
      </c>
      <c r="Y450" s="9">
        <v>3</v>
      </c>
      <c r="Z450" s="9">
        <v>2</v>
      </c>
      <c r="AA450" s="9">
        <v>1</v>
      </c>
      <c r="AB450" s="9">
        <v>2</v>
      </c>
      <c r="AC450" s="9">
        <v>1</v>
      </c>
      <c r="AD450" s="9">
        <v>2</v>
      </c>
      <c r="AE450" s="9">
        <v>2</v>
      </c>
      <c r="AF450" s="9">
        <v>0</v>
      </c>
      <c r="AG450" s="9">
        <v>3</v>
      </c>
      <c r="AH450" s="9">
        <v>3</v>
      </c>
      <c r="AI450" s="9">
        <v>3</v>
      </c>
      <c r="AJ450" s="9">
        <v>3</v>
      </c>
      <c r="AK450" s="9">
        <v>3</v>
      </c>
      <c r="AL450" s="10">
        <v>3</v>
      </c>
      <c r="AM450" s="10">
        <v>3</v>
      </c>
      <c r="AN450" s="10">
        <v>3</v>
      </c>
      <c r="AO450" s="10">
        <v>3</v>
      </c>
      <c r="AP450" s="10">
        <v>3</v>
      </c>
      <c r="AQ450" s="10">
        <v>2</v>
      </c>
      <c r="AR450" s="10">
        <v>2</v>
      </c>
      <c r="AS450" s="11">
        <v>3</v>
      </c>
      <c r="AT450" s="11">
        <v>3</v>
      </c>
      <c r="AU450" s="11">
        <v>1</v>
      </c>
      <c r="AV450" s="11">
        <v>1</v>
      </c>
      <c r="AW450" s="11">
        <v>2</v>
      </c>
      <c r="AX450" s="11">
        <v>2</v>
      </c>
      <c r="AY450" s="7">
        <v>1</v>
      </c>
      <c r="AZ450" s="7">
        <v>1</v>
      </c>
      <c r="BA450" s="7">
        <v>2</v>
      </c>
      <c r="BB450" s="7">
        <v>1</v>
      </c>
      <c r="BC450" s="7">
        <v>1</v>
      </c>
      <c r="BD450" s="7">
        <v>2</v>
      </c>
      <c r="BE450" s="7">
        <v>2</v>
      </c>
      <c r="BF450" s="7">
        <v>3</v>
      </c>
      <c r="BG450" s="12">
        <f>SUM(data__22[[#This Row],[N1]:[N4]],data__22[[#This Row],[N10]:[N13]],data__22[[#This Row],[N16]:[N18]])/11</f>
        <v>2.6363636363636362</v>
      </c>
      <c r="BH450" s="13">
        <f>SUM(data__22[[#This Row],[N8]:[N9]],data__22[[#This Row],[N23]:[N25]])/5</f>
        <v>2.2000000000000002</v>
      </c>
      <c r="BI450" s="12">
        <f>SUM(data__22[[#This Row],[N5]:[N7]])/3</f>
        <v>1.3333333333333333</v>
      </c>
      <c r="BJ450" s="12">
        <f>SUM(data__22[[#This Row],[N14]:[N15]],data__22[[#This Row],[N19]:[N22]],data__22[[#This Row],[N26]:[N28]])/9</f>
        <v>2.3333333333333335</v>
      </c>
      <c r="BK450" s="12">
        <f>SUM(data__22[[#This Row],[N29]:[N33]])/5</f>
        <v>1.2</v>
      </c>
      <c r="BL450" s="12">
        <f>SUM(data__22[[#This Row],[N34]:[N36]])/3</f>
        <v>2.3333333333333335</v>
      </c>
    </row>
    <row r="451" spans="1:64" x14ac:dyDescent="0.3">
      <c r="A451" s="7">
        <v>22</v>
      </c>
      <c r="B451" s="7" t="s">
        <v>70</v>
      </c>
      <c r="C451" s="7" t="s">
        <v>96</v>
      </c>
      <c r="D451" s="7" t="s">
        <v>72</v>
      </c>
      <c r="E451" s="7" t="s">
        <v>73</v>
      </c>
      <c r="F451" s="7" t="s">
        <v>74</v>
      </c>
      <c r="G451" s="7" t="s">
        <v>440</v>
      </c>
      <c r="H451" s="7" t="s">
        <v>74</v>
      </c>
      <c r="I451" s="7" t="s">
        <v>99</v>
      </c>
      <c r="J451" s="7" t="s">
        <v>77</v>
      </c>
      <c r="K451" s="7" t="s">
        <v>78</v>
      </c>
      <c r="L451" s="8" t="s">
        <v>79</v>
      </c>
      <c r="M451" s="8" t="s">
        <v>80</v>
      </c>
      <c r="N451" s="8" t="s">
        <v>79</v>
      </c>
      <c r="O451" s="8" t="s">
        <v>109</v>
      </c>
      <c r="P451" s="8" t="s">
        <v>82</v>
      </c>
      <c r="Q451" s="8" t="s">
        <v>83</v>
      </c>
      <c r="R451" s="8" t="s">
        <v>79</v>
      </c>
      <c r="S451" s="8" t="s">
        <v>82</v>
      </c>
      <c r="T451" s="8" t="s">
        <v>106</v>
      </c>
      <c r="U451" s="8" t="s">
        <v>87</v>
      </c>
      <c r="V451" s="8" t="s">
        <v>112</v>
      </c>
      <c r="W451" s="9">
        <v>2</v>
      </c>
      <c r="X451" s="9">
        <v>3</v>
      </c>
      <c r="Y451" s="9">
        <v>2</v>
      </c>
      <c r="Z451" s="9">
        <v>2</v>
      </c>
      <c r="AA451" s="9">
        <v>2</v>
      </c>
      <c r="AB451" s="9">
        <v>2</v>
      </c>
      <c r="AC451" s="9">
        <v>2</v>
      </c>
      <c r="AD451" s="9">
        <v>2</v>
      </c>
      <c r="AE451" s="9">
        <v>2</v>
      </c>
      <c r="AF451" s="9">
        <v>2</v>
      </c>
      <c r="AG451" s="9">
        <v>2</v>
      </c>
      <c r="AH451" s="9">
        <v>2</v>
      </c>
      <c r="AI451" s="9">
        <v>2</v>
      </c>
      <c r="AJ451" s="9">
        <v>2</v>
      </c>
      <c r="AK451" s="9">
        <v>2</v>
      </c>
      <c r="AL451" s="10">
        <v>3</v>
      </c>
      <c r="AM451" s="10">
        <v>3</v>
      </c>
      <c r="AN451" s="10">
        <v>3</v>
      </c>
      <c r="AO451" s="10">
        <v>3</v>
      </c>
      <c r="AP451" s="10">
        <v>0</v>
      </c>
      <c r="AQ451" s="10">
        <v>2</v>
      </c>
      <c r="AR451" s="10">
        <v>2</v>
      </c>
      <c r="AS451" s="11">
        <v>3</v>
      </c>
      <c r="AT451" s="11">
        <v>3</v>
      </c>
      <c r="AU451" s="11">
        <v>3</v>
      </c>
      <c r="AV451" s="11">
        <v>3</v>
      </c>
      <c r="AW451" s="11">
        <v>3</v>
      </c>
      <c r="AX451" s="11">
        <v>3</v>
      </c>
      <c r="AY451" s="7">
        <v>3</v>
      </c>
      <c r="AZ451" s="7">
        <v>3</v>
      </c>
      <c r="BA451" s="7">
        <v>3</v>
      </c>
      <c r="BB451" s="7">
        <v>3</v>
      </c>
      <c r="BC451" s="7">
        <v>3</v>
      </c>
      <c r="BD451" s="7">
        <v>3</v>
      </c>
      <c r="BE451" s="7">
        <v>3</v>
      </c>
      <c r="BF451" s="7">
        <v>3</v>
      </c>
      <c r="BG451" s="12">
        <f>SUM(data__22[[#This Row],[N1]:[N4]],data__22[[#This Row],[N10]:[N13]],data__22[[#This Row],[N16]:[N18]])/11</f>
        <v>2.3636363636363638</v>
      </c>
      <c r="BH451" s="13">
        <f>SUM(data__22[[#This Row],[N8]:[N9]],data__22[[#This Row],[N23]:[N25]])/5</f>
        <v>2.6</v>
      </c>
      <c r="BI451" s="12">
        <f>SUM(data__22[[#This Row],[N5]:[N7]])/3</f>
        <v>2</v>
      </c>
      <c r="BJ451" s="12">
        <f>SUM(data__22[[#This Row],[N14]:[N15]],data__22[[#This Row],[N19]:[N22]],data__22[[#This Row],[N26]:[N28]])/9</f>
        <v>2.2222222222222223</v>
      </c>
      <c r="BK451" s="12">
        <f>SUM(data__22[[#This Row],[N29]:[N33]])/5</f>
        <v>3</v>
      </c>
      <c r="BL451" s="12">
        <f>SUM(data__22[[#This Row],[N34]:[N36]])/3</f>
        <v>3</v>
      </c>
    </row>
    <row r="452" spans="1:64" x14ac:dyDescent="0.3">
      <c r="A452" s="7">
        <v>24</v>
      </c>
      <c r="B452" s="7" t="s">
        <v>70</v>
      </c>
      <c r="C452" s="7" t="s">
        <v>113</v>
      </c>
      <c r="D452" s="7" t="s">
        <v>97</v>
      </c>
      <c r="E452" s="7" t="s">
        <v>114</v>
      </c>
      <c r="F452" s="7" t="s">
        <v>98</v>
      </c>
      <c r="G452" s="7" t="s">
        <v>99</v>
      </c>
      <c r="H452" s="7" t="s">
        <v>136</v>
      </c>
      <c r="I452" s="7" t="s">
        <v>76</v>
      </c>
      <c r="J452" s="7" t="s">
        <v>77</v>
      </c>
      <c r="K452" s="7" t="s">
        <v>125</v>
      </c>
      <c r="L452" s="8" t="s">
        <v>79</v>
      </c>
      <c r="M452" s="8" t="s">
        <v>80</v>
      </c>
      <c r="N452" s="8" t="s">
        <v>79</v>
      </c>
      <c r="O452" s="8" t="s">
        <v>81</v>
      </c>
      <c r="P452" s="8" t="s">
        <v>82</v>
      </c>
      <c r="Q452" s="8" t="s">
        <v>83</v>
      </c>
      <c r="R452" s="8" t="s">
        <v>82</v>
      </c>
      <c r="S452" s="8" t="s">
        <v>82</v>
      </c>
      <c r="T452" s="8" t="s">
        <v>106</v>
      </c>
      <c r="U452" s="8" t="s">
        <v>87</v>
      </c>
      <c r="V452" s="8" t="s">
        <v>112</v>
      </c>
      <c r="W452" s="9">
        <v>3</v>
      </c>
      <c r="X452" s="9">
        <v>3</v>
      </c>
      <c r="Y452" s="9">
        <v>2</v>
      </c>
      <c r="Z452" s="9">
        <v>1</v>
      </c>
      <c r="AA452" s="9">
        <v>2</v>
      </c>
      <c r="AB452" s="9">
        <v>1</v>
      </c>
      <c r="AC452" s="9">
        <v>2</v>
      </c>
      <c r="AD452" s="9">
        <v>1</v>
      </c>
      <c r="AE452" s="9">
        <v>2</v>
      </c>
      <c r="AF452" s="9">
        <v>1</v>
      </c>
      <c r="AG452" s="9">
        <v>2</v>
      </c>
      <c r="AH452" s="9">
        <v>1</v>
      </c>
      <c r="AI452" s="9">
        <v>2</v>
      </c>
      <c r="AJ452" s="9">
        <v>1</v>
      </c>
      <c r="AK452" s="9">
        <v>2</v>
      </c>
      <c r="AL452" s="10">
        <v>1</v>
      </c>
      <c r="AM452" s="10">
        <v>0</v>
      </c>
      <c r="AN452" s="10">
        <v>1</v>
      </c>
      <c r="AO452" s="10">
        <v>0</v>
      </c>
      <c r="AP452" s="10">
        <v>2</v>
      </c>
      <c r="AQ452" s="10">
        <v>0</v>
      </c>
      <c r="AR452" s="10">
        <v>1</v>
      </c>
      <c r="AS452" s="11">
        <v>1</v>
      </c>
      <c r="AT452" s="11">
        <v>1</v>
      </c>
      <c r="AU452" s="11">
        <v>1</v>
      </c>
      <c r="AV452" s="11">
        <v>1</v>
      </c>
      <c r="AW452" s="11">
        <v>0</v>
      </c>
      <c r="AX452" s="11">
        <v>1</v>
      </c>
      <c r="AY452" s="7">
        <v>1</v>
      </c>
      <c r="AZ452" s="7">
        <v>0</v>
      </c>
      <c r="BA452" s="7">
        <v>2</v>
      </c>
      <c r="BB452" s="7">
        <v>1</v>
      </c>
      <c r="BC452" s="7">
        <v>0</v>
      </c>
      <c r="BD452" s="7">
        <v>1</v>
      </c>
      <c r="BE452" s="7">
        <v>2</v>
      </c>
      <c r="BF452" s="7">
        <v>0</v>
      </c>
      <c r="BG452" s="12">
        <f>SUM(data__22[[#This Row],[N1]:[N4]],data__22[[#This Row],[N10]:[N13]],data__22[[#This Row],[N16]:[N18]])/11</f>
        <v>1.5454545454545454</v>
      </c>
      <c r="BH452" s="13">
        <f>SUM(data__22[[#This Row],[N8]:[N9]],data__22[[#This Row],[N23]:[N25]])/5</f>
        <v>1.2</v>
      </c>
      <c r="BI452" s="12">
        <f>SUM(data__22[[#This Row],[N5]:[N7]])/3</f>
        <v>1.6666666666666667</v>
      </c>
      <c r="BJ452" s="12">
        <f>SUM(data__22[[#This Row],[N14]:[N15]],data__22[[#This Row],[N19]:[N22]],data__22[[#This Row],[N26]:[N28]])/9</f>
        <v>0.88888888888888884</v>
      </c>
      <c r="BK452" s="12">
        <f>SUM(data__22[[#This Row],[N29]:[N33]])/5</f>
        <v>0.8</v>
      </c>
      <c r="BL452" s="12">
        <f>SUM(data__22[[#This Row],[N34]:[N36]])/3</f>
        <v>1</v>
      </c>
    </row>
    <row r="453" spans="1:64" x14ac:dyDescent="0.3">
      <c r="A453" s="7">
        <v>23</v>
      </c>
      <c r="B453" s="7" t="s">
        <v>70</v>
      </c>
      <c r="C453" s="7" t="s">
        <v>113</v>
      </c>
      <c r="D453" s="7" t="s">
        <v>72</v>
      </c>
      <c r="E453" s="7" t="s">
        <v>114</v>
      </c>
      <c r="F453" s="7" t="s">
        <v>98</v>
      </c>
      <c r="G453" s="7" t="s">
        <v>439</v>
      </c>
      <c r="H453" s="7" t="s">
        <v>165</v>
      </c>
      <c r="I453" s="7" t="s">
        <v>76</v>
      </c>
      <c r="J453" s="7" t="s">
        <v>101</v>
      </c>
      <c r="K453" s="7" t="s">
        <v>125</v>
      </c>
      <c r="L453" s="8" t="s">
        <v>79</v>
      </c>
      <c r="M453" s="8" t="s">
        <v>80</v>
      </c>
      <c r="N453" s="8" t="s">
        <v>79</v>
      </c>
      <c r="O453" s="8" t="s">
        <v>117</v>
      </c>
      <c r="P453" s="8" t="s">
        <v>79</v>
      </c>
      <c r="Q453" s="8" t="s">
        <v>83</v>
      </c>
      <c r="R453" s="8" t="s">
        <v>79</v>
      </c>
      <c r="S453" s="8" t="s">
        <v>82</v>
      </c>
      <c r="T453" s="8" t="s">
        <v>106</v>
      </c>
      <c r="U453" s="8" t="s">
        <v>141</v>
      </c>
      <c r="V453" s="8" t="s">
        <v>112</v>
      </c>
      <c r="W453" s="9">
        <v>2</v>
      </c>
      <c r="X453" s="9">
        <v>2</v>
      </c>
      <c r="Y453" s="9">
        <v>3</v>
      </c>
      <c r="Z453" s="9">
        <v>2</v>
      </c>
      <c r="AA453" s="9">
        <v>1</v>
      </c>
      <c r="AB453" s="9">
        <v>1</v>
      </c>
      <c r="AC453" s="9">
        <v>3</v>
      </c>
      <c r="AD453" s="9">
        <v>2</v>
      </c>
      <c r="AE453" s="9">
        <v>3</v>
      </c>
      <c r="AF453" s="9">
        <v>3</v>
      </c>
      <c r="AG453" s="9">
        <v>3</v>
      </c>
      <c r="AH453" s="9">
        <v>3</v>
      </c>
      <c r="AI453" s="9">
        <v>0</v>
      </c>
      <c r="AJ453" s="9">
        <v>1</v>
      </c>
      <c r="AK453" s="9">
        <v>1</v>
      </c>
      <c r="AL453" s="10">
        <v>2</v>
      </c>
      <c r="AM453" s="10">
        <v>2</v>
      </c>
      <c r="AN453" s="10">
        <v>2</v>
      </c>
      <c r="AO453" s="10">
        <v>0</v>
      </c>
      <c r="AP453" s="10">
        <v>1</v>
      </c>
      <c r="AQ453" s="10">
        <v>0</v>
      </c>
      <c r="AR453" s="10">
        <v>0</v>
      </c>
      <c r="AS453" s="11">
        <v>0</v>
      </c>
      <c r="AT453" s="11">
        <v>0</v>
      </c>
      <c r="AU453" s="11">
        <v>2</v>
      </c>
      <c r="AV453" s="11">
        <v>3</v>
      </c>
      <c r="AW453" s="11">
        <v>0</v>
      </c>
      <c r="AX453" s="11">
        <v>0</v>
      </c>
      <c r="AY453" s="7">
        <v>3</v>
      </c>
      <c r="AZ453" s="7">
        <v>2</v>
      </c>
      <c r="BA453" s="7">
        <v>2</v>
      </c>
      <c r="BB453" s="7">
        <v>3</v>
      </c>
      <c r="BC453" s="7">
        <v>3</v>
      </c>
      <c r="BD453" s="7">
        <v>0</v>
      </c>
      <c r="BE453" s="7">
        <v>2</v>
      </c>
      <c r="BF453" s="7">
        <v>0</v>
      </c>
      <c r="BG453" s="12">
        <f>SUM(data__22[[#This Row],[N1]:[N4]],data__22[[#This Row],[N10]:[N13]],data__22[[#This Row],[N16]:[N18]])/11</f>
        <v>2.1818181818181817</v>
      </c>
      <c r="BH453" s="13">
        <f>SUM(data__22[[#This Row],[N8]:[N9]],data__22[[#This Row],[N23]:[N25]])/5</f>
        <v>1.4</v>
      </c>
      <c r="BI453" s="12">
        <f>SUM(data__22[[#This Row],[N5]:[N7]])/3</f>
        <v>1.6666666666666667</v>
      </c>
      <c r="BJ453" s="12">
        <f>SUM(data__22[[#This Row],[N14]:[N15]],data__22[[#This Row],[N19]:[N22]],data__22[[#This Row],[N26]:[N28]])/9</f>
        <v>0.66666666666666663</v>
      </c>
      <c r="BK453" s="12">
        <f>SUM(data__22[[#This Row],[N29]:[N33]])/5</f>
        <v>2.6</v>
      </c>
      <c r="BL453" s="12">
        <f>SUM(data__22[[#This Row],[N34]:[N36]])/3</f>
        <v>0.66666666666666663</v>
      </c>
    </row>
    <row r="454" spans="1:64" x14ac:dyDescent="0.3">
      <c r="A454" s="7">
        <v>21</v>
      </c>
      <c r="B454" s="7" t="s">
        <v>70</v>
      </c>
      <c r="C454" s="7" t="s">
        <v>96</v>
      </c>
      <c r="D454" s="7" t="s">
        <v>72</v>
      </c>
      <c r="E454" s="7" t="s">
        <v>73</v>
      </c>
      <c r="F454" s="7" t="s">
        <v>74</v>
      </c>
      <c r="G454" s="7" t="s">
        <v>439</v>
      </c>
      <c r="H454" s="7" t="s">
        <v>74</v>
      </c>
      <c r="I454" s="7" t="s">
        <v>439</v>
      </c>
      <c r="J454" s="7" t="s">
        <v>77</v>
      </c>
      <c r="K454" s="7" t="s">
        <v>78</v>
      </c>
      <c r="L454" s="8" t="s">
        <v>79</v>
      </c>
      <c r="M454" s="8" t="s">
        <v>80</v>
      </c>
      <c r="N454" s="8" t="s">
        <v>79</v>
      </c>
      <c r="O454" s="8" t="s">
        <v>109</v>
      </c>
      <c r="P454" s="8" t="s">
        <v>79</v>
      </c>
      <c r="Q454" s="8" t="s">
        <v>83</v>
      </c>
      <c r="R454" s="8" t="s">
        <v>79</v>
      </c>
      <c r="S454" s="8" t="s">
        <v>79</v>
      </c>
      <c r="T454" s="8" t="s">
        <v>86</v>
      </c>
      <c r="U454" s="8" t="s">
        <v>120</v>
      </c>
      <c r="V454" s="8" t="s">
        <v>112</v>
      </c>
      <c r="W454" s="9">
        <v>3</v>
      </c>
      <c r="X454" s="9">
        <v>3</v>
      </c>
      <c r="Y454" s="9">
        <v>3</v>
      </c>
      <c r="Z454" s="9">
        <v>3</v>
      </c>
      <c r="AA454" s="9">
        <v>3</v>
      </c>
      <c r="AB454" s="9">
        <v>3</v>
      </c>
      <c r="AC454" s="9">
        <v>3</v>
      </c>
      <c r="AD454" s="9">
        <v>3</v>
      </c>
      <c r="AE454" s="9">
        <v>3</v>
      </c>
      <c r="AF454" s="9">
        <v>3</v>
      </c>
      <c r="AG454" s="9">
        <v>3</v>
      </c>
      <c r="AH454" s="9">
        <v>3</v>
      </c>
      <c r="AI454" s="9">
        <v>3</v>
      </c>
      <c r="AJ454" s="9">
        <v>3</v>
      </c>
      <c r="AK454" s="9">
        <v>3</v>
      </c>
      <c r="AL454" s="10">
        <v>2</v>
      </c>
      <c r="AM454" s="10">
        <v>2</v>
      </c>
      <c r="AN454" s="10">
        <v>2</v>
      </c>
      <c r="AO454" s="10">
        <v>2</v>
      </c>
      <c r="AP454" s="10">
        <v>2</v>
      </c>
      <c r="AQ454" s="10">
        <v>2</v>
      </c>
      <c r="AR454" s="10">
        <v>2</v>
      </c>
      <c r="AS454" s="11">
        <v>2</v>
      </c>
      <c r="AT454" s="11">
        <v>2</v>
      </c>
      <c r="AU454" s="11">
        <v>2</v>
      </c>
      <c r="AV454" s="11">
        <v>2</v>
      </c>
      <c r="AW454" s="11">
        <v>2</v>
      </c>
      <c r="AX454" s="11">
        <v>2</v>
      </c>
      <c r="AY454" s="7">
        <v>3</v>
      </c>
      <c r="AZ454" s="7">
        <v>3</v>
      </c>
      <c r="BA454" s="7">
        <v>3</v>
      </c>
      <c r="BB454" s="7">
        <v>3</v>
      </c>
      <c r="BC454" s="7">
        <v>3</v>
      </c>
      <c r="BD454" s="7">
        <v>3</v>
      </c>
      <c r="BE454" s="7">
        <v>3</v>
      </c>
      <c r="BF454" s="7">
        <v>3</v>
      </c>
      <c r="BG454" s="12">
        <f>SUM(data__22[[#This Row],[N1]:[N4]],data__22[[#This Row],[N10]:[N13]],data__22[[#This Row],[N16]:[N18]])/11</f>
        <v>2.7272727272727271</v>
      </c>
      <c r="BH454" s="13">
        <f>SUM(data__22[[#This Row],[N8]:[N9]],data__22[[#This Row],[N23]:[N25]])/5</f>
        <v>2.4</v>
      </c>
      <c r="BI454" s="12">
        <f>SUM(data__22[[#This Row],[N5]:[N7]])/3</f>
        <v>3</v>
      </c>
      <c r="BJ454" s="12">
        <f>SUM(data__22[[#This Row],[N14]:[N15]],data__22[[#This Row],[N19]:[N22]],data__22[[#This Row],[N26]:[N28]])/9</f>
        <v>2.2222222222222223</v>
      </c>
      <c r="BK454" s="12">
        <f>SUM(data__22[[#This Row],[N29]:[N33]])/5</f>
        <v>3</v>
      </c>
      <c r="BL454" s="12">
        <f>SUM(data__22[[#This Row],[N34]:[N36]])/3</f>
        <v>3</v>
      </c>
    </row>
    <row r="455" spans="1:64" x14ac:dyDescent="0.3">
      <c r="A455" s="7">
        <v>21</v>
      </c>
      <c r="B455" s="7" t="s">
        <v>70</v>
      </c>
      <c r="C455" s="7" t="s">
        <v>96</v>
      </c>
      <c r="D455" s="7" t="s">
        <v>97</v>
      </c>
      <c r="E455" s="7" t="s">
        <v>108</v>
      </c>
      <c r="F455" s="7" t="s">
        <v>74</v>
      </c>
      <c r="G455" s="7" t="s">
        <v>99</v>
      </c>
      <c r="H455" s="7" t="s">
        <v>98</v>
      </c>
      <c r="I455" s="7" t="s">
        <v>76</v>
      </c>
      <c r="J455" s="7" t="s">
        <v>101</v>
      </c>
      <c r="K455" s="7" t="s">
        <v>131</v>
      </c>
      <c r="L455" s="8" t="s">
        <v>79</v>
      </c>
      <c r="M455" s="8" t="s">
        <v>80</v>
      </c>
      <c r="N455" s="8" t="s">
        <v>79</v>
      </c>
      <c r="O455" s="8" t="s">
        <v>81</v>
      </c>
      <c r="P455" s="8" t="s">
        <v>82</v>
      </c>
      <c r="Q455" s="8" t="s">
        <v>83</v>
      </c>
      <c r="R455" s="8" t="s">
        <v>82</v>
      </c>
      <c r="S455" s="8" t="s">
        <v>82</v>
      </c>
      <c r="T455" s="8" t="s">
        <v>106</v>
      </c>
      <c r="U455" s="8" t="s">
        <v>87</v>
      </c>
      <c r="V455" s="8" t="s">
        <v>127</v>
      </c>
      <c r="W455" s="9">
        <v>1</v>
      </c>
      <c r="X455" s="9">
        <v>1</v>
      </c>
      <c r="Y455" s="9">
        <v>1</v>
      </c>
      <c r="Z455" s="9">
        <v>1</v>
      </c>
      <c r="AA455" s="9">
        <v>2</v>
      </c>
      <c r="AB455" s="9">
        <v>1</v>
      </c>
      <c r="AC455" s="9">
        <v>2</v>
      </c>
      <c r="AD455" s="9">
        <v>2</v>
      </c>
      <c r="AE455" s="9">
        <v>1</v>
      </c>
      <c r="AF455" s="9">
        <v>2</v>
      </c>
      <c r="AG455" s="9">
        <v>2</v>
      </c>
      <c r="AH455" s="9">
        <v>2</v>
      </c>
      <c r="AI455" s="9">
        <v>2</v>
      </c>
      <c r="AJ455" s="9">
        <v>2</v>
      </c>
      <c r="AK455" s="9">
        <v>2</v>
      </c>
      <c r="AL455" s="10">
        <v>3</v>
      </c>
      <c r="AM455" s="10">
        <v>3</v>
      </c>
      <c r="AN455" s="10">
        <v>3</v>
      </c>
      <c r="AO455" s="10">
        <v>0</v>
      </c>
      <c r="AP455" s="10">
        <v>0</v>
      </c>
      <c r="AQ455" s="10">
        <v>0</v>
      </c>
      <c r="AR455" s="10">
        <v>0</v>
      </c>
      <c r="AS455" s="11">
        <v>2</v>
      </c>
      <c r="AT455" s="11">
        <v>2</v>
      </c>
      <c r="AU455" s="11">
        <v>2</v>
      </c>
      <c r="AV455" s="11">
        <v>1</v>
      </c>
      <c r="AW455" s="11">
        <v>1</v>
      </c>
      <c r="AX455" s="11">
        <v>1</v>
      </c>
      <c r="AY455" s="7">
        <v>3</v>
      </c>
      <c r="AZ455" s="7">
        <v>2</v>
      </c>
      <c r="BA455" s="7">
        <v>3</v>
      </c>
      <c r="BB455" s="7">
        <v>3</v>
      </c>
      <c r="BC455" s="7">
        <v>3</v>
      </c>
      <c r="BD455" s="7">
        <v>3</v>
      </c>
      <c r="BE455" s="7">
        <v>3</v>
      </c>
      <c r="BF455" s="7">
        <v>3</v>
      </c>
      <c r="BG455" s="12">
        <f>SUM(data__22[[#This Row],[N1]:[N4]],data__22[[#This Row],[N10]:[N13]],data__22[[#This Row],[N16]:[N18]])/11</f>
        <v>1.9090909090909092</v>
      </c>
      <c r="BH455" s="13">
        <f>SUM(data__22[[#This Row],[N8]:[N9]],data__22[[#This Row],[N23]:[N25]])/5</f>
        <v>1.8</v>
      </c>
      <c r="BI455" s="12">
        <f>SUM(data__22[[#This Row],[N5]:[N7]])/3</f>
        <v>1.6666666666666667</v>
      </c>
      <c r="BJ455" s="12">
        <f>SUM(data__22[[#This Row],[N14]:[N15]],data__22[[#This Row],[N19]:[N22]],data__22[[#This Row],[N26]:[N28]])/9</f>
        <v>0.77777777777777779</v>
      </c>
      <c r="BK455" s="12">
        <f>SUM(data__22[[#This Row],[N29]:[N33]])/5</f>
        <v>2.8</v>
      </c>
      <c r="BL455" s="12">
        <f>SUM(data__22[[#This Row],[N34]:[N36]])/3</f>
        <v>3</v>
      </c>
    </row>
    <row r="456" spans="1:64" x14ac:dyDescent="0.3">
      <c r="A456" s="7">
        <v>23</v>
      </c>
      <c r="B456" s="7" t="s">
        <v>70</v>
      </c>
      <c r="C456" s="7" t="s">
        <v>96</v>
      </c>
      <c r="D456" s="7" t="s">
        <v>72</v>
      </c>
      <c r="E456" s="7" t="s">
        <v>73</v>
      </c>
      <c r="F456" s="7" t="s">
        <v>136</v>
      </c>
      <c r="G456" s="7" t="s">
        <v>439</v>
      </c>
      <c r="H456" s="7" t="s">
        <v>136</v>
      </c>
      <c r="I456" s="7" t="s">
        <v>76</v>
      </c>
      <c r="J456" s="7" t="s">
        <v>77</v>
      </c>
      <c r="K456" s="7" t="s">
        <v>78</v>
      </c>
      <c r="L456" s="8" t="s">
        <v>79</v>
      </c>
      <c r="M456" s="8" t="s">
        <v>80</v>
      </c>
      <c r="N456" s="8" t="s">
        <v>79</v>
      </c>
      <c r="O456" s="8" t="s">
        <v>109</v>
      </c>
      <c r="P456" s="8" t="s">
        <v>82</v>
      </c>
      <c r="Q456" s="8" t="s">
        <v>83</v>
      </c>
      <c r="R456" s="8" t="s">
        <v>79</v>
      </c>
      <c r="S456" s="8" t="s">
        <v>79</v>
      </c>
      <c r="T456" s="8" t="s">
        <v>86</v>
      </c>
      <c r="U456" s="8" t="s">
        <v>87</v>
      </c>
      <c r="V456" s="8" t="s">
        <v>455</v>
      </c>
      <c r="W456" s="9">
        <v>2</v>
      </c>
      <c r="X456" s="9">
        <v>2</v>
      </c>
      <c r="Y456" s="9">
        <v>2</v>
      </c>
      <c r="Z456" s="9">
        <v>2</v>
      </c>
      <c r="AA456" s="9">
        <v>1</v>
      </c>
      <c r="AB456" s="9">
        <v>2</v>
      </c>
      <c r="AC456" s="9">
        <v>1</v>
      </c>
      <c r="AD456" s="9">
        <v>1</v>
      </c>
      <c r="AE456" s="9">
        <v>2</v>
      </c>
      <c r="AF456" s="9">
        <v>0</v>
      </c>
      <c r="AG456" s="9">
        <v>1</v>
      </c>
      <c r="AH456" s="9">
        <v>1</v>
      </c>
      <c r="AI456" s="9">
        <v>2</v>
      </c>
      <c r="AJ456" s="9">
        <v>2</v>
      </c>
      <c r="AK456" s="9">
        <v>1</v>
      </c>
      <c r="AL456" s="10">
        <v>2</v>
      </c>
      <c r="AM456" s="10">
        <v>1</v>
      </c>
      <c r="AN456" s="10">
        <v>0</v>
      </c>
      <c r="AO456" s="10">
        <v>2</v>
      </c>
      <c r="AP456" s="10">
        <v>2</v>
      </c>
      <c r="AQ456" s="10">
        <v>1</v>
      </c>
      <c r="AR456" s="10">
        <v>1</v>
      </c>
      <c r="AS456" s="11">
        <v>0</v>
      </c>
      <c r="AT456" s="11">
        <v>2</v>
      </c>
      <c r="AU456" s="11">
        <v>0</v>
      </c>
      <c r="AV456" s="11">
        <v>1</v>
      </c>
      <c r="AW456" s="11">
        <v>1</v>
      </c>
      <c r="AX456" s="11">
        <v>0</v>
      </c>
      <c r="AY456" s="7">
        <v>2</v>
      </c>
      <c r="AZ456" s="7">
        <v>1</v>
      </c>
      <c r="BA456" s="7">
        <v>1</v>
      </c>
      <c r="BB456" s="7">
        <v>1</v>
      </c>
      <c r="BC456" s="7">
        <v>1</v>
      </c>
      <c r="BD456" s="7">
        <v>2</v>
      </c>
      <c r="BE456" s="7">
        <v>1</v>
      </c>
      <c r="BF456" s="7">
        <v>1</v>
      </c>
      <c r="BG456" s="12">
        <f>SUM(data__22[[#This Row],[N1]:[N4]],data__22[[#This Row],[N10]:[N13]],data__22[[#This Row],[N16]:[N18]])/11</f>
        <v>1.3636363636363635</v>
      </c>
      <c r="BH456" s="13">
        <f>SUM(data__22[[#This Row],[N8]:[N9]],data__22[[#This Row],[N23]:[N25]])/5</f>
        <v>1</v>
      </c>
      <c r="BI456" s="12">
        <f>SUM(data__22[[#This Row],[N5]:[N7]])/3</f>
        <v>1.3333333333333333</v>
      </c>
      <c r="BJ456" s="12">
        <f>SUM(data__22[[#This Row],[N14]:[N15]],data__22[[#This Row],[N19]:[N22]],data__22[[#This Row],[N26]:[N28]])/9</f>
        <v>1.2222222222222223</v>
      </c>
      <c r="BK456" s="12">
        <f>SUM(data__22[[#This Row],[N29]:[N33]])/5</f>
        <v>1.2</v>
      </c>
      <c r="BL456" s="12">
        <f>SUM(data__22[[#This Row],[N34]:[N36]])/3</f>
        <v>1.3333333333333333</v>
      </c>
    </row>
    <row r="457" spans="1:64" x14ac:dyDescent="0.3">
      <c r="A457" s="7">
        <v>20</v>
      </c>
      <c r="B457" s="7" t="s">
        <v>70</v>
      </c>
      <c r="C457" s="7" t="s">
        <v>96</v>
      </c>
      <c r="D457" s="7" t="s">
        <v>149</v>
      </c>
      <c r="E457" s="7" t="s">
        <v>73</v>
      </c>
      <c r="F457" s="7" t="s">
        <v>98</v>
      </c>
      <c r="G457" s="7" t="s">
        <v>440</v>
      </c>
      <c r="H457" s="7" t="s">
        <v>100</v>
      </c>
      <c r="I457" s="7" t="s">
        <v>76</v>
      </c>
      <c r="J457" s="7" t="s">
        <v>77</v>
      </c>
      <c r="K457" s="7" t="s">
        <v>122</v>
      </c>
      <c r="L457" s="8" t="s">
        <v>79</v>
      </c>
      <c r="M457" s="8" t="s">
        <v>80</v>
      </c>
      <c r="N457" s="8" t="s">
        <v>79</v>
      </c>
      <c r="O457" s="8" t="s">
        <v>109</v>
      </c>
      <c r="P457" s="8" t="s">
        <v>79</v>
      </c>
      <c r="Q457" s="8" t="s">
        <v>83</v>
      </c>
      <c r="R457" s="8" t="s">
        <v>82</v>
      </c>
      <c r="S457" s="8" t="s">
        <v>82</v>
      </c>
      <c r="T457" s="8" t="s">
        <v>148</v>
      </c>
      <c r="U457" s="8" t="s">
        <v>87</v>
      </c>
      <c r="V457" s="8" t="s">
        <v>112</v>
      </c>
      <c r="W457" s="9">
        <v>1</v>
      </c>
      <c r="X457" s="9">
        <v>0</v>
      </c>
      <c r="Y457" s="9">
        <v>1</v>
      </c>
      <c r="Z457" s="9">
        <v>2</v>
      </c>
      <c r="AA457" s="9">
        <v>1</v>
      </c>
      <c r="AB457" s="9">
        <v>2</v>
      </c>
      <c r="AC457" s="9">
        <v>1</v>
      </c>
      <c r="AD457" s="9">
        <v>1</v>
      </c>
      <c r="AE457" s="9">
        <v>1</v>
      </c>
      <c r="AF457" s="9">
        <v>1</v>
      </c>
      <c r="AG457" s="9">
        <v>2</v>
      </c>
      <c r="AH457" s="9">
        <v>1</v>
      </c>
      <c r="AI457" s="9">
        <v>1</v>
      </c>
      <c r="AJ457" s="9">
        <v>2</v>
      </c>
      <c r="AK457" s="9">
        <v>1</v>
      </c>
      <c r="AL457" s="10">
        <v>1</v>
      </c>
      <c r="AM457" s="10">
        <v>2</v>
      </c>
      <c r="AN457" s="10">
        <v>1</v>
      </c>
      <c r="AO457" s="10">
        <v>2</v>
      </c>
      <c r="AP457" s="10">
        <v>1</v>
      </c>
      <c r="AQ457" s="10">
        <v>1</v>
      </c>
      <c r="AR457" s="10">
        <v>1</v>
      </c>
      <c r="AS457" s="11">
        <v>1</v>
      </c>
      <c r="AT457" s="11">
        <v>2</v>
      </c>
      <c r="AU457" s="11">
        <v>1</v>
      </c>
      <c r="AV457" s="11">
        <v>2</v>
      </c>
      <c r="AW457" s="11">
        <v>1</v>
      </c>
      <c r="AX457" s="11">
        <v>2</v>
      </c>
      <c r="AY457" s="7">
        <v>1</v>
      </c>
      <c r="AZ457" s="7">
        <v>2</v>
      </c>
      <c r="BA457" s="7">
        <v>1</v>
      </c>
      <c r="BB457" s="7">
        <v>1</v>
      </c>
      <c r="BC457" s="7">
        <v>2</v>
      </c>
      <c r="BD457" s="7">
        <v>1</v>
      </c>
      <c r="BE457" s="7">
        <v>1</v>
      </c>
      <c r="BF457" s="7">
        <v>2</v>
      </c>
      <c r="BG457" s="12">
        <f>SUM(data__22[[#This Row],[N1]:[N4]],data__22[[#This Row],[N10]:[N13]],data__22[[#This Row],[N16]:[N18]])/11</f>
        <v>1.1818181818181819</v>
      </c>
      <c r="BH457" s="13">
        <f>SUM(data__22[[#This Row],[N8]:[N9]],data__22[[#This Row],[N23]:[N25]])/5</f>
        <v>1.2</v>
      </c>
      <c r="BI457" s="12">
        <f>SUM(data__22[[#This Row],[N5]:[N7]])/3</f>
        <v>1.3333333333333333</v>
      </c>
      <c r="BJ457" s="12">
        <f>SUM(data__22[[#This Row],[N14]:[N15]],data__22[[#This Row],[N19]:[N22]],data__22[[#This Row],[N26]:[N28]])/9</f>
        <v>1.4444444444444444</v>
      </c>
      <c r="BK457" s="12">
        <f>SUM(data__22[[#This Row],[N29]:[N33]])/5</f>
        <v>1.4</v>
      </c>
      <c r="BL457" s="12">
        <f>SUM(data__22[[#This Row],[N34]:[N36]])/3</f>
        <v>1.3333333333333333</v>
      </c>
    </row>
    <row r="458" spans="1:64" x14ac:dyDescent="0.3">
      <c r="A458" s="7">
        <v>22</v>
      </c>
      <c r="B458" s="7" t="s">
        <v>70</v>
      </c>
      <c r="C458" s="7" t="s">
        <v>113</v>
      </c>
      <c r="D458" s="7" t="s">
        <v>72</v>
      </c>
      <c r="E458" s="7" t="s">
        <v>73</v>
      </c>
      <c r="F458" s="7" t="s">
        <v>136</v>
      </c>
      <c r="G458" s="7" t="s">
        <v>440</v>
      </c>
      <c r="H458" s="7" t="s">
        <v>136</v>
      </c>
      <c r="I458" s="7" t="s">
        <v>76</v>
      </c>
      <c r="J458" s="7" t="s">
        <v>101</v>
      </c>
      <c r="K458" s="7" t="s">
        <v>122</v>
      </c>
      <c r="L458" s="8" t="s">
        <v>79</v>
      </c>
      <c r="M458" s="8" t="s">
        <v>80</v>
      </c>
      <c r="N458" s="8" t="s">
        <v>79</v>
      </c>
      <c r="O458" s="8" t="s">
        <v>109</v>
      </c>
      <c r="P458" s="8" t="s">
        <v>79</v>
      </c>
      <c r="Q458" s="8" t="s">
        <v>83</v>
      </c>
      <c r="R458" s="8" t="s">
        <v>79</v>
      </c>
      <c r="S458" s="8" t="s">
        <v>82</v>
      </c>
      <c r="T458" s="8" t="s">
        <v>86</v>
      </c>
      <c r="U458" s="8" t="s">
        <v>141</v>
      </c>
      <c r="V458" s="8" t="s">
        <v>112</v>
      </c>
      <c r="W458" s="9">
        <v>2</v>
      </c>
      <c r="X458" s="9">
        <v>2</v>
      </c>
      <c r="Y458" s="9">
        <v>2</v>
      </c>
      <c r="Z458" s="9">
        <v>2</v>
      </c>
      <c r="AA458" s="9">
        <v>2</v>
      </c>
      <c r="AB458" s="9">
        <v>2</v>
      </c>
      <c r="AC458" s="9">
        <v>2</v>
      </c>
      <c r="AD458" s="9">
        <v>3</v>
      </c>
      <c r="AE458" s="9">
        <v>2</v>
      </c>
      <c r="AF458" s="9">
        <v>2</v>
      </c>
      <c r="AG458" s="9">
        <v>2</v>
      </c>
      <c r="AH458" s="9">
        <v>2</v>
      </c>
      <c r="AI458" s="9">
        <v>2</v>
      </c>
      <c r="AJ458" s="9">
        <v>2</v>
      </c>
      <c r="AK458" s="9">
        <v>2</v>
      </c>
      <c r="AL458" s="10">
        <v>1</v>
      </c>
      <c r="AM458" s="10">
        <v>1</v>
      </c>
      <c r="AN458" s="10">
        <v>1</v>
      </c>
      <c r="AO458" s="10">
        <v>1</v>
      </c>
      <c r="AP458" s="10">
        <v>1</v>
      </c>
      <c r="AQ458" s="10">
        <v>2</v>
      </c>
      <c r="AR458" s="10">
        <v>2</v>
      </c>
      <c r="AS458" s="11">
        <v>1</v>
      </c>
      <c r="AT458" s="11">
        <v>2</v>
      </c>
      <c r="AU458" s="11">
        <v>1</v>
      </c>
      <c r="AV458" s="11">
        <v>1</v>
      </c>
      <c r="AW458" s="11">
        <v>1</v>
      </c>
      <c r="AX458" s="11">
        <v>2</v>
      </c>
      <c r="AY458" s="7">
        <v>2</v>
      </c>
      <c r="AZ458" s="7">
        <v>1</v>
      </c>
      <c r="BA458" s="7">
        <v>1</v>
      </c>
      <c r="BB458" s="7">
        <v>2</v>
      </c>
      <c r="BC458" s="7">
        <v>1</v>
      </c>
      <c r="BD458" s="7">
        <v>1</v>
      </c>
      <c r="BE458" s="7">
        <v>2</v>
      </c>
      <c r="BF458" s="7">
        <v>1</v>
      </c>
      <c r="BG458" s="12">
        <f>SUM(data__22[[#This Row],[N1]:[N4]],data__22[[#This Row],[N10]:[N13]],data__22[[#This Row],[N16]:[N18]])/11</f>
        <v>1.7272727272727273</v>
      </c>
      <c r="BH458" s="13">
        <f>SUM(data__22[[#This Row],[N8]:[N9]],data__22[[#This Row],[N23]:[N25]])/5</f>
        <v>1.8</v>
      </c>
      <c r="BI458" s="12">
        <f>SUM(data__22[[#This Row],[N5]:[N7]])/3</f>
        <v>2</v>
      </c>
      <c r="BJ458" s="12">
        <f>SUM(data__22[[#This Row],[N14]:[N15]],data__22[[#This Row],[N19]:[N22]],data__22[[#This Row],[N26]:[N28]])/9</f>
        <v>1.5555555555555556</v>
      </c>
      <c r="BK458" s="12">
        <f>SUM(data__22[[#This Row],[N29]:[N33]])/5</f>
        <v>1.4</v>
      </c>
      <c r="BL458" s="12">
        <f>SUM(data__22[[#This Row],[N34]:[N36]])/3</f>
        <v>1.3333333333333333</v>
      </c>
    </row>
    <row r="459" spans="1:64" x14ac:dyDescent="0.3">
      <c r="A459" s="7">
        <v>22</v>
      </c>
      <c r="B459" s="7" t="s">
        <v>70</v>
      </c>
      <c r="C459" s="7" t="s">
        <v>96</v>
      </c>
      <c r="D459" s="7" t="s">
        <v>149</v>
      </c>
      <c r="E459" s="7" t="s">
        <v>108</v>
      </c>
      <c r="F459" s="7" t="s">
        <v>136</v>
      </c>
      <c r="G459" s="7" t="s">
        <v>439</v>
      </c>
      <c r="H459" s="7" t="s">
        <v>98</v>
      </c>
      <c r="I459" s="7" t="s">
        <v>439</v>
      </c>
      <c r="J459" s="7" t="s">
        <v>77</v>
      </c>
      <c r="K459" s="7" t="s">
        <v>122</v>
      </c>
      <c r="L459" s="8" t="s">
        <v>79</v>
      </c>
      <c r="M459" s="8" t="s">
        <v>80</v>
      </c>
      <c r="N459" s="8" t="s">
        <v>79</v>
      </c>
      <c r="O459" s="8" t="s">
        <v>138</v>
      </c>
      <c r="P459" s="8" t="s">
        <v>82</v>
      </c>
      <c r="Q459" s="8" t="s">
        <v>83</v>
      </c>
      <c r="R459" s="8" t="s">
        <v>79</v>
      </c>
      <c r="S459" s="8" t="s">
        <v>79</v>
      </c>
      <c r="T459" s="8" t="s">
        <v>86</v>
      </c>
      <c r="U459" s="8" t="s">
        <v>120</v>
      </c>
      <c r="V459" s="8" t="s">
        <v>112</v>
      </c>
      <c r="W459" s="9">
        <v>1</v>
      </c>
      <c r="X459" s="9">
        <v>2</v>
      </c>
      <c r="Y459" s="9">
        <v>2</v>
      </c>
      <c r="Z459" s="9">
        <v>2</v>
      </c>
      <c r="AA459" s="9">
        <v>1</v>
      </c>
      <c r="AB459" s="9">
        <v>1</v>
      </c>
      <c r="AC459" s="9">
        <v>1</v>
      </c>
      <c r="AD459" s="9">
        <v>2</v>
      </c>
      <c r="AE459" s="9">
        <v>1</v>
      </c>
      <c r="AF459" s="9">
        <v>2</v>
      </c>
      <c r="AG459" s="9">
        <v>1</v>
      </c>
      <c r="AH459" s="9">
        <v>1</v>
      </c>
      <c r="AI459" s="9">
        <v>1</v>
      </c>
      <c r="AJ459" s="9">
        <v>2</v>
      </c>
      <c r="AK459" s="9">
        <v>1</v>
      </c>
      <c r="AL459" s="10">
        <v>0</v>
      </c>
      <c r="AM459" s="10">
        <v>1</v>
      </c>
      <c r="AN459" s="10">
        <v>2</v>
      </c>
      <c r="AO459" s="10">
        <v>0</v>
      </c>
      <c r="AP459" s="10">
        <v>1</v>
      </c>
      <c r="AQ459" s="10">
        <v>0</v>
      </c>
      <c r="AR459" s="10">
        <v>1</v>
      </c>
      <c r="AS459" s="11">
        <v>1</v>
      </c>
      <c r="AT459" s="11">
        <v>2</v>
      </c>
      <c r="AU459" s="11">
        <v>2</v>
      </c>
      <c r="AV459" s="11">
        <v>1</v>
      </c>
      <c r="AW459" s="11">
        <v>1</v>
      </c>
      <c r="AX459" s="11">
        <v>2</v>
      </c>
      <c r="AY459" s="7">
        <v>1</v>
      </c>
      <c r="AZ459" s="7">
        <v>1</v>
      </c>
      <c r="BA459" s="7">
        <v>1</v>
      </c>
      <c r="BB459" s="7">
        <v>2</v>
      </c>
      <c r="BC459" s="7">
        <v>1</v>
      </c>
      <c r="BD459" s="7">
        <v>1</v>
      </c>
      <c r="BE459" s="7">
        <v>1</v>
      </c>
      <c r="BF459" s="7">
        <v>1</v>
      </c>
      <c r="BG459" s="12">
        <f>SUM(data__22[[#This Row],[N1]:[N4]],data__22[[#This Row],[N10]:[N13]],data__22[[#This Row],[N16]:[N18]])/11</f>
        <v>1.3636363636363635</v>
      </c>
      <c r="BH459" s="13">
        <f>SUM(data__22[[#This Row],[N8]:[N9]],data__22[[#This Row],[N23]:[N25]])/5</f>
        <v>1.6</v>
      </c>
      <c r="BI459" s="12">
        <f>SUM(data__22[[#This Row],[N5]:[N7]])/3</f>
        <v>1</v>
      </c>
      <c r="BJ459" s="12">
        <f>SUM(data__22[[#This Row],[N14]:[N15]],data__22[[#This Row],[N19]:[N22]],data__22[[#This Row],[N26]:[N28]])/9</f>
        <v>1</v>
      </c>
      <c r="BK459" s="12">
        <f>SUM(data__22[[#This Row],[N29]:[N33]])/5</f>
        <v>1.2</v>
      </c>
      <c r="BL459" s="12">
        <f>SUM(data__22[[#This Row],[N34]:[N36]])/3</f>
        <v>1</v>
      </c>
    </row>
    <row r="460" spans="1:64" x14ac:dyDescent="0.3">
      <c r="A460" s="7">
        <v>23</v>
      </c>
      <c r="B460" s="7" t="s">
        <v>70</v>
      </c>
      <c r="C460" s="7" t="s">
        <v>113</v>
      </c>
      <c r="D460" s="7" t="s">
        <v>97</v>
      </c>
      <c r="E460" s="7" t="s">
        <v>108</v>
      </c>
      <c r="F460" s="7" t="s">
        <v>74</v>
      </c>
      <c r="G460" s="7" t="s">
        <v>439</v>
      </c>
      <c r="H460" s="7" t="s">
        <v>98</v>
      </c>
      <c r="I460" s="7" t="s">
        <v>76</v>
      </c>
      <c r="J460" s="7" t="s">
        <v>77</v>
      </c>
      <c r="K460" s="7" t="s">
        <v>122</v>
      </c>
      <c r="L460" s="8" t="s">
        <v>79</v>
      </c>
      <c r="M460" s="8" t="s">
        <v>80</v>
      </c>
      <c r="N460" s="8" t="s">
        <v>82</v>
      </c>
      <c r="O460" s="8" t="s">
        <v>109</v>
      </c>
      <c r="P460" s="8" t="s">
        <v>79</v>
      </c>
      <c r="Q460" s="8" t="s">
        <v>103</v>
      </c>
      <c r="R460" s="8" t="s">
        <v>79</v>
      </c>
      <c r="S460" s="8" t="s">
        <v>82</v>
      </c>
      <c r="T460" s="8" t="s">
        <v>106</v>
      </c>
      <c r="U460" s="8" t="s">
        <v>87</v>
      </c>
      <c r="V460" s="8" t="s">
        <v>112</v>
      </c>
      <c r="W460" s="9">
        <v>3</v>
      </c>
      <c r="X460" s="9">
        <v>3</v>
      </c>
      <c r="Y460" s="9">
        <v>3</v>
      </c>
      <c r="Z460" s="9">
        <v>2</v>
      </c>
      <c r="AA460" s="9">
        <v>2</v>
      </c>
      <c r="AB460" s="9">
        <v>2</v>
      </c>
      <c r="AC460" s="9">
        <v>2</v>
      </c>
      <c r="AD460" s="9">
        <v>3</v>
      </c>
      <c r="AE460" s="9">
        <v>3</v>
      </c>
      <c r="AF460" s="9">
        <v>3</v>
      </c>
      <c r="AG460" s="9">
        <v>3</v>
      </c>
      <c r="AH460" s="9">
        <v>3</v>
      </c>
      <c r="AI460" s="9">
        <v>3</v>
      </c>
      <c r="AJ460" s="9">
        <v>3</v>
      </c>
      <c r="AK460" s="9">
        <v>3</v>
      </c>
      <c r="AL460" s="10">
        <v>3</v>
      </c>
      <c r="AM460" s="10">
        <v>3</v>
      </c>
      <c r="AN460" s="10">
        <v>3</v>
      </c>
      <c r="AO460" s="10">
        <v>3</v>
      </c>
      <c r="AP460" s="10">
        <v>3</v>
      </c>
      <c r="AQ460" s="10">
        <v>3</v>
      </c>
      <c r="AR460" s="10">
        <v>3</v>
      </c>
      <c r="AS460" s="11">
        <v>3</v>
      </c>
      <c r="AT460" s="11">
        <v>3</v>
      </c>
      <c r="AU460" s="11">
        <v>3</v>
      </c>
      <c r="AV460" s="11">
        <v>3</v>
      </c>
      <c r="AW460" s="11">
        <v>3</v>
      </c>
      <c r="AX460" s="11">
        <v>3</v>
      </c>
      <c r="AY460" s="7">
        <v>3</v>
      </c>
      <c r="AZ460" s="7">
        <v>3</v>
      </c>
      <c r="BA460" s="7">
        <v>3</v>
      </c>
      <c r="BB460" s="7">
        <v>3</v>
      </c>
      <c r="BC460" s="7">
        <v>3</v>
      </c>
      <c r="BD460" s="7">
        <v>1</v>
      </c>
      <c r="BE460" s="7">
        <v>2</v>
      </c>
      <c r="BF460" s="7">
        <v>2</v>
      </c>
      <c r="BG460" s="12">
        <f>SUM(data__22[[#This Row],[N1]:[N4]],data__22[[#This Row],[N10]:[N13]],data__22[[#This Row],[N16]:[N18]])/11</f>
        <v>2.9090909090909092</v>
      </c>
      <c r="BH460" s="13">
        <f>SUM(data__22[[#This Row],[N8]:[N9]],data__22[[#This Row],[N23]:[N25]])/5</f>
        <v>3</v>
      </c>
      <c r="BI460" s="12">
        <f>SUM(data__22[[#This Row],[N5]:[N7]])/3</f>
        <v>2</v>
      </c>
      <c r="BJ460" s="12">
        <f>SUM(data__22[[#This Row],[N14]:[N15]],data__22[[#This Row],[N19]:[N22]],data__22[[#This Row],[N26]:[N28]])/9</f>
        <v>3</v>
      </c>
      <c r="BK460" s="12">
        <f>SUM(data__22[[#This Row],[N29]:[N33]])/5</f>
        <v>3</v>
      </c>
      <c r="BL460" s="12">
        <f>SUM(data__22[[#This Row],[N34]:[N36]])/3</f>
        <v>1.6666666666666667</v>
      </c>
    </row>
    <row r="461" spans="1:64" x14ac:dyDescent="0.3">
      <c r="A461" s="7">
        <v>22</v>
      </c>
      <c r="B461" s="7" t="s">
        <v>70</v>
      </c>
      <c r="C461" s="7" t="s">
        <v>113</v>
      </c>
      <c r="D461" s="7" t="s">
        <v>149</v>
      </c>
      <c r="E461" s="7" t="s">
        <v>73</v>
      </c>
      <c r="F461" s="7" t="s">
        <v>74</v>
      </c>
      <c r="G461" s="7" t="s">
        <v>439</v>
      </c>
      <c r="H461" s="7" t="s">
        <v>136</v>
      </c>
      <c r="I461" s="7" t="s">
        <v>76</v>
      </c>
      <c r="J461" s="7" t="s">
        <v>77</v>
      </c>
      <c r="K461" s="7" t="s">
        <v>125</v>
      </c>
      <c r="L461" s="8" t="s">
        <v>79</v>
      </c>
      <c r="M461" s="8" t="s">
        <v>80</v>
      </c>
      <c r="N461" s="8" t="s">
        <v>82</v>
      </c>
      <c r="O461" s="8" t="s">
        <v>133</v>
      </c>
      <c r="P461" s="8" t="s">
        <v>79</v>
      </c>
      <c r="Q461" s="8" t="s">
        <v>83</v>
      </c>
      <c r="R461" s="8" t="s">
        <v>82</v>
      </c>
      <c r="S461" s="8" t="s">
        <v>82</v>
      </c>
      <c r="T461" s="8" t="s">
        <v>106</v>
      </c>
      <c r="U461" s="8" t="s">
        <v>141</v>
      </c>
      <c r="V461" s="8" t="s">
        <v>457</v>
      </c>
      <c r="W461" s="9">
        <v>3</v>
      </c>
      <c r="X461" s="9">
        <v>3</v>
      </c>
      <c r="Y461" s="9">
        <v>3</v>
      </c>
      <c r="Z461" s="9">
        <v>3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3</v>
      </c>
      <c r="AG461" s="9">
        <v>1</v>
      </c>
      <c r="AH461" s="9">
        <v>0</v>
      </c>
      <c r="AI461" s="9">
        <v>1</v>
      </c>
      <c r="AJ461" s="9">
        <v>0</v>
      </c>
      <c r="AK461" s="9">
        <v>0</v>
      </c>
      <c r="AL461" s="10">
        <v>2</v>
      </c>
      <c r="AM461" s="10">
        <v>2</v>
      </c>
      <c r="AN461" s="10">
        <v>2</v>
      </c>
      <c r="AO461" s="10">
        <v>2</v>
      </c>
      <c r="AP461" s="10">
        <v>2</v>
      </c>
      <c r="AQ461" s="10">
        <v>2</v>
      </c>
      <c r="AR461" s="10">
        <v>2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7">
        <v>2</v>
      </c>
      <c r="AZ461" s="7">
        <v>2</v>
      </c>
      <c r="BA461" s="7">
        <v>2</v>
      </c>
      <c r="BB461" s="7">
        <v>2</v>
      </c>
      <c r="BC461" s="7">
        <v>2</v>
      </c>
      <c r="BD461" s="7">
        <v>2</v>
      </c>
      <c r="BE461" s="7">
        <v>2</v>
      </c>
      <c r="BF461" s="7">
        <v>2</v>
      </c>
      <c r="BG461" s="12">
        <f>SUM(data__22[[#This Row],[N1]:[N4]],data__22[[#This Row],[N10]:[N13]],data__22[[#This Row],[N16]:[N18]])/11</f>
        <v>2.0909090909090908</v>
      </c>
      <c r="BH461" s="13">
        <f>SUM(data__22[[#This Row],[N8]:[N9]],data__22[[#This Row],[N23]:[N25]])/5</f>
        <v>0</v>
      </c>
      <c r="BI461" s="12">
        <f>SUM(data__22[[#This Row],[N5]:[N7]])/3</f>
        <v>0</v>
      </c>
      <c r="BJ461" s="12">
        <f>SUM(data__22[[#This Row],[N14]:[N15]],data__22[[#This Row],[N19]:[N22]],data__22[[#This Row],[N26]:[N28]])/9</f>
        <v>0.88888888888888884</v>
      </c>
      <c r="BK461" s="12">
        <f>SUM(data__22[[#This Row],[N29]:[N33]])/5</f>
        <v>2</v>
      </c>
      <c r="BL461" s="12">
        <f>SUM(data__22[[#This Row],[N34]:[N36]])/3</f>
        <v>2</v>
      </c>
    </row>
    <row r="462" spans="1:64" x14ac:dyDescent="0.3">
      <c r="A462" s="7">
        <v>23</v>
      </c>
      <c r="B462" s="7" t="s">
        <v>70</v>
      </c>
      <c r="C462" s="7" t="s">
        <v>113</v>
      </c>
      <c r="D462" s="7" t="s">
        <v>72</v>
      </c>
      <c r="E462" s="7" t="s">
        <v>114</v>
      </c>
      <c r="F462" s="7" t="s">
        <v>74</v>
      </c>
      <c r="G462" s="7" t="s">
        <v>439</v>
      </c>
      <c r="H462" s="7" t="s">
        <v>98</v>
      </c>
      <c r="I462" s="7" t="s">
        <v>76</v>
      </c>
      <c r="J462" s="7" t="s">
        <v>77</v>
      </c>
      <c r="K462" s="7" t="s">
        <v>78</v>
      </c>
      <c r="L462" s="8" t="s">
        <v>79</v>
      </c>
      <c r="M462" s="8" t="s">
        <v>80</v>
      </c>
      <c r="N462" s="8" t="s">
        <v>82</v>
      </c>
      <c r="O462" s="8" t="s">
        <v>117</v>
      </c>
      <c r="P462" s="8" t="s">
        <v>79</v>
      </c>
      <c r="Q462" s="8" t="s">
        <v>103</v>
      </c>
      <c r="R462" s="8" t="s">
        <v>82</v>
      </c>
      <c r="S462" s="8" t="s">
        <v>82</v>
      </c>
      <c r="T462" s="8" t="s">
        <v>106</v>
      </c>
      <c r="U462" s="8" t="s">
        <v>141</v>
      </c>
      <c r="V462" s="8" t="s">
        <v>112</v>
      </c>
      <c r="W462" s="9">
        <v>3</v>
      </c>
      <c r="X462" s="9">
        <v>1</v>
      </c>
      <c r="Y462" s="9">
        <v>1</v>
      </c>
      <c r="Z462" s="9">
        <v>1</v>
      </c>
      <c r="AA462" s="9">
        <v>1</v>
      </c>
      <c r="AB462" s="9">
        <v>1</v>
      </c>
      <c r="AC462" s="9">
        <v>1</v>
      </c>
      <c r="AD462" s="9">
        <v>1</v>
      </c>
      <c r="AE462" s="9">
        <v>2</v>
      </c>
      <c r="AF462" s="9">
        <v>1</v>
      </c>
      <c r="AG462" s="9">
        <v>1</v>
      </c>
      <c r="AH462" s="9">
        <v>1</v>
      </c>
      <c r="AI462" s="9">
        <v>2</v>
      </c>
      <c r="AJ462" s="9">
        <v>2</v>
      </c>
      <c r="AK462" s="9">
        <v>1</v>
      </c>
      <c r="AL462" s="10">
        <v>0</v>
      </c>
      <c r="AM462" s="10">
        <v>1</v>
      </c>
      <c r="AN462" s="10">
        <v>0</v>
      </c>
      <c r="AO462" s="10">
        <v>1</v>
      </c>
      <c r="AP462" s="10">
        <v>1</v>
      </c>
      <c r="AQ462" s="10">
        <v>0</v>
      </c>
      <c r="AR462" s="10">
        <v>2</v>
      </c>
      <c r="AS462" s="11">
        <v>1</v>
      </c>
      <c r="AT462" s="11">
        <v>2</v>
      </c>
      <c r="AU462" s="11">
        <v>1</v>
      </c>
      <c r="AV462" s="11">
        <v>1</v>
      </c>
      <c r="AW462" s="11">
        <v>1</v>
      </c>
      <c r="AX462" s="11">
        <v>2</v>
      </c>
      <c r="AY462" s="7">
        <v>2</v>
      </c>
      <c r="AZ462" s="7">
        <v>1</v>
      </c>
      <c r="BA462" s="7">
        <v>2</v>
      </c>
      <c r="BB462" s="7">
        <v>2</v>
      </c>
      <c r="BC462" s="7">
        <v>1</v>
      </c>
      <c r="BD462" s="7">
        <v>2</v>
      </c>
      <c r="BE462" s="7">
        <v>1</v>
      </c>
      <c r="BF462" s="7">
        <v>2</v>
      </c>
      <c r="BG462" s="12">
        <f>SUM(data__22[[#This Row],[N1]:[N4]],data__22[[#This Row],[N10]:[N13]],data__22[[#This Row],[N16]:[N18]])/11</f>
        <v>1.0909090909090908</v>
      </c>
      <c r="BH462" s="13">
        <f>SUM(data__22[[#This Row],[N8]:[N9]],data__22[[#This Row],[N23]:[N25]])/5</f>
        <v>1.4</v>
      </c>
      <c r="BI462" s="12">
        <f>SUM(data__22[[#This Row],[N5]:[N7]])/3</f>
        <v>1</v>
      </c>
      <c r="BJ462" s="12">
        <f>SUM(data__22[[#This Row],[N14]:[N15]],data__22[[#This Row],[N19]:[N22]],data__22[[#This Row],[N26]:[N28]])/9</f>
        <v>1.2222222222222223</v>
      </c>
      <c r="BK462" s="12">
        <f>SUM(data__22[[#This Row],[N29]:[N33]])/5</f>
        <v>1.6</v>
      </c>
      <c r="BL462" s="12">
        <f>SUM(data__22[[#This Row],[N34]:[N36]])/3</f>
        <v>1.6666666666666667</v>
      </c>
    </row>
    <row r="463" spans="1:64" x14ac:dyDescent="0.3">
      <c r="A463" s="7">
        <v>22</v>
      </c>
      <c r="B463" s="7" t="s">
        <v>70</v>
      </c>
      <c r="C463" s="7" t="s">
        <v>113</v>
      </c>
      <c r="D463" s="7" t="s">
        <v>72</v>
      </c>
      <c r="E463" s="7" t="s">
        <v>108</v>
      </c>
      <c r="F463" s="7" t="s">
        <v>74</v>
      </c>
      <c r="G463" s="7" t="s">
        <v>440</v>
      </c>
      <c r="H463" s="7" t="s">
        <v>98</v>
      </c>
      <c r="I463" s="7" t="s">
        <v>76</v>
      </c>
      <c r="J463" s="7" t="s">
        <v>77</v>
      </c>
      <c r="K463" s="7" t="s">
        <v>125</v>
      </c>
      <c r="L463" s="8" t="s">
        <v>79</v>
      </c>
      <c r="M463" s="8" t="s">
        <v>80</v>
      </c>
      <c r="N463" s="8" t="s">
        <v>79</v>
      </c>
      <c r="O463" s="8" t="s">
        <v>117</v>
      </c>
      <c r="P463" s="8" t="s">
        <v>82</v>
      </c>
      <c r="Q463" s="8" t="s">
        <v>83</v>
      </c>
      <c r="R463" s="8" t="s">
        <v>82</v>
      </c>
      <c r="S463" s="8" t="s">
        <v>82</v>
      </c>
      <c r="T463" s="8" t="s">
        <v>106</v>
      </c>
      <c r="U463" s="8" t="s">
        <v>141</v>
      </c>
      <c r="V463" s="8" t="s">
        <v>112</v>
      </c>
      <c r="W463" s="9">
        <v>2</v>
      </c>
      <c r="X463" s="9">
        <v>2</v>
      </c>
      <c r="Y463" s="9">
        <v>2</v>
      </c>
      <c r="Z463" s="9">
        <v>2</v>
      </c>
      <c r="AA463" s="9">
        <v>1</v>
      </c>
      <c r="AB463" s="9">
        <v>1</v>
      </c>
      <c r="AC463" s="9">
        <v>1</v>
      </c>
      <c r="AD463" s="9">
        <v>1</v>
      </c>
      <c r="AE463" s="9">
        <v>1</v>
      </c>
      <c r="AF463" s="9">
        <v>1</v>
      </c>
      <c r="AG463" s="9">
        <v>2</v>
      </c>
      <c r="AH463" s="9">
        <v>3</v>
      </c>
      <c r="AI463" s="9">
        <v>3</v>
      </c>
      <c r="AJ463" s="9">
        <v>1</v>
      </c>
      <c r="AK463" s="9">
        <v>1</v>
      </c>
      <c r="AL463" s="10">
        <v>3</v>
      </c>
      <c r="AM463" s="10">
        <v>3</v>
      </c>
      <c r="AN463" s="10">
        <v>3</v>
      </c>
      <c r="AO463" s="10">
        <v>0</v>
      </c>
      <c r="AP463" s="10">
        <v>1</v>
      </c>
      <c r="AQ463" s="10">
        <v>0</v>
      </c>
      <c r="AR463" s="10">
        <v>0</v>
      </c>
      <c r="AS463" s="11">
        <v>2</v>
      </c>
      <c r="AT463" s="11">
        <v>2</v>
      </c>
      <c r="AU463" s="11">
        <v>2</v>
      </c>
      <c r="AV463" s="11">
        <v>0</v>
      </c>
      <c r="AW463" s="11">
        <v>0</v>
      </c>
      <c r="AX463" s="11">
        <v>0</v>
      </c>
      <c r="AY463" s="7"/>
      <c r="AZ463" s="7"/>
      <c r="BA463" s="7"/>
      <c r="BB463" s="7"/>
      <c r="BC463" s="7"/>
      <c r="BD463" s="7"/>
      <c r="BE463" s="7"/>
      <c r="BF463" s="7"/>
      <c r="BG463" s="12">
        <f>SUM(data__22[[#This Row],[N1]:[N4]],data__22[[#This Row],[N10]:[N13]],data__22[[#This Row],[N16]:[N18]])/11</f>
        <v>2.3636363636363638</v>
      </c>
      <c r="BH463" s="13">
        <f>SUM(data__22[[#This Row],[N8]:[N9]],data__22[[#This Row],[N23]:[N25]])/5</f>
        <v>1.6</v>
      </c>
      <c r="BI463" s="12">
        <f>SUM(data__22[[#This Row],[N5]:[N7]])/3</f>
        <v>1</v>
      </c>
      <c r="BJ463" s="12">
        <f>SUM(data__22[[#This Row],[N14]:[N15]],data__22[[#This Row],[N19]:[N22]],data__22[[#This Row],[N26]:[N28]])/9</f>
        <v>0.33333333333333331</v>
      </c>
      <c r="BK463" s="12">
        <f>SUM(data__22[[#This Row],[N29]:[N33]])/5</f>
        <v>0</v>
      </c>
      <c r="BL463" s="12">
        <f>SUM(data__22[[#This Row],[N34]:[N36]])/3</f>
        <v>0</v>
      </c>
    </row>
    <row r="464" spans="1:64" x14ac:dyDescent="0.3">
      <c r="A464" s="7">
        <v>20</v>
      </c>
      <c r="B464" s="7" t="s">
        <v>70</v>
      </c>
      <c r="C464" s="7" t="s">
        <v>96</v>
      </c>
      <c r="D464" s="7" t="s">
        <v>72</v>
      </c>
      <c r="E464" s="7" t="s">
        <v>73</v>
      </c>
      <c r="F464" s="7" t="s">
        <v>98</v>
      </c>
      <c r="G464" s="7" t="s">
        <v>439</v>
      </c>
      <c r="H464" s="7" t="s">
        <v>100</v>
      </c>
      <c r="I464" s="7" t="s">
        <v>76</v>
      </c>
      <c r="J464" s="7" t="s">
        <v>77</v>
      </c>
      <c r="K464" s="7" t="s">
        <v>125</v>
      </c>
      <c r="L464" s="8" t="s">
        <v>79</v>
      </c>
      <c r="M464" s="8" t="s">
        <v>80</v>
      </c>
      <c r="N464" s="8" t="s">
        <v>82</v>
      </c>
      <c r="O464" s="8" t="s">
        <v>117</v>
      </c>
      <c r="P464" s="8" t="s">
        <v>82</v>
      </c>
      <c r="Q464" s="8" t="s">
        <v>83</v>
      </c>
      <c r="R464" s="8" t="s">
        <v>82</v>
      </c>
      <c r="S464" s="8" t="s">
        <v>82</v>
      </c>
      <c r="T464" s="8" t="s">
        <v>106</v>
      </c>
      <c r="U464" s="8" t="s">
        <v>87</v>
      </c>
      <c r="V464" s="8" t="s">
        <v>112</v>
      </c>
      <c r="W464" s="9">
        <v>1</v>
      </c>
      <c r="X464" s="9">
        <v>1</v>
      </c>
      <c r="Y464" s="9">
        <v>2</v>
      </c>
      <c r="Z464" s="9">
        <v>0</v>
      </c>
      <c r="AA464" s="9">
        <v>1</v>
      </c>
      <c r="AB464" s="9">
        <v>2</v>
      </c>
      <c r="AC464" s="9">
        <v>1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10">
        <v>1</v>
      </c>
      <c r="AM464" s="10">
        <v>2</v>
      </c>
      <c r="AN464" s="10">
        <v>1</v>
      </c>
      <c r="AO464" s="10">
        <v>1</v>
      </c>
      <c r="AP464" s="10">
        <v>2</v>
      </c>
      <c r="AQ464" s="10">
        <v>2</v>
      </c>
      <c r="AR464" s="10">
        <v>2</v>
      </c>
      <c r="AS464" s="11">
        <v>1</v>
      </c>
      <c r="AT464" s="11">
        <v>1</v>
      </c>
      <c r="AU464" s="11">
        <v>1</v>
      </c>
      <c r="AV464" s="11">
        <v>0</v>
      </c>
      <c r="AW464" s="11">
        <v>1</v>
      </c>
      <c r="AX464" s="11">
        <v>1</v>
      </c>
      <c r="AY464" s="7">
        <v>1</v>
      </c>
      <c r="AZ464" s="7">
        <v>0</v>
      </c>
      <c r="BA464" s="7">
        <v>2</v>
      </c>
      <c r="BB464" s="7">
        <v>2</v>
      </c>
      <c r="BC464" s="7">
        <v>2</v>
      </c>
      <c r="BD464" s="7">
        <v>2</v>
      </c>
      <c r="BE464" s="7">
        <v>2</v>
      </c>
      <c r="BF464" s="7">
        <v>2</v>
      </c>
      <c r="BG464" s="12">
        <f>SUM(data__22[[#This Row],[N1]:[N4]],data__22[[#This Row],[N10]:[N13]],data__22[[#This Row],[N16]:[N18]])/11</f>
        <v>0.72727272727272729</v>
      </c>
      <c r="BH464" s="13">
        <f>SUM(data__22[[#This Row],[N8]:[N9]],data__22[[#This Row],[N23]:[N25]])/5</f>
        <v>0.6</v>
      </c>
      <c r="BI464" s="12">
        <f>SUM(data__22[[#This Row],[N5]:[N7]])/3</f>
        <v>1.3333333333333333</v>
      </c>
      <c r="BJ464" s="12">
        <f>SUM(data__22[[#This Row],[N14]:[N15]],data__22[[#This Row],[N19]:[N22]],data__22[[#This Row],[N26]:[N28]])/9</f>
        <v>1</v>
      </c>
      <c r="BK464" s="12">
        <f>SUM(data__22[[#This Row],[N29]:[N33]])/5</f>
        <v>1.4</v>
      </c>
      <c r="BL464" s="12">
        <f>SUM(data__22[[#This Row],[N34]:[N36]])/3</f>
        <v>2</v>
      </c>
    </row>
    <row r="465" spans="1:64" x14ac:dyDescent="0.3">
      <c r="A465" s="7">
        <v>23</v>
      </c>
      <c r="B465" s="7" t="s">
        <v>70</v>
      </c>
      <c r="C465" s="7" t="s">
        <v>113</v>
      </c>
      <c r="D465" s="7" t="s">
        <v>72</v>
      </c>
      <c r="E465" s="7" t="s">
        <v>114</v>
      </c>
      <c r="F465" s="7" t="s">
        <v>100</v>
      </c>
      <c r="G465" s="7" t="s">
        <v>440</v>
      </c>
      <c r="H465" s="7" t="s">
        <v>98</v>
      </c>
      <c r="I465" s="7" t="s">
        <v>76</v>
      </c>
      <c r="J465" s="7" t="s">
        <v>77</v>
      </c>
      <c r="K465" s="7" t="s">
        <v>125</v>
      </c>
      <c r="L465" s="8" t="s">
        <v>82</v>
      </c>
      <c r="M465" s="8" t="s">
        <v>80</v>
      </c>
      <c r="N465" s="8" t="s">
        <v>82</v>
      </c>
      <c r="O465" s="8" t="s">
        <v>117</v>
      </c>
      <c r="P465" s="8" t="s">
        <v>82</v>
      </c>
      <c r="Q465" s="8" t="s">
        <v>83</v>
      </c>
      <c r="R465" s="8" t="s">
        <v>82</v>
      </c>
      <c r="S465" s="8" t="s">
        <v>82</v>
      </c>
      <c r="T465" s="8" t="s">
        <v>106</v>
      </c>
      <c r="U465" s="8" t="s">
        <v>141</v>
      </c>
      <c r="V465" s="8" t="s">
        <v>237</v>
      </c>
      <c r="W465" s="9">
        <v>1</v>
      </c>
      <c r="X465" s="9">
        <v>3</v>
      </c>
      <c r="Y465" s="9">
        <v>3</v>
      </c>
      <c r="Z465" s="9">
        <v>3</v>
      </c>
      <c r="AA465" s="9">
        <v>1</v>
      </c>
      <c r="AB465" s="9">
        <v>1</v>
      </c>
      <c r="AC465" s="9">
        <v>1</v>
      </c>
      <c r="AD465" s="9">
        <v>3</v>
      </c>
      <c r="AE465" s="9">
        <v>1</v>
      </c>
      <c r="AF465" s="9">
        <v>3</v>
      </c>
      <c r="AG465" s="9">
        <v>1</v>
      </c>
      <c r="AH465" s="9">
        <v>3</v>
      </c>
      <c r="AI465" s="9">
        <v>3</v>
      </c>
      <c r="AJ465" s="9">
        <v>1</v>
      </c>
      <c r="AK465" s="9">
        <v>1</v>
      </c>
      <c r="AL465" s="10">
        <v>3</v>
      </c>
      <c r="AM465" s="10">
        <v>3</v>
      </c>
      <c r="AN465" s="10">
        <v>3</v>
      </c>
      <c r="AO465" s="10">
        <v>2</v>
      </c>
      <c r="AP465" s="10">
        <v>1</v>
      </c>
      <c r="AQ465" s="10">
        <v>0</v>
      </c>
      <c r="AR465" s="10">
        <v>0</v>
      </c>
      <c r="AS465" s="11">
        <v>3</v>
      </c>
      <c r="AT465" s="11">
        <v>3</v>
      </c>
      <c r="AU465" s="11">
        <v>3</v>
      </c>
      <c r="AV465" s="11">
        <v>1</v>
      </c>
      <c r="AW465" s="11">
        <v>0</v>
      </c>
      <c r="AX465" s="11">
        <v>0</v>
      </c>
      <c r="AY465" s="7">
        <v>3</v>
      </c>
      <c r="AZ465" s="7">
        <v>0</v>
      </c>
      <c r="BA465" s="7">
        <v>3</v>
      </c>
      <c r="BB465" s="7">
        <v>3</v>
      </c>
      <c r="BC465" s="7">
        <v>3</v>
      </c>
      <c r="BD465" s="7">
        <v>0</v>
      </c>
      <c r="BE465" s="7">
        <v>0</v>
      </c>
      <c r="BF465" s="7">
        <v>1</v>
      </c>
      <c r="BG465" s="12">
        <f>SUM(data__22[[#This Row],[N1]:[N4]],data__22[[#This Row],[N10]:[N13]],data__22[[#This Row],[N16]:[N18]])/11</f>
        <v>2.6363636363636362</v>
      </c>
      <c r="BH465" s="13">
        <f>SUM(data__22[[#This Row],[N8]:[N9]],data__22[[#This Row],[N23]:[N25]])/5</f>
        <v>2.6</v>
      </c>
      <c r="BI465" s="12">
        <f>SUM(data__22[[#This Row],[N5]:[N7]])/3</f>
        <v>1</v>
      </c>
      <c r="BJ465" s="12">
        <f>SUM(data__22[[#This Row],[N14]:[N15]],data__22[[#This Row],[N19]:[N22]],data__22[[#This Row],[N26]:[N28]])/9</f>
        <v>0.66666666666666663</v>
      </c>
      <c r="BK465" s="12">
        <f>SUM(data__22[[#This Row],[N29]:[N33]])/5</f>
        <v>2.4</v>
      </c>
      <c r="BL465" s="12">
        <f>SUM(data__22[[#This Row],[N34]:[N36]])/3</f>
        <v>0.33333333333333331</v>
      </c>
    </row>
    <row r="466" spans="1:64" x14ac:dyDescent="0.3">
      <c r="A466" s="7">
        <v>24</v>
      </c>
      <c r="B466" s="7" t="s">
        <v>70</v>
      </c>
      <c r="C466" s="7" t="s">
        <v>113</v>
      </c>
      <c r="D466" s="7" t="s">
        <v>97</v>
      </c>
      <c r="E466" s="7" t="s">
        <v>108</v>
      </c>
      <c r="F466" s="7" t="s">
        <v>100</v>
      </c>
      <c r="G466" s="7" t="s">
        <v>166</v>
      </c>
      <c r="H466" s="7" t="s">
        <v>100</v>
      </c>
      <c r="I466" s="7" t="s">
        <v>76</v>
      </c>
      <c r="J466" s="7" t="s">
        <v>77</v>
      </c>
      <c r="K466" s="7" t="s">
        <v>125</v>
      </c>
      <c r="L466" s="8" t="s">
        <v>82</v>
      </c>
      <c r="M466" s="8" t="s">
        <v>132</v>
      </c>
      <c r="N466" s="8" t="s">
        <v>79</v>
      </c>
      <c r="O466" s="8" t="s">
        <v>109</v>
      </c>
      <c r="P466" s="8" t="s">
        <v>82</v>
      </c>
      <c r="Q466" s="8" t="s">
        <v>103</v>
      </c>
      <c r="R466" s="8" t="s">
        <v>79</v>
      </c>
      <c r="S466" s="8" t="s">
        <v>82</v>
      </c>
      <c r="T466" s="8" t="s">
        <v>106</v>
      </c>
      <c r="U466" s="8" t="s">
        <v>87</v>
      </c>
      <c r="V466" s="8" t="s">
        <v>127</v>
      </c>
      <c r="W466" s="9">
        <v>0</v>
      </c>
      <c r="X466" s="9">
        <v>3</v>
      </c>
      <c r="Y466" s="9">
        <v>1</v>
      </c>
      <c r="Z466" s="9">
        <v>2</v>
      </c>
      <c r="AA466" s="9">
        <v>1</v>
      </c>
      <c r="AB466" s="9">
        <v>1</v>
      </c>
      <c r="AC466" s="9">
        <v>3</v>
      </c>
      <c r="AD466" s="9">
        <v>0</v>
      </c>
      <c r="AE466" s="9">
        <v>0</v>
      </c>
      <c r="AF466" s="9">
        <v>0</v>
      </c>
      <c r="AG466" s="9">
        <v>3</v>
      </c>
      <c r="AH466" s="9">
        <v>2</v>
      </c>
      <c r="AI466" s="9">
        <v>1</v>
      </c>
      <c r="AJ466" s="9">
        <v>2</v>
      </c>
      <c r="AK466" s="9">
        <v>3</v>
      </c>
      <c r="AL466" s="10">
        <v>1</v>
      </c>
      <c r="AM466" s="10">
        <v>2</v>
      </c>
      <c r="AN466" s="10">
        <v>2</v>
      </c>
      <c r="AO466" s="10">
        <v>3</v>
      </c>
      <c r="AP466" s="10">
        <v>3</v>
      </c>
      <c r="AQ466" s="10">
        <v>0</v>
      </c>
      <c r="AR466" s="10">
        <v>0</v>
      </c>
      <c r="AS466" s="11">
        <v>1</v>
      </c>
      <c r="AT466" s="11">
        <v>0</v>
      </c>
      <c r="AU466" s="11">
        <v>0</v>
      </c>
      <c r="AV466" s="11">
        <v>3</v>
      </c>
      <c r="AW466" s="11">
        <v>3</v>
      </c>
      <c r="AX466" s="11">
        <v>3</v>
      </c>
      <c r="AY466" s="7">
        <v>3</v>
      </c>
      <c r="AZ466" s="7">
        <v>0</v>
      </c>
      <c r="BA466" s="7">
        <v>2</v>
      </c>
      <c r="BB466" s="7">
        <v>1</v>
      </c>
      <c r="BC466" s="7">
        <v>1</v>
      </c>
      <c r="BD466" s="7">
        <v>1</v>
      </c>
      <c r="BE466" s="7">
        <v>1</v>
      </c>
      <c r="BF466" s="7">
        <v>1</v>
      </c>
      <c r="BG466" s="12">
        <f>SUM(data__22[[#This Row],[N1]:[N4]],data__22[[#This Row],[N10]:[N13]],data__22[[#This Row],[N16]:[N18]])/11</f>
        <v>1.5454545454545454</v>
      </c>
      <c r="BH466" s="13">
        <f>SUM(data__22[[#This Row],[N8]:[N9]],data__22[[#This Row],[N23]:[N25]])/5</f>
        <v>0.2</v>
      </c>
      <c r="BI466" s="12">
        <f>SUM(data__22[[#This Row],[N5]:[N7]])/3</f>
        <v>1.6666666666666667</v>
      </c>
      <c r="BJ466" s="12">
        <f>SUM(data__22[[#This Row],[N14]:[N15]],data__22[[#This Row],[N19]:[N22]],data__22[[#This Row],[N26]:[N28]])/9</f>
        <v>2.2222222222222223</v>
      </c>
      <c r="BK466" s="12">
        <f>SUM(data__22[[#This Row],[N29]:[N33]])/5</f>
        <v>1.4</v>
      </c>
      <c r="BL466" s="12">
        <f>SUM(data__22[[#This Row],[N34]:[N36]])/3</f>
        <v>1</v>
      </c>
    </row>
    <row r="467" spans="1:64" x14ac:dyDescent="0.3">
      <c r="A467" s="7">
        <v>23</v>
      </c>
      <c r="B467" s="7" t="s">
        <v>70</v>
      </c>
      <c r="C467" s="7" t="s">
        <v>113</v>
      </c>
      <c r="D467" s="7" t="s">
        <v>97</v>
      </c>
      <c r="E467" s="7" t="s">
        <v>108</v>
      </c>
      <c r="F467" s="7" t="s">
        <v>98</v>
      </c>
      <c r="G467" s="7" t="s">
        <v>440</v>
      </c>
      <c r="H467" s="7" t="s">
        <v>98</v>
      </c>
      <c r="I467" s="7" t="s">
        <v>76</v>
      </c>
      <c r="J467" s="7" t="s">
        <v>77</v>
      </c>
      <c r="K467" s="7" t="s">
        <v>78</v>
      </c>
      <c r="L467" s="8" t="s">
        <v>82</v>
      </c>
      <c r="M467" s="8" t="s">
        <v>80</v>
      </c>
      <c r="N467" s="8" t="s">
        <v>79</v>
      </c>
      <c r="O467" s="8" t="s">
        <v>81</v>
      </c>
      <c r="P467" s="8" t="s">
        <v>79</v>
      </c>
      <c r="Q467" s="8" t="s">
        <v>83</v>
      </c>
      <c r="R467" s="8" t="s">
        <v>79</v>
      </c>
      <c r="S467" s="8" t="s">
        <v>79</v>
      </c>
      <c r="T467" s="8" t="s">
        <v>106</v>
      </c>
      <c r="U467" s="8" t="s">
        <v>141</v>
      </c>
      <c r="V467" s="8" t="s">
        <v>112</v>
      </c>
      <c r="W467" s="9">
        <v>3</v>
      </c>
      <c r="X467" s="9">
        <v>3</v>
      </c>
      <c r="Y467" s="9">
        <v>3</v>
      </c>
      <c r="Z467" s="9">
        <v>3</v>
      </c>
      <c r="AA467" s="9">
        <v>0</v>
      </c>
      <c r="AB467" s="9">
        <v>0</v>
      </c>
      <c r="AC467" s="9">
        <v>3</v>
      </c>
      <c r="AD467" s="9">
        <v>3</v>
      </c>
      <c r="AE467" s="9">
        <v>3</v>
      </c>
      <c r="AF467" s="9">
        <v>0</v>
      </c>
      <c r="AG467" s="9">
        <v>3</v>
      </c>
      <c r="AH467" s="9">
        <v>1</v>
      </c>
      <c r="AI467" s="9">
        <v>1</v>
      </c>
      <c r="AJ467" s="9">
        <v>1</v>
      </c>
      <c r="AK467" s="9">
        <v>1</v>
      </c>
      <c r="AL467" s="10">
        <v>3</v>
      </c>
      <c r="AM467" s="10">
        <v>3</v>
      </c>
      <c r="AN467" s="10">
        <v>3</v>
      </c>
      <c r="AO467" s="10">
        <v>0</v>
      </c>
      <c r="AP467" s="10">
        <v>3</v>
      </c>
      <c r="AQ467" s="10">
        <v>3</v>
      </c>
      <c r="AR467" s="10">
        <v>3</v>
      </c>
      <c r="AS467" s="11">
        <v>3</v>
      </c>
      <c r="AT467" s="11">
        <v>1</v>
      </c>
      <c r="AU467" s="11">
        <v>3</v>
      </c>
      <c r="AV467" s="11">
        <v>2</v>
      </c>
      <c r="AW467" s="11">
        <v>3</v>
      </c>
      <c r="AX467" s="11">
        <v>3</v>
      </c>
      <c r="AY467" s="7">
        <v>3</v>
      </c>
      <c r="AZ467" s="7">
        <v>3</v>
      </c>
      <c r="BA467" s="7">
        <v>3</v>
      </c>
      <c r="BB467" s="7">
        <v>3</v>
      </c>
      <c r="BC467" s="7">
        <v>3</v>
      </c>
      <c r="BD467" s="7">
        <v>3</v>
      </c>
      <c r="BE467" s="7">
        <v>3</v>
      </c>
      <c r="BF467" s="7">
        <v>3</v>
      </c>
      <c r="BG467" s="12">
        <f>SUM(data__22[[#This Row],[N1]:[N4]],data__22[[#This Row],[N10]:[N13]],data__22[[#This Row],[N16]:[N18]])/11</f>
        <v>2.3636363636363638</v>
      </c>
      <c r="BH467" s="13">
        <f>SUM(data__22[[#This Row],[N8]:[N9]],data__22[[#This Row],[N23]:[N25]])/5</f>
        <v>2.6</v>
      </c>
      <c r="BI467" s="12">
        <f>SUM(data__22[[#This Row],[N5]:[N7]])/3</f>
        <v>1</v>
      </c>
      <c r="BJ467" s="12">
        <f>SUM(data__22[[#This Row],[N14]:[N15]],data__22[[#This Row],[N19]:[N22]],data__22[[#This Row],[N26]:[N28]])/9</f>
        <v>2.1111111111111112</v>
      </c>
      <c r="BK467" s="12">
        <f>SUM(data__22[[#This Row],[N29]:[N33]])/5</f>
        <v>3</v>
      </c>
      <c r="BL467" s="12">
        <f>SUM(data__22[[#This Row],[N34]:[N36]])/3</f>
        <v>3</v>
      </c>
    </row>
    <row r="468" spans="1:64" x14ac:dyDescent="0.3">
      <c r="A468" s="7">
        <v>23</v>
      </c>
      <c r="B468" s="7" t="s">
        <v>70</v>
      </c>
      <c r="C468" s="7" t="s">
        <v>113</v>
      </c>
      <c r="D468" s="7" t="s">
        <v>97</v>
      </c>
      <c r="E468" s="7" t="s">
        <v>114</v>
      </c>
      <c r="F468" s="7" t="s">
        <v>98</v>
      </c>
      <c r="G468" s="7" t="s">
        <v>439</v>
      </c>
      <c r="H468" s="7" t="s">
        <v>100</v>
      </c>
      <c r="I468" s="7" t="s">
        <v>76</v>
      </c>
      <c r="J468" s="7" t="s">
        <v>77</v>
      </c>
      <c r="K468" s="7" t="s">
        <v>125</v>
      </c>
      <c r="L468" s="8" t="s">
        <v>79</v>
      </c>
      <c r="M468" s="8" t="s">
        <v>80</v>
      </c>
      <c r="N468" s="8" t="s">
        <v>82</v>
      </c>
      <c r="O468" s="8" t="s">
        <v>117</v>
      </c>
      <c r="P468" s="8" t="s">
        <v>82</v>
      </c>
      <c r="Q468" s="8" t="s">
        <v>83</v>
      </c>
      <c r="R468" s="8" t="s">
        <v>82</v>
      </c>
      <c r="S468" s="8" t="s">
        <v>82</v>
      </c>
      <c r="T468" s="8" t="s">
        <v>106</v>
      </c>
      <c r="U468" s="8" t="s">
        <v>141</v>
      </c>
      <c r="V468" s="8" t="s">
        <v>112</v>
      </c>
      <c r="W468" s="9">
        <v>1</v>
      </c>
      <c r="X468" s="9">
        <v>3</v>
      </c>
      <c r="Y468" s="9">
        <v>3</v>
      </c>
      <c r="Z468" s="9">
        <v>3</v>
      </c>
      <c r="AA468" s="9">
        <v>1</v>
      </c>
      <c r="AB468" s="9">
        <v>1</v>
      </c>
      <c r="AC468" s="9">
        <v>0</v>
      </c>
      <c r="AD468" s="9">
        <v>3</v>
      </c>
      <c r="AE468" s="9">
        <v>3</v>
      </c>
      <c r="AF468" s="9">
        <v>3</v>
      </c>
      <c r="AG468" s="9">
        <v>3</v>
      </c>
      <c r="AH468" s="9">
        <v>3</v>
      </c>
      <c r="AI468" s="9">
        <v>3</v>
      </c>
      <c r="AJ468" s="9">
        <v>0</v>
      </c>
      <c r="AK468" s="9">
        <v>1</v>
      </c>
      <c r="AL468" s="10">
        <v>3</v>
      </c>
      <c r="AM468" s="10">
        <v>3</v>
      </c>
      <c r="AN468" s="10">
        <v>3</v>
      </c>
      <c r="AO468" s="10">
        <v>0</v>
      </c>
      <c r="AP468" s="10">
        <v>0</v>
      </c>
      <c r="AQ468" s="10">
        <v>0</v>
      </c>
      <c r="AR468" s="10">
        <v>0</v>
      </c>
      <c r="AS468" s="11">
        <v>1</v>
      </c>
      <c r="AT468" s="11">
        <v>0</v>
      </c>
      <c r="AU468" s="11">
        <v>0</v>
      </c>
      <c r="AV468" s="11">
        <v>2</v>
      </c>
      <c r="AW468" s="11">
        <v>0</v>
      </c>
      <c r="AX468" s="11">
        <v>0</v>
      </c>
      <c r="AY468" s="7">
        <v>3</v>
      </c>
      <c r="AZ468" s="7">
        <v>3</v>
      </c>
      <c r="BA468" s="7">
        <v>3</v>
      </c>
      <c r="BB468" s="7">
        <v>3</v>
      </c>
      <c r="BC468" s="7">
        <v>3</v>
      </c>
      <c r="BD468" s="7">
        <v>2</v>
      </c>
      <c r="BE468" s="7">
        <v>2</v>
      </c>
      <c r="BF468" s="7">
        <v>2</v>
      </c>
      <c r="BG468" s="12">
        <f>SUM(data__22[[#This Row],[N1]:[N4]],data__22[[#This Row],[N10]:[N13]],data__22[[#This Row],[N16]:[N18]])/11</f>
        <v>2.8181818181818183</v>
      </c>
      <c r="BH468" s="13">
        <f>SUM(data__22[[#This Row],[N8]:[N9]],data__22[[#This Row],[N23]:[N25]])/5</f>
        <v>1.4</v>
      </c>
      <c r="BI468" s="12">
        <f>SUM(data__22[[#This Row],[N5]:[N7]])/3</f>
        <v>0.66666666666666663</v>
      </c>
      <c r="BJ468" s="12">
        <f>SUM(data__22[[#This Row],[N14]:[N15]],data__22[[#This Row],[N19]:[N22]],data__22[[#This Row],[N26]:[N28]])/9</f>
        <v>0.33333333333333331</v>
      </c>
      <c r="BK468" s="12">
        <f>SUM(data__22[[#This Row],[N29]:[N33]])/5</f>
        <v>3</v>
      </c>
      <c r="BL468" s="12">
        <f>SUM(data__22[[#This Row],[N34]:[N36]])/3</f>
        <v>2</v>
      </c>
    </row>
    <row r="469" spans="1:64" x14ac:dyDescent="0.3">
      <c r="A469" s="7">
        <v>23</v>
      </c>
      <c r="B469" s="7" t="s">
        <v>70</v>
      </c>
      <c r="C469" s="7" t="s">
        <v>113</v>
      </c>
      <c r="D469" s="7" t="s">
        <v>97</v>
      </c>
      <c r="E469" s="7" t="s">
        <v>73</v>
      </c>
      <c r="F469" s="7" t="s">
        <v>74</v>
      </c>
      <c r="G469" s="7" t="s">
        <v>99</v>
      </c>
      <c r="H469" s="7" t="s">
        <v>136</v>
      </c>
      <c r="I469" s="7" t="s">
        <v>76</v>
      </c>
      <c r="J469" s="7" t="s">
        <v>101</v>
      </c>
      <c r="K469" s="7" t="s">
        <v>78</v>
      </c>
      <c r="L469" s="8" t="s">
        <v>79</v>
      </c>
      <c r="M469" s="8" t="s">
        <v>80</v>
      </c>
      <c r="N469" s="8" t="s">
        <v>79</v>
      </c>
      <c r="O469" s="8" t="s">
        <v>81</v>
      </c>
      <c r="P469" s="8" t="s">
        <v>79</v>
      </c>
      <c r="Q469" s="8" t="s">
        <v>83</v>
      </c>
      <c r="R469" s="8" t="s">
        <v>82</v>
      </c>
      <c r="S469" s="8" t="s">
        <v>82</v>
      </c>
      <c r="T469" s="8" t="s">
        <v>86</v>
      </c>
      <c r="U469" s="8" t="s">
        <v>87</v>
      </c>
      <c r="V469" s="8" t="s">
        <v>112</v>
      </c>
      <c r="W469" s="9">
        <v>3</v>
      </c>
      <c r="X469" s="9">
        <v>3</v>
      </c>
      <c r="Y469" s="9">
        <v>3</v>
      </c>
      <c r="Z469" s="9">
        <v>3</v>
      </c>
      <c r="AA469" s="9">
        <v>2</v>
      </c>
      <c r="AB469" s="9">
        <v>1</v>
      </c>
      <c r="AC469" s="9">
        <v>2</v>
      </c>
      <c r="AD469" s="9">
        <v>3</v>
      </c>
      <c r="AE469" s="9">
        <v>3</v>
      </c>
      <c r="AF469" s="9">
        <v>2</v>
      </c>
      <c r="AG469" s="9">
        <v>1</v>
      </c>
      <c r="AH469" s="9">
        <v>2</v>
      </c>
      <c r="AI469" s="9">
        <v>2</v>
      </c>
      <c r="AJ469" s="9">
        <v>0</v>
      </c>
      <c r="AK469" s="9">
        <v>2</v>
      </c>
      <c r="AL469" s="10">
        <v>3</v>
      </c>
      <c r="AM469" s="10">
        <v>3</v>
      </c>
      <c r="AN469" s="10">
        <v>3</v>
      </c>
      <c r="AO469" s="10">
        <v>0</v>
      </c>
      <c r="AP469" s="10">
        <v>1</v>
      </c>
      <c r="AQ469" s="10">
        <v>0</v>
      </c>
      <c r="AR469" s="10">
        <v>1</v>
      </c>
      <c r="AS469" s="11">
        <v>1</v>
      </c>
      <c r="AT469" s="11">
        <v>1</v>
      </c>
      <c r="AU469" s="11">
        <v>2</v>
      </c>
      <c r="AV469" s="11">
        <v>1</v>
      </c>
      <c r="AW469" s="11">
        <v>1</v>
      </c>
      <c r="AX469" s="11">
        <v>0</v>
      </c>
      <c r="AY469" s="7">
        <v>3</v>
      </c>
      <c r="AZ469" s="7">
        <v>3</v>
      </c>
      <c r="BA469" s="7">
        <v>3</v>
      </c>
      <c r="BB469" s="7">
        <v>3</v>
      </c>
      <c r="BC469" s="7">
        <v>3</v>
      </c>
      <c r="BD469" s="7">
        <v>2</v>
      </c>
      <c r="BE469" s="7">
        <v>2</v>
      </c>
      <c r="BF469" s="7">
        <v>2</v>
      </c>
      <c r="BG469" s="12">
        <f>SUM(data__22[[#This Row],[N1]:[N4]],data__22[[#This Row],[N10]:[N13]],data__22[[#This Row],[N16]:[N18]])/11</f>
        <v>2.5454545454545454</v>
      </c>
      <c r="BH469" s="13">
        <f>SUM(data__22[[#This Row],[N8]:[N9]],data__22[[#This Row],[N23]:[N25]])/5</f>
        <v>2</v>
      </c>
      <c r="BI469" s="12">
        <f>SUM(data__22[[#This Row],[N5]:[N7]])/3</f>
        <v>1.6666666666666667</v>
      </c>
      <c r="BJ469" s="12">
        <f>SUM(data__22[[#This Row],[N14]:[N15]],data__22[[#This Row],[N19]:[N22]],data__22[[#This Row],[N26]:[N28]])/9</f>
        <v>0.66666666666666663</v>
      </c>
      <c r="BK469" s="12">
        <f>SUM(data__22[[#This Row],[N29]:[N33]])/5</f>
        <v>3</v>
      </c>
      <c r="BL469" s="12">
        <f>SUM(data__22[[#This Row],[N34]:[N36]])/3</f>
        <v>2</v>
      </c>
    </row>
    <row r="470" spans="1:64" x14ac:dyDescent="0.3">
      <c r="A470" s="7">
        <v>21</v>
      </c>
      <c r="B470" s="7" t="s">
        <v>128</v>
      </c>
      <c r="C470" s="7" t="s">
        <v>96</v>
      </c>
      <c r="D470" s="7" t="s">
        <v>72</v>
      </c>
      <c r="E470" s="7" t="s">
        <v>108</v>
      </c>
      <c r="F470" s="7" t="s">
        <v>74</v>
      </c>
      <c r="G470" s="7" t="s">
        <v>99</v>
      </c>
      <c r="H470" s="7" t="s">
        <v>74</v>
      </c>
      <c r="I470" s="7" t="s">
        <v>439</v>
      </c>
      <c r="J470" s="7" t="s">
        <v>77</v>
      </c>
      <c r="K470" s="7" t="s">
        <v>122</v>
      </c>
      <c r="L470" s="8" t="s">
        <v>82</v>
      </c>
      <c r="M470" s="8" t="s">
        <v>80</v>
      </c>
      <c r="N470" s="8" t="s">
        <v>79</v>
      </c>
      <c r="O470" s="8" t="s">
        <v>117</v>
      </c>
      <c r="P470" s="8" t="s">
        <v>82</v>
      </c>
      <c r="Q470" s="8" t="s">
        <v>103</v>
      </c>
      <c r="R470" s="8" t="s">
        <v>79</v>
      </c>
      <c r="S470" s="8" t="s">
        <v>82</v>
      </c>
      <c r="T470" s="8" t="s">
        <v>106</v>
      </c>
      <c r="U470" s="8" t="s">
        <v>141</v>
      </c>
      <c r="V470" s="8" t="s">
        <v>112</v>
      </c>
      <c r="W470" s="9">
        <v>1</v>
      </c>
      <c r="X470" s="9">
        <v>3</v>
      </c>
      <c r="Y470" s="9">
        <v>3</v>
      </c>
      <c r="Z470" s="9">
        <v>2</v>
      </c>
      <c r="AA470" s="9">
        <v>1</v>
      </c>
      <c r="AB470" s="9">
        <v>2</v>
      </c>
      <c r="AC470" s="9">
        <v>2</v>
      </c>
      <c r="AD470" s="9">
        <v>3</v>
      </c>
      <c r="AE470" s="9">
        <v>1</v>
      </c>
      <c r="AF470" s="9">
        <v>0</v>
      </c>
      <c r="AG470" s="9">
        <v>1</v>
      </c>
      <c r="AH470" s="9">
        <v>1</v>
      </c>
      <c r="AI470" s="9">
        <v>1</v>
      </c>
      <c r="AJ470" s="9">
        <v>1</v>
      </c>
      <c r="AK470" s="9">
        <v>1</v>
      </c>
      <c r="AL470" s="10">
        <v>3</v>
      </c>
      <c r="AM470" s="10">
        <v>3</v>
      </c>
      <c r="AN470" s="10">
        <v>3</v>
      </c>
      <c r="AO470" s="10">
        <v>2</v>
      </c>
      <c r="AP470" s="10">
        <v>0</v>
      </c>
      <c r="AQ470" s="10">
        <v>0</v>
      </c>
      <c r="AR470" s="10">
        <v>0</v>
      </c>
      <c r="AS470" s="11">
        <v>2</v>
      </c>
      <c r="AT470" s="11">
        <v>2</v>
      </c>
      <c r="AU470" s="11">
        <v>2</v>
      </c>
      <c r="AV470" s="11">
        <v>3</v>
      </c>
      <c r="AW470" s="11">
        <v>3</v>
      </c>
      <c r="AX470" s="11">
        <v>0</v>
      </c>
      <c r="AY470" s="7">
        <v>3</v>
      </c>
      <c r="AZ470" s="7">
        <v>3</v>
      </c>
      <c r="BA470" s="7">
        <v>3</v>
      </c>
      <c r="BB470" s="7">
        <v>3</v>
      </c>
      <c r="BC470" s="7">
        <v>3</v>
      </c>
      <c r="BD470" s="7">
        <v>0</v>
      </c>
      <c r="BE470" s="7">
        <v>1</v>
      </c>
      <c r="BF470" s="7">
        <v>2</v>
      </c>
      <c r="BG470" s="12">
        <f>SUM(data__22[[#This Row],[N1]:[N4]],data__22[[#This Row],[N10]:[N13]],data__22[[#This Row],[N16]:[N18]])/11</f>
        <v>1.9090909090909092</v>
      </c>
      <c r="BH470" s="13">
        <f>SUM(data__22[[#This Row],[N8]:[N9]],data__22[[#This Row],[N23]:[N25]])/5</f>
        <v>2</v>
      </c>
      <c r="BI470" s="12">
        <f>SUM(data__22[[#This Row],[N5]:[N7]])/3</f>
        <v>1.6666666666666667</v>
      </c>
      <c r="BJ470" s="12">
        <f>SUM(data__22[[#This Row],[N14]:[N15]],data__22[[#This Row],[N19]:[N22]],data__22[[#This Row],[N26]:[N28]])/9</f>
        <v>1.1111111111111112</v>
      </c>
      <c r="BK470" s="12">
        <f>SUM(data__22[[#This Row],[N29]:[N33]])/5</f>
        <v>3</v>
      </c>
      <c r="BL470" s="12">
        <f>SUM(data__22[[#This Row],[N34]:[N36]])/3</f>
        <v>1</v>
      </c>
    </row>
    <row r="471" spans="1:64" x14ac:dyDescent="0.3">
      <c r="A471" s="7">
        <v>21</v>
      </c>
      <c r="B471" s="7" t="s">
        <v>128</v>
      </c>
      <c r="C471" s="7" t="s">
        <v>96</v>
      </c>
      <c r="D471" s="7" t="s">
        <v>72</v>
      </c>
      <c r="E471" s="7" t="s">
        <v>114</v>
      </c>
      <c r="F471" s="7" t="s">
        <v>74</v>
      </c>
      <c r="G471" s="7" t="s">
        <v>439</v>
      </c>
      <c r="H471" s="7" t="s">
        <v>136</v>
      </c>
      <c r="I471" s="7" t="s">
        <v>76</v>
      </c>
      <c r="J471" s="7" t="s">
        <v>77</v>
      </c>
      <c r="K471" s="7" t="s">
        <v>122</v>
      </c>
      <c r="L471" s="8" t="s">
        <v>79</v>
      </c>
      <c r="M471" s="8" t="s">
        <v>80</v>
      </c>
      <c r="N471" s="8" t="s">
        <v>79</v>
      </c>
      <c r="O471" s="8" t="s">
        <v>109</v>
      </c>
      <c r="P471" s="8" t="s">
        <v>82</v>
      </c>
      <c r="Q471" s="8" t="s">
        <v>83</v>
      </c>
      <c r="R471" s="8" t="s">
        <v>82</v>
      </c>
      <c r="S471" s="8" t="s">
        <v>82</v>
      </c>
      <c r="T471" s="8" t="s">
        <v>106</v>
      </c>
      <c r="U471" s="8" t="s">
        <v>87</v>
      </c>
      <c r="V471" s="8" t="s">
        <v>112</v>
      </c>
      <c r="W471" s="9">
        <v>1</v>
      </c>
      <c r="X471" s="9">
        <v>0</v>
      </c>
      <c r="Y471" s="9">
        <v>1</v>
      </c>
      <c r="Z471" s="9">
        <v>0</v>
      </c>
      <c r="AA471" s="9">
        <v>0</v>
      </c>
      <c r="AB471" s="9">
        <v>1</v>
      </c>
      <c r="AC471" s="9">
        <v>0</v>
      </c>
      <c r="AD471" s="9">
        <v>1</v>
      </c>
      <c r="AE471" s="9">
        <v>1</v>
      </c>
      <c r="AF471" s="9">
        <v>0</v>
      </c>
      <c r="AG471" s="9">
        <v>1</v>
      </c>
      <c r="AH471" s="9">
        <v>0</v>
      </c>
      <c r="AI471" s="9">
        <v>1</v>
      </c>
      <c r="AJ471" s="9">
        <v>1</v>
      </c>
      <c r="AK471" s="9">
        <v>0</v>
      </c>
      <c r="AL471" s="10">
        <v>1</v>
      </c>
      <c r="AM471" s="10">
        <v>1</v>
      </c>
      <c r="AN471" s="10">
        <v>1</v>
      </c>
      <c r="AO471" s="10">
        <v>0</v>
      </c>
      <c r="AP471" s="10">
        <v>1</v>
      </c>
      <c r="AQ471" s="10">
        <v>1</v>
      </c>
      <c r="AR471" s="10">
        <v>1</v>
      </c>
      <c r="AS471" s="11">
        <v>1</v>
      </c>
      <c r="AT471" s="11">
        <v>1</v>
      </c>
      <c r="AU471" s="11">
        <v>1</v>
      </c>
      <c r="AV471" s="11">
        <v>1</v>
      </c>
      <c r="AW471" s="11">
        <v>1</v>
      </c>
      <c r="AX471" s="11">
        <v>1</v>
      </c>
      <c r="AY471" s="7">
        <v>0</v>
      </c>
      <c r="AZ471" s="7">
        <v>1</v>
      </c>
      <c r="BA471" s="7">
        <v>0</v>
      </c>
      <c r="BB471" s="7">
        <v>1</v>
      </c>
      <c r="BC471" s="7">
        <v>0</v>
      </c>
      <c r="BD471" s="7">
        <v>1</v>
      </c>
      <c r="BE471" s="7">
        <v>0</v>
      </c>
      <c r="BF471" s="7">
        <v>1</v>
      </c>
      <c r="BG471" s="12">
        <f>SUM(data__22[[#This Row],[N1]:[N4]],data__22[[#This Row],[N10]:[N13]],data__22[[#This Row],[N16]:[N18]])/11</f>
        <v>0.63636363636363635</v>
      </c>
      <c r="BH471" s="13">
        <f>SUM(data__22[[#This Row],[N8]:[N9]],data__22[[#This Row],[N23]:[N25]])/5</f>
        <v>1</v>
      </c>
      <c r="BI471" s="12">
        <f>SUM(data__22[[#This Row],[N5]:[N7]])/3</f>
        <v>0.33333333333333331</v>
      </c>
      <c r="BJ471" s="12">
        <f>SUM(data__22[[#This Row],[N14]:[N15]],data__22[[#This Row],[N19]:[N22]],data__22[[#This Row],[N26]:[N28]])/9</f>
        <v>0.77777777777777779</v>
      </c>
      <c r="BK471" s="12">
        <f>SUM(data__22[[#This Row],[N29]:[N33]])/5</f>
        <v>0.4</v>
      </c>
      <c r="BL471" s="12">
        <f>SUM(data__22[[#This Row],[N34]:[N36]])/3</f>
        <v>0.66666666666666663</v>
      </c>
    </row>
    <row r="472" spans="1:64" x14ac:dyDescent="0.3">
      <c r="A472" s="7">
        <v>21</v>
      </c>
      <c r="B472" s="7" t="s">
        <v>70</v>
      </c>
      <c r="C472" s="7" t="s">
        <v>96</v>
      </c>
      <c r="D472" s="7" t="s">
        <v>97</v>
      </c>
      <c r="E472" s="7" t="s">
        <v>73</v>
      </c>
      <c r="F472" s="7" t="s">
        <v>136</v>
      </c>
      <c r="G472" s="7" t="s">
        <v>99</v>
      </c>
      <c r="H472" s="7" t="s">
        <v>136</v>
      </c>
      <c r="I472" s="7" t="s">
        <v>76</v>
      </c>
      <c r="J472" s="7" t="s">
        <v>77</v>
      </c>
      <c r="K472" s="7" t="s">
        <v>122</v>
      </c>
      <c r="L472" s="8" t="s">
        <v>79</v>
      </c>
      <c r="M472" s="8" t="s">
        <v>102</v>
      </c>
      <c r="N472" s="8" t="s">
        <v>79</v>
      </c>
      <c r="O472" s="8" t="s">
        <v>179</v>
      </c>
      <c r="P472" s="8" t="s">
        <v>79</v>
      </c>
      <c r="Q472" s="8" t="s">
        <v>83</v>
      </c>
      <c r="R472" s="8" t="s">
        <v>79</v>
      </c>
      <c r="S472" s="8" t="s">
        <v>82</v>
      </c>
      <c r="T472" s="8" t="s">
        <v>86</v>
      </c>
      <c r="U472" s="8" t="s">
        <v>141</v>
      </c>
      <c r="V472" s="8" t="s">
        <v>112</v>
      </c>
      <c r="W472" s="9">
        <v>1</v>
      </c>
      <c r="X472" s="9">
        <v>1</v>
      </c>
      <c r="Y472" s="9">
        <v>2</v>
      </c>
      <c r="Z472" s="9">
        <v>2</v>
      </c>
      <c r="AA472" s="9">
        <v>2</v>
      </c>
      <c r="AB472" s="9">
        <v>2</v>
      </c>
      <c r="AC472" s="9">
        <v>2</v>
      </c>
      <c r="AD472" s="9">
        <v>2</v>
      </c>
      <c r="AE472" s="9">
        <v>2</v>
      </c>
      <c r="AF472" s="9">
        <v>2</v>
      </c>
      <c r="AG472" s="9">
        <v>2</v>
      </c>
      <c r="AH472" s="9">
        <v>2</v>
      </c>
      <c r="AI472" s="9">
        <v>3</v>
      </c>
      <c r="AJ472" s="9">
        <v>1</v>
      </c>
      <c r="AK472" s="9">
        <v>1</v>
      </c>
      <c r="AL472" s="10">
        <v>3</v>
      </c>
      <c r="AM472" s="10">
        <v>3</v>
      </c>
      <c r="AN472" s="10">
        <v>3</v>
      </c>
      <c r="AO472" s="10">
        <v>0</v>
      </c>
      <c r="AP472" s="10">
        <v>0</v>
      </c>
      <c r="AQ472" s="10">
        <v>0</v>
      </c>
      <c r="AR472" s="10">
        <v>0</v>
      </c>
      <c r="AS472" s="11">
        <v>1</v>
      </c>
      <c r="AT472" s="11">
        <v>1</v>
      </c>
      <c r="AU472" s="11">
        <v>1</v>
      </c>
      <c r="AV472" s="11">
        <v>1</v>
      </c>
      <c r="AW472" s="11">
        <v>1</v>
      </c>
      <c r="AX472" s="11">
        <v>0</v>
      </c>
      <c r="AY472" s="7">
        <v>2</v>
      </c>
      <c r="AZ472" s="7">
        <v>2</v>
      </c>
      <c r="BA472" s="7">
        <v>2</v>
      </c>
      <c r="BB472" s="7">
        <v>2</v>
      </c>
      <c r="BC472" s="7">
        <v>2</v>
      </c>
      <c r="BD472" s="7">
        <v>0</v>
      </c>
      <c r="BE472" s="7">
        <v>2</v>
      </c>
      <c r="BF472" s="7">
        <v>0</v>
      </c>
      <c r="BG472" s="12">
        <f>SUM(data__22[[#This Row],[N1]:[N4]],data__22[[#This Row],[N10]:[N13]],data__22[[#This Row],[N16]:[N18]])/11</f>
        <v>2.1818181818181817</v>
      </c>
      <c r="BH472" s="13">
        <f>SUM(data__22[[#This Row],[N8]:[N9]],data__22[[#This Row],[N23]:[N25]])/5</f>
        <v>1.4</v>
      </c>
      <c r="BI472" s="12">
        <f>SUM(data__22[[#This Row],[N5]:[N7]])/3</f>
        <v>2</v>
      </c>
      <c r="BJ472" s="12">
        <f>SUM(data__22[[#This Row],[N14]:[N15]],data__22[[#This Row],[N19]:[N22]],data__22[[#This Row],[N26]:[N28]])/9</f>
        <v>0.44444444444444442</v>
      </c>
      <c r="BK472" s="12">
        <f>SUM(data__22[[#This Row],[N29]:[N33]])/5</f>
        <v>2</v>
      </c>
      <c r="BL472" s="12">
        <f>SUM(data__22[[#This Row],[N34]:[N36]])/3</f>
        <v>0.66666666666666663</v>
      </c>
    </row>
    <row r="473" spans="1:64" x14ac:dyDescent="0.3">
      <c r="A473" s="7">
        <v>22</v>
      </c>
      <c r="B473" s="7" t="s">
        <v>70</v>
      </c>
      <c r="C473" s="7" t="s">
        <v>96</v>
      </c>
      <c r="D473" s="7" t="s">
        <v>72</v>
      </c>
      <c r="E473" s="7" t="s">
        <v>108</v>
      </c>
      <c r="F473" s="7" t="s">
        <v>74</v>
      </c>
      <c r="G473" s="7" t="s">
        <v>99</v>
      </c>
      <c r="H473" s="7" t="s">
        <v>74</v>
      </c>
      <c r="I473" s="7" t="s">
        <v>439</v>
      </c>
      <c r="J473" s="7" t="s">
        <v>77</v>
      </c>
      <c r="K473" s="7" t="s">
        <v>122</v>
      </c>
      <c r="L473" s="8" t="s">
        <v>79</v>
      </c>
      <c r="M473" s="8" t="s">
        <v>80</v>
      </c>
      <c r="N473" s="8" t="s">
        <v>79</v>
      </c>
      <c r="O473" s="8" t="s">
        <v>81</v>
      </c>
      <c r="P473" s="8" t="s">
        <v>82</v>
      </c>
      <c r="Q473" s="8" t="s">
        <v>83</v>
      </c>
      <c r="R473" s="8" t="s">
        <v>82</v>
      </c>
      <c r="S473" s="8" t="s">
        <v>82</v>
      </c>
      <c r="T473" s="8" t="s">
        <v>106</v>
      </c>
      <c r="U473" s="8" t="s">
        <v>141</v>
      </c>
      <c r="V473" s="8" t="s">
        <v>127</v>
      </c>
      <c r="W473" s="9">
        <v>2</v>
      </c>
      <c r="X473" s="9">
        <v>3</v>
      </c>
      <c r="Y473" s="9">
        <v>2</v>
      </c>
      <c r="Z473" s="9">
        <v>2</v>
      </c>
      <c r="AA473" s="9">
        <v>1</v>
      </c>
      <c r="AB473" s="9">
        <v>2</v>
      </c>
      <c r="AC473" s="9">
        <v>0</v>
      </c>
      <c r="AD473" s="9">
        <v>2</v>
      </c>
      <c r="AE473" s="9">
        <v>2</v>
      </c>
      <c r="AF473" s="9">
        <v>2</v>
      </c>
      <c r="AG473" s="9">
        <v>2</v>
      </c>
      <c r="AH473" s="9">
        <v>2</v>
      </c>
      <c r="AI473" s="9">
        <v>2</v>
      </c>
      <c r="AJ473" s="9">
        <v>2</v>
      </c>
      <c r="AK473" s="9">
        <v>2</v>
      </c>
      <c r="AL473" s="10">
        <v>3</v>
      </c>
      <c r="AM473" s="10">
        <v>3</v>
      </c>
      <c r="AN473" s="10">
        <v>3</v>
      </c>
      <c r="AO473" s="10">
        <v>0</v>
      </c>
      <c r="AP473" s="10">
        <v>0</v>
      </c>
      <c r="AQ473" s="10">
        <v>0</v>
      </c>
      <c r="AR473" s="10">
        <v>0</v>
      </c>
      <c r="AS473" s="11">
        <v>1</v>
      </c>
      <c r="AT473" s="11">
        <v>1</v>
      </c>
      <c r="AU473" s="11">
        <v>1</v>
      </c>
      <c r="AV473" s="11">
        <v>0</v>
      </c>
      <c r="AW473" s="11">
        <v>0</v>
      </c>
      <c r="AX473" s="11">
        <v>0</v>
      </c>
      <c r="AY473" s="7">
        <v>3</v>
      </c>
      <c r="AZ473" s="7">
        <v>3</v>
      </c>
      <c r="BA473" s="7">
        <v>3</v>
      </c>
      <c r="BB473" s="7">
        <v>3</v>
      </c>
      <c r="BC473" s="7">
        <v>2</v>
      </c>
      <c r="BD473" s="7">
        <v>0</v>
      </c>
      <c r="BE473" s="7">
        <v>1</v>
      </c>
      <c r="BF473" s="7">
        <v>1</v>
      </c>
      <c r="BG473" s="12">
        <f>SUM(data__22[[#This Row],[N1]:[N4]],data__22[[#This Row],[N10]:[N13]],data__22[[#This Row],[N16]:[N18]])/11</f>
        <v>2.3636363636363638</v>
      </c>
      <c r="BH473" s="13">
        <f>SUM(data__22[[#This Row],[N8]:[N9]],data__22[[#This Row],[N23]:[N25]])/5</f>
        <v>1.4</v>
      </c>
      <c r="BI473" s="12">
        <f>SUM(data__22[[#This Row],[N5]:[N7]])/3</f>
        <v>1</v>
      </c>
      <c r="BJ473" s="12">
        <f>SUM(data__22[[#This Row],[N14]:[N15]],data__22[[#This Row],[N19]:[N22]],data__22[[#This Row],[N26]:[N28]])/9</f>
        <v>0.44444444444444442</v>
      </c>
      <c r="BK473" s="12">
        <f>SUM(data__22[[#This Row],[N29]:[N33]])/5</f>
        <v>2.8</v>
      </c>
      <c r="BL473" s="12">
        <f>SUM(data__22[[#This Row],[N34]:[N36]])/3</f>
        <v>0.66666666666666663</v>
      </c>
    </row>
    <row r="474" spans="1:64" x14ac:dyDescent="0.3">
      <c r="A474" s="7">
        <v>21</v>
      </c>
      <c r="B474" s="7" t="s">
        <v>70</v>
      </c>
      <c r="C474" s="7" t="s">
        <v>96</v>
      </c>
      <c r="D474" s="7" t="s">
        <v>72</v>
      </c>
      <c r="E474" s="7" t="s">
        <v>114</v>
      </c>
      <c r="F474" s="7" t="s">
        <v>136</v>
      </c>
      <c r="G474" s="7" t="s">
        <v>439</v>
      </c>
      <c r="H474" s="7" t="s">
        <v>98</v>
      </c>
      <c r="I474" s="7" t="s">
        <v>76</v>
      </c>
      <c r="J474" s="7" t="s">
        <v>77</v>
      </c>
      <c r="K474" s="7" t="s">
        <v>125</v>
      </c>
      <c r="L474" s="8" t="s">
        <v>79</v>
      </c>
      <c r="M474" s="8" t="s">
        <v>132</v>
      </c>
      <c r="N474" s="8" t="s">
        <v>79</v>
      </c>
      <c r="O474" s="8" t="s">
        <v>138</v>
      </c>
      <c r="P474" s="8" t="s">
        <v>82</v>
      </c>
      <c r="Q474" s="8" t="s">
        <v>83</v>
      </c>
      <c r="R474" s="8" t="s">
        <v>79</v>
      </c>
      <c r="S474" s="8" t="s">
        <v>79</v>
      </c>
      <c r="T474" s="8" t="s">
        <v>106</v>
      </c>
      <c r="U474" s="8" t="s">
        <v>120</v>
      </c>
      <c r="V474" s="8" t="s">
        <v>455</v>
      </c>
      <c r="W474" s="9">
        <v>1</v>
      </c>
      <c r="X474" s="9">
        <v>2</v>
      </c>
      <c r="Y474" s="9">
        <v>3</v>
      </c>
      <c r="Z474" s="9">
        <v>3</v>
      </c>
      <c r="AA474" s="9">
        <v>3</v>
      </c>
      <c r="AB474" s="9">
        <v>3</v>
      </c>
      <c r="AC474" s="9">
        <v>3</v>
      </c>
      <c r="AD474" s="9">
        <v>3</v>
      </c>
      <c r="AE474" s="9">
        <v>3</v>
      </c>
      <c r="AF474" s="9">
        <v>3</v>
      </c>
      <c r="AG474" s="9">
        <v>3</v>
      </c>
      <c r="AH474" s="9">
        <v>3</v>
      </c>
      <c r="AI474" s="9">
        <v>2</v>
      </c>
      <c r="AJ474" s="9">
        <v>3</v>
      </c>
      <c r="AK474" s="9">
        <v>3</v>
      </c>
      <c r="AL474" s="10">
        <v>2</v>
      </c>
      <c r="AM474" s="10">
        <v>2</v>
      </c>
      <c r="AN474" s="10">
        <v>1</v>
      </c>
      <c r="AO474" s="10">
        <v>1</v>
      </c>
      <c r="AP474" s="10">
        <v>2</v>
      </c>
      <c r="AQ474" s="10">
        <v>1</v>
      </c>
      <c r="AR474" s="10">
        <v>1</v>
      </c>
      <c r="AS474" s="11">
        <v>2</v>
      </c>
      <c r="AT474" s="11">
        <v>1</v>
      </c>
      <c r="AU474" s="11">
        <v>2</v>
      </c>
      <c r="AV474" s="11">
        <v>1</v>
      </c>
      <c r="AW474" s="11">
        <v>2</v>
      </c>
      <c r="AX474" s="11">
        <v>1</v>
      </c>
      <c r="AY474" s="7">
        <v>1</v>
      </c>
      <c r="AZ474" s="7">
        <v>2</v>
      </c>
      <c r="BA474" s="7">
        <v>1</v>
      </c>
      <c r="BB474" s="7">
        <v>2</v>
      </c>
      <c r="BC474" s="7">
        <v>1</v>
      </c>
      <c r="BD474" s="7">
        <v>2</v>
      </c>
      <c r="BE474" s="7">
        <v>1</v>
      </c>
      <c r="BF474" s="7">
        <v>2</v>
      </c>
      <c r="BG474" s="12">
        <f>SUM(data__22[[#This Row],[N1]:[N4]],data__22[[#This Row],[N10]:[N13]],data__22[[#This Row],[N16]:[N18]])/11</f>
        <v>2.2727272727272729</v>
      </c>
      <c r="BH474" s="13">
        <f>SUM(data__22[[#This Row],[N8]:[N9]],data__22[[#This Row],[N23]:[N25]])/5</f>
        <v>2.2000000000000002</v>
      </c>
      <c r="BI474" s="12">
        <f>SUM(data__22[[#This Row],[N5]:[N7]])/3</f>
        <v>3</v>
      </c>
      <c r="BJ474" s="12">
        <f>SUM(data__22[[#This Row],[N14]:[N15]],data__22[[#This Row],[N19]:[N22]],data__22[[#This Row],[N26]:[N28]])/9</f>
        <v>1.6666666666666667</v>
      </c>
      <c r="BK474" s="12">
        <f>SUM(data__22[[#This Row],[N29]:[N33]])/5</f>
        <v>1.4</v>
      </c>
      <c r="BL474" s="12">
        <f>SUM(data__22[[#This Row],[N34]:[N36]])/3</f>
        <v>1.6666666666666667</v>
      </c>
    </row>
    <row r="475" spans="1:64" x14ac:dyDescent="0.3">
      <c r="A475" s="7">
        <v>21</v>
      </c>
      <c r="B475" s="7" t="s">
        <v>70</v>
      </c>
      <c r="C475" s="7" t="s">
        <v>96</v>
      </c>
      <c r="D475" s="7" t="s">
        <v>72</v>
      </c>
      <c r="E475" s="7" t="s">
        <v>114</v>
      </c>
      <c r="F475" s="7" t="s">
        <v>136</v>
      </c>
      <c r="G475" s="7" t="s">
        <v>439</v>
      </c>
      <c r="H475" s="7" t="s">
        <v>136</v>
      </c>
      <c r="I475" s="7" t="s">
        <v>76</v>
      </c>
      <c r="J475" s="7" t="s">
        <v>77</v>
      </c>
      <c r="K475" s="7" t="s">
        <v>125</v>
      </c>
      <c r="L475" s="8" t="s">
        <v>82</v>
      </c>
      <c r="M475" s="8" t="s">
        <v>80</v>
      </c>
      <c r="N475" s="8" t="s">
        <v>79</v>
      </c>
      <c r="O475" s="8" t="s">
        <v>109</v>
      </c>
      <c r="P475" s="8" t="s">
        <v>79</v>
      </c>
      <c r="Q475" s="8" t="s">
        <v>118</v>
      </c>
      <c r="R475" s="8" t="s">
        <v>79</v>
      </c>
      <c r="S475" s="8" t="s">
        <v>79</v>
      </c>
      <c r="T475" s="8" t="s">
        <v>106</v>
      </c>
      <c r="U475" s="8" t="s">
        <v>141</v>
      </c>
      <c r="V475" s="8" t="s">
        <v>112</v>
      </c>
      <c r="W475" s="9">
        <v>0</v>
      </c>
      <c r="X475" s="9">
        <v>1</v>
      </c>
      <c r="Y475" s="9">
        <v>1</v>
      </c>
      <c r="Z475" s="9">
        <v>2</v>
      </c>
      <c r="AA475" s="9">
        <v>1</v>
      </c>
      <c r="AB475" s="9">
        <v>0</v>
      </c>
      <c r="AC475" s="9">
        <v>0</v>
      </c>
      <c r="AD475" s="9">
        <v>0</v>
      </c>
      <c r="AE475" s="9">
        <v>1</v>
      </c>
      <c r="AF475" s="9">
        <v>0</v>
      </c>
      <c r="AG475" s="9">
        <v>2</v>
      </c>
      <c r="AH475" s="9">
        <v>1</v>
      </c>
      <c r="AI475" s="9">
        <v>0</v>
      </c>
      <c r="AJ475" s="9">
        <v>2</v>
      </c>
      <c r="AK475" s="9">
        <v>1</v>
      </c>
      <c r="AL475" s="10">
        <v>0</v>
      </c>
      <c r="AM475" s="10">
        <v>1</v>
      </c>
      <c r="AN475" s="10">
        <v>1</v>
      </c>
      <c r="AO475" s="10">
        <v>1</v>
      </c>
      <c r="AP475" s="10">
        <v>1</v>
      </c>
      <c r="AQ475" s="10">
        <v>1</v>
      </c>
      <c r="AR475" s="10">
        <v>1</v>
      </c>
      <c r="AS475" s="11">
        <v>1</v>
      </c>
      <c r="AT475" s="11">
        <v>1</v>
      </c>
      <c r="AU475" s="11">
        <v>1</v>
      </c>
      <c r="AV475" s="11">
        <v>0</v>
      </c>
      <c r="AW475" s="11">
        <v>1</v>
      </c>
      <c r="AX475" s="11">
        <v>0</v>
      </c>
      <c r="AY475" s="7">
        <v>0</v>
      </c>
      <c r="AZ475" s="7">
        <v>1</v>
      </c>
      <c r="BA475" s="7">
        <v>1</v>
      </c>
      <c r="BB475" s="7">
        <v>1</v>
      </c>
      <c r="BC475" s="7">
        <v>0</v>
      </c>
      <c r="BD475" s="7">
        <v>1</v>
      </c>
      <c r="BE475" s="7">
        <v>0</v>
      </c>
      <c r="BF475" s="7">
        <v>0</v>
      </c>
      <c r="BG475" s="12">
        <f>SUM(data__22[[#This Row],[N1]:[N4]],data__22[[#This Row],[N10]:[N13]],data__22[[#This Row],[N16]:[N18]])/11</f>
        <v>0.81818181818181823</v>
      </c>
      <c r="BH475" s="13">
        <f>SUM(data__22[[#This Row],[N8]:[N9]],data__22[[#This Row],[N23]:[N25]])/5</f>
        <v>0.8</v>
      </c>
      <c r="BI475" s="12">
        <f>SUM(data__22[[#This Row],[N5]:[N7]])/3</f>
        <v>0.33333333333333331</v>
      </c>
      <c r="BJ475" s="12">
        <f>SUM(data__22[[#This Row],[N14]:[N15]],data__22[[#This Row],[N19]:[N22]],data__22[[#This Row],[N26]:[N28]])/9</f>
        <v>0.88888888888888884</v>
      </c>
      <c r="BK475" s="12">
        <f>SUM(data__22[[#This Row],[N29]:[N33]])/5</f>
        <v>0.6</v>
      </c>
      <c r="BL475" s="12">
        <f>SUM(data__22[[#This Row],[N34]:[N36]])/3</f>
        <v>0.33333333333333331</v>
      </c>
    </row>
    <row r="476" spans="1:64" x14ac:dyDescent="0.3">
      <c r="A476" s="7">
        <v>21</v>
      </c>
      <c r="B476" s="7" t="s">
        <v>70</v>
      </c>
      <c r="C476" s="7" t="s">
        <v>96</v>
      </c>
      <c r="D476" s="7" t="s">
        <v>72</v>
      </c>
      <c r="E476" s="7" t="s">
        <v>114</v>
      </c>
      <c r="F476" s="7" t="s">
        <v>136</v>
      </c>
      <c r="G476" s="7" t="s">
        <v>439</v>
      </c>
      <c r="H476" s="7" t="s">
        <v>98</v>
      </c>
      <c r="I476" s="7" t="s">
        <v>76</v>
      </c>
      <c r="J476" s="7" t="s">
        <v>77</v>
      </c>
      <c r="K476" s="7" t="s">
        <v>125</v>
      </c>
      <c r="L476" s="8" t="s">
        <v>79</v>
      </c>
      <c r="M476" s="8" t="s">
        <v>80</v>
      </c>
      <c r="N476" s="8" t="s">
        <v>79</v>
      </c>
      <c r="O476" s="8" t="s">
        <v>117</v>
      </c>
      <c r="P476" s="8" t="s">
        <v>79</v>
      </c>
      <c r="Q476" s="8" t="s">
        <v>83</v>
      </c>
      <c r="R476" s="8" t="s">
        <v>79</v>
      </c>
      <c r="S476" s="8" t="s">
        <v>82</v>
      </c>
      <c r="T476" s="8" t="s">
        <v>106</v>
      </c>
      <c r="U476" s="8" t="s">
        <v>141</v>
      </c>
      <c r="V476" s="8" t="s">
        <v>112</v>
      </c>
      <c r="W476" s="9">
        <v>2</v>
      </c>
      <c r="X476" s="9">
        <v>2</v>
      </c>
      <c r="Y476" s="9">
        <v>0</v>
      </c>
      <c r="Z476" s="9">
        <v>2</v>
      </c>
      <c r="AA476" s="9">
        <v>1</v>
      </c>
      <c r="AB476" s="9">
        <v>1</v>
      </c>
      <c r="AC476" s="9">
        <v>1</v>
      </c>
      <c r="AD476" s="9">
        <v>2</v>
      </c>
      <c r="AE476" s="9">
        <v>2</v>
      </c>
      <c r="AF476" s="9">
        <v>2</v>
      </c>
      <c r="AG476" s="9">
        <v>2</v>
      </c>
      <c r="AH476" s="9">
        <v>2</v>
      </c>
      <c r="AI476" s="9">
        <v>2</v>
      </c>
      <c r="AJ476" s="9">
        <v>1</v>
      </c>
      <c r="AK476" s="9">
        <v>1</v>
      </c>
      <c r="AL476" s="10">
        <v>2</v>
      </c>
      <c r="AM476" s="10">
        <v>2</v>
      </c>
      <c r="AN476" s="10">
        <v>2</v>
      </c>
      <c r="AO476" s="10">
        <v>1</v>
      </c>
      <c r="AP476" s="10">
        <v>1</v>
      </c>
      <c r="AQ476" s="10">
        <v>0</v>
      </c>
      <c r="AR476" s="10">
        <v>0</v>
      </c>
      <c r="AS476" s="11">
        <v>2</v>
      </c>
      <c r="AT476" s="11">
        <v>2</v>
      </c>
      <c r="AU476" s="11">
        <v>2</v>
      </c>
      <c r="AV476" s="11">
        <v>1</v>
      </c>
      <c r="AW476" s="11">
        <v>1</v>
      </c>
      <c r="AX476" s="11">
        <v>0</v>
      </c>
      <c r="AY476" s="7">
        <v>2</v>
      </c>
      <c r="AZ476" s="7">
        <v>2</v>
      </c>
      <c r="BA476" s="7"/>
      <c r="BB476" s="7">
        <v>2</v>
      </c>
      <c r="BC476" s="7">
        <v>2</v>
      </c>
      <c r="BD476" s="7">
        <v>1</v>
      </c>
      <c r="BE476" s="7">
        <v>1</v>
      </c>
      <c r="BF476" s="7">
        <v>1</v>
      </c>
      <c r="BG476" s="12">
        <f>SUM(data__22[[#This Row],[N1]:[N4]],data__22[[#This Row],[N10]:[N13]],data__22[[#This Row],[N16]:[N18]])/11</f>
        <v>1.8181818181818181</v>
      </c>
      <c r="BH476" s="13">
        <f>SUM(data__22[[#This Row],[N8]:[N9]],data__22[[#This Row],[N23]:[N25]])/5</f>
        <v>2</v>
      </c>
      <c r="BI476" s="12">
        <f>SUM(data__22[[#This Row],[N5]:[N7]])/3</f>
        <v>1</v>
      </c>
      <c r="BJ476" s="12">
        <f>SUM(data__22[[#This Row],[N14]:[N15]],data__22[[#This Row],[N19]:[N22]],data__22[[#This Row],[N26]:[N28]])/9</f>
        <v>0.66666666666666663</v>
      </c>
      <c r="BK476" s="12">
        <f>SUM(data__22[[#This Row],[N29]:[N33]])/5</f>
        <v>1.6</v>
      </c>
      <c r="BL476" s="12">
        <f>SUM(data__22[[#This Row],[N34]:[N36]])/3</f>
        <v>1</v>
      </c>
    </row>
    <row r="477" spans="1:64" x14ac:dyDescent="0.3">
      <c r="A477" s="7">
        <v>21</v>
      </c>
      <c r="B477" s="7" t="s">
        <v>70</v>
      </c>
      <c r="C477" s="7" t="s">
        <v>96</v>
      </c>
      <c r="D477" s="7" t="s">
        <v>72</v>
      </c>
      <c r="E477" s="7" t="s">
        <v>108</v>
      </c>
      <c r="F477" s="7" t="s">
        <v>74</v>
      </c>
      <c r="G477" s="7" t="s">
        <v>439</v>
      </c>
      <c r="H477" s="7" t="s">
        <v>74</v>
      </c>
      <c r="I477" s="7" t="s">
        <v>439</v>
      </c>
      <c r="J477" s="7" t="s">
        <v>77</v>
      </c>
      <c r="K477" s="7" t="s">
        <v>78</v>
      </c>
      <c r="L477" s="8" t="s">
        <v>79</v>
      </c>
      <c r="M477" s="8" t="s">
        <v>80</v>
      </c>
      <c r="N477" s="8" t="s">
        <v>79</v>
      </c>
      <c r="O477" s="8" t="s">
        <v>117</v>
      </c>
      <c r="P477" s="8" t="s">
        <v>79</v>
      </c>
      <c r="Q477" s="8" t="s">
        <v>83</v>
      </c>
      <c r="R477" s="8" t="s">
        <v>82</v>
      </c>
      <c r="S477" s="8" t="s">
        <v>82</v>
      </c>
      <c r="T477" s="8" t="s">
        <v>86</v>
      </c>
      <c r="U477" s="8" t="s">
        <v>120</v>
      </c>
      <c r="V477" s="8" t="s">
        <v>112</v>
      </c>
      <c r="W477" s="9">
        <v>2</v>
      </c>
      <c r="X477" s="9">
        <v>2</v>
      </c>
      <c r="Y477" s="9">
        <v>2</v>
      </c>
      <c r="Z477" s="9">
        <v>2</v>
      </c>
      <c r="AA477" s="9">
        <v>2</v>
      </c>
      <c r="AB477" s="9">
        <v>1</v>
      </c>
      <c r="AC477" s="9">
        <v>0</v>
      </c>
      <c r="AD477" s="9">
        <v>0</v>
      </c>
      <c r="AE477" s="9">
        <v>1</v>
      </c>
      <c r="AF477" s="9">
        <v>0</v>
      </c>
      <c r="AG477" s="9">
        <v>2</v>
      </c>
      <c r="AH477" s="9">
        <v>2</v>
      </c>
      <c r="AI477" s="9">
        <v>0</v>
      </c>
      <c r="AJ477" s="9">
        <v>1</v>
      </c>
      <c r="AK477" s="9">
        <v>0</v>
      </c>
      <c r="AL477" s="10">
        <v>2</v>
      </c>
      <c r="AM477" s="10">
        <v>1</v>
      </c>
      <c r="AN477" s="10">
        <v>2</v>
      </c>
      <c r="AO477" s="10">
        <v>1</v>
      </c>
      <c r="AP477" s="10">
        <v>1</v>
      </c>
      <c r="AQ477" s="10">
        <v>0</v>
      </c>
      <c r="AR477" s="10">
        <v>0</v>
      </c>
      <c r="AS477" s="11">
        <v>1</v>
      </c>
      <c r="AT477" s="11">
        <v>2</v>
      </c>
      <c r="AU477" s="11">
        <v>2</v>
      </c>
      <c r="AV477" s="11">
        <v>1</v>
      </c>
      <c r="AW477" s="11">
        <v>1</v>
      </c>
      <c r="AX477" s="11">
        <v>0</v>
      </c>
      <c r="AY477" s="7">
        <v>2</v>
      </c>
      <c r="AZ477" s="7">
        <v>2</v>
      </c>
      <c r="BA477" s="7">
        <v>2</v>
      </c>
      <c r="BB477" s="7">
        <v>2</v>
      </c>
      <c r="BC477" s="7">
        <v>2</v>
      </c>
      <c r="BD477" s="7">
        <v>1</v>
      </c>
      <c r="BE477" s="7">
        <v>0</v>
      </c>
      <c r="BF477" s="7">
        <v>1</v>
      </c>
      <c r="BG477" s="12">
        <f>SUM(data__22[[#This Row],[N1]:[N4]],data__22[[#This Row],[N10]:[N13]],data__22[[#This Row],[N16]:[N18]])/11</f>
        <v>1.5454545454545454</v>
      </c>
      <c r="BH477" s="13">
        <f>SUM(data__22[[#This Row],[N8]:[N9]],data__22[[#This Row],[N23]:[N25]])/5</f>
        <v>1.2</v>
      </c>
      <c r="BI477" s="12">
        <f>SUM(data__22[[#This Row],[N5]:[N7]])/3</f>
        <v>1</v>
      </c>
      <c r="BJ477" s="12">
        <f>SUM(data__22[[#This Row],[N14]:[N15]],data__22[[#This Row],[N19]:[N22]],data__22[[#This Row],[N26]:[N28]])/9</f>
        <v>0.55555555555555558</v>
      </c>
      <c r="BK477" s="12">
        <f>SUM(data__22[[#This Row],[N29]:[N33]])/5</f>
        <v>2</v>
      </c>
      <c r="BL477" s="12">
        <f>SUM(data__22[[#This Row],[N34]:[N36]])/3</f>
        <v>0.66666666666666663</v>
      </c>
    </row>
    <row r="478" spans="1:64" x14ac:dyDescent="0.3">
      <c r="A478" s="7">
        <v>21</v>
      </c>
      <c r="B478" s="7" t="s">
        <v>70</v>
      </c>
      <c r="C478" s="7" t="s">
        <v>96</v>
      </c>
      <c r="D478" s="7" t="s">
        <v>72</v>
      </c>
      <c r="E478" s="7" t="s">
        <v>73</v>
      </c>
      <c r="F478" s="7" t="s">
        <v>136</v>
      </c>
      <c r="G478" s="7" t="s">
        <v>439</v>
      </c>
      <c r="H478" s="7" t="s">
        <v>136</v>
      </c>
      <c r="I478" s="7" t="s">
        <v>76</v>
      </c>
      <c r="J478" s="7" t="s">
        <v>77</v>
      </c>
      <c r="K478" s="7" t="s">
        <v>78</v>
      </c>
      <c r="L478" s="8" t="s">
        <v>82</v>
      </c>
      <c r="M478" s="8" t="s">
        <v>80</v>
      </c>
      <c r="N478" s="8" t="s">
        <v>79</v>
      </c>
      <c r="O478" s="8" t="s">
        <v>133</v>
      </c>
      <c r="P478" s="8" t="s">
        <v>79</v>
      </c>
      <c r="Q478" s="8" t="s">
        <v>83</v>
      </c>
      <c r="R478" s="8" t="s">
        <v>82</v>
      </c>
      <c r="S478" s="8" t="s">
        <v>82</v>
      </c>
      <c r="T478" s="8" t="s">
        <v>86</v>
      </c>
      <c r="U478" s="8" t="s">
        <v>87</v>
      </c>
      <c r="V478" s="8" t="s">
        <v>455</v>
      </c>
      <c r="W478" s="9">
        <v>3</v>
      </c>
      <c r="X478" s="9">
        <v>3</v>
      </c>
      <c r="Y478" s="9">
        <v>3</v>
      </c>
      <c r="Z478" s="9">
        <v>3</v>
      </c>
      <c r="AA478" s="9">
        <v>3</v>
      </c>
      <c r="AB478" s="9">
        <v>2</v>
      </c>
      <c r="AC478" s="9">
        <v>2</v>
      </c>
      <c r="AD478" s="9">
        <v>3</v>
      </c>
      <c r="AE478" s="9">
        <v>2</v>
      </c>
      <c r="AF478" s="9">
        <v>0</v>
      </c>
      <c r="AG478" s="9">
        <v>3</v>
      </c>
      <c r="AH478" s="9">
        <v>3</v>
      </c>
      <c r="AI478" s="9">
        <v>3</v>
      </c>
      <c r="AJ478" s="9">
        <v>3</v>
      </c>
      <c r="AK478" s="9">
        <v>3</v>
      </c>
      <c r="AL478" s="10">
        <v>3</v>
      </c>
      <c r="AM478" s="10">
        <v>3</v>
      </c>
      <c r="AN478" s="10">
        <v>3</v>
      </c>
      <c r="AO478" s="10">
        <v>3</v>
      </c>
      <c r="AP478" s="10">
        <v>2</v>
      </c>
      <c r="AQ478" s="10">
        <v>2</v>
      </c>
      <c r="AR478" s="10">
        <v>2</v>
      </c>
      <c r="AS478" s="11">
        <v>3</v>
      </c>
      <c r="AT478" s="11">
        <v>3</v>
      </c>
      <c r="AU478" s="11">
        <v>3</v>
      </c>
      <c r="AV478" s="11">
        <v>3</v>
      </c>
      <c r="AW478" s="11">
        <v>3</v>
      </c>
      <c r="AX478" s="11">
        <v>3</v>
      </c>
      <c r="AY478" s="7">
        <v>3</v>
      </c>
      <c r="AZ478" s="7">
        <v>3</v>
      </c>
      <c r="BA478" s="7">
        <v>3</v>
      </c>
      <c r="BB478" s="7">
        <v>3</v>
      </c>
      <c r="BC478" s="7">
        <v>3</v>
      </c>
      <c r="BD478" s="7">
        <v>1</v>
      </c>
      <c r="BE478" s="7">
        <v>3</v>
      </c>
      <c r="BF478" s="7">
        <v>3</v>
      </c>
      <c r="BG478" s="12">
        <f>SUM(data__22[[#This Row],[N1]:[N4]],data__22[[#This Row],[N10]:[N13]],data__22[[#This Row],[N16]:[N18]])/11</f>
        <v>2.7272727272727271</v>
      </c>
      <c r="BH478" s="13">
        <f>SUM(data__22[[#This Row],[N8]:[N9]],data__22[[#This Row],[N23]:[N25]])/5</f>
        <v>2.8</v>
      </c>
      <c r="BI478" s="12">
        <f>SUM(data__22[[#This Row],[N5]:[N7]])/3</f>
        <v>2.3333333333333335</v>
      </c>
      <c r="BJ478" s="12">
        <f>SUM(data__22[[#This Row],[N14]:[N15]],data__22[[#This Row],[N19]:[N22]],data__22[[#This Row],[N26]:[N28]])/9</f>
        <v>2.6666666666666665</v>
      </c>
      <c r="BK478" s="12">
        <f>SUM(data__22[[#This Row],[N29]:[N33]])/5</f>
        <v>3</v>
      </c>
      <c r="BL478" s="12">
        <f>SUM(data__22[[#This Row],[N34]:[N36]])/3</f>
        <v>2.3333333333333335</v>
      </c>
    </row>
    <row r="479" spans="1:64" x14ac:dyDescent="0.3">
      <c r="A479" s="7">
        <v>20</v>
      </c>
      <c r="B479" s="7" t="s">
        <v>70</v>
      </c>
      <c r="C479" s="7" t="s">
        <v>96</v>
      </c>
      <c r="D479" s="7" t="s">
        <v>97</v>
      </c>
      <c r="E479" s="7" t="s">
        <v>73</v>
      </c>
      <c r="F479" s="7" t="s">
        <v>74</v>
      </c>
      <c r="G479" s="7" t="s">
        <v>439</v>
      </c>
      <c r="H479" s="7" t="s">
        <v>136</v>
      </c>
      <c r="I479" s="7" t="s">
        <v>76</v>
      </c>
      <c r="J479" s="7" t="s">
        <v>77</v>
      </c>
      <c r="K479" s="7" t="s">
        <v>122</v>
      </c>
      <c r="L479" s="8" t="s">
        <v>79</v>
      </c>
      <c r="M479" s="8" t="s">
        <v>80</v>
      </c>
      <c r="N479" s="8" t="s">
        <v>79</v>
      </c>
      <c r="O479" s="8" t="s">
        <v>138</v>
      </c>
      <c r="P479" s="8" t="s">
        <v>82</v>
      </c>
      <c r="Q479" s="8" t="s">
        <v>83</v>
      </c>
      <c r="R479" s="8" t="s">
        <v>82</v>
      </c>
      <c r="S479" s="8" t="s">
        <v>82</v>
      </c>
      <c r="T479" s="8" t="s">
        <v>86</v>
      </c>
      <c r="U479" s="8" t="s">
        <v>87</v>
      </c>
      <c r="V479" s="8" t="s">
        <v>112</v>
      </c>
      <c r="W479" s="9">
        <v>3</v>
      </c>
      <c r="X479" s="9">
        <v>3</v>
      </c>
      <c r="Y479" s="9">
        <v>3</v>
      </c>
      <c r="Z479" s="9">
        <v>3</v>
      </c>
      <c r="AA479" s="9">
        <v>1</v>
      </c>
      <c r="AB479" s="9">
        <v>1</v>
      </c>
      <c r="AC479" s="9">
        <v>1</v>
      </c>
      <c r="AD479" s="9">
        <v>2</v>
      </c>
      <c r="AE479" s="9">
        <v>2</v>
      </c>
      <c r="AF479" s="9">
        <v>1</v>
      </c>
      <c r="AG479" s="9">
        <v>3</v>
      </c>
      <c r="AH479" s="9">
        <v>1</v>
      </c>
      <c r="AI479" s="9">
        <v>3</v>
      </c>
      <c r="AJ479" s="9">
        <v>0</v>
      </c>
      <c r="AK479" s="9">
        <v>1</v>
      </c>
      <c r="AL479" s="10">
        <v>3</v>
      </c>
      <c r="AM479" s="10">
        <v>3</v>
      </c>
      <c r="AN479" s="10">
        <v>3</v>
      </c>
      <c r="AO479" s="10">
        <v>0</v>
      </c>
      <c r="AP479" s="10">
        <v>0</v>
      </c>
      <c r="AQ479" s="10">
        <v>0</v>
      </c>
      <c r="AR479" s="10">
        <v>0</v>
      </c>
      <c r="AS479" s="11">
        <v>2</v>
      </c>
      <c r="AT479" s="11">
        <v>2</v>
      </c>
      <c r="AU479" s="11">
        <v>2</v>
      </c>
      <c r="AV479" s="11">
        <v>1</v>
      </c>
      <c r="AW479" s="11">
        <v>0</v>
      </c>
      <c r="AX479" s="11">
        <v>0</v>
      </c>
      <c r="AY479" s="7">
        <v>3</v>
      </c>
      <c r="AZ479" s="7">
        <v>0</v>
      </c>
      <c r="BA479" s="7">
        <v>3</v>
      </c>
      <c r="BB479" s="7">
        <v>3</v>
      </c>
      <c r="BC479" s="7">
        <v>3</v>
      </c>
      <c r="BD479" s="7">
        <v>0</v>
      </c>
      <c r="BE479" s="7">
        <v>0</v>
      </c>
      <c r="BF479" s="7">
        <v>0</v>
      </c>
      <c r="BG479" s="12">
        <f>SUM(data__22[[#This Row],[N1]:[N4]],data__22[[#This Row],[N10]:[N13]],data__22[[#This Row],[N16]:[N18]])/11</f>
        <v>2.6363636363636362</v>
      </c>
      <c r="BH479" s="13">
        <f>SUM(data__22[[#This Row],[N8]:[N9]],data__22[[#This Row],[N23]:[N25]])/5</f>
        <v>2</v>
      </c>
      <c r="BI479" s="12">
        <f>SUM(data__22[[#This Row],[N5]:[N7]])/3</f>
        <v>1</v>
      </c>
      <c r="BJ479" s="12">
        <f>SUM(data__22[[#This Row],[N14]:[N15]],data__22[[#This Row],[N19]:[N22]],data__22[[#This Row],[N26]:[N28]])/9</f>
        <v>0.22222222222222221</v>
      </c>
      <c r="BK479" s="12">
        <f>SUM(data__22[[#This Row],[N29]:[N33]])/5</f>
        <v>2.4</v>
      </c>
      <c r="BL479" s="12">
        <f>SUM(data__22[[#This Row],[N34]:[N36]])/3</f>
        <v>0</v>
      </c>
    </row>
    <row r="480" spans="1:64" x14ac:dyDescent="0.3">
      <c r="A480" s="7">
        <v>23</v>
      </c>
      <c r="B480" s="7" t="s">
        <v>70</v>
      </c>
      <c r="C480" s="7" t="s">
        <v>96</v>
      </c>
      <c r="D480" s="7" t="s">
        <v>149</v>
      </c>
      <c r="E480" s="7" t="s">
        <v>73</v>
      </c>
      <c r="F480" s="7" t="s">
        <v>136</v>
      </c>
      <c r="G480" s="7" t="s">
        <v>439</v>
      </c>
      <c r="H480" s="7" t="s">
        <v>136</v>
      </c>
      <c r="I480" s="7" t="s">
        <v>76</v>
      </c>
      <c r="J480" s="7" t="s">
        <v>77</v>
      </c>
      <c r="K480" s="7" t="s">
        <v>78</v>
      </c>
      <c r="L480" s="8" t="s">
        <v>79</v>
      </c>
      <c r="M480" s="8" t="s">
        <v>80</v>
      </c>
      <c r="N480" s="8" t="s">
        <v>79</v>
      </c>
      <c r="O480" s="8" t="s">
        <v>109</v>
      </c>
      <c r="P480" s="8" t="s">
        <v>82</v>
      </c>
      <c r="Q480" s="8" t="s">
        <v>118</v>
      </c>
      <c r="R480" s="8" t="s">
        <v>79</v>
      </c>
      <c r="S480" s="8" t="s">
        <v>79</v>
      </c>
      <c r="T480" s="8" t="s">
        <v>106</v>
      </c>
      <c r="U480" s="8" t="s">
        <v>87</v>
      </c>
      <c r="V480" s="8" t="s">
        <v>127</v>
      </c>
      <c r="W480" s="9">
        <v>2</v>
      </c>
      <c r="X480" s="9">
        <v>1</v>
      </c>
      <c r="Y480" s="9">
        <v>2</v>
      </c>
      <c r="Z480" s="9">
        <v>1</v>
      </c>
      <c r="AA480" s="9">
        <v>2</v>
      </c>
      <c r="AB480" s="9">
        <v>1</v>
      </c>
      <c r="AC480" s="9">
        <v>1</v>
      </c>
      <c r="AD480" s="9">
        <v>2</v>
      </c>
      <c r="AE480" s="9">
        <v>1</v>
      </c>
      <c r="AF480" s="9">
        <v>2</v>
      </c>
      <c r="AG480" s="9">
        <v>1</v>
      </c>
      <c r="AH480" s="9">
        <v>1</v>
      </c>
      <c r="AI480" s="9">
        <v>2</v>
      </c>
      <c r="AJ480" s="9">
        <v>1</v>
      </c>
      <c r="AK480" s="9">
        <v>0</v>
      </c>
      <c r="AL480" s="10">
        <v>1</v>
      </c>
      <c r="AM480" s="10">
        <v>1</v>
      </c>
      <c r="AN480" s="10">
        <v>0</v>
      </c>
      <c r="AO480" s="10">
        <v>1</v>
      </c>
      <c r="AP480" s="10">
        <v>1</v>
      </c>
      <c r="AQ480" s="10">
        <v>0</v>
      </c>
      <c r="AR480" s="10">
        <v>2</v>
      </c>
      <c r="AS480" s="11">
        <v>2</v>
      </c>
      <c r="AT480" s="11">
        <v>1</v>
      </c>
      <c r="AU480" s="11">
        <v>2</v>
      </c>
      <c r="AV480" s="11">
        <v>1</v>
      </c>
      <c r="AW480" s="11">
        <v>2</v>
      </c>
      <c r="AX480" s="11">
        <v>1</v>
      </c>
      <c r="AY480" s="7">
        <v>2</v>
      </c>
      <c r="AZ480" s="7">
        <v>1</v>
      </c>
      <c r="BA480" s="7">
        <v>2</v>
      </c>
      <c r="BB480" s="7">
        <v>1</v>
      </c>
      <c r="BC480" s="7">
        <v>1</v>
      </c>
      <c r="BD480" s="7">
        <v>0</v>
      </c>
      <c r="BE480" s="7">
        <v>0</v>
      </c>
      <c r="BF480" s="7">
        <v>2</v>
      </c>
      <c r="BG480" s="12">
        <f>SUM(data__22[[#This Row],[N1]:[N4]],data__22[[#This Row],[N10]:[N13]],data__22[[#This Row],[N16]:[N18]])/11</f>
        <v>1.2727272727272727</v>
      </c>
      <c r="BH480" s="13">
        <f>SUM(data__22[[#This Row],[N8]:[N9]],data__22[[#This Row],[N23]:[N25]])/5</f>
        <v>1.6</v>
      </c>
      <c r="BI480" s="12">
        <f>SUM(data__22[[#This Row],[N5]:[N7]])/3</f>
        <v>1.3333333333333333</v>
      </c>
      <c r="BJ480" s="12">
        <f>SUM(data__22[[#This Row],[N14]:[N15]],data__22[[#This Row],[N19]:[N22]],data__22[[#This Row],[N26]:[N28]])/9</f>
        <v>1</v>
      </c>
      <c r="BK480" s="12">
        <f>SUM(data__22[[#This Row],[N29]:[N33]])/5</f>
        <v>1.4</v>
      </c>
      <c r="BL480" s="12">
        <f>SUM(data__22[[#This Row],[N34]:[N36]])/3</f>
        <v>0.66666666666666663</v>
      </c>
    </row>
    <row r="481" spans="1:64" x14ac:dyDescent="0.3">
      <c r="A481" s="7">
        <v>22</v>
      </c>
      <c r="B481" s="7" t="s">
        <v>70</v>
      </c>
      <c r="C481" s="7" t="s">
        <v>113</v>
      </c>
      <c r="D481" s="7" t="s">
        <v>72</v>
      </c>
      <c r="E481" s="7" t="s">
        <v>108</v>
      </c>
      <c r="F481" s="7" t="s">
        <v>74</v>
      </c>
      <c r="G481" s="7" t="s">
        <v>439</v>
      </c>
      <c r="H481" s="7" t="s">
        <v>74</v>
      </c>
      <c r="I481" s="7" t="s">
        <v>439</v>
      </c>
      <c r="J481" s="7" t="s">
        <v>101</v>
      </c>
      <c r="K481" s="7" t="s">
        <v>78</v>
      </c>
      <c r="L481" s="8" t="s">
        <v>82</v>
      </c>
      <c r="M481" s="8" t="s">
        <v>80</v>
      </c>
      <c r="N481" s="8" t="s">
        <v>79</v>
      </c>
      <c r="O481" s="8" t="s">
        <v>109</v>
      </c>
      <c r="P481" s="8" t="s">
        <v>82</v>
      </c>
      <c r="Q481" s="8" t="s">
        <v>103</v>
      </c>
      <c r="R481" s="8" t="s">
        <v>79</v>
      </c>
      <c r="S481" s="8" t="s">
        <v>79</v>
      </c>
      <c r="T481" s="8" t="s">
        <v>86</v>
      </c>
      <c r="U481" s="8" t="s">
        <v>87</v>
      </c>
      <c r="V481" s="8" t="s">
        <v>112</v>
      </c>
      <c r="W481" s="9">
        <v>1</v>
      </c>
      <c r="X481" s="9">
        <v>3</v>
      </c>
      <c r="Y481" s="9">
        <v>3</v>
      </c>
      <c r="Z481" s="9">
        <v>3</v>
      </c>
      <c r="AA481" s="9">
        <v>3</v>
      </c>
      <c r="AB481" s="9">
        <v>2</v>
      </c>
      <c r="AC481" s="9">
        <v>0</v>
      </c>
      <c r="AD481" s="9">
        <v>0</v>
      </c>
      <c r="AE481" s="9">
        <v>0</v>
      </c>
      <c r="AF481" s="9">
        <v>0</v>
      </c>
      <c r="AG481" s="9">
        <v>3</v>
      </c>
      <c r="AH481" s="9">
        <v>0</v>
      </c>
      <c r="AI481" s="9">
        <v>3</v>
      </c>
      <c r="AJ481" s="9">
        <v>3</v>
      </c>
      <c r="AK481" s="9">
        <v>3</v>
      </c>
      <c r="AL481" s="10">
        <v>3</v>
      </c>
      <c r="AM481" s="10">
        <v>3</v>
      </c>
      <c r="AN481" s="10">
        <v>3</v>
      </c>
      <c r="AO481" s="10">
        <v>3</v>
      </c>
      <c r="AP481" s="10">
        <v>3</v>
      </c>
      <c r="AQ481" s="10">
        <v>3</v>
      </c>
      <c r="AR481" s="10">
        <v>3</v>
      </c>
      <c r="AS481" s="11">
        <v>3</v>
      </c>
      <c r="AT481" s="11">
        <v>3</v>
      </c>
      <c r="AU481" s="11">
        <v>3</v>
      </c>
      <c r="AV481" s="11">
        <v>3</v>
      </c>
      <c r="AW481" s="11">
        <v>3</v>
      </c>
      <c r="AX481" s="11">
        <v>3</v>
      </c>
      <c r="AY481" s="7">
        <v>3</v>
      </c>
      <c r="AZ481" s="7">
        <v>3</v>
      </c>
      <c r="BA481" s="7"/>
      <c r="BB481" s="7">
        <v>3</v>
      </c>
      <c r="BC481" s="7">
        <v>3</v>
      </c>
      <c r="BD481" s="7">
        <v>3</v>
      </c>
      <c r="BE481" s="7">
        <v>3</v>
      </c>
      <c r="BF481" s="7">
        <v>3</v>
      </c>
      <c r="BG481" s="12">
        <f>SUM(data__22[[#This Row],[N1]:[N4]],data__22[[#This Row],[N10]:[N13]],data__22[[#This Row],[N16]:[N18]])/11</f>
        <v>2.2727272727272729</v>
      </c>
      <c r="BH481" s="13">
        <f>SUM(data__22[[#This Row],[N8]:[N9]],data__22[[#This Row],[N23]:[N25]])/5</f>
        <v>1.8</v>
      </c>
      <c r="BI481" s="12">
        <f>SUM(data__22[[#This Row],[N5]:[N7]])/3</f>
        <v>1.6666666666666667</v>
      </c>
      <c r="BJ481" s="12">
        <f>SUM(data__22[[#This Row],[N14]:[N15]],data__22[[#This Row],[N19]:[N22]],data__22[[#This Row],[N26]:[N28]])/9</f>
        <v>3</v>
      </c>
      <c r="BK481" s="12">
        <f>SUM(data__22[[#This Row],[N29]:[N33]])/5</f>
        <v>2.4</v>
      </c>
      <c r="BL481" s="12">
        <f>SUM(data__22[[#This Row],[N34]:[N36]])/3</f>
        <v>3</v>
      </c>
    </row>
    <row r="482" spans="1:64" x14ac:dyDescent="0.3">
      <c r="A482" s="7">
        <v>22</v>
      </c>
      <c r="B482" s="7" t="s">
        <v>128</v>
      </c>
      <c r="C482" s="7" t="s">
        <v>113</v>
      </c>
      <c r="D482" s="7" t="s">
        <v>72</v>
      </c>
      <c r="E482" s="7" t="s">
        <v>73</v>
      </c>
      <c r="F482" s="7" t="s">
        <v>98</v>
      </c>
      <c r="G482" s="7" t="s">
        <v>440</v>
      </c>
      <c r="H482" s="7" t="s">
        <v>100</v>
      </c>
      <c r="I482" s="7" t="s">
        <v>76</v>
      </c>
      <c r="J482" s="7" t="s">
        <v>101</v>
      </c>
      <c r="K482" s="7" t="s">
        <v>125</v>
      </c>
      <c r="L482" s="8" t="s">
        <v>79</v>
      </c>
      <c r="M482" s="8" t="s">
        <v>80</v>
      </c>
      <c r="N482" s="8" t="s">
        <v>79</v>
      </c>
      <c r="O482" s="8" t="s">
        <v>109</v>
      </c>
      <c r="P482" s="8" t="s">
        <v>82</v>
      </c>
      <c r="Q482" s="8" t="s">
        <v>103</v>
      </c>
      <c r="R482" s="8" t="s">
        <v>82</v>
      </c>
      <c r="S482" s="8" t="s">
        <v>82</v>
      </c>
      <c r="T482" s="8" t="s">
        <v>148</v>
      </c>
      <c r="U482" s="8" t="s">
        <v>87</v>
      </c>
      <c r="V482" s="8" t="s">
        <v>457</v>
      </c>
      <c r="W482" s="9">
        <v>3</v>
      </c>
      <c r="X482" s="9">
        <v>3</v>
      </c>
      <c r="Y482" s="9">
        <v>3</v>
      </c>
      <c r="Z482" s="9">
        <v>3</v>
      </c>
      <c r="AA482" s="9">
        <v>1</v>
      </c>
      <c r="AB482" s="9">
        <v>1</v>
      </c>
      <c r="AC482" s="9">
        <v>1</v>
      </c>
      <c r="AD482" s="9">
        <v>3</v>
      </c>
      <c r="AE482" s="9">
        <v>2</v>
      </c>
      <c r="AF482" s="9">
        <v>2</v>
      </c>
      <c r="AG482" s="9">
        <v>3</v>
      </c>
      <c r="AH482" s="9">
        <v>2</v>
      </c>
      <c r="AI482" s="9">
        <v>2</v>
      </c>
      <c r="AJ482" s="9">
        <v>2</v>
      </c>
      <c r="AK482" s="9">
        <v>2</v>
      </c>
      <c r="AL482" s="10">
        <v>1</v>
      </c>
      <c r="AM482" s="10">
        <v>1</v>
      </c>
      <c r="AN482" s="10">
        <v>1</v>
      </c>
      <c r="AO482" s="10">
        <v>1</v>
      </c>
      <c r="AP482" s="10">
        <v>1</v>
      </c>
      <c r="AQ482" s="10">
        <v>1</v>
      </c>
      <c r="AR482" s="10">
        <v>1</v>
      </c>
      <c r="AS482" s="11">
        <v>2</v>
      </c>
      <c r="AT482" s="11">
        <v>2</v>
      </c>
      <c r="AU482" s="11">
        <v>1</v>
      </c>
      <c r="AV482" s="11">
        <v>1</v>
      </c>
      <c r="AW482" s="11">
        <v>1</v>
      </c>
      <c r="AX482" s="11">
        <v>1</v>
      </c>
      <c r="AY482" s="7">
        <v>2</v>
      </c>
      <c r="AZ482" s="7">
        <v>2</v>
      </c>
      <c r="BA482" s="7">
        <v>2</v>
      </c>
      <c r="BB482" s="7">
        <v>2</v>
      </c>
      <c r="BC482" s="7">
        <v>1</v>
      </c>
      <c r="BD482" s="7">
        <v>1</v>
      </c>
      <c r="BE482" s="7">
        <v>1</v>
      </c>
      <c r="BF482" s="7">
        <v>1</v>
      </c>
      <c r="BG482" s="12">
        <f>SUM(data__22[[#This Row],[N1]:[N4]],data__22[[#This Row],[N10]:[N13]],data__22[[#This Row],[N16]:[N18]])/11</f>
        <v>2.1818181818181817</v>
      </c>
      <c r="BH482" s="13">
        <f>SUM(data__22[[#This Row],[N8]:[N9]],data__22[[#This Row],[N23]:[N25]])/5</f>
        <v>2</v>
      </c>
      <c r="BI482" s="12">
        <f>SUM(data__22[[#This Row],[N5]:[N7]])/3</f>
        <v>1</v>
      </c>
      <c r="BJ482" s="12">
        <f>SUM(data__22[[#This Row],[N14]:[N15]],data__22[[#This Row],[N19]:[N22]],data__22[[#This Row],[N26]:[N28]])/9</f>
        <v>1.2222222222222223</v>
      </c>
      <c r="BK482" s="12">
        <f>SUM(data__22[[#This Row],[N29]:[N33]])/5</f>
        <v>1.8</v>
      </c>
      <c r="BL482" s="12">
        <f>SUM(data__22[[#This Row],[N34]:[N36]])/3</f>
        <v>1</v>
      </c>
    </row>
    <row r="483" spans="1:64" x14ac:dyDescent="0.3">
      <c r="A483" s="7">
        <v>24</v>
      </c>
      <c r="B483" s="7" t="s">
        <v>70</v>
      </c>
      <c r="C483" s="7" t="s">
        <v>113</v>
      </c>
      <c r="D483" s="7" t="s">
        <v>97</v>
      </c>
      <c r="E483" s="7" t="s">
        <v>108</v>
      </c>
      <c r="F483" s="7" t="s">
        <v>136</v>
      </c>
      <c r="G483" s="7" t="s">
        <v>99</v>
      </c>
      <c r="H483" s="7" t="s">
        <v>136</v>
      </c>
      <c r="I483" s="7" t="s">
        <v>76</v>
      </c>
      <c r="J483" s="7" t="s">
        <v>77</v>
      </c>
      <c r="K483" s="7" t="s">
        <v>122</v>
      </c>
      <c r="L483" s="8" t="s">
        <v>79</v>
      </c>
      <c r="M483" s="8" t="s">
        <v>132</v>
      </c>
      <c r="N483" s="8" t="s">
        <v>79</v>
      </c>
      <c r="O483" s="8" t="s">
        <v>117</v>
      </c>
      <c r="P483" s="8" t="s">
        <v>79</v>
      </c>
      <c r="Q483" s="8" t="s">
        <v>83</v>
      </c>
      <c r="R483" s="8" t="s">
        <v>82</v>
      </c>
      <c r="S483" s="8" t="s">
        <v>82</v>
      </c>
      <c r="T483" s="8" t="s">
        <v>106</v>
      </c>
      <c r="U483" s="8" t="s">
        <v>87</v>
      </c>
      <c r="V483" s="8" t="s">
        <v>112</v>
      </c>
      <c r="W483" s="9">
        <v>3</v>
      </c>
      <c r="X483" s="9">
        <v>3</v>
      </c>
      <c r="Y483" s="9">
        <v>2</v>
      </c>
      <c r="Z483" s="9">
        <v>3</v>
      </c>
      <c r="AA483" s="9">
        <v>2</v>
      </c>
      <c r="AB483" s="9">
        <v>2</v>
      </c>
      <c r="AC483" s="9">
        <v>0</v>
      </c>
      <c r="AD483" s="9">
        <v>1</v>
      </c>
      <c r="AE483" s="9">
        <v>2</v>
      </c>
      <c r="AF483" s="9">
        <v>3</v>
      </c>
      <c r="AG483" s="9">
        <v>3</v>
      </c>
      <c r="AH483" s="9">
        <v>2</v>
      </c>
      <c r="AI483" s="9">
        <v>3</v>
      </c>
      <c r="AJ483" s="9">
        <v>2</v>
      </c>
      <c r="AK483" s="9">
        <v>2</v>
      </c>
      <c r="AL483" s="10">
        <v>3</v>
      </c>
      <c r="AM483" s="10">
        <v>3</v>
      </c>
      <c r="AN483" s="10">
        <v>3</v>
      </c>
      <c r="AO483" s="10">
        <v>0</v>
      </c>
      <c r="AP483" s="10">
        <v>0</v>
      </c>
      <c r="AQ483" s="10">
        <v>0</v>
      </c>
      <c r="AR483" s="10">
        <v>0</v>
      </c>
      <c r="AS483" s="11">
        <v>1</v>
      </c>
      <c r="AT483" s="11">
        <v>1</v>
      </c>
      <c r="AU483" s="11">
        <v>1</v>
      </c>
      <c r="AV483" s="11">
        <v>2</v>
      </c>
      <c r="AW483" s="11">
        <v>2</v>
      </c>
      <c r="AX483" s="11">
        <v>0</v>
      </c>
      <c r="AY483" s="7">
        <v>3</v>
      </c>
      <c r="AZ483" s="7">
        <v>3</v>
      </c>
      <c r="BA483" s="7">
        <v>3</v>
      </c>
      <c r="BB483" s="7">
        <v>3</v>
      </c>
      <c r="BC483" s="7">
        <v>3</v>
      </c>
      <c r="BD483" s="7">
        <v>0</v>
      </c>
      <c r="BE483" s="7">
        <v>1</v>
      </c>
      <c r="BF483" s="7">
        <v>3</v>
      </c>
      <c r="BG483" s="12">
        <f>SUM(data__22[[#This Row],[N1]:[N4]],data__22[[#This Row],[N10]:[N13]],data__22[[#This Row],[N16]:[N18]])/11</f>
        <v>2.8181818181818183</v>
      </c>
      <c r="BH483" s="13">
        <f>SUM(data__22[[#This Row],[N8]:[N9]],data__22[[#This Row],[N23]:[N25]])/5</f>
        <v>1.2</v>
      </c>
      <c r="BI483" s="12">
        <f>SUM(data__22[[#This Row],[N5]:[N7]])/3</f>
        <v>1.3333333333333333</v>
      </c>
      <c r="BJ483" s="12">
        <f>SUM(data__22[[#This Row],[N14]:[N15]],data__22[[#This Row],[N19]:[N22]],data__22[[#This Row],[N26]:[N28]])/9</f>
        <v>0.88888888888888884</v>
      </c>
      <c r="BK483" s="12">
        <f>SUM(data__22[[#This Row],[N29]:[N33]])/5</f>
        <v>3</v>
      </c>
      <c r="BL483" s="12">
        <f>SUM(data__22[[#This Row],[N34]:[N36]])/3</f>
        <v>1.3333333333333333</v>
      </c>
    </row>
    <row r="484" spans="1:64" x14ac:dyDescent="0.3">
      <c r="A484" s="7">
        <v>22</v>
      </c>
      <c r="B484" s="7" t="s">
        <v>128</v>
      </c>
      <c r="C484" s="7" t="s">
        <v>113</v>
      </c>
      <c r="D484" s="7" t="s">
        <v>97</v>
      </c>
      <c r="E484" s="7" t="s">
        <v>108</v>
      </c>
      <c r="F484" s="7" t="s">
        <v>100</v>
      </c>
      <c r="G484" s="7" t="s">
        <v>440</v>
      </c>
      <c r="H484" s="7" t="s">
        <v>100</v>
      </c>
      <c r="I484" s="7" t="s">
        <v>76</v>
      </c>
      <c r="J484" s="7" t="s">
        <v>101</v>
      </c>
      <c r="K484" s="7" t="s">
        <v>122</v>
      </c>
      <c r="L484" s="8" t="s">
        <v>82</v>
      </c>
      <c r="M484" s="8" t="s">
        <v>102</v>
      </c>
      <c r="N484" s="8" t="s">
        <v>82</v>
      </c>
      <c r="O484" s="8" t="s">
        <v>109</v>
      </c>
      <c r="P484" s="8" t="s">
        <v>79</v>
      </c>
      <c r="Q484" s="8" t="s">
        <v>83</v>
      </c>
      <c r="R484" s="8" t="s">
        <v>79</v>
      </c>
      <c r="S484" s="8" t="s">
        <v>79</v>
      </c>
      <c r="T484" s="8" t="s">
        <v>106</v>
      </c>
      <c r="U484" s="8" t="s">
        <v>141</v>
      </c>
      <c r="V484" s="8" t="s">
        <v>112</v>
      </c>
      <c r="W484" s="9">
        <v>2</v>
      </c>
      <c r="X484" s="9">
        <v>2</v>
      </c>
      <c r="Y484" s="9">
        <v>2</v>
      </c>
      <c r="Z484" s="9">
        <v>3</v>
      </c>
      <c r="AA484" s="9">
        <v>1</v>
      </c>
      <c r="AB484" s="9">
        <v>2</v>
      </c>
      <c r="AC484" s="9">
        <v>1</v>
      </c>
      <c r="AD484" s="9">
        <v>3</v>
      </c>
      <c r="AE484" s="9">
        <v>1</v>
      </c>
      <c r="AF484" s="9">
        <v>2</v>
      </c>
      <c r="AG484" s="9">
        <v>2</v>
      </c>
      <c r="AH484" s="9">
        <v>2</v>
      </c>
      <c r="AI484" s="9">
        <v>2</v>
      </c>
      <c r="AJ484" s="9">
        <v>1</v>
      </c>
      <c r="AK484" s="9">
        <v>1</v>
      </c>
      <c r="AL484" s="10">
        <v>1</v>
      </c>
      <c r="AM484" s="10">
        <v>3</v>
      </c>
      <c r="AN484" s="10">
        <v>3</v>
      </c>
      <c r="AO484" s="10">
        <v>0</v>
      </c>
      <c r="AP484" s="10">
        <v>0</v>
      </c>
      <c r="AQ484" s="10">
        <v>0</v>
      </c>
      <c r="AR484" s="10">
        <v>0</v>
      </c>
      <c r="AS484" s="11">
        <v>1</v>
      </c>
      <c r="AT484" s="11">
        <v>1</v>
      </c>
      <c r="AU484" s="11">
        <v>1</v>
      </c>
      <c r="AV484" s="11">
        <v>1</v>
      </c>
      <c r="AW484" s="11">
        <v>1</v>
      </c>
      <c r="AX484" s="11">
        <v>0</v>
      </c>
      <c r="AY484" s="7">
        <v>2</v>
      </c>
      <c r="AZ484" s="7">
        <v>2</v>
      </c>
      <c r="BA484" s="7">
        <v>1</v>
      </c>
      <c r="BB484" s="7">
        <v>2</v>
      </c>
      <c r="BC484" s="7">
        <v>1</v>
      </c>
      <c r="BD484" s="7">
        <v>1</v>
      </c>
      <c r="BE484" s="7">
        <v>1</v>
      </c>
      <c r="BF484" s="7">
        <v>0</v>
      </c>
      <c r="BG484" s="12">
        <f>SUM(data__22[[#This Row],[N1]:[N4]],data__22[[#This Row],[N10]:[N13]],data__22[[#This Row],[N16]:[N18]])/11</f>
        <v>2.1818181818181817</v>
      </c>
      <c r="BH484" s="13">
        <f>SUM(data__22[[#This Row],[N8]:[N9]],data__22[[#This Row],[N23]:[N25]])/5</f>
        <v>1.4</v>
      </c>
      <c r="BI484" s="12">
        <f>SUM(data__22[[#This Row],[N5]:[N7]])/3</f>
        <v>1.3333333333333333</v>
      </c>
      <c r="BJ484" s="12">
        <f>SUM(data__22[[#This Row],[N14]:[N15]],data__22[[#This Row],[N19]:[N22]],data__22[[#This Row],[N26]:[N28]])/9</f>
        <v>0.44444444444444442</v>
      </c>
      <c r="BK484" s="12">
        <f>SUM(data__22[[#This Row],[N29]:[N33]])/5</f>
        <v>1.6</v>
      </c>
      <c r="BL484" s="12">
        <f>SUM(data__22[[#This Row],[N34]:[N36]])/3</f>
        <v>0.66666666666666663</v>
      </c>
    </row>
    <row r="485" spans="1:64" x14ac:dyDescent="0.3">
      <c r="A485" s="7">
        <v>23</v>
      </c>
      <c r="B485" s="7" t="s">
        <v>70</v>
      </c>
      <c r="C485" s="7" t="s">
        <v>96</v>
      </c>
      <c r="D485" s="7" t="s">
        <v>97</v>
      </c>
      <c r="E485" s="7" t="s">
        <v>108</v>
      </c>
      <c r="F485" s="7" t="s">
        <v>98</v>
      </c>
      <c r="G485" s="7" t="s">
        <v>440</v>
      </c>
      <c r="H485" s="7" t="s">
        <v>98</v>
      </c>
      <c r="I485" s="7" t="s">
        <v>76</v>
      </c>
      <c r="J485" s="7" t="s">
        <v>77</v>
      </c>
      <c r="K485" s="7" t="s">
        <v>122</v>
      </c>
      <c r="L485" s="8" t="s">
        <v>82</v>
      </c>
      <c r="M485" s="8" t="s">
        <v>80</v>
      </c>
      <c r="N485" s="8" t="s">
        <v>79</v>
      </c>
      <c r="O485" s="8" t="s">
        <v>117</v>
      </c>
      <c r="P485" s="8" t="s">
        <v>82</v>
      </c>
      <c r="Q485" s="8" t="s">
        <v>103</v>
      </c>
      <c r="R485" s="8" t="s">
        <v>82</v>
      </c>
      <c r="S485" s="8" t="s">
        <v>82</v>
      </c>
      <c r="T485" s="8" t="s">
        <v>86</v>
      </c>
      <c r="U485" s="8" t="s">
        <v>141</v>
      </c>
      <c r="V485" s="8" t="s">
        <v>112</v>
      </c>
      <c r="W485" s="9">
        <v>2</v>
      </c>
      <c r="X485" s="9">
        <v>2</v>
      </c>
      <c r="Y485" s="9">
        <v>2</v>
      </c>
      <c r="Z485" s="9">
        <v>2</v>
      </c>
      <c r="AA485" s="9">
        <v>2</v>
      </c>
      <c r="AB485" s="9">
        <v>2</v>
      </c>
      <c r="AC485" s="9">
        <v>1</v>
      </c>
      <c r="AD485" s="9">
        <v>1</v>
      </c>
      <c r="AE485" s="9">
        <v>1</v>
      </c>
      <c r="AF485" s="9">
        <v>0</v>
      </c>
      <c r="AG485" s="9">
        <v>2</v>
      </c>
      <c r="AH485" s="9">
        <v>2</v>
      </c>
      <c r="AI485" s="9">
        <v>2</v>
      </c>
      <c r="AJ485" s="9">
        <v>1</v>
      </c>
      <c r="AK485" s="9">
        <v>1</v>
      </c>
      <c r="AL485" s="10">
        <v>2</v>
      </c>
      <c r="AM485" s="10">
        <v>2</v>
      </c>
      <c r="AN485" s="10">
        <v>2</v>
      </c>
      <c r="AO485" s="10">
        <v>2</v>
      </c>
      <c r="AP485" s="10">
        <v>2</v>
      </c>
      <c r="AQ485" s="10">
        <v>2</v>
      </c>
      <c r="AR485" s="10">
        <v>2</v>
      </c>
      <c r="AS485" s="11">
        <v>2</v>
      </c>
      <c r="AT485" s="11">
        <v>2</v>
      </c>
      <c r="AU485" s="11">
        <v>2</v>
      </c>
      <c r="AV485" s="11">
        <v>2</v>
      </c>
      <c r="AW485" s="11">
        <v>2</v>
      </c>
      <c r="AX485" s="11">
        <v>2</v>
      </c>
      <c r="AY485" s="7">
        <v>2</v>
      </c>
      <c r="AZ485" s="7">
        <v>2</v>
      </c>
      <c r="BA485" s="7">
        <v>2</v>
      </c>
      <c r="BB485" s="7">
        <v>2</v>
      </c>
      <c r="BC485" s="7">
        <v>2</v>
      </c>
      <c r="BD485" s="7">
        <v>2</v>
      </c>
      <c r="BE485" s="7">
        <v>2</v>
      </c>
      <c r="BF485" s="7">
        <v>2</v>
      </c>
      <c r="BG485" s="12">
        <f>SUM(data__22[[#This Row],[N1]:[N4]],data__22[[#This Row],[N10]:[N13]],data__22[[#This Row],[N16]:[N18]])/11</f>
        <v>1.8181818181818181</v>
      </c>
      <c r="BH485" s="13">
        <f>SUM(data__22[[#This Row],[N8]:[N9]],data__22[[#This Row],[N23]:[N25]])/5</f>
        <v>1.6</v>
      </c>
      <c r="BI485" s="12">
        <f>SUM(data__22[[#This Row],[N5]:[N7]])/3</f>
        <v>1.6666666666666667</v>
      </c>
      <c r="BJ485" s="12">
        <f>SUM(data__22[[#This Row],[N14]:[N15]],data__22[[#This Row],[N19]:[N22]],data__22[[#This Row],[N26]:[N28]])/9</f>
        <v>1.7777777777777777</v>
      </c>
      <c r="BK485" s="12">
        <f>SUM(data__22[[#This Row],[N29]:[N33]])/5</f>
        <v>2</v>
      </c>
      <c r="BL485" s="12">
        <f>SUM(data__22[[#This Row],[N34]:[N36]])/3</f>
        <v>2</v>
      </c>
    </row>
    <row r="486" spans="1:64" x14ac:dyDescent="0.3">
      <c r="A486" s="7">
        <v>20</v>
      </c>
      <c r="B486" s="7" t="s">
        <v>70</v>
      </c>
      <c r="C486" s="7" t="s">
        <v>96</v>
      </c>
      <c r="D486" s="7" t="s">
        <v>149</v>
      </c>
      <c r="E486" s="7" t="s">
        <v>108</v>
      </c>
      <c r="F486" s="7" t="s">
        <v>74</v>
      </c>
      <c r="G486" s="7" t="s">
        <v>439</v>
      </c>
      <c r="H486" s="7" t="s">
        <v>74</v>
      </c>
      <c r="I486" s="7" t="s">
        <v>439</v>
      </c>
      <c r="J486" s="7" t="s">
        <v>77</v>
      </c>
      <c r="K486" s="7" t="s">
        <v>131</v>
      </c>
      <c r="L486" s="8" t="s">
        <v>79</v>
      </c>
      <c r="M486" s="8" t="s">
        <v>102</v>
      </c>
      <c r="N486" s="8" t="s">
        <v>82</v>
      </c>
      <c r="O486" s="8" t="s">
        <v>117</v>
      </c>
      <c r="P486" s="8" t="s">
        <v>82</v>
      </c>
      <c r="Q486" s="8" t="s">
        <v>83</v>
      </c>
      <c r="R486" s="8" t="s">
        <v>79</v>
      </c>
      <c r="S486" s="8" t="s">
        <v>79</v>
      </c>
      <c r="T486" s="8" t="s">
        <v>86</v>
      </c>
      <c r="U486" s="8" t="s">
        <v>87</v>
      </c>
      <c r="V486" s="8" t="s">
        <v>112</v>
      </c>
      <c r="W486" s="9">
        <v>3</v>
      </c>
      <c r="X486" s="9">
        <v>3</v>
      </c>
      <c r="Y486" s="9">
        <v>3</v>
      </c>
      <c r="Z486" s="9">
        <v>3</v>
      </c>
      <c r="AA486" s="9">
        <v>0</v>
      </c>
      <c r="AB486" s="9">
        <v>0</v>
      </c>
      <c r="AC486" s="9">
        <v>0</v>
      </c>
      <c r="AD486" s="9">
        <v>3</v>
      </c>
      <c r="AE486" s="9">
        <v>3</v>
      </c>
      <c r="AF486" s="9">
        <v>3</v>
      </c>
      <c r="AG486" s="9">
        <v>3</v>
      </c>
      <c r="AH486" s="9">
        <v>3</v>
      </c>
      <c r="AI486" s="9">
        <v>3</v>
      </c>
      <c r="AJ486" s="9">
        <v>0</v>
      </c>
      <c r="AK486" s="9">
        <v>0</v>
      </c>
      <c r="AL486" s="10">
        <v>3</v>
      </c>
      <c r="AM486" s="10">
        <v>3</v>
      </c>
      <c r="AN486" s="10">
        <v>3</v>
      </c>
      <c r="AO486" s="10">
        <v>0</v>
      </c>
      <c r="AP486" s="10">
        <v>0</v>
      </c>
      <c r="AQ486" s="10">
        <v>0</v>
      </c>
      <c r="AR486" s="10">
        <v>0</v>
      </c>
      <c r="AS486" s="11">
        <v>3</v>
      </c>
      <c r="AT486" s="11">
        <v>3</v>
      </c>
      <c r="AU486" s="11">
        <v>3</v>
      </c>
      <c r="AV486" s="11">
        <v>0</v>
      </c>
      <c r="AW486" s="11">
        <v>0</v>
      </c>
      <c r="AX486" s="11">
        <v>0</v>
      </c>
      <c r="AY486" s="7">
        <v>3</v>
      </c>
      <c r="AZ486" s="7">
        <v>3</v>
      </c>
      <c r="BA486" s="7"/>
      <c r="BB486" s="7">
        <v>3</v>
      </c>
      <c r="BC486" s="7">
        <v>3</v>
      </c>
      <c r="BD486" s="7">
        <v>0</v>
      </c>
      <c r="BE486" s="7">
        <v>0</v>
      </c>
      <c r="BF486" s="7">
        <v>0</v>
      </c>
      <c r="BG486" s="12">
        <f>SUM(data__22[[#This Row],[N1]:[N4]],data__22[[#This Row],[N10]:[N13]],data__22[[#This Row],[N16]:[N18]])/11</f>
        <v>3</v>
      </c>
      <c r="BH486" s="13">
        <f>SUM(data__22[[#This Row],[N8]:[N9]],data__22[[#This Row],[N23]:[N25]])/5</f>
        <v>3</v>
      </c>
      <c r="BI486" s="12">
        <f>SUM(data__22[[#This Row],[N5]:[N7]])/3</f>
        <v>0</v>
      </c>
      <c r="BJ486" s="12">
        <f>SUM(data__22[[#This Row],[N14]:[N15]],data__22[[#This Row],[N19]:[N22]],data__22[[#This Row],[N26]:[N28]])/9</f>
        <v>0</v>
      </c>
      <c r="BK486" s="12">
        <f>SUM(data__22[[#This Row],[N29]:[N33]])/5</f>
        <v>2.4</v>
      </c>
      <c r="BL486" s="12">
        <f>SUM(data__22[[#This Row],[N34]:[N36]])/3</f>
        <v>0</v>
      </c>
    </row>
    <row r="487" spans="1:64" x14ac:dyDescent="0.3">
      <c r="A487" s="7">
        <v>22</v>
      </c>
      <c r="B487" s="7" t="s">
        <v>70</v>
      </c>
      <c r="C487" s="7" t="s">
        <v>113</v>
      </c>
      <c r="D487" s="7" t="s">
        <v>72</v>
      </c>
      <c r="E487" s="7" t="s">
        <v>108</v>
      </c>
      <c r="F487" s="7" t="s">
        <v>74</v>
      </c>
      <c r="G487" s="7" t="s">
        <v>99</v>
      </c>
      <c r="H487" s="7" t="s">
        <v>136</v>
      </c>
      <c r="I487" s="7" t="s">
        <v>76</v>
      </c>
      <c r="J487" s="7" t="s">
        <v>101</v>
      </c>
      <c r="K487" s="7" t="s">
        <v>122</v>
      </c>
      <c r="L487" s="8" t="s">
        <v>79</v>
      </c>
      <c r="M487" s="8" t="s">
        <v>80</v>
      </c>
      <c r="N487" s="8" t="s">
        <v>79</v>
      </c>
      <c r="O487" s="8" t="s">
        <v>109</v>
      </c>
      <c r="P487" s="8" t="s">
        <v>82</v>
      </c>
      <c r="Q487" s="8" t="s">
        <v>103</v>
      </c>
      <c r="R487" s="8" t="s">
        <v>79</v>
      </c>
      <c r="S487" s="8" t="s">
        <v>82</v>
      </c>
      <c r="T487" s="8" t="s">
        <v>86</v>
      </c>
      <c r="U487" s="8" t="s">
        <v>141</v>
      </c>
      <c r="V487" s="8" t="s">
        <v>112</v>
      </c>
      <c r="W487" s="9">
        <v>1</v>
      </c>
      <c r="X487" s="9">
        <v>1</v>
      </c>
      <c r="Y487" s="9">
        <v>3</v>
      </c>
      <c r="Z487" s="9">
        <v>3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1</v>
      </c>
      <c r="AG487" s="9">
        <v>3</v>
      </c>
      <c r="AH487" s="9">
        <v>3</v>
      </c>
      <c r="AI487" s="9">
        <v>3</v>
      </c>
      <c r="AJ487" s="9">
        <v>3</v>
      </c>
      <c r="AK487" s="9">
        <v>0</v>
      </c>
      <c r="AL487" s="10">
        <v>3</v>
      </c>
      <c r="AM487" s="10">
        <v>3</v>
      </c>
      <c r="AN487" s="10">
        <v>3</v>
      </c>
      <c r="AO487" s="10">
        <v>3</v>
      </c>
      <c r="AP487" s="10">
        <v>0</v>
      </c>
      <c r="AQ487" s="10">
        <v>0</v>
      </c>
      <c r="AR487" s="10">
        <v>0</v>
      </c>
      <c r="AS487" s="11">
        <v>1</v>
      </c>
      <c r="AT487" s="11">
        <v>2</v>
      </c>
      <c r="AU487" s="11">
        <v>1</v>
      </c>
      <c r="AV487" s="11">
        <v>0</v>
      </c>
      <c r="AW487" s="11">
        <v>0</v>
      </c>
      <c r="AX487" s="11">
        <v>0</v>
      </c>
      <c r="AY487" s="7">
        <v>3</v>
      </c>
      <c r="AZ487" s="7">
        <v>3</v>
      </c>
      <c r="BA487" s="7">
        <v>3</v>
      </c>
      <c r="BB487" s="7">
        <v>3</v>
      </c>
      <c r="BC487" s="7">
        <v>3</v>
      </c>
      <c r="BD487" s="7">
        <v>0</v>
      </c>
      <c r="BE487" s="7">
        <v>2</v>
      </c>
      <c r="BF487" s="7">
        <v>0</v>
      </c>
      <c r="BG487" s="12">
        <f>SUM(data__22[[#This Row],[N1]:[N4]],data__22[[#This Row],[N10]:[N13]],data__22[[#This Row],[N16]:[N18]])/11</f>
        <v>2.4545454545454546</v>
      </c>
      <c r="BH487" s="13">
        <f>SUM(data__22[[#This Row],[N8]:[N9]],data__22[[#This Row],[N23]:[N25]])/5</f>
        <v>0.8</v>
      </c>
      <c r="BI487" s="12">
        <f>SUM(data__22[[#This Row],[N5]:[N7]])/3</f>
        <v>0</v>
      </c>
      <c r="BJ487" s="12">
        <f>SUM(data__22[[#This Row],[N14]:[N15]],data__22[[#This Row],[N19]:[N22]],data__22[[#This Row],[N26]:[N28]])/9</f>
        <v>0.66666666666666663</v>
      </c>
      <c r="BK487" s="12">
        <f>SUM(data__22[[#This Row],[N29]:[N33]])/5</f>
        <v>3</v>
      </c>
      <c r="BL487" s="12">
        <f>SUM(data__22[[#This Row],[N34]:[N36]])/3</f>
        <v>0.66666666666666663</v>
      </c>
    </row>
    <row r="488" spans="1:64" x14ac:dyDescent="0.3">
      <c r="A488" s="7">
        <v>23</v>
      </c>
      <c r="B488" s="7" t="s">
        <v>128</v>
      </c>
      <c r="C488" s="7" t="s">
        <v>113</v>
      </c>
      <c r="D488" s="7" t="s">
        <v>149</v>
      </c>
      <c r="E488" s="7" t="s">
        <v>108</v>
      </c>
      <c r="F488" s="7" t="s">
        <v>136</v>
      </c>
      <c r="G488" s="7" t="s">
        <v>439</v>
      </c>
      <c r="H488" s="7" t="s">
        <v>136</v>
      </c>
      <c r="I488" s="7" t="s">
        <v>76</v>
      </c>
      <c r="J488" s="7" t="s">
        <v>77</v>
      </c>
      <c r="K488" s="7" t="s">
        <v>122</v>
      </c>
      <c r="L488" s="8" t="s">
        <v>79</v>
      </c>
      <c r="M488" s="8" t="s">
        <v>80</v>
      </c>
      <c r="N488" s="8" t="s">
        <v>79</v>
      </c>
      <c r="O488" s="8" t="s">
        <v>109</v>
      </c>
      <c r="P488" s="8" t="s">
        <v>82</v>
      </c>
      <c r="Q488" s="8" t="s">
        <v>103</v>
      </c>
      <c r="R488" s="8" t="s">
        <v>82</v>
      </c>
      <c r="S488" s="8" t="s">
        <v>82</v>
      </c>
      <c r="T488" s="8" t="s">
        <v>86</v>
      </c>
      <c r="U488" s="8" t="s">
        <v>87</v>
      </c>
      <c r="V488" s="8" t="s">
        <v>112</v>
      </c>
      <c r="W488" s="9">
        <v>1</v>
      </c>
      <c r="X488" s="9">
        <v>3</v>
      </c>
      <c r="Y488" s="9">
        <v>3</v>
      </c>
      <c r="Z488" s="9">
        <v>1</v>
      </c>
      <c r="AA488" s="9">
        <v>1</v>
      </c>
      <c r="AB488" s="9">
        <v>2</v>
      </c>
      <c r="AC488" s="9">
        <v>0</v>
      </c>
      <c r="AD488" s="9">
        <v>3</v>
      </c>
      <c r="AE488" s="9">
        <v>3</v>
      </c>
      <c r="AF488" s="9">
        <v>1</v>
      </c>
      <c r="AG488" s="9">
        <v>3</v>
      </c>
      <c r="AH488" s="9">
        <v>3</v>
      </c>
      <c r="AI488" s="9">
        <v>1</v>
      </c>
      <c r="AJ488" s="9">
        <v>0</v>
      </c>
      <c r="AK488" s="9">
        <v>3</v>
      </c>
      <c r="AL488" s="10">
        <v>3</v>
      </c>
      <c r="AM488" s="10">
        <v>3</v>
      </c>
      <c r="AN488" s="10">
        <v>3</v>
      </c>
      <c r="AO488" s="10">
        <v>0</v>
      </c>
      <c r="AP488" s="10">
        <v>0</v>
      </c>
      <c r="AQ488" s="10">
        <v>0</v>
      </c>
      <c r="AR488" s="10">
        <v>0</v>
      </c>
      <c r="AS488" s="11">
        <v>3</v>
      </c>
      <c r="AT488" s="11">
        <v>3</v>
      </c>
      <c r="AU488" s="11">
        <v>0</v>
      </c>
      <c r="AV488" s="11">
        <v>1</v>
      </c>
      <c r="AW488" s="11">
        <v>2</v>
      </c>
      <c r="AX488" s="11">
        <v>2</v>
      </c>
      <c r="AY488" s="7">
        <v>3</v>
      </c>
      <c r="AZ488" s="7">
        <v>3</v>
      </c>
      <c r="BA488" s="7">
        <v>3</v>
      </c>
      <c r="BB488" s="7">
        <v>3</v>
      </c>
      <c r="BC488" s="7">
        <v>3</v>
      </c>
      <c r="BD488" s="7">
        <v>0</v>
      </c>
      <c r="BE488" s="7">
        <v>1</v>
      </c>
      <c r="BF488" s="7">
        <v>1</v>
      </c>
      <c r="BG488" s="12">
        <f>SUM(data__22[[#This Row],[N1]:[N4]],data__22[[#This Row],[N10]:[N13]],data__22[[#This Row],[N16]:[N18]])/11</f>
        <v>2.2727272727272729</v>
      </c>
      <c r="BH488" s="13">
        <f>SUM(data__22[[#This Row],[N8]:[N9]],data__22[[#This Row],[N23]:[N25]])/5</f>
        <v>2.4</v>
      </c>
      <c r="BI488" s="12">
        <f>SUM(data__22[[#This Row],[N5]:[N7]])/3</f>
        <v>1</v>
      </c>
      <c r="BJ488" s="12">
        <f>SUM(data__22[[#This Row],[N14]:[N15]],data__22[[#This Row],[N19]:[N22]],data__22[[#This Row],[N26]:[N28]])/9</f>
        <v>0.88888888888888884</v>
      </c>
      <c r="BK488" s="12">
        <f>SUM(data__22[[#This Row],[N29]:[N33]])/5</f>
        <v>3</v>
      </c>
      <c r="BL488" s="12">
        <f>SUM(data__22[[#This Row],[N34]:[N36]])/3</f>
        <v>0.66666666666666663</v>
      </c>
    </row>
    <row r="489" spans="1:64" x14ac:dyDescent="0.3">
      <c r="A489" s="7">
        <v>21</v>
      </c>
      <c r="B489" s="7" t="s">
        <v>70</v>
      </c>
      <c r="C489" s="7" t="s">
        <v>157</v>
      </c>
      <c r="D489" s="7" t="s">
        <v>72</v>
      </c>
      <c r="E489" s="7" t="s">
        <v>73</v>
      </c>
      <c r="F489" s="7" t="s">
        <v>74</v>
      </c>
      <c r="G489" s="7" t="s">
        <v>439</v>
      </c>
      <c r="H489" s="7" t="s">
        <v>74</v>
      </c>
      <c r="I489" s="7" t="s">
        <v>439</v>
      </c>
      <c r="J489" s="7" t="s">
        <v>77</v>
      </c>
      <c r="K489" s="7" t="s">
        <v>131</v>
      </c>
      <c r="L489" s="8" t="s">
        <v>79</v>
      </c>
      <c r="M489" s="8" t="s">
        <v>132</v>
      </c>
      <c r="N489" s="8" t="s">
        <v>79</v>
      </c>
      <c r="O489" s="8" t="s">
        <v>117</v>
      </c>
      <c r="P489" s="8" t="s">
        <v>82</v>
      </c>
      <c r="Q489" s="8" t="s">
        <v>83</v>
      </c>
      <c r="R489" s="8" t="s">
        <v>79</v>
      </c>
      <c r="S489" s="8" t="s">
        <v>82</v>
      </c>
      <c r="T489" s="8" t="s">
        <v>106</v>
      </c>
      <c r="U489" s="8" t="s">
        <v>120</v>
      </c>
      <c r="V489" s="8" t="s">
        <v>112</v>
      </c>
      <c r="W489" s="9">
        <v>3</v>
      </c>
      <c r="X489" s="9">
        <v>3</v>
      </c>
      <c r="Y489" s="9">
        <v>3</v>
      </c>
      <c r="Z489" s="9">
        <v>3</v>
      </c>
      <c r="AA489" s="9">
        <v>2</v>
      </c>
      <c r="AB489" s="9">
        <v>2</v>
      </c>
      <c r="AC489" s="9">
        <v>3</v>
      </c>
      <c r="AD489" s="9">
        <v>3</v>
      </c>
      <c r="AE489" s="9">
        <v>3</v>
      </c>
      <c r="AF489" s="9">
        <v>3</v>
      </c>
      <c r="AG489" s="9">
        <v>2</v>
      </c>
      <c r="AH489" s="9">
        <v>2</v>
      </c>
      <c r="AI489" s="9">
        <v>2</v>
      </c>
      <c r="AJ489" s="9">
        <v>3</v>
      </c>
      <c r="AK489" s="9">
        <v>2</v>
      </c>
      <c r="AL489" s="10">
        <v>3</v>
      </c>
      <c r="AM489" s="10">
        <v>3</v>
      </c>
      <c r="AN489" s="10">
        <v>3</v>
      </c>
      <c r="AO489" s="10">
        <v>0</v>
      </c>
      <c r="AP489" s="10">
        <v>0</v>
      </c>
      <c r="AQ489" s="10">
        <v>0</v>
      </c>
      <c r="AR489" s="10">
        <v>0</v>
      </c>
      <c r="AS489" s="11">
        <v>2</v>
      </c>
      <c r="AT489" s="11">
        <v>2</v>
      </c>
      <c r="AU489" s="11">
        <v>2</v>
      </c>
      <c r="AV489" s="11">
        <v>2</v>
      </c>
      <c r="AW489" s="11">
        <v>2</v>
      </c>
      <c r="AX489" s="11">
        <v>1</v>
      </c>
      <c r="AY489" s="7">
        <v>2</v>
      </c>
      <c r="AZ489" s="7">
        <v>3</v>
      </c>
      <c r="BA489" s="7">
        <v>3</v>
      </c>
      <c r="BB489" s="7">
        <v>3</v>
      </c>
      <c r="BC489" s="7">
        <v>2</v>
      </c>
      <c r="BD489" s="7">
        <v>0</v>
      </c>
      <c r="BE489" s="7">
        <v>0</v>
      </c>
      <c r="BF489" s="7">
        <v>0</v>
      </c>
      <c r="BG489" s="12">
        <f>SUM(data__22[[#This Row],[N1]:[N4]],data__22[[#This Row],[N10]:[N13]],data__22[[#This Row],[N16]:[N18]])/11</f>
        <v>2.7272727272727271</v>
      </c>
      <c r="BH489" s="13">
        <f>SUM(data__22[[#This Row],[N8]:[N9]],data__22[[#This Row],[N23]:[N25]])/5</f>
        <v>2.4</v>
      </c>
      <c r="BI489" s="12">
        <f>SUM(data__22[[#This Row],[N5]:[N7]])/3</f>
        <v>2.3333333333333335</v>
      </c>
      <c r="BJ489" s="12">
        <f>SUM(data__22[[#This Row],[N14]:[N15]],data__22[[#This Row],[N19]:[N22]],data__22[[#This Row],[N26]:[N28]])/9</f>
        <v>1.1111111111111112</v>
      </c>
      <c r="BK489" s="12">
        <f>SUM(data__22[[#This Row],[N29]:[N33]])/5</f>
        <v>2.6</v>
      </c>
      <c r="BL489" s="12">
        <f>SUM(data__22[[#This Row],[N34]:[N36]])/3</f>
        <v>0</v>
      </c>
    </row>
    <row r="490" spans="1:64" x14ac:dyDescent="0.3">
      <c r="A490" s="7">
        <v>21</v>
      </c>
      <c r="B490" s="7" t="s">
        <v>70</v>
      </c>
      <c r="C490" s="7" t="s">
        <v>157</v>
      </c>
      <c r="D490" s="7" t="s">
        <v>97</v>
      </c>
      <c r="E490" s="7" t="s">
        <v>108</v>
      </c>
      <c r="F490" s="7" t="s">
        <v>74</v>
      </c>
      <c r="G490" s="7" t="s">
        <v>440</v>
      </c>
      <c r="H490" s="7" t="s">
        <v>165</v>
      </c>
      <c r="I490" s="7" t="s">
        <v>76</v>
      </c>
      <c r="J490" s="7" t="s">
        <v>77</v>
      </c>
      <c r="K490" s="7" t="s">
        <v>131</v>
      </c>
      <c r="L490" s="8" t="s">
        <v>79</v>
      </c>
      <c r="M490" s="8" t="s">
        <v>102</v>
      </c>
      <c r="N490" s="8" t="s">
        <v>79</v>
      </c>
      <c r="O490" s="8" t="s">
        <v>81</v>
      </c>
      <c r="P490" s="8" t="s">
        <v>79</v>
      </c>
      <c r="Q490" s="8" t="s">
        <v>103</v>
      </c>
      <c r="R490" s="8" t="s">
        <v>79</v>
      </c>
      <c r="S490" s="8" t="s">
        <v>82</v>
      </c>
      <c r="T490" s="8" t="s">
        <v>148</v>
      </c>
      <c r="U490" s="8" t="s">
        <v>141</v>
      </c>
      <c r="V490" s="8" t="s">
        <v>112</v>
      </c>
      <c r="W490" s="9">
        <v>0</v>
      </c>
      <c r="X490" s="9">
        <v>0</v>
      </c>
      <c r="Y490" s="9">
        <v>0</v>
      </c>
      <c r="Z490" s="9">
        <v>1</v>
      </c>
      <c r="AA490" s="9">
        <v>1</v>
      </c>
      <c r="AB490" s="9">
        <v>0</v>
      </c>
      <c r="AC490" s="9">
        <v>1</v>
      </c>
      <c r="AD490" s="9">
        <v>0</v>
      </c>
      <c r="AE490" s="9">
        <v>1</v>
      </c>
      <c r="AF490" s="9">
        <v>0</v>
      </c>
      <c r="AG490" s="9">
        <v>1</v>
      </c>
      <c r="AH490" s="9">
        <v>0</v>
      </c>
      <c r="AI490" s="9">
        <v>1</v>
      </c>
      <c r="AJ490" s="9">
        <v>0</v>
      </c>
      <c r="AK490" s="9">
        <v>1</v>
      </c>
      <c r="AL490" s="10">
        <v>1</v>
      </c>
      <c r="AM490" s="10">
        <v>0</v>
      </c>
      <c r="AN490" s="10">
        <v>1</v>
      </c>
      <c r="AO490" s="10">
        <v>0</v>
      </c>
      <c r="AP490" s="10">
        <v>1</v>
      </c>
      <c r="AQ490" s="10">
        <v>0</v>
      </c>
      <c r="AR490" s="10">
        <v>1</v>
      </c>
      <c r="AS490" s="11">
        <v>1</v>
      </c>
      <c r="AT490" s="11">
        <v>1</v>
      </c>
      <c r="AU490" s="11">
        <v>1</v>
      </c>
      <c r="AV490" s="11">
        <v>1</v>
      </c>
      <c r="AW490" s="11">
        <v>1</v>
      </c>
      <c r="AX490" s="11">
        <v>1</v>
      </c>
      <c r="AY490" s="7">
        <v>1</v>
      </c>
      <c r="AZ490" s="7">
        <v>1</v>
      </c>
      <c r="BA490" s="7">
        <v>1</v>
      </c>
      <c r="BB490" s="7">
        <v>1</v>
      </c>
      <c r="BC490" s="7">
        <v>1</v>
      </c>
      <c r="BD490" s="7">
        <v>0</v>
      </c>
      <c r="BE490" s="7">
        <v>1</v>
      </c>
      <c r="BF490" s="7">
        <v>1</v>
      </c>
      <c r="BG490" s="12">
        <f>SUM(data__22[[#This Row],[N1]:[N4]],data__22[[#This Row],[N10]:[N13]],data__22[[#This Row],[N16]:[N18]])/11</f>
        <v>0.45454545454545453</v>
      </c>
      <c r="BH490" s="13">
        <f>SUM(data__22[[#This Row],[N8]:[N9]],data__22[[#This Row],[N23]:[N25]])/5</f>
        <v>0.8</v>
      </c>
      <c r="BI490" s="12">
        <f>SUM(data__22[[#This Row],[N5]:[N7]])/3</f>
        <v>0.66666666666666663</v>
      </c>
      <c r="BJ490" s="12">
        <f>SUM(data__22[[#This Row],[N14]:[N15]],data__22[[#This Row],[N19]:[N22]],data__22[[#This Row],[N26]:[N28]])/9</f>
        <v>0.66666666666666663</v>
      </c>
      <c r="BK490" s="12">
        <f>SUM(data__22[[#This Row],[N29]:[N33]])/5</f>
        <v>1</v>
      </c>
      <c r="BL490" s="12">
        <f>SUM(data__22[[#This Row],[N34]:[N36]])/3</f>
        <v>0.66666666666666663</v>
      </c>
    </row>
    <row r="491" spans="1:64" x14ac:dyDescent="0.3">
      <c r="A491" s="7">
        <v>19</v>
      </c>
      <c r="B491" s="7" t="s">
        <v>70</v>
      </c>
      <c r="C491" s="7" t="s">
        <v>157</v>
      </c>
      <c r="D491" s="7" t="s">
        <v>72</v>
      </c>
      <c r="E491" s="7" t="s">
        <v>114</v>
      </c>
      <c r="F491" s="7" t="s">
        <v>74</v>
      </c>
      <c r="G491" s="7" t="s">
        <v>440</v>
      </c>
      <c r="H491" s="7" t="s">
        <v>136</v>
      </c>
      <c r="I491" s="7" t="s">
        <v>76</v>
      </c>
      <c r="J491" s="7" t="s">
        <v>77</v>
      </c>
      <c r="K491" s="7" t="s">
        <v>78</v>
      </c>
      <c r="L491" s="8" t="s">
        <v>79</v>
      </c>
      <c r="M491" s="8" t="s">
        <v>80</v>
      </c>
      <c r="N491" s="8" t="s">
        <v>79</v>
      </c>
      <c r="O491" s="8" t="s">
        <v>138</v>
      </c>
      <c r="P491" s="8" t="s">
        <v>79</v>
      </c>
      <c r="Q491" s="8" t="s">
        <v>83</v>
      </c>
      <c r="R491" s="8" t="s">
        <v>82</v>
      </c>
      <c r="S491" s="8" t="s">
        <v>82</v>
      </c>
      <c r="T491" s="8" t="s">
        <v>106</v>
      </c>
      <c r="U491" s="8" t="s">
        <v>87</v>
      </c>
      <c r="V491" s="8" t="s">
        <v>112</v>
      </c>
      <c r="W491" s="9">
        <v>3</v>
      </c>
      <c r="X491" s="9">
        <v>3</v>
      </c>
      <c r="Y491" s="9">
        <v>3</v>
      </c>
      <c r="Z491" s="9">
        <v>3</v>
      </c>
      <c r="AA491" s="9">
        <v>1</v>
      </c>
      <c r="AB491" s="9">
        <v>1</v>
      </c>
      <c r="AC491" s="9">
        <v>3</v>
      </c>
      <c r="AD491" s="9">
        <v>2</v>
      </c>
      <c r="AE491" s="9">
        <v>2</v>
      </c>
      <c r="AF491" s="9">
        <v>2</v>
      </c>
      <c r="AG491" s="9">
        <v>3</v>
      </c>
      <c r="AH491" s="9">
        <v>3</v>
      </c>
      <c r="AI491" s="9">
        <v>3</v>
      </c>
      <c r="AJ491" s="9">
        <v>2</v>
      </c>
      <c r="AK491" s="9">
        <v>2</v>
      </c>
      <c r="AL491" s="10">
        <v>3</v>
      </c>
      <c r="AM491" s="10">
        <v>3</v>
      </c>
      <c r="AN491" s="10">
        <v>3</v>
      </c>
      <c r="AO491" s="10">
        <v>0</v>
      </c>
      <c r="AP491" s="10">
        <v>0</v>
      </c>
      <c r="AQ491" s="10">
        <v>0</v>
      </c>
      <c r="AR491" s="10">
        <v>0</v>
      </c>
      <c r="AS491" s="11">
        <v>3</v>
      </c>
      <c r="AT491" s="11">
        <v>3</v>
      </c>
      <c r="AU491" s="11">
        <v>3</v>
      </c>
      <c r="AV491" s="11">
        <v>0</v>
      </c>
      <c r="AW491" s="11">
        <v>0</v>
      </c>
      <c r="AX491" s="11">
        <v>0</v>
      </c>
      <c r="AY491" s="7"/>
      <c r="AZ491" s="7"/>
      <c r="BA491" s="7"/>
      <c r="BB491" s="7"/>
      <c r="BC491" s="7"/>
      <c r="BD491" s="7"/>
      <c r="BE491" s="7"/>
      <c r="BF491" s="7"/>
      <c r="BG491" s="12">
        <f>SUM(data__22[[#This Row],[N1]:[N4]],data__22[[#This Row],[N10]:[N13]],data__22[[#This Row],[N16]:[N18]])/11</f>
        <v>2.9090909090909092</v>
      </c>
      <c r="BH491" s="13">
        <f>SUM(data__22[[#This Row],[N8]:[N9]],data__22[[#This Row],[N23]:[N25]])/5</f>
        <v>2.6</v>
      </c>
      <c r="BI491" s="12">
        <f>SUM(data__22[[#This Row],[N5]:[N7]])/3</f>
        <v>1.6666666666666667</v>
      </c>
      <c r="BJ491" s="12">
        <f>SUM(data__22[[#This Row],[N14]:[N15]],data__22[[#This Row],[N19]:[N22]],data__22[[#This Row],[N26]:[N28]])/9</f>
        <v>0.44444444444444442</v>
      </c>
      <c r="BK491" s="12">
        <f>SUM(data__22[[#This Row],[N29]:[N33]])/5</f>
        <v>0</v>
      </c>
      <c r="BL491" s="12">
        <f>SUM(data__22[[#This Row],[N34]:[N36]])/3</f>
        <v>0</v>
      </c>
    </row>
    <row r="492" spans="1:64" x14ac:dyDescent="0.3">
      <c r="A492" s="7">
        <v>21</v>
      </c>
      <c r="B492" s="7" t="s">
        <v>70</v>
      </c>
      <c r="C492" s="7" t="s">
        <v>157</v>
      </c>
      <c r="D492" s="7" t="s">
        <v>72</v>
      </c>
      <c r="E492" s="7" t="s">
        <v>108</v>
      </c>
      <c r="F492" s="7" t="s">
        <v>74</v>
      </c>
      <c r="G492" s="7" t="s">
        <v>439</v>
      </c>
      <c r="H492" s="7" t="s">
        <v>74</v>
      </c>
      <c r="I492" s="7" t="s">
        <v>76</v>
      </c>
      <c r="J492" s="7" t="s">
        <v>77</v>
      </c>
      <c r="K492" s="7" t="s">
        <v>131</v>
      </c>
      <c r="L492" s="8" t="s">
        <v>79</v>
      </c>
      <c r="M492" s="8" t="s">
        <v>80</v>
      </c>
      <c r="N492" s="8" t="s">
        <v>79</v>
      </c>
      <c r="O492" s="8" t="s">
        <v>117</v>
      </c>
      <c r="P492" s="8" t="s">
        <v>82</v>
      </c>
      <c r="Q492" s="8" t="s">
        <v>83</v>
      </c>
      <c r="R492" s="8" t="s">
        <v>82</v>
      </c>
      <c r="S492" s="8" t="s">
        <v>82</v>
      </c>
      <c r="T492" s="8" t="s">
        <v>106</v>
      </c>
      <c r="U492" s="8" t="s">
        <v>120</v>
      </c>
      <c r="V492" s="8" t="s">
        <v>112</v>
      </c>
      <c r="W492" s="9">
        <v>3</v>
      </c>
      <c r="X492" s="9">
        <v>3</v>
      </c>
      <c r="Y492" s="9">
        <v>3</v>
      </c>
      <c r="Z492" s="9">
        <v>2</v>
      </c>
      <c r="AA492" s="9">
        <v>1</v>
      </c>
      <c r="AB492" s="9">
        <v>2</v>
      </c>
      <c r="AC492" s="9">
        <v>1</v>
      </c>
      <c r="AD492" s="9">
        <v>3</v>
      </c>
      <c r="AE492" s="9">
        <v>3</v>
      </c>
      <c r="AF492" s="9">
        <v>3</v>
      </c>
      <c r="AG492" s="9">
        <v>3</v>
      </c>
      <c r="AH492" s="9">
        <v>2</v>
      </c>
      <c r="AI492" s="9">
        <v>3</v>
      </c>
      <c r="AJ492" s="9">
        <v>0</v>
      </c>
      <c r="AK492" s="9">
        <v>1</v>
      </c>
      <c r="AL492" s="10">
        <v>3</v>
      </c>
      <c r="AM492" s="10">
        <v>2</v>
      </c>
      <c r="AN492" s="10">
        <v>3</v>
      </c>
      <c r="AO492" s="10">
        <v>0</v>
      </c>
      <c r="AP492" s="10">
        <v>0</v>
      </c>
      <c r="AQ492" s="10">
        <v>0</v>
      </c>
      <c r="AR492" s="10">
        <v>0</v>
      </c>
      <c r="AS492" s="11">
        <v>1</v>
      </c>
      <c r="AT492" s="11">
        <v>1</v>
      </c>
      <c r="AU492" s="11">
        <v>1</v>
      </c>
      <c r="AV492" s="11">
        <v>2</v>
      </c>
      <c r="AW492" s="11">
        <v>1</v>
      </c>
      <c r="AX492" s="11">
        <v>0</v>
      </c>
      <c r="AY492" s="7">
        <v>3</v>
      </c>
      <c r="AZ492" s="7">
        <v>2</v>
      </c>
      <c r="BA492" s="7">
        <v>3</v>
      </c>
      <c r="BB492" s="7">
        <v>2</v>
      </c>
      <c r="BC492" s="7">
        <v>2</v>
      </c>
      <c r="BD492" s="7">
        <v>0</v>
      </c>
      <c r="BE492" s="7">
        <v>0</v>
      </c>
      <c r="BF492" s="7">
        <v>1</v>
      </c>
      <c r="BG492" s="12">
        <f>SUM(data__22[[#This Row],[N1]:[N4]],data__22[[#This Row],[N10]:[N13]],data__22[[#This Row],[N16]:[N18]])/11</f>
        <v>2.7272727272727271</v>
      </c>
      <c r="BH492" s="13">
        <f>SUM(data__22[[#This Row],[N8]:[N9]],data__22[[#This Row],[N23]:[N25]])/5</f>
        <v>1.8</v>
      </c>
      <c r="BI492" s="12">
        <f>SUM(data__22[[#This Row],[N5]:[N7]])/3</f>
        <v>1.3333333333333333</v>
      </c>
      <c r="BJ492" s="12">
        <f>SUM(data__22[[#This Row],[N14]:[N15]],data__22[[#This Row],[N19]:[N22]],data__22[[#This Row],[N26]:[N28]])/9</f>
        <v>0.44444444444444442</v>
      </c>
      <c r="BK492" s="12">
        <f>SUM(data__22[[#This Row],[N29]:[N33]])/5</f>
        <v>2.4</v>
      </c>
      <c r="BL492" s="12">
        <f>SUM(data__22[[#This Row],[N34]:[N36]])/3</f>
        <v>0.33333333333333331</v>
      </c>
    </row>
    <row r="493" spans="1:64" x14ac:dyDescent="0.3">
      <c r="A493" s="7">
        <v>20</v>
      </c>
      <c r="B493" s="7" t="s">
        <v>70</v>
      </c>
      <c r="C493" s="7" t="s">
        <v>157</v>
      </c>
      <c r="D493" s="7" t="s">
        <v>97</v>
      </c>
      <c r="E493" s="7" t="s">
        <v>73</v>
      </c>
      <c r="F493" s="7" t="s">
        <v>74</v>
      </c>
      <c r="G493" s="7" t="s">
        <v>439</v>
      </c>
      <c r="H493" s="7" t="s">
        <v>98</v>
      </c>
      <c r="I493" s="7" t="s">
        <v>76</v>
      </c>
      <c r="J493" s="7" t="s">
        <v>101</v>
      </c>
      <c r="K493" s="7" t="s">
        <v>131</v>
      </c>
      <c r="L493" s="8" t="s">
        <v>79</v>
      </c>
      <c r="M493" s="8" t="s">
        <v>132</v>
      </c>
      <c r="N493" s="8" t="s">
        <v>79</v>
      </c>
      <c r="O493" s="8" t="s">
        <v>117</v>
      </c>
      <c r="P493" s="8" t="s">
        <v>79</v>
      </c>
      <c r="Q493" s="8" t="s">
        <v>83</v>
      </c>
      <c r="R493" s="8" t="s">
        <v>79</v>
      </c>
      <c r="S493" s="8" t="s">
        <v>79</v>
      </c>
      <c r="T493" s="8" t="s">
        <v>106</v>
      </c>
      <c r="U493" s="8" t="s">
        <v>120</v>
      </c>
      <c r="V493" s="8" t="s">
        <v>127</v>
      </c>
      <c r="W493" s="9">
        <v>1</v>
      </c>
      <c r="X493" s="9">
        <v>2</v>
      </c>
      <c r="Y493" s="9">
        <v>2</v>
      </c>
      <c r="Z493" s="9">
        <v>2</v>
      </c>
      <c r="AA493" s="9">
        <v>1</v>
      </c>
      <c r="AB493" s="9">
        <v>2</v>
      </c>
      <c r="AC493" s="9">
        <v>2</v>
      </c>
      <c r="AD493" s="9">
        <v>1</v>
      </c>
      <c r="AE493" s="9">
        <v>1</v>
      </c>
      <c r="AF493" s="9">
        <v>1</v>
      </c>
      <c r="AG493" s="9">
        <v>2</v>
      </c>
      <c r="AH493" s="9">
        <v>2</v>
      </c>
      <c r="AI493" s="9">
        <v>1</v>
      </c>
      <c r="AJ493" s="9">
        <v>2</v>
      </c>
      <c r="AK493" s="9">
        <v>1</v>
      </c>
      <c r="AL493" s="10">
        <v>2</v>
      </c>
      <c r="AM493" s="10">
        <v>2</v>
      </c>
      <c r="AN493" s="10">
        <v>2</v>
      </c>
      <c r="AO493" s="10">
        <v>2</v>
      </c>
      <c r="AP493" s="10">
        <v>1</v>
      </c>
      <c r="AQ493" s="10">
        <v>2</v>
      </c>
      <c r="AR493" s="10">
        <v>1</v>
      </c>
      <c r="AS493" s="11">
        <v>1</v>
      </c>
      <c r="AT493" s="11">
        <v>2</v>
      </c>
      <c r="AU493" s="11">
        <v>1</v>
      </c>
      <c r="AV493" s="11">
        <v>2</v>
      </c>
      <c r="AW493" s="11">
        <v>1</v>
      </c>
      <c r="AX493" s="11">
        <v>2</v>
      </c>
      <c r="AY493" s="7">
        <v>3</v>
      </c>
      <c r="AZ493" s="7">
        <v>3</v>
      </c>
      <c r="BA493" s="7">
        <v>3</v>
      </c>
      <c r="BB493" s="7">
        <v>3</v>
      </c>
      <c r="BC493" s="7">
        <v>3</v>
      </c>
      <c r="BD493" s="7">
        <v>3</v>
      </c>
      <c r="BE493" s="7">
        <v>3</v>
      </c>
      <c r="BF493" s="7">
        <v>3</v>
      </c>
      <c r="BG493" s="12">
        <f>SUM(data__22[[#This Row],[N1]:[N4]],data__22[[#This Row],[N10]:[N13]],data__22[[#This Row],[N16]:[N18]])/11</f>
        <v>1.7272727272727273</v>
      </c>
      <c r="BH493" s="13">
        <f>SUM(data__22[[#This Row],[N8]:[N9]],data__22[[#This Row],[N23]:[N25]])/5</f>
        <v>1.2</v>
      </c>
      <c r="BI493" s="12">
        <f>SUM(data__22[[#This Row],[N5]:[N7]])/3</f>
        <v>1.6666666666666667</v>
      </c>
      <c r="BJ493" s="12">
        <f>SUM(data__22[[#This Row],[N14]:[N15]],data__22[[#This Row],[N19]:[N22]],data__22[[#This Row],[N26]:[N28]])/9</f>
        <v>1.5555555555555556</v>
      </c>
      <c r="BK493" s="12">
        <f>SUM(data__22[[#This Row],[N29]:[N33]])/5</f>
        <v>3</v>
      </c>
      <c r="BL493" s="12">
        <f>SUM(data__22[[#This Row],[N34]:[N36]])/3</f>
        <v>3</v>
      </c>
    </row>
    <row r="494" spans="1:64" x14ac:dyDescent="0.3">
      <c r="A494" s="7">
        <v>20</v>
      </c>
      <c r="B494" s="7" t="s">
        <v>70</v>
      </c>
      <c r="C494" s="7" t="s">
        <v>157</v>
      </c>
      <c r="D494" s="7" t="s">
        <v>97</v>
      </c>
      <c r="E494" s="7" t="s">
        <v>73</v>
      </c>
      <c r="F494" s="7" t="s">
        <v>74</v>
      </c>
      <c r="G494" s="7" t="s">
        <v>166</v>
      </c>
      <c r="H494" s="7" t="s">
        <v>98</v>
      </c>
      <c r="I494" s="7" t="s">
        <v>76</v>
      </c>
      <c r="J494" s="7" t="s">
        <v>77</v>
      </c>
      <c r="K494" s="7" t="s">
        <v>125</v>
      </c>
      <c r="L494" s="8" t="s">
        <v>79</v>
      </c>
      <c r="M494" s="8" t="s">
        <v>102</v>
      </c>
      <c r="N494" s="8" t="s">
        <v>79</v>
      </c>
      <c r="O494" s="8" t="s">
        <v>109</v>
      </c>
      <c r="P494" s="8" t="s">
        <v>82</v>
      </c>
      <c r="Q494" s="8" t="s">
        <v>83</v>
      </c>
      <c r="R494" s="8" t="s">
        <v>79</v>
      </c>
      <c r="S494" s="8" t="s">
        <v>82</v>
      </c>
      <c r="T494" s="8" t="s">
        <v>86</v>
      </c>
      <c r="U494" s="8" t="s">
        <v>141</v>
      </c>
      <c r="V494" s="8" t="s">
        <v>112</v>
      </c>
      <c r="W494" s="9">
        <v>1</v>
      </c>
      <c r="X494" s="9">
        <v>2</v>
      </c>
      <c r="Y494" s="9">
        <v>3</v>
      </c>
      <c r="Z494" s="9">
        <v>3</v>
      </c>
      <c r="AA494" s="9">
        <v>3</v>
      </c>
      <c r="AB494" s="9">
        <v>3</v>
      </c>
      <c r="AC494" s="9">
        <v>1</v>
      </c>
      <c r="AD494" s="9">
        <v>1</v>
      </c>
      <c r="AE494" s="9">
        <v>2</v>
      </c>
      <c r="AF494" s="9">
        <v>3</v>
      </c>
      <c r="AG494" s="9">
        <v>3</v>
      </c>
      <c r="AH494" s="9">
        <v>3</v>
      </c>
      <c r="AI494" s="9">
        <v>3</v>
      </c>
      <c r="AJ494" s="9">
        <v>3</v>
      </c>
      <c r="AK494" s="9">
        <v>3</v>
      </c>
      <c r="AL494" s="10">
        <v>3</v>
      </c>
      <c r="AM494" s="10">
        <v>3</v>
      </c>
      <c r="AN494" s="10">
        <v>3</v>
      </c>
      <c r="AO494" s="10">
        <v>3</v>
      </c>
      <c r="AP494" s="10">
        <v>3</v>
      </c>
      <c r="AQ494" s="10">
        <v>3</v>
      </c>
      <c r="AR494" s="10">
        <v>3</v>
      </c>
      <c r="AS494" s="11">
        <v>1</v>
      </c>
      <c r="AT494" s="11">
        <v>1</v>
      </c>
      <c r="AU494" s="11">
        <v>1</v>
      </c>
      <c r="AV494" s="11">
        <v>1</v>
      </c>
      <c r="AW494" s="11">
        <v>1</v>
      </c>
      <c r="AX494" s="11">
        <v>1</v>
      </c>
      <c r="AY494" s="7">
        <v>3</v>
      </c>
      <c r="AZ494" s="7">
        <v>0</v>
      </c>
      <c r="BA494" s="7">
        <v>3</v>
      </c>
      <c r="BB494" s="7">
        <v>3</v>
      </c>
      <c r="BC494" s="7">
        <v>3</v>
      </c>
      <c r="BD494" s="7">
        <v>3</v>
      </c>
      <c r="BE494" s="7">
        <v>3</v>
      </c>
      <c r="BF494" s="7">
        <v>3</v>
      </c>
      <c r="BG494" s="12">
        <f>SUM(data__22[[#This Row],[N1]:[N4]],data__22[[#This Row],[N10]:[N13]],data__22[[#This Row],[N16]:[N18]])/11</f>
        <v>2.7272727272727271</v>
      </c>
      <c r="BH494" s="13">
        <f>SUM(data__22[[#This Row],[N8]:[N9]],data__22[[#This Row],[N23]:[N25]])/5</f>
        <v>1.2</v>
      </c>
      <c r="BI494" s="12">
        <f>SUM(data__22[[#This Row],[N5]:[N7]])/3</f>
        <v>2.3333333333333335</v>
      </c>
      <c r="BJ494" s="12">
        <f>SUM(data__22[[#This Row],[N14]:[N15]],data__22[[#This Row],[N19]:[N22]],data__22[[#This Row],[N26]:[N28]])/9</f>
        <v>2.3333333333333335</v>
      </c>
      <c r="BK494" s="12">
        <f>SUM(data__22[[#This Row],[N29]:[N33]])/5</f>
        <v>2.4</v>
      </c>
      <c r="BL494" s="12">
        <f>SUM(data__22[[#This Row],[N34]:[N36]])/3</f>
        <v>3</v>
      </c>
    </row>
    <row r="495" spans="1:64" x14ac:dyDescent="0.3">
      <c r="A495" s="7">
        <v>22</v>
      </c>
      <c r="B495" s="7" t="s">
        <v>70</v>
      </c>
      <c r="C495" s="7" t="s">
        <v>157</v>
      </c>
      <c r="D495" s="7" t="s">
        <v>72</v>
      </c>
      <c r="E495" s="7" t="s">
        <v>114</v>
      </c>
      <c r="F495" s="7" t="s">
        <v>98</v>
      </c>
      <c r="G495" s="7" t="s">
        <v>440</v>
      </c>
      <c r="H495" s="7" t="s">
        <v>98</v>
      </c>
      <c r="I495" s="7" t="s">
        <v>76</v>
      </c>
      <c r="J495" s="7" t="s">
        <v>77</v>
      </c>
      <c r="K495" s="7" t="s">
        <v>122</v>
      </c>
      <c r="L495" s="8" t="s">
        <v>79</v>
      </c>
      <c r="M495" s="8" t="s">
        <v>102</v>
      </c>
      <c r="N495" s="8" t="s">
        <v>79</v>
      </c>
      <c r="O495" s="8" t="s">
        <v>117</v>
      </c>
      <c r="P495" s="8" t="s">
        <v>82</v>
      </c>
      <c r="Q495" s="8" t="s">
        <v>83</v>
      </c>
      <c r="R495" s="8" t="s">
        <v>79</v>
      </c>
      <c r="S495" s="8" t="s">
        <v>82</v>
      </c>
      <c r="T495" s="8" t="s">
        <v>86</v>
      </c>
      <c r="U495" s="8" t="s">
        <v>87</v>
      </c>
      <c r="V495" s="8" t="s">
        <v>455</v>
      </c>
      <c r="W495" s="9">
        <v>3</v>
      </c>
      <c r="X495" s="9">
        <v>3</v>
      </c>
      <c r="Y495" s="9">
        <v>3</v>
      </c>
      <c r="Z495" s="9">
        <v>3</v>
      </c>
      <c r="AA495" s="9">
        <v>0</v>
      </c>
      <c r="AB495" s="9">
        <v>1</v>
      </c>
      <c r="AC495" s="9">
        <v>1</v>
      </c>
      <c r="AD495" s="9">
        <v>1</v>
      </c>
      <c r="AE495" s="9">
        <v>3</v>
      </c>
      <c r="AF495" s="9">
        <v>3</v>
      </c>
      <c r="AG495" s="9">
        <v>3</v>
      </c>
      <c r="AH495" s="9">
        <v>3</v>
      </c>
      <c r="AI495" s="9">
        <v>3</v>
      </c>
      <c r="AJ495" s="9">
        <v>3</v>
      </c>
      <c r="AK495" s="9">
        <v>3</v>
      </c>
      <c r="AL495" s="10">
        <v>3</v>
      </c>
      <c r="AM495" s="10">
        <v>3</v>
      </c>
      <c r="AN495" s="10">
        <v>3</v>
      </c>
      <c r="AO495" s="10">
        <v>0</v>
      </c>
      <c r="AP495" s="10">
        <v>0</v>
      </c>
      <c r="AQ495" s="10">
        <v>0</v>
      </c>
      <c r="AR495" s="10">
        <v>0</v>
      </c>
      <c r="AS495" s="11">
        <v>3</v>
      </c>
      <c r="AT495" s="11">
        <v>3</v>
      </c>
      <c r="AU495" s="11">
        <v>3</v>
      </c>
      <c r="AV495" s="11">
        <v>3</v>
      </c>
      <c r="AW495" s="11">
        <v>0</v>
      </c>
      <c r="AX495" s="11">
        <v>0</v>
      </c>
      <c r="AY495" s="7">
        <v>3</v>
      </c>
      <c r="AZ495" s="7">
        <v>3</v>
      </c>
      <c r="BA495" s="7">
        <v>3</v>
      </c>
      <c r="BB495" s="7">
        <v>3</v>
      </c>
      <c r="BC495" s="7">
        <v>3</v>
      </c>
      <c r="BD495" s="7">
        <v>0</v>
      </c>
      <c r="BE495" s="7">
        <v>0</v>
      </c>
      <c r="BF495" s="7">
        <v>0</v>
      </c>
      <c r="BG495" s="12">
        <f>SUM(data__22[[#This Row],[N1]:[N4]],data__22[[#This Row],[N10]:[N13]],data__22[[#This Row],[N16]:[N18]])/11</f>
        <v>3</v>
      </c>
      <c r="BH495" s="13">
        <f>SUM(data__22[[#This Row],[N8]:[N9]],data__22[[#This Row],[N23]:[N25]])/5</f>
        <v>2.6</v>
      </c>
      <c r="BI495" s="12">
        <f>SUM(data__22[[#This Row],[N5]:[N7]])/3</f>
        <v>0.66666666666666663</v>
      </c>
      <c r="BJ495" s="12">
        <f>SUM(data__22[[#This Row],[N14]:[N15]],data__22[[#This Row],[N19]:[N22]],data__22[[#This Row],[N26]:[N28]])/9</f>
        <v>1</v>
      </c>
      <c r="BK495" s="12">
        <f>SUM(data__22[[#This Row],[N29]:[N33]])/5</f>
        <v>3</v>
      </c>
      <c r="BL495" s="12">
        <f>SUM(data__22[[#This Row],[N34]:[N36]])/3</f>
        <v>0</v>
      </c>
    </row>
    <row r="496" spans="1:64" x14ac:dyDescent="0.3">
      <c r="A496" s="7">
        <v>19</v>
      </c>
      <c r="B496" s="7" t="s">
        <v>70</v>
      </c>
      <c r="C496" s="7" t="s">
        <v>157</v>
      </c>
      <c r="D496" s="7" t="s">
        <v>72</v>
      </c>
      <c r="E496" s="7" t="s">
        <v>73</v>
      </c>
      <c r="F496" s="7" t="s">
        <v>74</v>
      </c>
      <c r="G496" s="7" t="s">
        <v>440</v>
      </c>
      <c r="H496" s="7" t="s">
        <v>136</v>
      </c>
      <c r="I496" s="7" t="s">
        <v>439</v>
      </c>
      <c r="J496" s="7" t="s">
        <v>77</v>
      </c>
      <c r="K496" s="7" t="s">
        <v>122</v>
      </c>
      <c r="L496" s="8" t="s">
        <v>79</v>
      </c>
      <c r="M496" s="8" t="s">
        <v>80</v>
      </c>
      <c r="N496" s="8" t="s">
        <v>79</v>
      </c>
      <c r="O496" s="8" t="s">
        <v>117</v>
      </c>
      <c r="P496" s="8" t="s">
        <v>82</v>
      </c>
      <c r="Q496" s="8" t="s">
        <v>83</v>
      </c>
      <c r="R496" s="8" t="s">
        <v>79</v>
      </c>
      <c r="S496" s="8" t="s">
        <v>82</v>
      </c>
      <c r="T496" s="8" t="s">
        <v>86</v>
      </c>
      <c r="U496" s="8" t="s">
        <v>141</v>
      </c>
      <c r="V496" s="8" t="s">
        <v>112</v>
      </c>
      <c r="W496" s="9">
        <v>2</v>
      </c>
      <c r="X496" s="9">
        <v>2</v>
      </c>
      <c r="Y496" s="9">
        <v>3</v>
      </c>
      <c r="Z496" s="9">
        <v>2</v>
      </c>
      <c r="AA496" s="9">
        <v>1</v>
      </c>
      <c r="AB496" s="9">
        <v>1</v>
      </c>
      <c r="AC496" s="9">
        <v>0</v>
      </c>
      <c r="AD496" s="9">
        <v>2</v>
      </c>
      <c r="AE496" s="9">
        <v>3</v>
      </c>
      <c r="AF496" s="9">
        <v>3</v>
      </c>
      <c r="AG496" s="9">
        <v>3</v>
      </c>
      <c r="AH496" s="9">
        <v>3</v>
      </c>
      <c r="AI496" s="9">
        <v>2</v>
      </c>
      <c r="AJ496" s="9">
        <v>1</v>
      </c>
      <c r="AK496" s="9">
        <v>1</v>
      </c>
      <c r="AL496" s="10">
        <v>3</v>
      </c>
      <c r="AM496" s="10">
        <v>3</v>
      </c>
      <c r="AN496" s="10">
        <v>3</v>
      </c>
      <c r="AO496" s="10">
        <v>0</v>
      </c>
      <c r="AP496" s="10">
        <v>0</v>
      </c>
      <c r="AQ496" s="10">
        <v>0</v>
      </c>
      <c r="AR496" s="10">
        <v>0</v>
      </c>
      <c r="AS496" s="11">
        <v>2</v>
      </c>
      <c r="AT496" s="11">
        <v>2</v>
      </c>
      <c r="AU496" s="11">
        <v>2</v>
      </c>
      <c r="AV496" s="11">
        <v>1</v>
      </c>
      <c r="AW496" s="11">
        <v>0</v>
      </c>
      <c r="AX496" s="11">
        <v>0</v>
      </c>
      <c r="AY496" s="7">
        <v>3</v>
      </c>
      <c r="AZ496" s="7">
        <v>2</v>
      </c>
      <c r="BA496" s="7">
        <v>2</v>
      </c>
      <c r="BB496" s="7">
        <v>3</v>
      </c>
      <c r="BC496" s="7">
        <v>3</v>
      </c>
      <c r="BD496" s="7">
        <v>1</v>
      </c>
      <c r="BE496" s="7">
        <v>1</v>
      </c>
      <c r="BF496" s="7">
        <v>1</v>
      </c>
      <c r="BG496" s="12">
        <f>SUM(data__22[[#This Row],[N1]:[N4]],data__22[[#This Row],[N10]:[N13]],data__22[[#This Row],[N16]:[N18]])/11</f>
        <v>2.6363636363636362</v>
      </c>
      <c r="BH496" s="13">
        <f>SUM(data__22[[#This Row],[N8]:[N9]],data__22[[#This Row],[N23]:[N25]])/5</f>
        <v>2.2000000000000002</v>
      </c>
      <c r="BI496" s="12">
        <f>SUM(data__22[[#This Row],[N5]:[N7]])/3</f>
        <v>0.66666666666666663</v>
      </c>
      <c r="BJ496" s="12">
        <f>SUM(data__22[[#This Row],[N14]:[N15]],data__22[[#This Row],[N19]:[N22]],data__22[[#This Row],[N26]:[N28]])/9</f>
        <v>0.33333333333333331</v>
      </c>
      <c r="BK496" s="12">
        <f>SUM(data__22[[#This Row],[N29]:[N33]])/5</f>
        <v>2.6</v>
      </c>
      <c r="BL496" s="12">
        <f>SUM(data__22[[#This Row],[N34]:[N36]])/3</f>
        <v>1</v>
      </c>
    </row>
    <row r="497" spans="1:64" x14ac:dyDescent="0.3">
      <c r="A497" s="7">
        <v>22</v>
      </c>
      <c r="B497" s="7" t="s">
        <v>70</v>
      </c>
      <c r="C497" s="7" t="s">
        <v>113</v>
      </c>
      <c r="D497" s="7" t="s">
        <v>72</v>
      </c>
      <c r="E497" s="7" t="s">
        <v>114</v>
      </c>
      <c r="F497" s="7" t="s">
        <v>74</v>
      </c>
      <c r="G497" s="7" t="s">
        <v>439</v>
      </c>
      <c r="H497" s="7" t="s">
        <v>136</v>
      </c>
      <c r="I497" s="7" t="s">
        <v>76</v>
      </c>
      <c r="J497" s="7" t="s">
        <v>77</v>
      </c>
      <c r="K497" s="7" t="s">
        <v>122</v>
      </c>
      <c r="L497" s="8" t="s">
        <v>79</v>
      </c>
      <c r="M497" s="8" t="s">
        <v>80</v>
      </c>
      <c r="N497" s="8" t="s">
        <v>79</v>
      </c>
      <c r="O497" s="8" t="s">
        <v>81</v>
      </c>
      <c r="P497" s="8" t="s">
        <v>82</v>
      </c>
      <c r="Q497" s="8" t="s">
        <v>83</v>
      </c>
      <c r="R497" s="8" t="s">
        <v>82</v>
      </c>
      <c r="S497" s="8" t="s">
        <v>82</v>
      </c>
      <c r="T497" s="8" t="s">
        <v>106</v>
      </c>
      <c r="U497" s="8" t="s">
        <v>87</v>
      </c>
      <c r="V497" s="8" t="s">
        <v>112</v>
      </c>
      <c r="W497" s="9">
        <v>2</v>
      </c>
      <c r="X497" s="9">
        <v>1</v>
      </c>
      <c r="Y497" s="9">
        <v>2</v>
      </c>
      <c r="Z497" s="9">
        <v>3</v>
      </c>
      <c r="AA497" s="9">
        <v>1</v>
      </c>
      <c r="AB497" s="9">
        <v>0</v>
      </c>
      <c r="AC497" s="9">
        <v>0</v>
      </c>
      <c r="AD497" s="9">
        <v>2</v>
      </c>
      <c r="AE497" s="9">
        <v>2</v>
      </c>
      <c r="AF497" s="9">
        <v>3</v>
      </c>
      <c r="AG497" s="9">
        <v>3</v>
      </c>
      <c r="AH497" s="9">
        <v>3</v>
      </c>
      <c r="AI497" s="9">
        <v>3</v>
      </c>
      <c r="AJ497" s="9">
        <v>0</v>
      </c>
      <c r="AK497" s="9">
        <v>0</v>
      </c>
      <c r="AL497" s="10">
        <v>3</v>
      </c>
      <c r="AM497" s="10">
        <v>3</v>
      </c>
      <c r="AN497" s="10">
        <v>3</v>
      </c>
      <c r="AO497" s="10">
        <v>3</v>
      </c>
      <c r="AP497" s="10">
        <v>0</v>
      </c>
      <c r="AQ497" s="10">
        <v>0</v>
      </c>
      <c r="AR497" s="10">
        <v>0</v>
      </c>
      <c r="AS497" s="11">
        <v>2</v>
      </c>
      <c r="AT497" s="11">
        <v>3</v>
      </c>
      <c r="AU497" s="11">
        <v>3</v>
      </c>
      <c r="AV497" s="11">
        <v>0</v>
      </c>
      <c r="AW497" s="11">
        <v>0</v>
      </c>
      <c r="AX497" s="11">
        <v>0</v>
      </c>
      <c r="AY497" s="7">
        <v>3</v>
      </c>
      <c r="AZ497" s="7">
        <v>2</v>
      </c>
      <c r="BA497" s="7">
        <v>3</v>
      </c>
      <c r="BB497" s="7">
        <v>3</v>
      </c>
      <c r="BC497" s="7">
        <v>3</v>
      </c>
      <c r="BD497" s="7">
        <v>0</v>
      </c>
      <c r="BE497" s="7">
        <v>0</v>
      </c>
      <c r="BF497" s="7">
        <v>0</v>
      </c>
      <c r="BG497" s="12">
        <f>SUM(data__22[[#This Row],[N1]:[N4]],data__22[[#This Row],[N10]:[N13]],data__22[[#This Row],[N16]:[N18]])/11</f>
        <v>2.6363636363636362</v>
      </c>
      <c r="BH497" s="13">
        <f>SUM(data__22[[#This Row],[N8]:[N9]],data__22[[#This Row],[N23]:[N25]])/5</f>
        <v>2.4</v>
      </c>
      <c r="BI497" s="12">
        <f>SUM(data__22[[#This Row],[N5]:[N7]])/3</f>
        <v>0.33333333333333331</v>
      </c>
      <c r="BJ497" s="12">
        <f>SUM(data__22[[#This Row],[N14]:[N15]],data__22[[#This Row],[N19]:[N22]],data__22[[#This Row],[N26]:[N28]])/9</f>
        <v>0.33333333333333331</v>
      </c>
      <c r="BK497" s="12">
        <f>SUM(data__22[[#This Row],[N29]:[N33]])/5</f>
        <v>2.8</v>
      </c>
      <c r="BL497" s="12">
        <f>SUM(data__22[[#This Row],[N34]:[N36]])/3</f>
        <v>0</v>
      </c>
    </row>
    <row r="498" spans="1:64" x14ac:dyDescent="0.3">
      <c r="A498" s="7">
        <v>22</v>
      </c>
      <c r="B498" s="7" t="s">
        <v>70</v>
      </c>
      <c r="C498" s="7" t="s">
        <v>113</v>
      </c>
      <c r="D498" s="7" t="s">
        <v>72</v>
      </c>
      <c r="E498" s="7" t="s">
        <v>108</v>
      </c>
      <c r="F498" s="7" t="s">
        <v>74</v>
      </c>
      <c r="G498" s="7" t="s">
        <v>99</v>
      </c>
      <c r="H498" s="7" t="s">
        <v>136</v>
      </c>
      <c r="I498" s="7" t="s">
        <v>76</v>
      </c>
      <c r="J498" s="7" t="s">
        <v>101</v>
      </c>
      <c r="K498" s="7" t="s">
        <v>122</v>
      </c>
      <c r="L498" s="8" t="s">
        <v>79</v>
      </c>
      <c r="M498" s="8" t="s">
        <v>80</v>
      </c>
      <c r="N498" s="8" t="s">
        <v>79</v>
      </c>
      <c r="O498" s="8" t="s">
        <v>109</v>
      </c>
      <c r="P498" s="8" t="s">
        <v>79</v>
      </c>
      <c r="Q498" s="8" t="s">
        <v>103</v>
      </c>
      <c r="R498" s="8" t="s">
        <v>79</v>
      </c>
      <c r="S498" s="8" t="s">
        <v>82</v>
      </c>
      <c r="T498" s="8" t="s">
        <v>148</v>
      </c>
      <c r="U498" s="8" t="s">
        <v>141</v>
      </c>
      <c r="V498" s="8" t="s">
        <v>112</v>
      </c>
      <c r="W498" s="9">
        <v>3</v>
      </c>
      <c r="X498" s="9">
        <v>3</v>
      </c>
      <c r="Y498" s="9">
        <v>3</v>
      </c>
      <c r="Z498" s="9">
        <v>3</v>
      </c>
      <c r="AA498" s="9">
        <v>1</v>
      </c>
      <c r="AB498" s="9">
        <v>1</v>
      </c>
      <c r="AC498" s="9">
        <v>1</v>
      </c>
      <c r="AD498" s="9">
        <v>2</v>
      </c>
      <c r="AE498" s="9">
        <v>3</v>
      </c>
      <c r="AF498" s="9">
        <v>3</v>
      </c>
      <c r="AG498" s="9">
        <v>3</v>
      </c>
      <c r="AH498" s="9">
        <v>3</v>
      </c>
      <c r="AI498" s="9">
        <v>3</v>
      </c>
      <c r="AJ498" s="9">
        <v>1</v>
      </c>
      <c r="AK498" s="9">
        <v>3</v>
      </c>
      <c r="AL498" s="10">
        <v>3</v>
      </c>
      <c r="AM498" s="10">
        <v>3</v>
      </c>
      <c r="AN498" s="10">
        <v>3</v>
      </c>
      <c r="AO498" s="10">
        <v>1</v>
      </c>
      <c r="AP498" s="10">
        <v>0</v>
      </c>
      <c r="AQ498" s="10">
        <v>0</v>
      </c>
      <c r="AR498" s="10">
        <v>0</v>
      </c>
      <c r="AS498" s="11">
        <v>3</v>
      </c>
      <c r="AT498" s="11">
        <v>3</v>
      </c>
      <c r="AU498" s="11">
        <v>3</v>
      </c>
      <c r="AV498" s="11">
        <v>1</v>
      </c>
      <c r="AW498" s="11">
        <v>0</v>
      </c>
      <c r="AX498" s="11">
        <v>0</v>
      </c>
      <c r="AY498" s="7">
        <v>3</v>
      </c>
      <c r="AZ498" s="7">
        <v>3</v>
      </c>
      <c r="BA498" s="7">
        <v>3</v>
      </c>
      <c r="BB498" s="7">
        <v>3</v>
      </c>
      <c r="BC498" s="7">
        <v>3</v>
      </c>
      <c r="BD498" s="7">
        <v>0</v>
      </c>
      <c r="BE498" s="7">
        <v>0</v>
      </c>
      <c r="BF498" s="7">
        <v>0</v>
      </c>
      <c r="BG498" s="12">
        <f>SUM(data__22[[#This Row],[N1]:[N4]],data__22[[#This Row],[N10]:[N13]],data__22[[#This Row],[N16]:[N18]])/11</f>
        <v>3</v>
      </c>
      <c r="BH498" s="13">
        <f>SUM(data__22[[#This Row],[N8]:[N9]],data__22[[#This Row],[N23]:[N25]])/5</f>
        <v>2.8</v>
      </c>
      <c r="BI498" s="12">
        <f>SUM(data__22[[#This Row],[N5]:[N7]])/3</f>
        <v>1</v>
      </c>
      <c r="BJ498" s="12">
        <f>SUM(data__22[[#This Row],[N14]:[N15]],data__22[[#This Row],[N19]:[N22]],data__22[[#This Row],[N26]:[N28]])/9</f>
        <v>0.66666666666666663</v>
      </c>
      <c r="BK498" s="12">
        <f>SUM(data__22[[#This Row],[N29]:[N33]])/5</f>
        <v>3</v>
      </c>
      <c r="BL498" s="12">
        <f>SUM(data__22[[#This Row],[N34]:[N36]])/3</f>
        <v>0</v>
      </c>
    </row>
    <row r="499" spans="1:64" x14ac:dyDescent="0.3">
      <c r="A499" s="7">
        <v>23</v>
      </c>
      <c r="B499" s="7" t="s">
        <v>70</v>
      </c>
      <c r="C499" s="7" t="s">
        <v>71</v>
      </c>
      <c r="D499" s="7" t="s">
        <v>97</v>
      </c>
      <c r="E499" s="7" t="s">
        <v>114</v>
      </c>
      <c r="F499" s="7" t="s">
        <v>136</v>
      </c>
      <c r="G499" s="7" t="s">
        <v>99</v>
      </c>
      <c r="H499" s="7" t="s">
        <v>136</v>
      </c>
      <c r="I499" s="7" t="s">
        <v>76</v>
      </c>
      <c r="J499" s="7" t="s">
        <v>77</v>
      </c>
      <c r="K499" s="7" t="s">
        <v>125</v>
      </c>
      <c r="L499" s="8" t="s">
        <v>79</v>
      </c>
      <c r="M499" s="8" t="s">
        <v>80</v>
      </c>
      <c r="N499" s="8" t="s">
        <v>79</v>
      </c>
      <c r="O499" s="8" t="s">
        <v>117</v>
      </c>
      <c r="P499" s="8" t="s">
        <v>82</v>
      </c>
      <c r="Q499" s="8" t="s">
        <v>83</v>
      </c>
      <c r="R499" s="8" t="s">
        <v>79</v>
      </c>
      <c r="S499" s="8" t="s">
        <v>82</v>
      </c>
      <c r="T499" s="8" t="s">
        <v>106</v>
      </c>
      <c r="U499" s="8" t="s">
        <v>120</v>
      </c>
      <c r="V499" s="8" t="s">
        <v>455</v>
      </c>
      <c r="W499" s="9">
        <v>2</v>
      </c>
      <c r="X499" s="9">
        <v>2</v>
      </c>
      <c r="Y499" s="9">
        <v>2</v>
      </c>
      <c r="Z499" s="9">
        <v>2</v>
      </c>
      <c r="AA499" s="9">
        <v>2</v>
      </c>
      <c r="AB499" s="9">
        <v>2</v>
      </c>
      <c r="AC499" s="9">
        <v>2</v>
      </c>
      <c r="AD499" s="9">
        <v>2</v>
      </c>
      <c r="AE499" s="9">
        <v>0</v>
      </c>
      <c r="AF499" s="9">
        <v>2</v>
      </c>
      <c r="AG499" s="9">
        <v>3</v>
      </c>
      <c r="AH499" s="9">
        <v>2</v>
      </c>
      <c r="AI499" s="9">
        <v>2</v>
      </c>
      <c r="AJ499" s="9">
        <v>0</v>
      </c>
      <c r="AK499" s="9">
        <v>1</v>
      </c>
      <c r="AL499" s="10">
        <v>3</v>
      </c>
      <c r="AM499" s="10">
        <v>3</v>
      </c>
      <c r="AN499" s="10">
        <v>3</v>
      </c>
      <c r="AO499" s="10">
        <v>0</v>
      </c>
      <c r="AP499" s="10">
        <v>0</v>
      </c>
      <c r="AQ499" s="10">
        <v>0</v>
      </c>
      <c r="AR499" s="10">
        <v>0</v>
      </c>
      <c r="AS499" s="11">
        <v>3</v>
      </c>
      <c r="AT499" s="11">
        <v>2</v>
      </c>
      <c r="AU499" s="11">
        <v>2</v>
      </c>
      <c r="AV499" s="11">
        <v>2</v>
      </c>
      <c r="AW499" s="11">
        <v>0</v>
      </c>
      <c r="AX499" s="11">
        <v>0</v>
      </c>
      <c r="AY499" s="7"/>
      <c r="AZ499" s="7"/>
      <c r="BA499" s="7"/>
      <c r="BB499" s="7"/>
      <c r="BC499" s="7"/>
      <c r="BD499" s="7"/>
      <c r="BE499" s="7"/>
      <c r="BF499" s="7"/>
      <c r="BG499" s="12">
        <f>SUM(data__22[[#This Row],[N1]:[N4]],data__22[[#This Row],[N10]:[N13]],data__22[[#This Row],[N16]:[N18]])/11</f>
        <v>2.3636363636363638</v>
      </c>
      <c r="BH499" s="13">
        <f>SUM(data__22[[#This Row],[N8]:[N9]],data__22[[#This Row],[N23]:[N25]])/5</f>
        <v>1.8</v>
      </c>
      <c r="BI499" s="12">
        <f>SUM(data__22[[#This Row],[N5]:[N7]])/3</f>
        <v>2</v>
      </c>
      <c r="BJ499" s="12">
        <f>SUM(data__22[[#This Row],[N14]:[N15]],data__22[[#This Row],[N19]:[N22]],data__22[[#This Row],[N26]:[N28]])/9</f>
        <v>0.33333333333333331</v>
      </c>
      <c r="BK499" s="12">
        <f>SUM(data__22[[#This Row],[N29]:[N33]])/5</f>
        <v>0</v>
      </c>
      <c r="BL499" s="12">
        <f>SUM(data__22[[#This Row],[N34]:[N36]])/3</f>
        <v>0</v>
      </c>
    </row>
    <row r="500" spans="1:64" x14ac:dyDescent="0.3">
      <c r="A500" s="7">
        <v>22</v>
      </c>
      <c r="B500" s="7" t="s">
        <v>70</v>
      </c>
      <c r="C500" s="7" t="s">
        <v>96</v>
      </c>
      <c r="D500" s="7" t="s">
        <v>72</v>
      </c>
      <c r="E500" s="7" t="s">
        <v>108</v>
      </c>
      <c r="F500" s="7" t="s">
        <v>74</v>
      </c>
      <c r="G500" s="7" t="s">
        <v>99</v>
      </c>
      <c r="H500" s="7" t="s">
        <v>74</v>
      </c>
      <c r="I500" s="7" t="s">
        <v>76</v>
      </c>
      <c r="J500" s="7" t="s">
        <v>77</v>
      </c>
      <c r="K500" s="7" t="s">
        <v>122</v>
      </c>
      <c r="L500" s="8" t="s">
        <v>82</v>
      </c>
      <c r="M500" s="8" t="s">
        <v>80</v>
      </c>
      <c r="N500" s="8" t="s">
        <v>79</v>
      </c>
      <c r="O500" s="8" t="s">
        <v>109</v>
      </c>
      <c r="P500" s="8" t="s">
        <v>82</v>
      </c>
      <c r="Q500" s="8" t="s">
        <v>83</v>
      </c>
      <c r="R500" s="8" t="s">
        <v>82</v>
      </c>
      <c r="S500" s="8" t="s">
        <v>82</v>
      </c>
      <c r="T500" s="8" t="s">
        <v>148</v>
      </c>
      <c r="U500" s="8" t="s">
        <v>141</v>
      </c>
      <c r="V500" s="8" t="s">
        <v>112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1</v>
      </c>
      <c r="AC500" s="9">
        <v>1</v>
      </c>
      <c r="AD500" s="9">
        <v>1</v>
      </c>
      <c r="AE500" s="9">
        <v>1</v>
      </c>
      <c r="AF500" s="9">
        <v>0</v>
      </c>
      <c r="AG500" s="9">
        <v>1</v>
      </c>
      <c r="AH500" s="9">
        <v>0</v>
      </c>
      <c r="AI500" s="9">
        <v>0</v>
      </c>
      <c r="AJ500" s="9">
        <v>1</v>
      </c>
      <c r="AK500" s="9">
        <v>0</v>
      </c>
      <c r="AL500" s="10">
        <v>2</v>
      </c>
      <c r="AM500" s="10">
        <v>2</v>
      </c>
      <c r="AN500" s="10">
        <v>2</v>
      </c>
      <c r="AO500" s="10">
        <v>2</v>
      </c>
      <c r="AP500" s="10">
        <v>2</v>
      </c>
      <c r="AQ500" s="10">
        <v>2</v>
      </c>
      <c r="AR500" s="10">
        <v>2</v>
      </c>
      <c r="AS500" s="11">
        <v>2</v>
      </c>
      <c r="AT500" s="11">
        <v>2</v>
      </c>
      <c r="AU500" s="11">
        <v>2</v>
      </c>
      <c r="AV500" s="11">
        <v>2</v>
      </c>
      <c r="AW500" s="11">
        <v>2</v>
      </c>
      <c r="AX500" s="11">
        <v>2</v>
      </c>
      <c r="AY500" s="7">
        <v>2</v>
      </c>
      <c r="AZ500" s="7">
        <v>2</v>
      </c>
      <c r="BA500" s="7">
        <v>2</v>
      </c>
      <c r="BB500" s="7">
        <v>2</v>
      </c>
      <c r="BC500" s="7">
        <v>2</v>
      </c>
      <c r="BD500" s="7">
        <v>2</v>
      </c>
      <c r="BE500" s="7">
        <v>2</v>
      </c>
      <c r="BF500" s="7">
        <v>2</v>
      </c>
      <c r="BG500" s="12">
        <f>SUM(data__22[[#This Row],[N1]:[N4]],data__22[[#This Row],[N10]:[N13]],data__22[[#This Row],[N16]:[N18]])/11</f>
        <v>0.63636363636363635</v>
      </c>
      <c r="BH500" s="13">
        <f>SUM(data__22[[#This Row],[N8]:[N9]],data__22[[#This Row],[N23]:[N25]])/5</f>
        <v>1.6</v>
      </c>
      <c r="BI500" s="12">
        <f>SUM(data__22[[#This Row],[N5]:[N7]])/3</f>
        <v>0.66666666666666663</v>
      </c>
      <c r="BJ500" s="12">
        <f>SUM(data__22[[#This Row],[N14]:[N15]],data__22[[#This Row],[N19]:[N22]],data__22[[#This Row],[N26]:[N28]])/9</f>
        <v>1.6666666666666667</v>
      </c>
      <c r="BK500" s="12">
        <f>SUM(data__22[[#This Row],[N29]:[N33]])/5</f>
        <v>2</v>
      </c>
      <c r="BL500" s="12">
        <f>SUM(data__22[[#This Row],[N34]:[N36]])/3</f>
        <v>2</v>
      </c>
    </row>
    <row r="501" spans="1:64" x14ac:dyDescent="0.3">
      <c r="A501" s="7">
        <v>20</v>
      </c>
      <c r="B501" s="7" t="s">
        <v>70</v>
      </c>
      <c r="C501" s="7" t="s">
        <v>157</v>
      </c>
      <c r="D501" s="7" t="s">
        <v>72</v>
      </c>
      <c r="E501" s="7" t="s">
        <v>114</v>
      </c>
      <c r="F501" s="7" t="s">
        <v>100</v>
      </c>
      <c r="G501" s="7" t="s">
        <v>438</v>
      </c>
      <c r="H501" s="7" t="s">
        <v>165</v>
      </c>
      <c r="I501" s="7" t="s">
        <v>76</v>
      </c>
      <c r="J501" s="7" t="s">
        <v>101</v>
      </c>
      <c r="K501" s="7" t="s">
        <v>125</v>
      </c>
      <c r="L501" s="8" t="s">
        <v>79</v>
      </c>
      <c r="M501" s="8" t="s">
        <v>80</v>
      </c>
      <c r="N501" s="8" t="s">
        <v>79</v>
      </c>
      <c r="O501" s="8" t="s">
        <v>109</v>
      </c>
      <c r="P501" s="8" t="s">
        <v>82</v>
      </c>
      <c r="Q501" s="8" t="s">
        <v>83</v>
      </c>
      <c r="R501" s="8" t="s">
        <v>79</v>
      </c>
      <c r="S501" s="8" t="s">
        <v>82</v>
      </c>
      <c r="T501" s="8" t="s">
        <v>106</v>
      </c>
      <c r="U501" s="8" t="s">
        <v>141</v>
      </c>
      <c r="V501" s="8" t="s">
        <v>112</v>
      </c>
      <c r="W501" s="9">
        <v>1</v>
      </c>
      <c r="X501" s="9">
        <v>1</v>
      </c>
      <c r="Y501" s="9">
        <v>1</v>
      </c>
      <c r="Z501" s="9">
        <v>1</v>
      </c>
      <c r="AA501" s="9">
        <v>1</v>
      </c>
      <c r="AB501" s="9">
        <v>1</v>
      </c>
      <c r="AC501" s="9">
        <v>1</v>
      </c>
      <c r="AD501" s="9">
        <v>1</v>
      </c>
      <c r="AE501" s="9">
        <v>1</v>
      </c>
      <c r="AF501" s="9">
        <v>1</v>
      </c>
      <c r="AG501" s="9">
        <v>1</v>
      </c>
      <c r="AH501" s="9">
        <v>1</v>
      </c>
      <c r="AI501" s="9">
        <v>1</v>
      </c>
      <c r="AJ501" s="9">
        <v>1</v>
      </c>
      <c r="AK501" s="9">
        <v>1</v>
      </c>
      <c r="AL501" s="10">
        <v>2</v>
      </c>
      <c r="AM501" s="10">
        <v>2</v>
      </c>
      <c r="AN501" s="10">
        <v>2</v>
      </c>
      <c r="AO501" s="10">
        <v>2</v>
      </c>
      <c r="AP501" s="10">
        <v>2</v>
      </c>
      <c r="AQ501" s="10">
        <v>2</v>
      </c>
      <c r="AR501" s="10">
        <v>2</v>
      </c>
      <c r="AS501" s="11">
        <v>1</v>
      </c>
      <c r="AT501" s="11">
        <v>2</v>
      </c>
      <c r="AU501" s="11">
        <v>1</v>
      </c>
      <c r="AV501" s="11">
        <v>2</v>
      </c>
      <c r="AW501" s="11">
        <v>1</v>
      </c>
      <c r="AX501" s="11">
        <v>2</v>
      </c>
      <c r="AY501" s="7">
        <v>1</v>
      </c>
      <c r="AZ501" s="7">
        <v>2</v>
      </c>
      <c r="BA501" s="7">
        <v>1</v>
      </c>
      <c r="BB501" s="7">
        <v>2</v>
      </c>
      <c r="BC501" s="7">
        <v>1</v>
      </c>
      <c r="BD501" s="7">
        <v>2</v>
      </c>
      <c r="BE501" s="7">
        <v>1</v>
      </c>
      <c r="BF501" s="7">
        <v>1</v>
      </c>
      <c r="BG501" s="12">
        <f>SUM(data__22[[#This Row],[N1]:[N4]],data__22[[#This Row],[N10]:[N13]],data__22[[#This Row],[N16]:[N18]])/11</f>
        <v>1.2727272727272727</v>
      </c>
      <c r="BH501" s="13">
        <f>SUM(data__22[[#This Row],[N8]:[N9]],data__22[[#This Row],[N23]:[N25]])/5</f>
        <v>1.2</v>
      </c>
      <c r="BI501" s="12">
        <f>SUM(data__22[[#This Row],[N5]:[N7]])/3</f>
        <v>1</v>
      </c>
      <c r="BJ501" s="12">
        <f>SUM(data__22[[#This Row],[N14]:[N15]],data__22[[#This Row],[N19]:[N22]],data__22[[#This Row],[N26]:[N28]])/9</f>
        <v>1.6666666666666667</v>
      </c>
      <c r="BK501" s="12">
        <f>SUM(data__22[[#This Row],[N29]:[N33]])/5</f>
        <v>1.4</v>
      </c>
      <c r="BL501" s="12">
        <f>SUM(data__22[[#This Row],[N34]:[N36]])/3</f>
        <v>1.3333333333333333</v>
      </c>
    </row>
    <row r="502" spans="1:64" x14ac:dyDescent="0.3">
      <c r="A502" s="7">
        <v>20</v>
      </c>
      <c r="B502" s="7" t="s">
        <v>162</v>
      </c>
      <c r="C502" s="7" t="s">
        <v>157</v>
      </c>
      <c r="D502" s="7" t="s">
        <v>72</v>
      </c>
      <c r="E502" s="7" t="s">
        <v>73</v>
      </c>
      <c r="F502" s="7" t="s">
        <v>74</v>
      </c>
      <c r="G502" s="7" t="s">
        <v>99</v>
      </c>
      <c r="H502" s="7" t="s">
        <v>136</v>
      </c>
      <c r="I502" s="7" t="s">
        <v>76</v>
      </c>
      <c r="J502" s="7" t="s">
        <v>77</v>
      </c>
      <c r="K502" s="7" t="s">
        <v>122</v>
      </c>
      <c r="L502" s="8" t="s">
        <v>79</v>
      </c>
      <c r="M502" s="8" t="s">
        <v>80</v>
      </c>
      <c r="N502" s="8" t="s">
        <v>79</v>
      </c>
      <c r="O502" s="8" t="s">
        <v>81</v>
      </c>
      <c r="P502" s="8" t="s">
        <v>82</v>
      </c>
      <c r="Q502" s="8" t="s">
        <v>83</v>
      </c>
      <c r="R502" s="8" t="s">
        <v>82</v>
      </c>
      <c r="S502" s="8" t="s">
        <v>82</v>
      </c>
      <c r="T502" s="8" t="s">
        <v>106</v>
      </c>
      <c r="U502" s="8" t="s">
        <v>141</v>
      </c>
      <c r="V502" s="8" t="s">
        <v>112</v>
      </c>
      <c r="W502" s="9">
        <v>3</v>
      </c>
      <c r="X502" s="9">
        <v>3</v>
      </c>
      <c r="Y502" s="9">
        <v>3</v>
      </c>
      <c r="Z502" s="9">
        <v>3</v>
      </c>
      <c r="AA502" s="9">
        <v>3</v>
      </c>
      <c r="AB502" s="9">
        <v>3</v>
      </c>
      <c r="AC502" s="9">
        <v>3</v>
      </c>
      <c r="AD502" s="9">
        <v>3</v>
      </c>
      <c r="AE502" s="9">
        <v>3</v>
      </c>
      <c r="AF502" s="9">
        <v>3</v>
      </c>
      <c r="AG502" s="9">
        <v>3</v>
      </c>
      <c r="AH502" s="9">
        <v>3</v>
      </c>
      <c r="AI502" s="9">
        <v>3</v>
      </c>
      <c r="AJ502" s="9">
        <v>1</v>
      </c>
      <c r="AK502" s="9">
        <v>1</v>
      </c>
      <c r="AL502" s="10">
        <v>3</v>
      </c>
      <c r="AM502" s="10">
        <v>3</v>
      </c>
      <c r="AN502" s="10">
        <v>3</v>
      </c>
      <c r="AO502" s="10">
        <v>3</v>
      </c>
      <c r="AP502" s="10">
        <v>0</v>
      </c>
      <c r="AQ502" s="10">
        <v>0</v>
      </c>
      <c r="AR502" s="10">
        <v>0</v>
      </c>
      <c r="AS502" s="11">
        <v>3</v>
      </c>
      <c r="AT502" s="11">
        <v>3</v>
      </c>
      <c r="AU502" s="11">
        <v>3</v>
      </c>
      <c r="AV502" s="11">
        <v>3</v>
      </c>
      <c r="AW502" s="11">
        <v>0</v>
      </c>
      <c r="AX502" s="11">
        <v>0</v>
      </c>
      <c r="AY502" s="7">
        <v>3</v>
      </c>
      <c r="AZ502" s="7">
        <v>3</v>
      </c>
      <c r="BA502" s="7">
        <v>3</v>
      </c>
      <c r="BB502" s="7">
        <v>3</v>
      </c>
      <c r="BC502" s="7">
        <v>3</v>
      </c>
      <c r="BD502" s="7">
        <v>3</v>
      </c>
      <c r="BE502" s="7">
        <v>3</v>
      </c>
      <c r="BF502" s="7">
        <v>0</v>
      </c>
      <c r="BG502" s="12">
        <f>SUM(data__22[[#This Row],[N1]:[N4]],data__22[[#This Row],[N10]:[N13]],data__22[[#This Row],[N16]:[N18]])/11</f>
        <v>3</v>
      </c>
      <c r="BH502" s="13">
        <f>SUM(data__22[[#This Row],[N8]:[N9]],data__22[[#This Row],[N23]:[N25]])/5</f>
        <v>3</v>
      </c>
      <c r="BI502" s="12">
        <f>SUM(data__22[[#This Row],[N5]:[N7]])/3</f>
        <v>3</v>
      </c>
      <c r="BJ502" s="12">
        <f>SUM(data__22[[#This Row],[N14]:[N15]],data__22[[#This Row],[N19]:[N22]],data__22[[#This Row],[N26]:[N28]])/9</f>
        <v>0.88888888888888884</v>
      </c>
      <c r="BK502" s="12">
        <f>SUM(data__22[[#This Row],[N29]:[N33]])/5</f>
        <v>3</v>
      </c>
      <c r="BL502" s="12">
        <f>SUM(data__22[[#This Row],[N34]:[N36]])/3</f>
        <v>2</v>
      </c>
    </row>
    <row r="503" spans="1:64" x14ac:dyDescent="0.3">
      <c r="A503" s="7">
        <v>21</v>
      </c>
      <c r="B503" s="7" t="s">
        <v>70</v>
      </c>
      <c r="C503" s="7" t="s">
        <v>157</v>
      </c>
      <c r="D503" s="7" t="s">
        <v>72</v>
      </c>
      <c r="E503" s="7" t="s">
        <v>114</v>
      </c>
      <c r="F503" s="7" t="s">
        <v>136</v>
      </c>
      <c r="G503" s="7" t="s">
        <v>439</v>
      </c>
      <c r="H503" s="7" t="s">
        <v>98</v>
      </c>
      <c r="I503" s="7" t="s">
        <v>76</v>
      </c>
      <c r="J503" s="7" t="s">
        <v>77</v>
      </c>
      <c r="K503" s="7" t="s">
        <v>122</v>
      </c>
      <c r="L503" s="8" t="s">
        <v>79</v>
      </c>
      <c r="M503" s="8" t="s">
        <v>80</v>
      </c>
      <c r="N503" s="8" t="s">
        <v>79</v>
      </c>
      <c r="O503" s="8" t="s">
        <v>117</v>
      </c>
      <c r="P503" s="8" t="s">
        <v>79</v>
      </c>
      <c r="Q503" s="8" t="s">
        <v>103</v>
      </c>
      <c r="R503" s="8" t="s">
        <v>79</v>
      </c>
      <c r="S503" s="8" t="s">
        <v>82</v>
      </c>
      <c r="T503" s="8" t="s">
        <v>86</v>
      </c>
      <c r="U503" s="8" t="s">
        <v>141</v>
      </c>
      <c r="V503" s="8" t="s">
        <v>112</v>
      </c>
      <c r="W503" s="9">
        <v>0</v>
      </c>
      <c r="X503" s="9">
        <v>2</v>
      </c>
      <c r="Y503" s="9">
        <v>2</v>
      </c>
      <c r="Z503" s="9">
        <v>3</v>
      </c>
      <c r="AA503" s="9">
        <v>3</v>
      </c>
      <c r="AB503" s="9">
        <v>3</v>
      </c>
      <c r="AC503" s="9">
        <v>3</v>
      </c>
      <c r="AD503" s="9">
        <v>2</v>
      </c>
      <c r="AE503" s="9">
        <v>2</v>
      </c>
      <c r="AF503" s="9">
        <v>2</v>
      </c>
      <c r="AG503" s="9">
        <v>3</v>
      </c>
      <c r="AH503" s="9">
        <v>3</v>
      </c>
      <c r="AI503" s="9">
        <v>3</v>
      </c>
      <c r="AJ503" s="9">
        <v>3</v>
      </c>
      <c r="AK503" s="9">
        <v>3</v>
      </c>
      <c r="AL503" s="10">
        <v>3</v>
      </c>
      <c r="AM503" s="10">
        <v>3</v>
      </c>
      <c r="AN503" s="10">
        <v>3</v>
      </c>
      <c r="AO503" s="10">
        <v>3</v>
      </c>
      <c r="AP503" s="10">
        <v>3</v>
      </c>
      <c r="AQ503" s="10">
        <v>3</v>
      </c>
      <c r="AR503" s="10">
        <v>3</v>
      </c>
      <c r="AS503" s="11">
        <v>3</v>
      </c>
      <c r="AT503" s="11">
        <v>3</v>
      </c>
      <c r="AU503" s="11">
        <v>3</v>
      </c>
      <c r="AV503" s="11">
        <v>3</v>
      </c>
      <c r="AW503" s="11">
        <v>3</v>
      </c>
      <c r="AX503" s="11">
        <v>3</v>
      </c>
      <c r="AY503" s="7">
        <v>3</v>
      </c>
      <c r="AZ503" s="7">
        <v>3</v>
      </c>
      <c r="BA503" s="7">
        <v>3</v>
      </c>
      <c r="BB503" s="7">
        <v>3</v>
      </c>
      <c r="BC503" s="7">
        <v>3</v>
      </c>
      <c r="BD503" s="7">
        <v>3</v>
      </c>
      <c r="BE503" s="7">
        <v>3</v>
      </c>
      <c r="BF503" s="7">
        <v>3</v>
      </c>
      <c r="BG503" s="12">
        <f>SUM(data__22[[#This Row],[N1]:[N4]],data__22[[#This Row],[N10]:[N13]],data__22[[#This Row],[N16]:[N18]])/11</f>
        <v>2.4545454545454546</v>
      </c>
      <c r="BH503" s="13">
        <f>SUM(data__22[[#This Row],[N8]:[N9]],data__22[[#This Row],[N23]:[N25]])/5</f>
        <v>2.6</v>
      </c>
      <c r="BI503" s="12">
        <f>SUM(data__22[[#This Row],[N5]:[N7]])/3</f>
        <v>3</v>
      </c>
      <c r="BJ503" s="12">
        <f>SUM(data__22[[#This Row],[N14]:[N15]],data__22[[#This Row],[N19]:[N22]],data__22[[#This Row],[N26]:[N28]])/9</f>
        <v>3</v>
      </c>
      <c r="BK503" s="12">
        <f>SUM(data__22[[#This Row],[N29]:[N33]])/5</f>
        <v>3</v>
      </c>
      <c r="BL503" s="12">
        <f>SUM(data__22[[#This Row],[N34]:[N36]])/3</f>
        <v>3</v>
      </c>
    </row>
    <row r="504" spans="1:64" x14ac:dyDescent="0.3">
      <c r="A504" s="7">
        <v>19</v>
      </c>
      <c r="B504" s="7" t="s">
        <v>70</v>
      </c>
      <c r="C504" s="7" t="s">
        <v>157</v>
      </c>
      <c r="D504" s="7" t="s">
        <v>72</v>
      </c>
      <c r="E504" s="7" t="s">
        <v>114</v>
      </c>
      <c r="F504" s="7" t="s">
        <v>98</v>
      </c>
      <c r="G504" s="7" t="s">
        <v>439</v>
      </c>
      <c r="H504" s="7" t="s">
        <v>98</v>
      </c>
      <c r="I504" s="7" t="s">
        <v>76</v>
      </c>
      <c r="J504" s="7" t="s">
        <v>77</v>
      </c>
      <c r="K504" s="7" t="s">
        <v>122</v>
      </c>
      <c r="L504" s="8" t="s">
        <v>79</v>
      </c>
      <c r="M504" s="8" t="s">
        <v>80</v>
      </c>
      <c r="N504" s="8" t="s">
        <v>82</v>
      </c>
      <c r="O504" s="8" t="s">
        <v>117</v>
      </c>
      <c r="P504" s="8" t="s">
        <v>79</v>
      </c>
      <c r="Q504" s="8" t="s">
        <v>83</v>
      </c>
      <c r="R504" s="8" t="s">
        <v>79</v>
      </c>
      <c r="S504" s="8" t="s">
        <v>82</v>
      </c>
      <c r="T504" s="8" t="s">
        <v>86</v>
      </c>
      <c r="U504" s="8" t="s">
        <v>120</v>
      </c>
      <c r="V504" s="8" t="s">
        <v>160</v>
      </c>
      <c r="W504" s="9">
        <v>0</v>
      </c>
      <c r="X504" s="9">
        <v>2</v>
      </c>
      <c r="Y504" s="9">
        <v>2</v>
      </c>
      <c r="Z504" s="9">
        <v>2</v>
      </c>
      <c r="AA504" s="9">
        <v>2</v>
      </c>
      <c r="AB504" s="9">
        <v>2</v>
      </c>
      <c r="AC504" s="9">
        <v>2</v>
      </c>
      <c r="AD504" s="9">
        <v>2</v>
      </c>
      <c r="AE504" s="9">
        <v>2</v>
      </c>
      <c r="AF504" s="9">
        <v>2</v>
      </c>
      <c r="AG504" s="9">
        <v>2</v>
      </c>
      <c r="AH504" s="9">
        <v>2</v>
      </c>
      <c r="AI504" s="9">
        <v>2</v>
      </c>
      <c r="AJ504" s="9">
        <v>2</v>
      </c>
      <c r="AK504" s="9">
        <v>2</v>
      </c>
      <c r="AL504" s="10">
        <v>3</v>
      </c>
      <c r="AM504" s="10">
        <v>3</v>
      </c>
      <c r="AN504" s="10">
        <v>3</v>
      </c>
      <c r="AO504" s="10">
        <v>3</v>
      </c>
      <c r="AP504" s="10">
        <v>3</v>
      </c>
      <c r="AQ504" s="10">
        <v>3</v>
      </c>
      <c r="AR504" s="10">
        <v>3</v>
      </c>
      <c r="AS504" s="11">
        <v>2</v>
      </c>
      <c r="AT504" s="11">
        <v>2</v>
      </c>
      <c r="AU504" s="11">
        <v>2</v>
      </c>
      <c r="AV504" s="11">
        <v>2</v>
      </c>
      <c r="AW504" s="11">
        <v>2</v>
      </c>
      <c r="AX504" s="11">
        <v>2</v>
      </c>
      <c r="AY504" s="7">
        <v>2</v>
      </c>
      <c r="AZ504" s="7">
        <v>2</v>
      </c>
      <c r="BA504" s="7">
        <v>2</v>
      </c>
      <c r="BB504" s="7">
        <v>2</v>
      </c>
      <c r="BC504" s="7">
        <v>2</v>
      </c>
      <c r="BD504" s="7">
        <v>2</v>
      </c>
      <c r="BE504" s="7">
        <v>2</v>
      </c>
      <c r="BF504" s="7">
        <v>2</v>
      </c>
      <c r="BG504" s="12">
        <f>SUM(data__22[[#This Row],[N1]:[N4]],data__22[[#This Row],[N10]:[N13]],data__22[[#This Row],[N16]:[N18]])/11</f>
        <v>2.0909090909090908</v>
      </c>
      <c r="BH504" s="13">
        <f>SUM(data__22[[#This Row],[N8]:[N9]],data__22[[#This Row],[N23]:[N25]])/5</f>
        <v>2</v>
      </c>
      <c r="BI504" s="12">
        <f>SUM(data__22[[#This Row],[N5]:[N7]])/3</f>
        <v>2</v>
      </c>
      <c r="BJ504" s="12">
        <f>SUM(data__22[[#This Row],[N14]:[N15]],data__22[[#This Row],[N19]:[N22]],data__22[[#This Row],[N26]:[N28]])/9</f>
        <v>2.4444444444444446</v>
      </c>
      <c r="BK504" s="12">
        <f>SUM(data__22[[#This Row],[N29]:[N33]])/5</f>
        <v>2</v>
      </c>
      <c r="BL504" s="12">
        <f>SUM(data__22[[#This Row],[N34]:[N36]])/3</f>
        <v>2</v>
      </c>
    </row>
    <row r="505" spans="1:64" x14ac:dyDescent="0.3">
      <c r="A505" s="7">
        <v>20</v>
      </c>
      <c r="B505" s="7" t="s">
        <v>70</v>
      </c>
      <c r="C505" s="7" t="s">
        <v>157</v>
      </c>
      <c r="D505" s="7" t="s">
        <v>72</v>
      </c>
      <c r="E505" s="7" t="s">
        <v>108</v>
      </c>
      <c r="F505" s="7" t="s">
        <v>74</v>
      </c>
      <c r="G505" s="7" t="s">
        <v>440</v>
      </c>
      <c r="H505" s="7" t="s">
        <v>74</v>
      </c>
      <c r="I505" s="7" t="s">
        <v>439</v>
      </c>
      <c r="J505" s="7" t="s">
        <v>77</v>
      </c>
      <c r="K505" s="7" t="s">
        <v>131</v>
      </c>
      <c r="L505" s="8" t="s">
        <v>79</v>
      </c>
      <c r="M505" s="8" t="s">
        <v>80</v>
      </c>
      <c r="N505" s="8" t="s">
        <v>79</v>
      </c>
      <c r="O505" s="8" t="s">
        <v>81</v>
      </c>
      <c r="P505" s="8" t="s">
        <v>82</v>
      </c>
      <c r="Q505" s="8" t="s">
        <v>83</v>
      </c>
      <c r="R505" s="8" t="s">
        <v>79</v>
      </c>
      <c r="S505" s="8" t="s">
        <v>82</v>
      </c>
      <c r="T505" s="8" t="s">
        <v>106</v>
      </c>
      <c r="U505" s="8" t="s">
        <v>141</v>
      </c>
      <c r="V505" s="8" t="s">
        <v>112</v>
      </c>
      <c r="W505" s="9">
        <v>1</v>
      </c>
      <c r="X505" s="9">
        <v>1</v>
      </c>
      <c r="Y505" s="9">
        <v>3</v>
      </c>
      <c r="Z505" s="9">
        <v>0</v>
      </c>
      <c r="AA505" s="9">
        <v>1</v>
      </c>
      <c r="AB505" s="9">
        <v>1</v>
      </c>
      <c r="AC505" s="9">
        <v>0</v>
      </c>
      <c r="AD505" s="9">
        <v>1</v>
      </c>
      <c r="AE505" s="9">
        <v>3</v>
      </c>
      <c r="AF505" s="9">
        <v>3</v>
      </c>
      <c r="AG505" s="9">
        <v>3</v>
      </c>
      <c r="AH505" s="9">
        <v>3</v>
      </c>
      <c r="AI505" s="9">
        <v>3</v>
      </c>
      <c r="AJ505" s="9">
        <v>3</v>
      </c>
      <c r="AK505" s="9">
        <v>3</v>
      </c>
      <c r="AL505" s="10">
        <v>3</v>
      </c>
      <c r="AM505" s="10">
        <v>3</v>
      </c>
      <c r="AN505" s="10">
        <v>3</v>
      </c>
      <c r="AO505" s="10">
        <v>3</v>
      </c>
      <c r="AP505" s="10">
        <v>0</v>
      </c>
      <c r="AQ505" s="10">
        <v>0</v>
      </c>
      <c r="AR505" s="10">
        <v>0</v>
      </c>
      <c r="AS505" s="11">
        <v>0</v>
      </c>
      <c r="AT505" s="11">
        <v>3</v>
      </c>
      <c r="AU505" s="11">
        <v>0</v>
      </c>
      <c r="AV505" s="11">
        <v>0</v>
      </c>
      <c r="AW505" s="11">
        <v>0</v>
      </c>
      <c r="AX505" s="11">
        <v>0</v>
      </c>
      <c r="AY505" s="7">
        <v>3</v>
      </c>
      <c r="AZ505" s="7">
        <v>3</v>
      </c>
      <c r="BA505" s="7">
        <v>3</v>
      </c>
      <c r="BB505" s="7">
        <v>3</v>
      </c>
      <c r="BC505" s="7">
        <v>3</v>
      </c>
      <c r="BD505" s="7">
        <v>0</v>
      </c>
      <c r="BE505" s="7">
        <v>0</v>
      </c>
      <c r="BF505" s="7">
        <v>0</v>
      </c>
      <c r="BG505" s="12">
        <f>SUM(data__22[[#This Row],[N1]:[N4]],data__22[[#This Row],[N10]:[N13]],data__22[[#This Row],[N16]:[N18]])/11</f>
        <v>2.3636363636363638</v>
      </c>
      <c r="BH505" s="13">
        <f>SUM(data__22[[#This Row],[N8]:[N9]],data__22[[#This Row],[N23]:[N25]])/5</f>
        <v>1.4</v>
      </c>
      <c r="BI505" s="12">
        <f>SUM(data__22[[#This Row],[N5]:[N7]])/3</f>
        <v>0.66666666666666663</v>
      </c>
      <c r="BJ505" s="12">
        <f>SUM(data__22[[#This Row],[N14]:[N15]],data__22[[#This Row],[N19]:[N22]],data__22[[#This Row],[N26]:[N28]])/9</f>
        <v>1</v>
      </c>
      <c r="BK505" s="12">
        <f>SUM(data__22[[#This Row],[N29]:[N33]])/5</f>
        <v>3</v>
      </c>
      <c r="BL505" s="12">
        <f>SUM(data__22[[#This Row],[N34]:[N36]])/3</f>
        <v>0</v>
      </c>
    </row>
    <row r="506" spans="1:64" x14ac:dyDescent="0.3">
      <c r="A506" s="7">
        <v>21</v>
      </c>
      <c r="B506" s="7" t="s">
        <v>128</v>
      </c>
      <c r="C506" s="7" t="s">
        <v>157</v>
      </c>
      <c r="D506" s="7" t="s">
        <v>72</v>
      </c>
      <c r="E506" s="7" t="s">
        <v>114</v>
      </c>
      <c r="F506" s="7" t="s">
        <v>136</v>
      </c>
      <c r="G506" s="7" t="s">
        <v>440</v>
      </c>
      <c r="H506" s="7" t="s">
        <v>98</v>
      </c>
      <c r="I506" s="7" t="s">
        <v>76</v>
      </c>
      <c r="J506" s="7" t="s">
        <v>77</v>
      </c>
      <c r="K506" s="7" t="s">
        <v>125</v>
      </c>
      <c r="L506" s="8" t="s">
        <v>79</v>
      </c>
      <c r="M506" s="8" t="s">
        <v>80</v>
      </c>
      <c r="N506" s="8" t="s">
        <v>79</v>
      </c>
      <c r="O506" s="8" t="s">
        <v>109</v>
      </c>
      <c r="P506" s="8" t="s">
        <v>82</v>
      </c>
      <c r="Q506" s="8" t="s">
        <v>83</v>
      </c>
      <c r="R506" s="8" t="s">
        <v>82</v>
      </c>
      <c r="S506" s="8" t="s">
        <v>82</v>
      </c>
      <c r="T506" s="8" t="s">
        <v>106</v>
      </c>
      <c r="U506" s="8" t="s">
        <v>87</v>
      </c>
      <c r="V506" s="8" t="s">
        <v>112</v>
      </c>
      <c r="W506" s="9">
        <v>1</v>
      </c>
      <c r="X506" s="9">
        <v>2</v>
      </c>
      <c r="Y506" s="9">
        <v>3</v>
      </c>
      <c r="Z506" s="9">
        <v>2</v>
      </c>
      <c r="AA506" s="9">
        <v>3</v>
      </c>
      <c r="AB506" s="9">
        <v>2</v>
      </c>
      <c r="AC506" s="9">
        <v>2</v>
      </c>
      <c r="AD506" s="9">
        <v>2</v>
      </c>
      <c r="AE506" s="9">
        <v>3</v>
      </c>
      <c r="AF506" s="9">
        <v>2</v>
      </c>
      <c r="AG506" s="9">
        <v>2</v>
      </c>
      <c r="AH506" s="9">
        <v>3</v>
      </c>
      <c r="AI506" s="9">
        <v>3</v>
      </c>
      <c r="AJ506" s="9">
        <v>3</v>
      </c>
      <c r="AK506" s="9">
        <v>3</v>
      </c>
      <c r="AL506" s="10">
        <v>3</v>
      </c>
      <c r="AM506" s="10">
        <v>3</v>
      </c>
      <c r="AN506" s="10">
        <v>3</v>
      </c>
      <c r="AO506" s="10">
        <v>2</v>
      </c>
      <c r="AP506" s="10">
        <v>2</v>
      </c>
      <c r="AQ506" s="10">
        <v>2</v>
      </c>
      <c r="AR506" s="10">
        <v>3</v>
      </c>
      <c r="AS506" s="11">
        <v>3</v>
      </c>
      <c r="AT506" s="11">
        <v>2</v>
      </c>
      <c r="AU506" s="11">
        <v>3</v>
      </c>
      <c r="AV506" s="11">
        <v>3</v>
      </c>
      <c r="AW506" s="11">
        <v>2</v>
      </c>
      <c r="AX506" s="11">
        <v>2</v>
      </c>
      <c r="AY506" s="7">
        <v>3</v>
      </c>
      <c r="AZ506" s="7">
        <v>3</v>
      </c>
      <c r="BA506" s="7">
        <v>2</v>
      </c>
      <c r="BB506" s="7">
        <v>3</v>
      </c>
      <c r="BC506" s="7">
        <v>3</v>
      </c>
      <c r="BD506" s="7">
        <v>2</v>
      </c>
      <c r="BE506" s="7">
        <v>2</v>
      </c>
      <c r="BF506" s="7">
        <v>3</v>
      </c>
      <c r="BG506" s="12">
        <f>SUM(data__22[[#This Row],[N1]:[N4]],data__22[[#This Row],[N10]:[N13]],data__22[[#This Row],[N16]:[N18]])/11</f>
        <v>2.4545454545454546</v>
      </c>
      <c r="BH506" s="13">
        <f>SUM(data__22[[#This Row],[N8]:[N9]],data__22[[#This Row],[N23]:[N25]])/5</f>
        <v>2.6</v>
      </c>
      <c r="BI506" s="12">
        <f>SUM(data__22[[#This Row],[N5]:[N7]])/3</f>
        <v>2.3333333333333335</v>
      </c>
      <c r="BJ506" s="12">
        <f>SUM(data__22[[#This Row],[N14]:[N15]],data__22[[#This Row],[N19]:[N22]],data__22[[#This Row],[N26]:[N28]])/9</f>
        <v>2.4444444444444446</v>
      </c>
      <c r="BK506" s="12">
        <f>SUM(data__22[[#This Row],[N29]:[N33]])/5</f>
        <v>2.8</v>
      </c>
      <c r="BL506" s="12">
        <f>SUM(data__22[[#This Row],[N34]:[N36]])/3</f>
        <v>2.3333333333333335</v>
      </c>
    </row>
    <row r="507" spans="1:64" x14ac:dyDescent="0.3">
      <c r="A507" s="7">
        <v>22</v>
      </c>
      <c r="B507" s="7" t="s">
        <v>70</v>
      </c>
      <c r="C507" s="7" t="s">
        <v>157</v>
      </c>
      <c r="D507" s="7" t="s">
        <v>97</v>
      </c>
      <c r="E507" s="7" t="s">
        <v>108</v>
      </c>
      <c r="F507" s="7" t="s">
        <v>74</v>
      </c>
      <c r="G507" s="7" t="s">
        <v>439</v>
      </c>
      <c r="H507" s="7" t="s">
        <v>74</v>
      </c>
      <c r="I507" s="7" t="s">
        <v>439</v>
      </c>
      <c r="J507" s="7" t="s">
        <v>77</v>
      </c>
      <c r="K507" s="7" t="s">
        <v>131</v>
      </c>
      <c r="L507" s="8" t="s">
        <v>79</v>
      </c>
      <c r="M507" s="8" t="s">
        <v>80</v>
      </c>
      <c r="N507" s="8" t="s">
        <v>79</v>
      </c>
      <c r="O507" s="8" t="s">
        <v>109</v>
      </c>
      <c r="P507" s="8" t="s">
        <v>79</v>
      </c>
      <c r="Q507" s="8" t="s">
        <v>83</v>
      </c>
      <c r="R507" s="8" t="s">
        <v>79</v>
      </c>
      <c r="S507" s="8" t="s">
        <v>82</v>
      </c>
      <c r="T507" s="8" t="s">
        <v>106</v>
      </c>
      <c r="U507" s="8" t="s">
        <v>141</v>
      </c>
      <c r="V507" s="8" t="s">
        <v>112</v>
      </c>
      <c r="W507" s="9">
        <v>0</v>
      </c>
      <c r="X507" s="9">
        <v>1</v>
      </c>
      <c r="Y507" s="9">
        <v>1</v>
      </c>
      <c r="Z507" s="9">
        <v>1</v>
      </c>
      <c r="AA507" s="9">
        <v>1</v>
      </c>
      <c r="AB507" s="9">
        <v>1</v>
      </c>
      <c r="AC507" s="9">
        <v>1</v>
      </c>
      <c r="AD507" s="9">
        <v>1</v>
      </c>
      <c r="AE507" s="9">
        <v>1</v>
      </c>
      <c r="AF507" s="9">
        <v>1</v>
      </c>
      <c r="AG507" s="9">
        <v>1</v>
      </c>
      <c r="AH507" s="9">
        <v>1</v>
      </c>
      <c r="AI507" s="9">
        <v>1</v>
      </c>
      <c r="AJ507" s="9">
        <v>1</v>
      </c>
      <c r="AK507" s="9">
        <v>1</v>
      </c>
      <c r="AL507" s="10">
        <v>1</v>
      </c>
      <c r="AM507" s="10">
        <v>1</v>
      </c>
      <c r="AN507" s="10">
        <v>1</v>
      </c>
      <c r="AO507" s="10">
        <v>1</v>
      </c>
      <c r="AP507" s="10">
        <v>1</v>
      </c>
      <c r="AQ507" s="10">
        <v>1</v>
      </c>
      <c r="AR507" s="10">
        <v>1</v>
      </c>
      <c r="AS507" s="11">
        <v>1</v>
      </c>
      <c r="AT507" s="11">
        <v>1</v>
      </c>
      <c r="AU507" s="11">
        <v>1</v>
      </c>
      <c r="AV507" s="11">
        <v>1</v>
      </c>
      <c r="AW507" s="11">
        <v>1</v>
      </c>
      <c r="AX507" s="11">
        <v>1</v>
      </c>
      <c r="AY507" s="7">
        <v>1</v>
      </c>
      <c r="AZ507" s="7">
        <v>1</v>
      </c>
      <c r="BA507" s="7">
        <v>1</v>
      </c>
      <c r="BB507" s="7">
        <v>1</v>
      </c>
      <c r="BC507" s="7">
        <v>1</v>
      </c>
      <c r="BD507" s="7">
        <v>1</v>
      </c>
      <c r="BE507" s="7">
        <v>1</v>
      </c>
      <c r="BF507" s="7">
        <v>1</v>
      </c>
      <c r="BG507" s="12">
        <f>SUM(data__22[[#This Row],[N1]:[N4]],data__22[[#This Row],[N10]:[N13]],data__22[[#This Row],[N16]:[N18]])/11</f>
        <v>0.90909090909090906</v>
      </c>
      <c r="BH507" s="13">
        <f>SUM(data__22[[#This Row],[N8]:[N9]],data__22[[#This Row],[N23]:[N25]])/5</f>
        <v>1</v>
      </c>
      <c r="BI507" s="12">
        <f>SUM(data__22[[#This Row],[N5]:[N7]])/3</f>
        <v>1</v>
      </c>
      <c r="BJ507" s="12">
        <f>SUM(data__22[[#This Row],[N14]:[N15]],data__22[[#This Row],[N19]:[N22]],data__22[[#This Row],[N26]:[N28]])/9</f>
        <v>1</v>
      </c>
      <c r="BK507" s="12">
        <f>SUM(data__22[[#This Row],[N29]:[N33]])/5</f>
        <v>1</v>
      </c>
      <c r="BL507" s="12">
        <f>SUM(data__22[[#This Row],[N34]:[N36]])/3</f>
        <v>1</v>
      </c>
    </row>
    <row r="508" spans="1:64" x14ac:dyDescent="0.3">
      <c r="A508" s="7">
        <v>21</v>
      </c>
      <c r="B508" s="7" t="s">
        <v>70</v>
      </c>
      <c r="C508" s="7" t="s">
        <v>113</v>
      </c>
      <c r="D508" s="7" t="s">
        <v>72</v>
      </c>
      <c r="E508" s="7" t="s">
        <v>114</v>
      </c>
      <c r="F508" s="7" t="s">
        <v>74</v>
      </c>
      <c r="G508" s="7" t="s">
        <v>439</v>
      </c>
      <c r="H508" s="7" t="s">
        <v>74</v>
      </c>
      <c r="I508" s="7" t="s">
        <v>439</v>
      </c>
      <c r="J508" s="7" t="s">
        <v>77</v>
      </c>
      <c r="K508" s="7" t="s">
        <v>78</v>
      </c>
      <c r="L508" s="8" t="s">
        <v>79</v>
      </c>
      <c r="M508" s="8" t="s">
        <v>80</v>
      </c>
      <c r="N508" s="8" t="s">
        <v>82</v>
      </c>
      <c r="O508" s="8" t="s">
        <v>117</v>
      </c>
      <c r="P508" s="8" t="s">
        <v>79</v>
      </c>
      <c r="Q508" s="8" t="s">
        <v>83</v>
      </c>
      <c r="R508" s="8" t="s">
        <v>79</v>
      </c>
      <c r="S508" s="8" t="s">
        <v>79</v>
      </c>
      <c r="T508" s="8" t="s">
        <v>106</v>
      </c>
      <c r="U508" s="8" t="s">
        <v>141</v>
      </c>
      <c r="V508" s="8" t="s">
        <v>112</v>
      </c>
      <c r="W508" s="9">
        <v>1</v>
      </c>
      <c r="X508" s="9">
        <v>3</v>
      </c>
      <c r="Y508" s="9">
        <v>3</v>
      </c>
      <c r="Z508" s="9">
        <v>3</v>
      </c>
      <c r="AA508" s="9">
        <v>1</v>
      </c>
      <c r="AB508" s="9">
        <v>0</v>
      </c>
      <c r="AC508" s="9">
        <v>1</v>
      </c>
      <c r="AD508" s="9">
        <v>2</v>
      </c>
      <c r="AE508" s="9">
        <v>3</v>
      </c>
      <c r="AF508" s="9">
        <v>2</v>
      </c>
      <c r="AG508" s="9">
        <v>3</v>
      </c>
      <c r="AH508" s="9">
        <v>3</v>
      </c>
      <c r="AI508" s="9">
        <v>3</v>
      </c>
      <c r="AJ508" s="9">
        <v>0</v>
      </c>
      <c r="AK508" s="9">
        <v>1</v>
      </c>
      <c r="AL508" s="10">
        <v>2</v>
      </c>
      <c r="AM508" s="10">
        <v>3</v>
      </c>
      <c r="AN508" s="10">
        <v>3</v>
      </c>
      <c r="AO508" s="10">
        <v>0</v>
      </c>
      <c r="AP508" s="10">
        <v>0</v>
      </c>
      <c r="AQ508" s="10">
        <v>0</v>
      </c>
      <c r="AR508" s="10">
        <v>0</v>
      </c>
      <c r="AS508" s="11">
        <v>2</v>
      </c>
      <c r="AT508" s="11">
        <v>1</v>
      </c>
      <c r="AU508" s="11">
        <v>1</v>
      </c>
      <c r="AV508" s="11">
        <v>1</v>
      </c>
      <c r="AW508" s="11">
        <v>0</v>
      </c>
      <c r="AX508" s="11">
        <v>0</v>
      </c>
      <c r="AY508" s="7">
        <v>3</v>
      </c>
      <c r="AZ508" s="7">
        <v>3</v>
      </c>
      <c r="BA508" s="7">
        <v>3</v>
      </c>
      <c r="BB508" s="7">
        <v>3</v>
      </c>
      <c r="BC508" s="7">
        <v>3</v>
      </c>
      <c r="BD508" s="7">
        <v>0</v>
      </c>
      <c r="BE508" s="7">
        <v>0</v>
      </c>
      <c r="BF508" s="7">
        <v>0</v>
      </c>
      <c r="BG508" s="12">
        <f>SUM(data__22[[#This Row],[N1]:[N4]],data__22[[#This Row],[N10]:[N13]],data__22[[#This Row],[N16]:[N18]])/11</f>
        <v>2.6363636363636362</v>
      </c>
      <c r="BH508" s="13">
        <f>SUM(data__22[[#This Row],[N8]:[N9]],data__22[[#This Row],[N23]:[N25]])/5</f>
        <v>1.8</v>
      </c>
      <c r="BI508" s="12">
        <f>SUM(data__22[[#This Row],[N5]:[N7]])/3</f>
        <v>0.66666666666666663</v>
      </c>
      <c r="BJ508" s="12">
        <f>SUM(data__22[[#This Row],[N14]:[N15]],data__22[[#This Row],[N19]:[N22]],data__22[[#This Row],[N26]:[N28]])/9</f>
        <v>0.22222222222222221</v>
      </c>
      <c r="BK508" s="12">
        <f>SUM(data__22[[#This Row],[N29]:[N33]])/5</f>
        <v>3</v>
      </c>
      <c r="BL508" s="12">
        <f>SUM(data__22[[#This Row],[N34]:[N36]])/3</f>
        <v>0</v>
      </c>
    </row>
    <row r="509" spans="1:64" x14ac:dyDescent="0.3">
      <c r="A509" s="7">
        <v>24</v>
      </c>
      <c r="B509" s="7" t="s">
        <v>70</v>
      </c>
      <c r="C509" s="7" t="s">
        <v>71</v>
      </c>
      <c r="D509" s="7" t="s">
        <v>97</v>
      </c>
      <c r="E509" s="7" t="s">
        <v>108</v>
      </c>
      <c r="F509" s="7" t="s">
        <v>74</v>
      </c>
      <c r="G509" s="7" t="s">
        <v>440</v>
      </c>
      <c r="H509" s="7" t="s">
        <v>98</v>
      </c>
      <c r="I509" s="7" t="s">
        <v>76</v>
      </c>
      <c r="J509" s="7" t="s">
        <v>101</v>
      </c>
      <c r="K509" s="7" t="s">
        <v>125</v>
      </c>
      <c r="L509" s="8" t="s">
        <v>79</v>
      </c>
      <c r="M509" s="8" t="s">
        <v>80</v>
      </c>
      <c r="N509" s="8" t="s">
        <v>79</v>
      </c>
      <c r="O509" s="8" t="s">
        <v>117</v>
      </c>
      <c r="P509" s="8" t="s">
        <v>79</v>
      </c>
      <c r="Q509" s="8" t="s">
        <v>83</v>
      </c>
      <c r="R509" s="8" t="s">
        <v>79</v>
      </c>
      <c r="S509" s="8" t="s">
        <v>82</v>
      </c>
      <c r="T509" s="8" t="s">
        <v>86</v>
      </c>
      <c r="U509" s="8" t="s">
        <v>87</v>
      </c>
      <c r="V509" s="8" t="s">
        <v>455</v>
      </c>
      <c r="W509" s="9">
        <v>3</v>
      </c>
      <c r="X509" s="9">
        <v>3</v>
      </c>
      <c r="Y509" s="9">
        <v>3</v>
      </c>
      <c r="Z509" s="9">
        <v>3</v>
      </c>
      <c r="AA509" s="9">
        <v>2</v>
      </c>
      <c r="AB509" s="9">
        <v>2</v>
      </c>
      <c r="AC509" s="9">
        <v>0</v>
      </c>
      <c r="AD509" s="9">
        <v>0</v>
      </c>
      <c r="AE509" s="9">
        <v>0</v>
      </c>
      <c r="AF509" s="9">
        <v>3</v>
      </c>
      <c r="AG509" s="9">
        <v>3</v>
      </c>
      <c r="AH509" s="9">
        <v>3</v>
      </c>
      <c r="AI509" s="9">
        <v>3</v>
      </c>
      <c r="AJ509" s="9">
        <v>2</v>
      </c>
      <c r="AK509" s="9">
        <v>2</v>
      </c>
      <c r="AL509" s="10">
        <v>3</v>
      </c>
      <c r="AM509" s="10">
        <v>3</v>
      </c>
      <c r="AN509" s="10">
        <v>3</v>
      </c>
      <c r="AO509" s="10">
        <v>0</v>
      </c>
      <c r="AP509" s="10">
        <v>0</v>
      </c>
      <c r="AQ509" s="10">
        <v>0</v>
      </c>
      <c r="AR509" s="10">
        <v>0</v>
      </c>
      <c r="AS509" s="11">
        <v>0</v>
      </c>
      <c r="AT509" s="11">
        <v>0</v>
      </c>
      <c r="AU509" s="11">
        <v>2</v>
      </c>
      <c r="AV509" s="11">
        <v>1</v>
      </c>
      <c r="AW509" s="11">
        <v>1</v>
      </c>
      <c r="AX509" s="11">
        <v>1</v>
      </c>
      <c r="AY509" s="7">
        <v>3</v>
      </c>
      <c r="AZ509" s="7">
        <v>3</v>
      </c>
      <c r="BA509" s="7">
        <v>3</v>
      </c>
      <c r="BB509" s="7">
        <v>3</v>
      </c>
      <c r="BC509" s="7">
        <v>3</v>
      </c>
      <c r="BD509" s="7">
        <v>0</v>
      </c>
      <c r="BE509" s="7">
        <v>0</v>
      </c>
      <c r="BF509" s="7">
        <v>1</v>
      </c>
      <c r="BG509" s="12">
        <f>SUM(data__22[[#This Row],[N1]:[N4]],data__22[[#This Row],[N10]:[N13]],data__22[[#This Row],[N16]:[N18]])/11</f>
        <v>3</v>
      </c>
      <c r="BH509" s="13">
        <f>SUM(data__22[[#This Row],[N8]:[N9]],data__22[[#This Row],[N23]:[N25]])/5</f>
        <v>0.4</v>
      </c>
      <c r="BI509" s="12">
        <f>SUM(data__22[[#This Row],[N5]:[N7]])/3</f>
        <v>1.3333333333333333</v>
      </c>
      <c r="BJ509" s="12">
        <f>SUM(data__22[[#This Row],[N14]:[N15]],data__22[[#This Row],[N19]:[N22]],data__22[[#This Row],[N26]:[N28]])/9</f>
        <v>0.77777777777777779</v>
      </c>
      <c r="BK509" s="12">
        <f>SUM(data__22[[#This Row],[N29]:[N33]])/5</f>
        <v>3</v>
      </c>
      <c r="BL509" s="12">
        <f>SUM(data__22[[#This Row],[N34]:[N36]])/3</f>
        <v>0.33333333333333331</v>
      </c>
    </row>
    <row r="510" spans="1:64" x14ac:dyDescent="0.3">
      <c r="A510" s="7">
        <v>23</v>
      </c>
      <c r="B510" s="7" t="s">
        <v>128</v>
      </c>
      <c r="C510" s="7" t="s">
        <v>71</v>
      </c>
      <c r="D510" s="7" t="s">
        <v>149</v>
      </c>
      <c r="E510" s="7" t="s">
        <v>108</v>
      </c>
      <c r="F510" s="7" t="s">
        <v>136</v>
      </c>
      <c r="G510" s="7" t="s">
        <v>440</v>
      </c>
      <c r="H510" s="7" t="s">
        <v>136</v>
      </c>
      <c r="I510" s="7" t="s">
        <v>76</v>
      </c>
      <c r="J510" s="7" t="s">
        <v>77</v>
      </c>
      <c r="K510" s="7" t="s">
        <v>78</v>
      </c>
      <c r="L510" s="8" t="s">
        <v>82</v>
      </c>
      <c r="M510" s="8" t="s">
        <v>80</v>
      </c>
      <c r="N510" s="8" t="s">
        <v>79</v>
      </c>
      <c r="O510" s="8" t="s">
        <v>109</v>
      </c>
      <c r="P510" s="8" t="s">
        <v>82</v>
      </c>
      <c r="Q510" s="8" t="s">
        <v>83</v>
      </c>
      <c r="R510" s="8" t="s">
        <v>79</v>
      </c>
      <c r="S510" s="8" t="s">
        <v>79</v>
      </c>
      <c r="T510" s="8" t="s">
        <v>106</v>
      </c>
      <c r="U510" s="8" t="s">
        <v>141</v>
      </c>
      <c r="V510" s="8" t="s">
        <v>127</v>
      </c>
      <c r="W510" s="9">
        <v>3</v>
      </c>
      <c r="X510" s="9">
        <v>3</v>
      </c>
      <c r="Y510" s="9">
        <v>3</v>
      </c>
      <c r="Z510" s="9">
        <v>3</v>
      </c>
      <c r="AA510" s="9">
        <v>2</v>
      </c>
      <c r="AB510" s="9">
        <v>2</v>
      </c>
      <c r="AC510" s="9">
        <v>2</v>
      </c>
      <c r="AD510" s="9">
        <v>3</v>
      </c>
      <c r="AE510" s="9">
        <v>3</v>
      </c>
      <c r="AF510" s="9">
        <v>3</v>
      </c>
      <c r="AG510" s="9">
        <v>3</v>
      </c>
      <c r="AH510" s="9">
        <v>3</v>
      </c>
      <c r="AI510" s="9">
        <v>3</v>
      </c>
      <c r="AJ510" s="9">
        <v>2</v>
      </c>
      <c r="AK510" s="9">
        <v>2</v>
      </c>
      <c r="AL510" s="10">
        <v>3</v>
      </c>
      <c r="AM510" s="10">
        <v>3</v>
      </c>
      <c r="AN510" s="10">
        <v>3</v>
      </c>
      <c r="AO510" s="10">
        <v>0</v>
      </c>
      <c r="AP510" s="10">
        <v>0</v>
      </c>
      <c r="AQ510" s="10">
        <v>0</v>
      </c>
      <c r="AR510" s="10">
        <v>0</v>
      </c>
      <c r="AS510" s="11">
        <v>3</v>
      </c>
      <c r="AT510" s="11">
        <v>2</v>
      </c>
      <c r="AU510" s="11">
        <v>3</v>
      </c>
      <c r="AV510" s="11">
        <v>0</v>
      </c>
      <c r="AW510" s="11">
        <v>0</v>
      </c>
      <c r="AX510" s="11">
        <v>0</v>
      </c>
      <c r="AY510" s="7">
        <v>3</v>
      </c>
      <c r="AZ510" s="7">
        <v>3</v>
      </c>
      <c r="BA510" s="7">
        <v>3</v>
      </c>
      <c r="BB510" s="7">
        <v>3</v>
      </c>
      <c r="BC510" s="7">
        <v>3</v>
      </c>
      <c r="BD510" s="7">
        <v>0</v>
      </c>
      <c r="BE510" s="7">
        <v>0</v>
      </c>
      <c r="BF510" s="7">
        <v>0</v>
      </c>
      <c r="BG510" s="12">
        <f>SUM(data__22[[#This Row],[N1]:[N4]],data__22[[#This Row],[N10]:[N13]],data__22[[#This Row],[N16]:[N18]])/11</f>
        <v>3</v>
      </c>
      <c r="BH510" s="13">
        <f>SUM(data__22[[#This Row],[N8]:[N9]],data__22[[#This Row],[N23]:[N25]])/5</f>
        <v>2.8</v>
      </c>
      <c r="BI510" s="12">
        <f>SUM(data__22[[#This Row],[N5]:[N7]])/3</f>
        <v>2</v>
      </c>
      <c r="BJ510" s="12">
        <f>SUM(data__22[[#This Row],[N14]:[N15]],data__22[[#This Row],[N19]:[N22]],data__22[[#This Row],[N26]:[N28]])/9</f>
        <v>0.44444444444444442</v>
      </c>
      <c r="BK510" s="12">
        <f>SUM(data__22[[#This Row],[N29]:[N33]])/5</f>
        <v>3</v>
      </c>
      <c r="BL510" s="12">
        <f>SUM(data__22[[#This Row],[N34]:[N36]])/3</f>
        <v>0</v>
      </c>
    </row>
    <row r="511" spans="1:64" x14ac:dyDescent="0.3">
      <c r="A511" s="7">
        <v>23</v>
      </c>
      <c r="B511" s="7" t="s">
        <v>70</v>
      </c>
      <c r="C511" s="7" t="s">
        <v>71</v>
      </c>
      <c r="D511" s="7" t="s">
        <v>97</v>
      </c>
      <c r="E511" s="7" t="s">
        <v>73</v>
      </c>
      <c r="F511" s="7" t="s">
        <v>98</v>
      </c>
      <c r="G511" s="7" t="s">
        <v>439</v>
      </c>
      <c r="H511" s="7" t="s">
        <v>100</v>
      </c>
      <c r="I511" s="7" t="s">
        <v>76</v>
      </c>
      <c r="J511" s="7" t="s">
        <v>77</v>
      </c>
      <c r="K511" s="7" t="s">
        <v>125</v>
      </c>
      <c r="L511" s="8" t="s">
        <v>82</v>
      </c>
      <c r="M511" s="8" t="s">
        <v>80</v>
      </c>
      <c r="N511" s="8" t="s">
        <v>79</v>
      </c>
      <c r="O511" s="8" t="s">
        <v>117</v>
      </c>
      <c r="P511" s="8" t="s">
        <v>82</v>
      </c>
      <c r="Q511" s="8" t="s">
        <v>83</v>
      </c>
      <c r="R511" s="8" t="s">
        <v>82</v>
      </c>
      <c r="S511" s="8" t="s">
        <v>82</v>
      </c>
      <c r="T511" s="8" t="s">
        <v>106</v>
      </c>
      <c r="U511" s="8" t="s">
        <v>87</v>
      </c>
      <c r="V511" s="8" t="s">
        <v>455</v>
      </c>
      <c r="W511" s="9">
        <v>2</v>
      </c>
      <c r="X511" s="9">
        <v>3</v>
      </c>
      <c r="Y511" s="9">
        <v>2</v>
      </c>
      <c r="Z511" s="9">
        <v>3</v>
      </c>
      <c r="AA511" s="9">
        <v>1</v>
      </c>
      <c r="AB511" s="9">
        <v>1</v>
      </c>
      <c r="AC511" s="9">
        <v>1</v>
      </c>
      <c r="AD511" s="9">
        <v>1</v>
      </c>
      <c r="AE511" s="9">
        <v>1</v>
      </c>
      <c r="AF511" s="9">
        <v>3</v>
      </c>
      <c r="AG511" s="9">
        <v>1</v>
      </c>
      <c r="AH511" s="9">
        <v>1</v>
      </c>
      <c r="AI511" s="9">
        <v>1</v>
      </c>
      <c r="AJ511" s="9">
        <v>3</v>
      </c>
      <c r="AK511" s="9">
        <v>3</v>
      </c>
      <c r="AL511" s="10">
        <v>3</v>
      </c>
      <c r="AM511" s="10">
        <v>3</v>
      </c>
      <c r="AN511" s="10">
        <v>1</v>
      </c>
      <c r="AO511" s="10">
        <v>1</v>
      </c>
      <c r="AP511" s="10">
        <v>1</v>
      </c>
      <c r="AQ511" s="10">
        <v>0</v>
      </c>
      <c r="AR511" s="10">
        <v>1</v>
      </c>
      <c r="AS511" s="11">
        <v>1</v>
      </c>
      <c r="AT511" s="11">
        <v>0</v>
      </c>
      <c r="AU511" s="11">
        <v>0</v>
      </c>
      <c r="AV511" s="11">
        <v>3</v>
      </c>
      <c r="AW511" s="11">
        <v>3</v>
      </c>
      <c r="AX511" s="11">
        <v>3</v>
      </c>
      <c r="AY511" s="7">
        <v>3</v>
      </c>
      <c r="AZ511" s="7">
        <v>3</v>
      </c>
      <c r="BA511" s="7">
        <v>3</v>
      </c>
      <c r="BB511" s="7">
        <v>3</v>
      </c>
      <c r="BC511" s="7">
        <v>0</v>
      </c>
      <c r="BD511" s="7">
        <v>1</v>
      </c>
      <c r="BE511" s="7">
        <v>0</v>
      </c>
      <c r="BF511" s="7">
        <v>0</v>
      </c>
      <c r="BG511" s="12">
        <f>SUM(data__22[[#This Row],[N1]:[N4]],data__22[[#This Row],[N10]:[N13]],data__22[[#This Row],[N16]:[N18]])/11</f>
        <v>2.0909090909090908</v>
      </c>
      <c r="BH511" s="13">
        <f>SUM(data__22[[#This Row],[N8]:[N9]],data__22[[#This Row],[N23]:[N25]])/5</f>
        <v>0.6</v>
      </c>
      <c r="BI511" s="12">
        <f>SUM(data__22[[#This Row],[N5]:[N7]])/3</f>
        <v>1</v>
      </c>
      <c r="BJ511" s="12">
        <f>SUM(data__22[[#This Row],[N14]:[N15]],data__22[[#This Row],[N19]:[N22]],data__22[[#This Row],[N26]:[N28]])/9</f>
        <v>2</v>
      </c>
      <c r="BK511" s="12">
        <f>SUM(data__22[[#This Row],[N29]:[N33]])/5</f>
        <v>2.4</v>
      </c>
      <c r="BL511" s="12">
        <f>SUM(data__22[[#This Row],[N34]:[N36]])/3</f>
        <v>0.33333333333333331</v>
      </c>
    </row>
    <row r="512" spans="1:64" x14ac:dyDescent="0.3">
      <c r="A512" s="7">
        <v>25</v>
      </c>
      <c r="B512" s="7" t="s">
        <v>70</v>
      </c>
      <c r="C512" s="7" t="s">
        <v>71</v>
      </c>
      <c r="D512" s="7" t="s">
        <v>97</v>
      </c>
      <c r="E512" s="7" t="s">
        <v>114</v>
      </c>
      <c r="F512" s="7" t="s">
        <v>74</v>
      </c>
      <c r="G512" s="7" t="s">
        <v>439</v>
      </c>
      <c r="H512" s="7" t="s">
        <v>136</v>
      </c>
      <c r="I512" s="7" t="s">
        <v>76</v>
      </c>
      <c r="J512" s="7" t="s">
        <v>77</v>
      </c>
      <c r="K512" s="7" t="s">
        <v>122</v>
      </c>
      <c r="L512" s="8" t="s">
        <v>79</v>
      </c>
      <c r="M512" s="8" t="s">
        <v>80</v>
      </c>
      <c r="N512" s="8" t="s">
        <v>79</v>
      </c>
      <c r="O512" s="8" t="s">
        <v>138</v>
      </c>
      <c r="P512" s="8" t="s">
        <v>79</v>
      </c>
      <c r="Q512" s="8" t="s">
        <v>103</v>
      </c>
      <c r="R512" s="8" t="s">
        <v>79</v>
      </c>
      <c r="S512" s="8" t="s">
        <v>79</v>
      </c>
      <c r="T512" s="8" t="s">
        <v>106</v>
      </c>
      <c r="U512" s="8" t="s">
        <v>141</v>
      </c>
      <c r="V512" s="8" t="s">
        <v>112</v>
      </c>
      <c r="W512" s="9">
        <v>0</v>
      </c>
      <c r="X512" s="9">
        <v>3</v>
      </c>
      <c r="Y512" s="9">
        <v>3</v>
      </c>
      <c r="Z512" s="9">
        <v>3</v>
      </c>
      <c r="AA512" s="9">
        <v>1</v>
      </c>
      <c r="AB512" s="9">
        <v>2</v>
      </c>
      <c r="AC512" s="9">
        <v>1</v>
      </c>
      <c r="AD512" s="9">
        <v>1</v>
      </c>
      <c r="AE512" s="9">
        <v>0</v>
      </c>
      <c r="AF512" s="9">
        <v>0</v>
      </c>
      <c r="AG512" s="9">
        <v>3</v>
      </c>
      <c r="AH512" s="9">
        <v>3</v>
      </c>
      <c r="AI512" s="9">
        <v>3</v>
      </c>
      <c r="AJ512" s="9">
        <v>0</v>
      </c>
      <c r="AK512" s="9">
        <v>3</v>
      </c>
      <c r="AL512" s="10">
        <v>3</v>
      </c>
      <c r="AM512" s="10">
        <v>3</v>
      </c>
      <c r="AN512" s="10">
        <v>3</v>
      </c>
      <c r="AO512" s="10">
        <v>1</v>
      </c>
      <c r="AP512" s="10">
        <v>1</v>
      </c>
      <c r="AQ512" s="10">
        <v>1</v>
      </c>
      <c r="AR512" s="10">
        <v>1</v>
      </c>
      <c r="AS512" s="11">
        <v>3</v>
      </c>
      <c r="AT512" s="11">
        <v>3</v>
      </c>
      <c r="AU512" s="11">
        <v>3</v>
      </c>
      <c r="AV512" s="11">
        <v>3</v>
      </c>
      <c r="AW512" s="11">
        <v>0</v>
      </c>
      <c r="AX512" s="11">
        <v>0</v>
      </c>
      <c r="AY512" s="7">
        <v>3</v>
      </c>
      <c r="AZ512" s="7">
        <v>2</v>
      </c>
      <c r="BA512" s="7">
        <v>3</v>
      </c>
      <c r="BB512" s="7">
        <v>3</v>
      </c>
      <c r="BC512" s="7">
        <v>3</v>
      </c>
      <c r="BD512" s="7">
        <v>0</v>
      </c>
      <c r="BE512" s="7">
        <v>1</v>
      </c>
      <c r="BF512" s="7">
        <v>1</v>
      </c>
      <c r="BG512" s="12">
        <f>SUM(data__22[[#This Row],[N1]:[N4]],data__22[[#This Row],[N10]:[N13]],data__22[[#This Row],[N16]:[N18]])/11</f>
        <v>2.4545454545454546</v>
      </c>
      <c r="BH512" s="13">
        <f>SUM(data__22[[#This Row],[N8]:[N9]],data__22[[#This Row],[N23]:[N25]])/5</f>
        <v>2</v>
      </c>
      <c r="BI512" s="12">
        <f>SUM(data__22[[#This Row],[N5]:[N7]])/3</f>
        <v>1.3333333333333333</v>
      </c>
      <c r="BJ512" s="12">
        <f>SUM(data__22[[#This Row],[N14]:[N15]],data__22[[#This Row],[N19]:[N22]],data__22[[#This Row],[N26]:[N28]])/9</f>
        <v>1.1111111111111112</v>
      </c>
      <c r="BK512" s="12">
        <f>SUM(data__22[[#This Row],[N29]:[N33]])/5</f>
        <v>2.8</v>
      </c>
      <c r="BL512" s="12">
        <f>SUM(data__22[[#This Row],[N34]:[N36]])/3</f>
        <v>0.66666666666666663</v>
      </c>
    </row>
    <row r="513" spans="1:64" x14ac:dyDescent="0.3">
      <c r="A513" s="7">
        <v>23</v>
      </c>
      <c r="B513" s="7" t="s">
        <v>70</v>
      </c>
      <c r="C513" s="7" t="s">
        <v>71</v>
      </c>
      <c r="D513" s="7" t="s">
        <v>97</v>
      </c>
      <c r="E513" s="7" t="s">
        <v>73</v>
      </c>
      <c r="F513" s="7" t="s">
        <v>74</v>
      </c>
      <c r="G513" s="7" t="s">
        <v>439</v>
      </c>
      <c r="H513" s="7" t="s">
        <v>100</v>
      </c>
      <c r="I513" s="7" t="s">
        <v>76</v>
      </c>
      <c r="J513" s="7" t="s">
        <v>77</v>
      </c>
      <c r="K513" s="7" t="s">
        <v>125</v>
      </c>
      <c r="L513" s="8" t="s">
        <v>79</v>
      </c>
      <c r="M513" s="8" t="s">
        <v>80</v>
      </c>
      <c r="N513" s="8" t="s">
        <v>79</v>
      </c>
      <c r="O513" s="8" t="s">
        <v>109</v>
      </c>
      <c r="P513" s="8" t="s">
        <v>79</v>
      </c>
      <c r="Q513" s="8" t="s">
        <v>103</v>
      </c>
      <c r="R513" s="8" t="s">
        <v>79</v>
      </c>
      <c r="S513" s="8" t="s">
        <v>79</v>
      </c>
      <c r="T513" s="8" t="s">
        <v>106</v>
      </c>
      <c r="U513" s="8" t="s">
        <v>87</v>
      </c>
      <c r="V513" s="8" t="s">
        <v>112</v>
      </c>
      <c r="W513" s="9">
        <v>3</v>
      </c>
      <c r="X513" s="9">
        <v>3</v>
      </c>
      <c r="Y513" s="9">
        <v>3</v>
      </c>
      <c r="Z513" s="9">
        <v>3</v>
      </c>
      <c r="AA513" s="9">
        <v>1</v>
      </c>
      <c r="AB513" s="9">
        <v>1</v>
      </c>
      <c r="AC513" s="9">
        <v>0</v>
      </c>
      <c r="AD513" s="9">
        <v>3</v>
      </c>
      <c r="AE513" s="9">
        <v>3</v>
      </c>
      <c r="AF513" s="9">
        <v>3</v>
      </c>
      <c r="AG513" s="9">
        <v>3</v>
      </c>
      <c r="AH513" s="9">
        <v>1</v>
      </c>
      <c r="AI513" s="9">
        <v>2</v>
      </c>
      <c r="AJ513" s="9">
        <v>1</v>
      </c>
      <c r="AK513" s="9">
        <v>1</v>
      </c>
      <c r="AL513" s="10">
        <v>3</v>
      </c>
      <c r="AM513" s="10">
        <v>3</v>
      </c>
      <c r="AN513" s="10">
        <v>3</v>
      </c>
      <c r="AO513" s="10">
        <v>0</v>
      </c>
      <c r="AP513" s="10">
        <v>1</v>
      </c>
      <c r="AQ513" s="10">
        <v>0</v>
      </c>
      <c r="AR513" s="10">
        <v>0</v>
      </c>
      <c r="AS513" s="11">
        <v>1</v>
      </c>
      <c r="AT513" s="11">
        <v>1</v>
      </c>
      <c r="AU513" s="11">
        <v>2</v>
      </c>
      <c r="AV513" s="11">
        <v>0</v>
      </c>
      <c r="AW513" s="11">
        <v>0</v>
      </c>
      <c r="AX513" s="11">
        <v>0</v>
      </c>
      <c r="AY513" s="7">
        <v>3</v>
      </c>
      <c r="AZ513" s="7">
        <v>3</v>
      </c>
      <c r="BA513" s="7">
        <v>3</v>
      </c>
      <c r="BB513" s="7">
        <v>3</v>
      </c>
      <c r="BC513" s="7">
        <v>3</v>
      </c>
      <c r="BD513" s="7">
        <v>1</v>
      </c>
      <c r="BE513" s="7">
        <v>1</v>
      </c>
      <c r="BF513" s="7">
        <v>1</v>
      </c>
      <c r="BG513" s="12">
        <f>SUM(data__22[[#This Row],[N1]:[N4]],data__22[[#This Row],[N10]:[N13]],data__22[[#This Row],[N16]:[N18]])/11</f>
        <v>2.7272727272727271</v>
      </c>
      <c r="BH513" s="13">
        <f>SUM(data__22[[#This Row],[N8]:[N9]],data__22[[#This Row],[N23]:[N25]])/5</f>
        <v>2</v>
      </c>
      <c r="BI513" s="12">
        <f>SUM(data__22[[#This Row],[N5]:[N7]])/3</f>
        <v>0.66666666666666663</v>
      </c>
      <c r="BJ513" s="12">
        <f>SUM(data__22[[#This Row],[N14]:[N15]],data__22[[#This Row],[N19]:[N22]],data__22[[#This Row],[N26]:[N28]])/9</f>
        <v>0.33333333333333331</v>
      </c>
      <c r="BK513" s="12">
        <f>SUM(data__22[[#This Row],[N29]:[N33]])/5</f>
        <v>3</v>
      </c>
      <c r="BL513" s="12">
        <f>SUM(data__22[[#This Row],[N34]:[N36]])/3</f>
        <v>1</v>
      </c>
    </row>
    <row r="514" spans="1:64" x14ac:dyDescent="0.3">
      <c r="A514" s="7">
        <v>22</v>
      </c>
      <c r="B514" s="7" t="s">
        <v>70</v>
      </c>
      <c r="C514" s="7" t="s">
        <v>113</v>
      </c>
      <c r="D514" s="7" t="s">
        <v>97</v>
      </c>
      <c r="E514" s="7" t="s">
        <v>108</v>
      </c>
      <c r="F514" s="7" t="s">
        <v>74</v>
      </c>
      <c r="G514" s="7" t="s">
        <v>440</v>
      </c>
      <c r="H514" s="7" t="s">
        <v>136</v>
      </c>
      <c r="I514" s="7" t="s">
        <v>76</v>
      </c>
      <c r="J514" s="7" t="s">
        <v>101</v>
      </c>
      <c r="K514" s="7" t="s">
        <v>78</v>
      </c>
      <c r="L514" s="8" t="s">
        <v>79</v>
      </c>
      <c r="M514" s="8" t="s">
        <v>80</v>
      </c>
      <c r="N514" s="8" t="s">
        <v>79</v>
      </c>
      <c r="O514" s="8" t="s">
        <v>81</v>
      </c>
      <c r="P514" s="8" t="s">
        <v>79</v>
      </c>
      <c r="Q514" s="8" t="s">
        <v>83</v>
      </c>
      <c r="R514" s="8" t="s">
        <v>79</v>
      </c>
      <c r="S514" s="8" t="s">
        <v>82</v>
      </c>
      <c r="T514" s="8" t="s">
        <v>106</v>
      </c>
      <c r="U514" s="8" t="s">
        <v>120</v>
      </c>
      <c r="V514" s="8" t="s">
        <v>112</v>
      </c>
      <c r="W514" s="9">
        <v>3</v>
      </c>
      <c r="X514" s="9">
        <v>3</v>
      </c>
      <c r="Y514" s="9">
        <v>2</v>
      </c>
      <c r="Z514" s="9">
        <v>3</v>
      </c>
      <c r="AA514" s="9">
        <v>2</v>
      </c>
      <c r="AB514" s="9">
        <v>2</v>
      </c>
      <c r="AC514" s="9">
        <v>0</v>
      </c>
      <c r="AD514" s="9">
        <v>3</v>
      </c>
      <c r="AE514" s="9">
        <v>3</v>
      </c>
      <c r="AF514" s="9">
        <v>3</v>
      </c>
      <c r="AG514" s="9">
        <v>3</v>
      </c>
      <c r="AH514" s="9">
        <v>3</v>
      </c>
      <c r="AI514" s="9">
        <v>3</v>
      </c>
      <c r="AJ514" s="9">
        <v>3</v>
      </c>
      <c r="AK514" s="9">
        <v>3</v>
      </c>
      <c r="AL514" s="10">
        <v>3</v>
      </c>
      <c r="AM514" s="10">
        <v>3</v>
      </c>
      <c r="AN514" s="10">
        <v>2</v>
      </c>
      <c r="AO514" s="10">
        <v>0</v>
      </c>
      <c r="AP514" s="10">
        <v>0</v>
      </c>
      <c r="AQ514" s="10">
        <v>0</v>
      </c>
      <c r="AR514" s="10">
        <v>0</v>
      </c>
      <c r="AS514" s="11">
        <v>2</v>
      </c>
      <c r="AT514" s="11">
        <v>1</v>
      </c>
      <c r="AU514" s="11">
        <v>2</v>
      </c>
      <c r="AV514" s="11">
        <v>1</v>
      </c>
      <c r="AW514" s="11">
        <v>2</v>
      </c>
      <c r="AX514" s="11">
        <v>2</v>
      </c>
      <c r="AY514" s="7">
        <v>2</v>
      </c>
      <c r="AZ514" s="7">
        <v>2</v>
      </c>
      <c r="BA514" s="7">
        <v>2</v>
      </c>
      <c r="BB514" s="7">
        <v>2</v>
      </c>
      <c r="BC514" s="7">
        <v>2</v>
      </c>
      <c r="BD514" s="7">
        <v>2</v>
      </c>
      <c r="BE514" s="7">
        <v>2</v>
      </c>
      <c r="BF514" s="7">
        <v>2</v>
      </c>
      <c r="BG514" s="12">
        <f>SUM(data__22[[#This Row],[N1]:[N4]],data__22[[#This Row],[N10]:[N13]],data__22[[#This Row],[N16]:[N18]])/11</f>
        <v>2.8181818181818183</v>
      </c>
      <c r="BH514" s="13">
        <f>SUM(data__22[[#This Row],[N8]:[N9]],data__22[[#This Row],[N23]:[N25]])/5</f>
        <v>2.2000000000000002</v>
      </c>
      <c r="BI514" s="12">
        <f>SUM(data__22[[#This Row],[N5]:[N7]])/3</f>
        <v>1.3333333333333333</v>
      </c>
      <c r="BJ514" s="12">
        <f>SUM(data__22[[#This Row],[N14]:[N15]],data__22[[#This Row],[N19]:[N22]],data__22[[#This Row],[N26]:[N28]])/9</f>
        <v>1.2222222222222223</v>
      </c>
      <c r="BK514" s="12">
        <f>SUM(data__22[[#This Row],[N29]:[N33]])/5</f>
        <v>2</v>
      </c>
      <c r="BL514" s="12">
        <f>SUM(data__22[[#This Row],[N34]:[N36]])/3</f>
        <v>2</v>
      </c>
    </row>
    <row r="515" spans="1:64" x14ac:dyDescent="0.3">
      <c r="A515" s="7">
        <v>24</v>
      </c>
      <c r="B515" s="7" t="s">
        <v>70</v>
      </c>
      <c r="C515" s="7" t="s">
        <v>113</v>
      </c>
      <c r="D515" s="7" t="s">
        <v>72</v>
      </c>
      <c r="E515" s="7" t="s">
        <v>73</v>
      </c>
      <c r="F515" s="7" t="s">
        <v>136</v>
      </c>
      <c r="G515" s="7" t="s">
        <v>440</v>
      </c>
      <c r="H515" s="7" t="s">
        <v>136</v>
      </c>
      <c r="I515" s="7" t="s">
        <v>76</v>
      </c>
      <c r="J515" s="7" t="s">
        <v>101</v>
      </c>
      <c r="K515" s="7" t="s">
        <v>125</v>
      </c>
      <c r="L515" s="8" t="s">
        <v>82</v>
      </c>
      <c r="M515" s="8" t="s">
        <v>132</v>
      </c>
      <c r="N515" s="8" t="s">
        <v>79</v>
      </c>
      <c r="O515" s="8" t="s">
        <v>109</v>
      </c>
      <c r="P515" s="8" t="s">
        <v>82</v>
      </c>
      <c r="Q515" s="8" t="s">
        <v>83</v>
      </c>
      <c r="R515" s="8" t="s">
        <v>79</v>
      </c>
      <c r="S515" s="8" t="s">
        <v>82</v>
      </c>
      <c r="T515" s="8" t="s">
        <v>86</v>
      </c>
      <c r="U515" s="8" t="s">
        <v>87</v>
      </c>
      <c r="V515" s="8" t="s">
        <v>112</v>
      </c>
      <c r="W515" s="9">
        <v>2</v>
      </c>
      <c r="X515" s="9">
        <v>3</v>
      </c>
      <c r="Y515" s="9">
        <v>3</v>
      </c>
      <c r="Z515" s="9">
        <v>3</v>
      </c>
      <c r="AA515" s="9">
        <v>1</v>
      </c>
      <c r="AB515" s="9">
        <v>1</v>
      </c>
      <c r="AC515" s="9">
        <v>1</v>
      </c>
      <c r="AD515" s="9">
        <v>3</v>
      </c>
      <c r="AE515" s="9">
        <v>3</v>
      </c>
      <c r="AF515" s="9">
        <v>3</v>
      </c>
      <c r="AG515" s="9">
        <v>3</v>
      </c>
      <c r="AH515" s="9">
        <v>3</v>
      </c>
      <c r="AI515" s="9">
        <v>3</v>
      </c>
      <c r="AJ515" s="9">
        <v>0</v>
      </c>
      <c r="AK515" s="9">
        <v>0</v>
      </c>
      <c r="AL515" s="10">
        <v>3</v>
      </c>
      <c r="AM515" s="10">
        <v>3</v>
      </c>
      <c r="AN515" s="10">
        <v>3</v>
      </c>
      <c r="AO515" s="10">
        <v>0</v>
      </c>
      <c r="AP515" s="10">
        <v>0</v>
      </c>
      <c r="AQ515" s="10">
        <v>0</v>
      </c>
      <c r="AR515" s="10">
        <v>0</v>
      </c>
      <c r="AS515" s="11">
        <v>1</v>
      </c>
      <c r="AT515" s="11">
        <v>3</v>
      </c>
      <c r="AU515" s="11">
        <v>2</v>
      </c>
      <c r="AV515" s="11">
        <v>1</v>
      </c>
      <c r="AW515" s="11">
        <v>0</v>
      </c>
      <c r="AX515" s="11">
        <v>0</v>
      </c>
      <c r="AY515" s="7"/>
      <c r="AZ515" s="7"/>
      <c r="BA515" s="7"/>
      <c r="BB515" s="7"/>
      <c r="BC515" s="7"/>
      <c r="BD515" s="7"/>
      <c r="BE515" s="7"/>
      <c r="BF515" s="7"/>
      <c r="BG515" s="12">
        <f>SUM(data__22[[#This Row],[N1]:[N4]],data__22[[#This Row],[N10]:[N13]],data__22[[#This Row],[N16]:[N18]])/11</f>
        <v>2.9090909090909092</v>
      </c>
      <c r="BH515" s="13">
        <f>SUM(data__22[[#This Row],[N8]:[N9]],data__22[[#This Row],[N23]:[N25]])/5</f>
        <v>2.4</v>
      </c>
      <c r="BI515" s="12">
        <f>SUM(data__22[[#This Row],[N5]:[N7]])/3</f>
        <v>1</v>
      </c>
      <c r="BJ515" s="12">
        <f>SUM(data__22[[#This Row],[N14]:[N15]],data__22[[#This Row],[N19]:[N22]],data__22[[#This Row],[N26]:[N28]])/9</f>
        <v>0.1111111111111111</v>
      </c>
      <c r="BK515" s="12">
        <f>SUM(data__22[[#This Row],[N29]:[N33]])/5</f>
        <v>0</v>
      </c>
      <c r="BL515" s="12">
        <f>SUM(data__22[[#This Row],[N34]:[N36]])/3</f>
        <v>0</v>
      </c>
    </row>
    <row r="516" spans="1:64" x14ac:dyDescent="0.3">
      <c r="A516" s="7">
        <v>22</v>
      </c>
      <c r="B516" s="7" t="s">
        <v>70</v>
      </c>
      <c r="C516" s="7" t="s">
        <v>71</v>
      </c>
      <c r="D516" s="7" t="s">
        <v>72</v>
      </c>
      <c r="E516" s="7" t="s">
        <v>108</v>
      </c>
      <c r="F516" s="7" t="s">
        <v>74</v>
      </c>
      <c r="G516" s="7" t="s">
        <v>439</v>
      </c>
      <c r="H516" s="7" t="s">
        <v>74</v>
      </c>
      <c r="I516" s="7" t="s">
        <v>439</v>
      </c>
      <c r="J516" s="7" t="s">
        <v>77</v>
      </c>
      <c r="K516" s="7" t="s">
        <v>122</v>
      </c>
      <c r="L516" s="8" t="s">
        <v>79</v>
      </c>
      <c r="M516" s="8" t="s">
        <v>80</v>
      </c>
      <c r="N516" s="8" t="s">
        <v>79</v>
      </c>
      <c r="O516" s="8" t="s">
        <v>117</v>
      </c>
      <c r="P516" s="8" t="s">
        <v>82</v>
      </c>
      <c r="Q516" s="8" t="s">
        <v>83</v>
      </c>
      <c r="R516" s="8" t="s">
        <v>82</v>
      </c>
      <c r="S516" s="8" t="s">
        <v>82</v>
      </c>
      <c r="T516" s="8" t="s">
        <v>106</v>
      </c>
      <c r="U516" s="8" t="s">
        <v>87</v>
      </c>
      <c r="V516" s="8" t="s">
        <v>456</v>
      </c>
      <c r="W516" s="9">
        <v>2</v>
      </c>
      <c r="X516" s="9">
        <v>2</v>
      </c>
      <c r="Y516" s="9">
        <v>2</v>
      </c>
      <c r="Z516" s="9">
        <v>1</v>
      </c>
      <c r="AA516" s="9">
        <v>1</v>
      </c>
      <c r="AB516" s="9">
        <v>1</v>
      </c>
      <c r="AC516" s="9">
        <v>1</v>
      </c>
      <c r="AD516" s="9">
        <v>3</v>
      </c>
      <c r="AE516" s="9">
        <v>3</v>
      </c>
      <c r="AF516" s="9">
        <v>3</v>
      </c>
      <c r="AG516" s="9">
        <v>2</v>
      </c>
      <c r="AH516" s="9">
        <v>2</v>
      </c>
      <c r="AI516" s="9">
        <v>1</v>
      </c>
      <c r="AJ516" s="9">
        <v>0</v>
      </c>
      <c r="AK516" s="9">
        <v>1</v>
      </c>
      <c r="AL516" s="10">
        <v>3</v>
      </c>
      <c r="AM516" s="10">
        <v>3</v>
      </c>
      <c r="AN516" s="10">
        <v>3</v>
      </c>
      <c r="AO516" s="10">
        <v>0</v>
      </c>
      <c r="AP516" s="10">
        <v>0</v>
      </c>
      <c r="AQ516" s="10">
        <v>0</v>
      </c>
      <c r="AR516" s="10">
        <v>0</v>
      </c>
      <c r="AS516" s="11">
        <v>1</v>
      </c>
      <c r="AT516" s="11">
        <v>2</v>
      </c>
      <c r="AU516" s="11">
        <v>1</v>
      </c>
      <c r="AV516" s="11">
        <v>1</v>
      </c>
      <c r="AW516" s="11">
        <v>0</v>
      </c>
      <c r="AX516" s="11">
        <v>0</v>
      </c>
      <c r="AY516" s="7">
        <v>3</v>
      </c>
      <c r="AZ516" s="7">
        <v>2</v>
      </c>
      <c r="BA516" s="7">
        <v>2</v>
      </c>
      <c r="BB516" s="7">
        <v>1</v>
      </c>
      <c r="BC516" s="7">
        <v>2</v>
      </c>
      <c r="BD516" s="7">
        <v>1</v>
      </c>
      <c r="BE516" s="7">
        <v>1</v>
      </c>
      <c r="BF516" s="7">
        <v>1</v>
      </c>
      <c r="BG516" s="12">
        <f>SUM(data__22[[#This Row],[N1]:[N4]],data__22[[#This Row],[N10]:[N13]],data__22[[#This Row],[N16]:[N18]])/11</f>
        <v>2.1818181818181817</v>
      </c>
      <c r="BH516" s="13">
        <f>SUM(data__22[[#This Row],[N8]:[N9]],data__22[[#This Row],[N23]:[N25]])/5</f>
        <v>2</v>
      </c>
      <c r="BI516" s="12">
        <f>SUM(data__22[[#This Row],[N5]:[N7]])/3</f>
        <v>1</v>
      </c>
      <c r="BJ516" s="12">
        <f>SUM(data__22[[#This Row],[N14]:[N15]],data__22[[#This Row],[N19]:[N22]],data__22[[#This Row],[N26]:[N28]])/9</f>
        <v>0.22222222222222221</v>
      </c>
      <c r="BK516" s="12">
        <f>SUM(data__22[[#This Row],[N29]:[N33]])/5</f>
        <v>2</v>
      </c>
      <c r="BL516" s="12">
        <f>SUM(data__22[[#This Row],[N34]:[N36]])/3</f>
        <v>1</v>
      </c>
    </row>
    <row r="517" spans="1:64" x14ac:dyDescent="0.3">
      <c r="A517" s="7">
        <v>22</v>
      </c>
      <c r="B517" s="7" t="s">
        <v>70</v>
      </c>
      <c r="C517" s="7" t="s">
        <v>113</v>
      </c>
      <c r="D517" s="7" t="s">
        <v>72</v>
      </c>
      <c r="E517" s="7" t="s">
        <v>108</v>
      </c>
      <c r="F517" s="7" t="s">
        <v>74</v>
      </c>
      <c r="G517" s="7" t="s">
        <v>99</v>
      </c>
      <c r="H517" s="7" t="s">
        <v>136</v>
      </c>
      <c r="I517" s="7" t="s">
        <v>76</v>
      </c>
      <c r="J517" s="7" t="s">
        <v>77</v>
      </c>
      <c r="K517" s="7" t="s">
        <v>78</v>
      </c>
      <c r="L517" s="8" t="s">
        <v>82</v>
      </c>
      <c r="M517" s="8" t="s">
        <v>80</v>
      </c>
      <c r="N517" s="8" t="s">
        <v>79</v>
      </c>
      <c r="O517" s="8" t="s">
        <v>117</v>
      </c>
      <c r="P517" s="8" t="s">
        <v>79</v>
      </c>
      <c r="Q517" s="8" t="s">
        <v>103</v>
      </c>
      <c r="R517" s="8" t="s">
        <v>79</v>
      </c>
      <c r="S517" s="8" t="s">
        <v>82</v>
      </c>
      <c r="T517" s="8" t="s">
        <v>106</v>
      </c>
      <c r="U517" s="8" t="s">
        <v>120</v>
      </c>
      <c r="V517" s="8" t="s">
        <v>112</v>
      </c>
      <c r="W517" s="9">
        <v>3</v>
      </c>
      <c r="X517" s="9">
        <v>3</v>
      </c>
      <c r="Y517" s="9">
        <v>3</v>
      </c>
      <c r="Z517" s="9">
        <v>3</v>
      </c>
      <c r="AA517" s="9">
        <v>1</v>
      </c>
      <c r="AB517" s="9">
        <v>1</v>
      </c>
      <c r="AC517" s="9">
        <v>0</v>
      </c>
      <c r="AD517" s="9">
        <v>3</v>
      </c>
      <c r="AE517" s="9">
        <v>3</v>
      </c>
      <c r="AF517" s="9">
        <v>3</v>
      </c>
      <c r="AG517" s="9">
        <v>3</v>
      </c>
      <c r="AH517" s="9">
        <v>2</v>
      </c>
      <c r="AI517" s="9">
        <v>3</v>
      </c>
      <c r="AJ517" s="9">
        <v>0</v>
      </c>
      <c r="AK517" s="9">
        <v>3</v>
      </c>
      <c r="AL517" s="10">
        <v>3</v>
      </c>
      <c r="AM517" s="10">
        <v>3</v>
      </c>
      <c r="AN517" s="10">
        <v>3</v>
      </c>
      <c r="AO517" s="10">
        <v>0</v>
      </c>
      <c r="AP517" s="10">
        <v>3</v>
      </c>
      <c r="AQ517" s="10">
        <v>0</v>
      </c>
      <c r="AR517" s="10">
        <v>0</v>
      </c>
      <c r="AS517" s="11">
        <v>0</v>
      </c>
      <c r="AT517" s="11">
        <v>1</v>
      </c>
      <c r="AU517" s="11">
        <v>1</v>
      </c>
      <c r="AV517" s="11">
        <v>3</v>
      </c>
      <c r="AW517" s="11">
        <v>3</v>
      </c>
      <c r="AX517" s="11">
        <v>0</v>
      </c>
      <c r="AY517" s="7"/>
      <c r="AZ517" s="7"/>
      <c r="BA517" s="7"/>
      <c r="BB517" s="7"/>
      <c r="BC517" s="7"/>
      <c r="BD517" s="7"/>
      <c r="BE517" s="7"/>
      <c r="BF517" s="7"/>
      <c r="BG517" s="12">
        <f>SUM(data__22[[#This Row],[N1]:[N4]],data__22[[#This Row],[N10]:[N13]],data__22[[#This Row],[N16]:[N18]])/11</f>
        <v>2.9090909090909092</v>
      </c>
      <c r="BH517" s="13">
        <f>SUM(data__22[[#This Row],[N8]:[N9]],data__22[[#This Row],[N23]:[N25]])/5</f>
        <v>1.6</v>
      </c>
      <c r="BI517" s="12">
        <f>SUM(data__22[[#This Row],[N5]:[N7]])/3</f>
        <v>0.66666666666666663</v>
      </c>
      <c r="BJ517" s="12">
        <f>SUM(data__22[[#This Row],[N14]:[N15]],data__22[[#This Row],[N19]:[N22]],data__22[[#This Row],[N26]:[N28]])/9</f>
        <v>1.3333333333333333</v>
      </c>
      <c r="BK517" s="12">
        <f>SUM(data__22[[#This Row],[N29]:[N33]])/5</f>
        <v>0</v>
      </c>
      <c r="BL517" s="12">
        <f>SUM(data__22[[#This Row],[N34]:[N36]])/3</f>
        <v>0</v>
      </c>
    </row>
    <row r="518" spans="1:64" x14ac:dyDescent="0.3">
      <c r="A518" s="7">
        <v>21</v>
      </c>
      <c r="B518" s="7" t="s">
        <v>70</v>
      </c>
      <c r="C518" s="7" t="s">
        <v>157</v>
      </c>
      <c r="D518" s="7" t="s">
        <v>97</v>
      </c>
      <c r="E518" s="7" t="s">
        <v>108</v>
      </c>
      <c r="F518" s="7" t="s">
        <v>74</v>
      </c>
      <c r="G518" s="7" t="s">
        <v>439</v>
      </c>
      <c r="H518" s="7" t="s">
        <v>74</v>
      </c>
      <c r="I518" s="7" t="s">
        <v>76</v>
      </c>
      <c r="J518" s="7" t="s">
        <v>77</v>
      </c>
      <c r="K518" s="7" t="s">
        <v>131</v>
      </c>
      <c r="L518" s="8" t="s">
        <v>82</v>
      </c>
      <c r="M518" s="8" t="s">
        <v>80</v>
      </c>
      <c r="N518" s="8" t="s">
        <v>79</v>
      </c>
      <c r="O518" s="8" t="s">
        <v>117</v>
      </c>
      <c r="P518" s="8" t="s">
        <v>82</v>
      </c>
      <c r="Q518" s="8" t="s">
        <v>118</v>
      </c>
      <c r="R518" s="8" t="s">
        <v>79</v>
      </c>
      <c r="S518" s="8" t="s">
        <v>79</v>
      </c>
      <c r="T518" s="8" t="s">
        <v>106</v>
      </c>
      <c r="U518" s="8" t="s">
        <v>141</v>
      </c>
      <c r="V518" s="8" t="s">
        <v>112</v>
      </c>
      <c r="W518" s="9">
        <v>2</v>
      </c>
      <c r="X518" s="9">
        <v>2</v>
      </c>
      <c r="Y518" s="9">
        <v>2</v>
      </c>
      <c r="Z518" s="9">
        <v>2</v>
      </c>
      <c r="AA518" s="9">
        <v>2</v>
      </c>
      <c r="AB518" s="9">
        <v>2</v>
      </c>
      <c r="AC518" s="9">
        <v>2</v>
      </c>
      <c r="AD518" s="9">
        <v>2</v>
      </c>
      <c r="AE518" s="9">
        <v>2</v>
      </c>
      <c r="AF518" s="9">
        <v>2</v>
      </c>
      <c r="AG518" s="9">
        <v>2</v>
      </c>
      <c r="AH518" s="9">
        <v>2</v>
      </c>
      <c r="AI518" s="9">
        <v>2</v>
      </c>
      <c r="AJ518" s="9">
        <v>2</v>
      </c>
      <c r="AK518" s="9">
        <v>2</v>
      </c>
      <c r="AL518" s="10">
        <v>3</v>
      </c>
      <c r="AM518" s="10">
        <v>3</v>
      </c>
      <c r="AN518" s="10">
        <v>3</v>
      </c>
      <c r="AO518" s="10">
        <v>3</v>
      </c>
      <c r="AP518" s="10">
        <v>3</v>
      </c>
      <c r="AQ518" s="10">
        <v>3</v>
      </c>
      <c r="AR518" s="10">
        <v>3</v>
      </c>
      <c r="AS518" s="11">
        <v>0</v>
      </c>
      <c r="AT518" s="11">
        <v>0</v>
      </c>
      <c r="AU518" s="11">
        <v>0</v>
      </c>
      <c r="AV518" s="11">
        <v>0</v>
      </c>
      <c r="AW518" s="11">
        <v>0</v>
      </c>
      <c r="AX518" s="11">
        <v>0</v>
      </c>
      <c r="AY518" s="7">
        <v>3</v>
      </c>
      <c r="AZ518" s="7">
        <v>3</v>
      </c>
      <c r="BA518" s="7">
        <v>3</v>
      </c>
      <c r="BB518" s="7">
        <v>3</v>
      </c>
      <c r="BC518" s="7"/>
      <c r="BD518" s="7">
        <v>3</v>
      </c>
      <c r="BE518" s="7">
        <v>3</v>
      </c>
      <c r="BF518" s="7">
        <v>3</v>
      </c>
      <c r="BG518" s="12">
        <f>SUM(data__22[[#This Row],[N1]:[N4]],data__22[[#This Row],[N10]:[N13]],data__22[[#This Row],[N16]:[N18]])/11</f>
        <v>2.2727272727272729</v>
      </c>
      <c r="BH518" s="13">
        <f>SUM(data__22[[#This Row],[N8]:[N9]],data__22[[#This Row],[N23]:[N25]])/5</f>
        <v>0.8</v>
      </c>
      <c r="BI518" s="12">
        <f>SUM(data__22[[#This Row],[N5]:[N7]])/3</f>
        <v>2</v>
      </c>
      <c r="BJ518" s="12">
        <f>SUM(data__22[[#This Row],[N14]:[N15]],data__22[[#This Row],[N19]:[N22]],data__22[[#This Row],[N26]:[N28]])/9</f>
        <v>1.7777777777777777</v>
      </c>
      <c r="BK518" s="12">
        <f>SUM(data__22[[#This Row],[N29]:[N33]])/5</f>
        <v>2.4</v>
      </c>
      <c r="BL518" s="12">
        <f>SUM(data__22[[#This Row],[N34]:[N36]])/3</f>
        <v>3</v>
      </c>
    </row>
    <row r="519" spans="1:64" x14ac:dyDescent="0.3">
      <c r="A519" s="7">
        <v>21</v>
      </c>
      <c r="B519" s="7" t="s">
        <v>70</v>
      </c>
      <c r="C519" s="7" t="s">
        <v>113</v>
      </c>
      <c r="D519" s="7" t="s">
        <v>149</v>
      </c>
      <c r="E519" s="7" t="s">
        <v>73</v>
      </c>
      <c r="F519" s="7" t="s">
        <v>74</v>
      </c>
      <c r="G519" s="7" t="s">
        <v>439</v>
      </c>
      <c r="H519" s="7" t="s">
        <v>74</v>
      </c>
      <c r="I519" s="7" t="s">
        <v>439</v>
      </c>
      <c r="J519" s="7" t="s">
        <v>77</v>
      </c>
      <c r="K519" s="7" t="s">
        <v>131</v>
      </c>
      <c r="L519" s="8" t="s">
        <v>82</v>
      </c>
      <c r="M519" s="8" t="s">
        <v>132</v>
      </c>
      <c r="N519" s="8" t="s">
        <v>82</v>
      </c>
      <c r="O519" s="8" t="s">
        <v>179</v>
      </c>
      <c r="P519" s="8" t="s">
        <v>82</v>
      </c>
      <c r="Q519" s="8" t="s">
        <v>103</v>
      </c>
      <c r="R519" s="8" t="s">
        <v>82</v>
      </c>
      <c r="S519" s="8" t="s">
        <v>79</v>
      </c>
      <c r="T519" s="8" t="s">
        <v>297</v>
      </c>
      <c r="U519" s="8" t="s">
        <v>120</v>
      </c>
      <c r="V519" s="8" t="s">
        <v>112</v>
      </c>
      <c r="W519" s="9">
        <v>0</v>
      </c>
      <c r="X519" s="9">
        <v>2</v>
      </c>
      <c r="Y519" s="9">
        <v>2</v>
      </c>
      <c r="Z519" s="9">
        <v>3</v>
      </c>
      <c r="AA519" s="9">
        <v>3</v>
      </c>
      <c r="AB519" s="9">
        <v>3</v>
      </c>
      <c r="AC519" s="9">
        <v>3</v>
      </c>
      <c r="AD519" s="9">
        <v>3</v>
      </c>
      <c r="AE519" s="9">
        <v>3</v>
      </c>
      <c r="AF519" s="9">
        <v>3</v>
      </c>
      <c r="AG519" s="9">
        <v>3</v>
      </c>
      <c r="AH519" s="9">
        <v>3</v>
      </c>
      <c r="AI519" s="9">
        <v>3</v>
      </c>
      <c r="AJ519" s="9">
        <v>2</v>
      </c>
      <c r="AK519" s="9">
        <v>2</v>
      </c>
      <c r="AL519" s="10">
        <v>3</v>
      </c>
      <c r="AM519" s="10">
        <v>2</v>
      </c>
      <c r="AN519" s="10">
        <v>3</v>
      </c>
      <c r="AO519" s="10">
        <v>1</v>
      </c>
      <c r="AP519" s="10">
        <v>1</v>
      </c>
      <c r="AQ519" s="10">
        <v>2</v>
      </c>
      <c r="AR519" s="10">
        <v>3</v>
      </c>
      <c r="AS519" s="11">
        <v>3</v>
      </c>
      <c r="AT519" s="11">
        <v>3</v>
      </c>
      <c r="AU519" s="11">
        <v>3</v>
      </c>
      <c r="AV519" s="11">
        <v>0</v>
      </c>
      <c r="AW519" s="11">
        <v>0</v>
      </c>
      <c r="AX519" s="11">
        <v>0</v>
      </c>
      <c r="AY519" s="7">
        <v>2</v>
      </c>
      <c r="AZ519" s="7">
        <v>2</v>
      </c>
      <c r="BA519" s="7">
        <v>2</v>
      </c>
      <c r="BB519" s="7">
        <v>2</v>
      </c>
      <c r="BC519" s="7">
        <v>2</v>
      </c>
      <c r="BD519" s="7">
        <v>2</v>
      </c>
      <c r="BE519" s="7">
        <v>2</v>
      </c>
      <c r="BF519" s="7">
        <v>2</v>
      </c>
      <c r="BG519" s="12">
        <f>SUM(data__22[[#This Row],[N1]:[N4]],data__22[[#This Row],[N10]:[N13]],data__22[[#This Row],[N16]:[N18]])/11</f>
        <v>2.4545454545454546</v>
      </c>
      <c r="BH519" s="13">
        <f>SUM(data__22[[#This Row],[N8]:[N9]],data__22[[#This Row],[N23]:[N25]])/5</f>
        <v>3</v>
      </c>
      <c r="BI519" s="12">
        <f>SUM(data__22[[#This Row],[N5]:[N7]])/3</f>
        <v>3</v>
      </c>
      <c r="BJ519" s="12">
        <f>SUM(data__22[[#This Row],[N14]:[N15]],data__22[[#This Row],[N19]:[N22]],data__22[[#This Row],[N26]:[N28]])/9</f>
        <v>1.2222222222222223</v>
      </c>
      <c r="BK519" s="12">
        <f>SUM(data__22[[#This Row],[N29]:[N33]])/5</f>
        <v>2</v>
      </c>
      <c r="BL519" s="12">
        <f>SUM(data__22[[#This Row],[N34]:[N36]])/3</f>
        <v>2</v>
      </c>
    </row>
    <row r="520" spans="1:64" x14ac:dyDescent="0.3">
      <c r="A520" s="7">
        <v>20</v>
      </c>
      <c r="B520" s="7" t="s">
        <v>70</v>
      </c>
      <c r="C520" s="7" t="s">
        <v>157</v>
      </c>
      <c r="D520" s="7" t="s">
        <v>149</v>
      </c>
      <c r="E520" s="7" t="s">
        <v>73</v>
      </c>
      <c r="F520" s="7" t="s">
        <v>74</v>
      </c>
      <c r="G520" s="7" t="s">
        <v>438</v>
      </c>
      <c r="H520" s="7" t="s">
        <v>74</v>
      </c>
      <c r="I520" s="7" t="s">
        <v>439</v>
      </c>
      <c r="J520" s="7" t="s">
        <v>77</v>
      </c>
      <c r="K520" s="7" t="s">
        <v>122</v>
      </c>
      <c r="L520" s="8" t="s">
        <v>79</v>
      </c>
      <c r="M520" s="8" t="s">
        <v>80</v>
      </c>
      <c r="N520" s="8" t="s">
        <v>79</v>
      </c>
      <c r="O520" s="8" t="s">
        <v>133</v>
      </c>
      <c r="P520" s="8" t="s">
        <v>79</v>
      </c>
      <c r="Q520" s="8" t="s">
        <v>103</v>
      </c>
      <c r="R520" s="8" t="s">
        <v>82</v>
      </c>
      <c r="S520" s="8" t="s">
        <v>79</v>
      </c>
      <c r="T520" s="8" t="s">
        <v>86</v>
      </c>
      <c r="U520" s="8" t="s">
        <v>141</v>
      </c>
      <c r="V520" s="8" t="s">
        <v>112</v>
      </c>
      <c r="W520" s="9">
        <v>1</v>
      </c>
      <c r="X520" s="9">
        <v>3</v>
      </c>
      <c r="Y520" s="9">
        <v>3</v>
      </c>
      <c r="Z520" s="9">
        <v>3</v>
      </c>
      <c r="AA520" s="9">
        <v>3</v>
      </c>
      <c r="AB520" s="9">
        <v>1</v>
      </c>
      <c r="AC520" s="9">
        <v>2</v>
      </c>
      <c r="AD520" s="9">
        <v>3</v>
      </c>
      <c r="AE520" s="9">
        <v>2</v>
      </c>
      <c r="AF520" s="9">
        <v>1</v>
      </c>
      <c r="AG520" s="9">
        <v>3</v>
      </c>
      <c r="AH520" s="9">
        <v>1</v>
      </c>
      <c r="AI520" s="9">
        <v>2</v>
      </c>
      <c r="AJ520" s="9">
        <v>1</v>
      </c>
      <c r="AK520" s="9">
        <v>2</v>
      </c>
      <c r="AL520" s="10">
        <v>3</v>
      </c>
      <c r="AM520" s="10">
        <v>3</v>
      </c>
      <c r="AN520" s="10">
        <v>3</v>
      </c>
      <c r="AO520" s="10">
        <v>0</v>
      </c>
      <c r="AP520" s="10">
        <v>0</v>
      </c>
      <c r="AQ520" s="10">
        <v>0</v>
      </c>
      <c r="AR520" s="10">
        <v>0</v>
      </c>
      <c r="AS520" s="11">
        <v>1</v>
      </c>
      <c r="AT520" s="11">
        <v>0</v>
      </c>
      <c r="AU520" s="11">
        <v>2</v>
      </c>
      <c r="AV520" s="11">
        <v>1</v>
      </c>
      <c r="AW520" s="11">
        <v>1</v>
      </c>
      <c r="AX520" s="11">
        <v>2</v>
      </c>
      <c r="AY520" s="7">
        <v>2</v>
      </c>
      <c r="AZ520" s="7">
        <v>1</v>
      </c>
      <c r="BA520" s="7">
        <v>0</v>
      </c>
      <c r="BB520" s="7">
        <v>0</v>
      </c>
      <c r="BC520" s="7">
        <v>0</v>
      </c>
      <c r="BD520" s="7">
        <v>1</v>
      </c>
      <c r="BE520" s="7">
        <v>1</v>
      </c>
      <c r="BF520" s="7">
        <v>1</v>
      </c>
      <c r="BG520" s="12">
        <f>SUM(data__22[[#This Row],[N1]:[N4]],data__22[[#This Row],[N10]:[N13]],data__22[[#This Row],[N16]:[N18]])/11</f>
        <v>2.3636363636363638</v>
      </c>
      <c r="BH520" s="13">
        <f>SUM(data__22[[#This Row],[N8]:[N9]],data__22[[#This Row],[N23]:[N25]])/5</f>
        <v>1.6</v>
      </c>
      <c r="BI520" s="12">
        <f>SUM(data__22[[#This Row],[N5]:[N7]])/3</f>
        <v>2</v>
      </c>
      <c r="BJ520" s="12">
        <f>SUM(data__22[[#This Row],[N14]:[N15]],data__22[[#This Row],[N19]:[N22]],data__22[[#This Row],[N26]:[N28]])/9</f>
        <v>0.77777777777777779</v>
      </c>
      <c r="BK520" s="12">
        <f>SUM(data__22[[#This Row],[N29]:[N33]])/5</f>
        <v>0.6</v>
      </c>
      <c r="BL520" s="12">
        <f>SUM(data__22[[#This Row],[N34]:[N36]])/3</f>
        <v>1</v>
      </c>
    </row>
    <row r="521" spans="1:64" x14ac:dyDescent="0.3">
      <c r="A521" s="7">
        <v>22</v>
      </c>
      <c r="B521" s="7" t="s">
        <v>70</v>
      </c>
      <c r="C521" s="7" t="s">
        <v>113</v>
      </c>
      <c r="D521" s="7" t="s">
        <v>97</v>
      </c>
      <c r="E521" s="7" t="s">
        <v>108</v>
      </c>
      <c r="F521" s="7" t="s">
        <v>136</v>
      </c>
      <c r="G521" s="7" t="s">
        <v>439</v>
      </c>
      <c r="H521" s="7" t="s">
        <v>136</v>
      </c>
      <c r="I521" s="7" t="s">
        <v>76</v>
      </c>
      <c r="J521" s="7" t="s">
        <v>77</v>
      </c>
      <c r="K521" s="7" t="s">
        <v>78</v>
      </c>
      <c r="L521" s="8" t="s">
        <v>79</v>
      </c>
      <c r="M521" s="8" t="s">
        <v>102</v>
      </c>
      <c r="N521" s="8" t="s">
        <v>79</v>
      </c>
      <c r="O521" s="8" t="s">
        <v>81</v>
      </c>
      <c r="P521" s="8" t="s">
        <v>82</v>
      </c>
      <c r="Q521" s="8" t="s">
        <v>83</v>
      </c>
      <c r="R521" s="8" t="s">
        <v>82</v>
      </c>
      <c r="S521" s="8" t="s">
        <v>82</v>
      </c>
      <c r="T521" s="8" t="s">
        <v>86</v>
      </c>
      <c r="U521" s="8" t="s">
        <v>141</v>
      </c>
      <c r="V521" s="8" t="s">
        <v>112</v>
      </c>
      <c r="W521" s="9">
        <v>3</v>
      </c>
      <c r="X521" s="9">
        <v>3</v>
      </c>
      <c r="Y521" s="9">
        <v>3</v>
      </c>
      <c r="Z521" s="9">
        <v>3</v>
      </c>
      <c r="AA521" s="9">
        <v>0</v>
      </c>
      <c r="AB521" s="9">
        <v>1</v>
      </c>
      <c r="AC521" s="9">
        <v>0</v>
      </c>
      <c r="AD521" s="9">
        <v>3</v>
      </c>
      <c r="AE521" s="9">
        <v>2</v>
      </c>
      <c r="AF521" s="9">
        <v>3</v>
      </c>
      <c r="AG521" s="9">
        <v>3</v>
      </c>
      <c r="AH521" s="9">
        <v>1</v>
      </c>
      <c r="AI521" s="9">
        <v>2</v>
      </c>
      <c r="AJ521" s="9">
        <v>1</v>
      </c>
      <c r="AK521" s="9">
        <v>1</v>
      </c>
      <c r="AL521" s="10">
        <v>3</v>
      </c>
      <c r="AM521" s="10">
        <v>3</v>
      </c>
      <c r="AN521" s="10">
        <v>3</v>
      </c>
      <c r="AO521" s="10">
        <v>1</v>
      </c>
      <c r="AP521" s="10">
        <v>0</v>
      </c>
      <c r="AQ521" s="10">
        <v>0</v>
      </c>
      <c r="AR521" s="10">
        <v>0</v>
      </c>
      <c r="AS521" s="11">
        <v>3</v>
      </c>
      <c r="AT521" s="11">
        <v>2</v>
      </c>
      <c r="AU521" s="11">
        <v>1</v>
      </c>
      <c r="AV521" s="11">
        <v>1</v>
      </c>
      <c r="AW521" s="11">
        <v>0</v>
      </c>
      <c r="AX521" s="11">
        <v>0</v>
      </c>
      <c r="AY521" s="7">
        <v>3</v>
      </c>
      <c r="AZ521" s="7">
        <v>3</v>
      </c>
      <c r="BA521" s="7">
        <v>3</v>
      </c>
      <c r="BB521" s="7">
        <v>3</v>
      </c>
      <c r="BC521" s="7">
        <v>3</v>
      </c>
      <c r="BD521" s="7">
        <v>0</v>
      </c>
      <c r="BE521" s="7">
        <v>0</v>
      </c>
      <c r="BF521" s="7">
        <v>1</v>
      </c>
      <c r="BG521" s="12">
        <f>SUM(data__22[[#This Row],[N1]:[N4]],data__22[[#This Row],[N10]:[N13]],data__22[[#This Row],[N16]:[N18]])/11</f>
        <v>2.7272727272727271</v>
      </c>
      <c r="BH521" s="13">
        <f>SUM(data__22[[#This Row],[N8]:[N9]],data__22[[#This Row],[N23]:[N25]])/5</f>
        <v>2.2000000000000002</v>
      </c>
      <c r="BI521" s="12">
        <f>SUM(data__22[[#This Row],[N5]:[N7]])/3</f>
        <v>0.33333333333333331</v>
      </c>
      <c r="BJ521" s="12">
        <f>SUM(data__22[[#This Row],[N14]:[N15]],data__22[[#This Row],[N19]:[N22]],data__22[[#This Row],[N26]:[N28]])/9</f>
        <v>0.44444444444444442</v>
      </c>
      <c r="BK521" s="12">
        <f>SUM(data__22[[#This Row],[N29]:[N33]])/5</f>
        <v>3</v>
      </c>
      <c r="BL521" s="12">
        <f>SUM(data__22[[#This Row],[N34]:[N36]])/3</f>
        <v>0.33333333333333331</v>
      </c>
    </row>
    <row r="522" spans="1:64" x14ac:dyDescent="0.3">
      <c r="A522" s="7">
        <v>22</v>
      </c>
      <c r="B522" s="7" t="s">
        <v>70</v>
      </c>
      <c r="C522" s="7" t="s">
        <v>113</v>
      </c>
      <c r="D522" s="7" t="s">
        <v>72</v>
      </c>
      <c r="E522" s="7" t="s">
        <v>73</v>
      </c>
      <c r="F522" s="7" t="s">
        <v>136</v>
      </c>
      <c r="G522" s="7" t="s">
        <v>438</v>
      </c>
      <c r="H522" s="7" t="s">
        <v>98</v>
      </c>
      <c r="I522" s="7" t="s">
        <v>76</v>
      </c>
      <c r="J522" s="7" t="s">
        <v>77</v>
      </c>
      <c r="K522" s="7" t="s">
        <v>122</v>
      </c>
      <c r="L522" s="8" t="s">
        <v>79</v>
      </c>
      <c r="M522" s="8" t="s">
        <v>102</v>
      </c>
      <c r="N522" s="8" t="s">
        <v>79</v>
      </c>
      <c r="O522" s="8" t="s">
        <v>117</v>
      </c>
      <c r="P522" s="8" t="s">
        <v>79</v>
      </c>
      <c r="Q522" s="8" t="s">
        <v>83</v>
      </c>
      <c r="R522" s="8" t="s">
        <v>79</v>
      </c>
      <c r="S522" s="8" t="s">
        <v>82</v>
      </c>
      <c r="T522" s="8" t="s">
        <v>106</v>
      </c>
      <c r="U522" s="8" t="s">
        <v>141</v>
      </c>
      <c r="V522" s="8" t="s">
        <v>112</v>
      </c>
      <c r="W522" s="9">
        <v>1</v>
      </c>
      <c r="X522" s="9">
        <v>2</v>
      </c>
      <c r="Y522" s="9">
        <v>1</v>
      </c>
      <c r="Z522" s="9">
        <v>1</v>
      </c>
      <c r="AA522" s="9">
        <v>1</v>
      </c>
      <c r="AB522" s="9">
        <v>1</v>
      </c>
      <c r="AC522" s="9">
        <v>1</v>
      </c>
      <c r="AD522" s="9">
        <v>1</v>
      </c>
      <c r="AE522" s="9">
        <v>1</v>
      </c>
      <c r="AF522" s="9">
        <v>1</v>
      </c>
      <c r="AG522" s="9">
        <v>1</v>
      </c>
      <c r="AH522" s="9">
        <v>1</v>
      </c>
      <c r="AI522" s="9">
        <v>1</v>
      </c>
      <c r="AJ522" s="9">
        <v>1</v>
      </c>
      <c r="AK522" s="9">
        <v>1</v>
      </c>
      <c r="AL522" s="10">
        <v>1</v>
      </c>
      <c r="AM522" s="10">
        <v>1</v>
      </c>
      <c r="AN522" s="10">
        <v>1</v>
      </c>
      <c r="AO522" s="10">
        <v>1</v>
      </c>
      <c r="AP522" s="10">
        <v>1</v>
      </c>
      <c r="AQ522" s="10">
        <v>1</v>
      </c>
      <c r="AR522" s="10">
        <v>1</v>
      </c>
      <c r="AS522" s="11">
        <v>1</v>
      </c>
      <c r="AT522" s="11">
        <v>1</v>
      </c>
      <c r="AU522" s="11">
        <v>1</v>
      </c>
      <c r="AV522" s="11">
        <v>1</v>
      </c>
      <c r="AW522" s="11">
        <v>1</v>
      </c>
      <c r="AX522" s="11">
        <v>1</v>
      </c>
      <c r="AY522" s="7">
        <v>1</v>
      </c>
      <c r="AZ522" s="7">
        <v>1</v>
      </c>
      <c r="BA522" s="7">
        <v>1</v>
      </c>
      <c r="BB522" s="7">
        <v>2</v>
      </c>
      <c r="BC522" s="7">
        <v>2</v>
      </c>
      <c r="BD522" s="7">
        <v>2</v>
      </c>
      <c r="BE522" s="7">
        <v>2</v>
      </c>
      <c r="BF522" s="7">
        <v>2</v>
      </c>
      <c r="BG522" s="12">
        <f>SUM(data__22[[#This Row],[N1]:[N4]],data__22[[#This Row],[N10]:[N13]],data__22[[#This Row],[N16]:[N18]])/11</f>
        <v>1.0909090909090908</v>
      </c>
      <c r="BH522" s="13">
        <f>SUM(data__22[[#This Row],[N8]:[N9]],data__22[[#This Row],[N23]:[N25]])/5</f>
        <v>1</v>
      </c>
      <c r="BI522" s="12">
        <f>SUM(data__22[[#This Row],[N5]:[N7]])/3</f>
        <v>1</v>
      </c>
      <c r="BJ522" s="12">
        <f>SUM(data__22[[#This Row],[N14]:[N15]],data__22[[#This Row],[N19]:[N22]],data__22[[#This Row],[N26]:[N28]])/9</f>
        <v>1</v>
      </c>
      <c r="BK522" s="12">
        <f>SUM(data__22[[#This Row],[N29]:[N33]])/5</f>
        <v>1.4</v>
      </c>
      <c r="BL522" s="12">
        <f>SUM(data__22[[#This Row],[N34]:[N36]])/3</f>
        <v>2</v>
      </c>
    </row>
    <row r="523" spans="1:64" x14ac:dyDescent="0.3">
      <c r="A523" s="7">
        <v>21</v>
      </c>
      <c r="B523" s="7" t="s">
        <v>70</v>
      </c>
      <c r="C523" s="7" t="s">
        <v>157</v>
      </c>
      <c r="D523" s="7" t="s">
        <v>72</v>
      </c>
      <c r="E523" s="7" t="s">
        <v>114</v>
      </c>
      <c r="F523" s="7" t="s">
        <v>74</v>
      </c>
      <c r="G523" s="7" t="s">
        <v>439</v>
      </c>
      <c r="H523" s="7" t="s">
        <v>74</v>
      </c>
      <c r="I523" s="7" t="s">
        <v>439</v>
      </c>
      <c r="J523" s="7" t="s">
        <v>77</v>
      </c>
      <c r="K523" s="7" t="s">
        <v>122</v>
      </c>
      <c r="L523" s="8" t="s">
        <v>82</v>
      </c>
      <c r="M523" s="8" t="s">
        <v>80</v>
      </c>
      <c r="N523" s="8" t="s">
        <v>79</v>
      </c>
      <c r="O523" s="8" t="s">
        <v>109</v>
      </c>
      <c r="P523" s="8" t="s">
        <v>82</v>
      </c>
      <c r="Q523" s="8" t="s">
        <v>83</v>
      </c>
      <c r="R523" s="8" t="s">
        <v>82</v>
      </c>
      <c r="S523" s="8" t="s">
        <v>82</v>
      </c>
      <c r="T523" s="8" t="s">
        <v>106</v>
      </c>
      <c r="U523" s="8" t="s">
        <v>87</v>
      </c>
      <c r="V523" s="8" t="s">
        <v>112</v>
      </c>
      <c r="W523" s="9">
        <v>3</v>
      </c>
      <c r="X523" s="9">
        <v>3</v>
      </c>
      <c r="Y523" s="9">
        <v>2</v>
      </c>
      <c r="Z523" s="9">
        <v>3</v>
      </c>
      <c r="AA523" s="9">
        <v>2</v>
      </c>
      <c r="AB523" s="9">
        <v>2</v>
      </c>
      <c r="AC523" s="9">
        <v>2</v>
      </c>
      <c r="AD523" s="9">
        <v>1</v>
      </c>
      <c r="AE523" s="9">
        <v>2</v>
      </c>
      <c r="AF523" s="9">
        <v>0</v>
      </c>
      <c r="AG523" s="9">
        <v>3</v>
      </c>
      <c r="AH523" s="9">
        <v>3</v>
      </c>
      <c r="AI523" s="9">
        <v>3</v>
      </c>
      <c r="AJ523" s="9">
        <v>2</v>
      </c>
      <c r="AK523" s="9">
        <v>2</v>
      </c>
      <c r="AL523" s="10">
        <v>3</v>
      </c>
      <c r="AM523" s="10">
        <v>3</v>
      </c>
      <c r="AN523" s="10">
        <v>3</v>
      </c>
      <c r="AO523" s="10">
        <v>1</v>
      </c>
      <c r="AP523" s="10">
        <v>0</v>
      </c>
      <c r="AQ523" s="10">
        <v>0</v>
      </c>
      <c r="AR523" s="10">
        <v>0</v>
      </c>
      <c r="AS523" s="11">
        <v>3</v>
      </c>
      <c r="AT523" s="11">
        <v>3</v>
      </c>
      <c r="AU523" s="11">
        <v>3</v>
      </c>
      <c r="AV523" s="11">
        <v>0</v>
      </c>
      <c r="AW523" s="11">
        <v>0</v>
      </c>
      <c r="AX523" s="11">
        <v>0</v>
      </c>
      <c r="AY523" s="7">
        <v>3</v>
      </c>
      <c r="AZ523" s="7">
        <v>3</v>
      </c>
      <c r="BA523" s="7">
        <v>3</v>
      </c>
      <c r="BB523" s="7">
        <v>3</v>
      </c>
      <c r="BC523" s="7">
        <v>3</v>
      </c>
      <c r="BD523" s="7">
        <v>0</v>
      </c>
      <c r="BE523" s="7">
        <v>0</v>
      </c>
      <c r="BF523" s="7">
        <v>0</v>
      </c>
      <c r="BG523" s="12">
        <f>SUM(data__22[[#This Row],[N1]:[N4]],data__22[[#This Row],[N10]:[N13]],data__22[[#This Row],[N16]:[N18]])/11</f>
        <v>2.6363636363636362</v>
      </c>
      <c r="BH523" s="13">
        <f>SUM(data__22[[#This Row],[N8]:[N9]],data__22[[#This Row],[N23]:[N25]])/5</f>
        <v>2.4</v>
      </c>
      <c r="BI523" s="12">
        <f>SUM(data__22[[#This Row],[N5]:[N7]])/3</f>
        <v>2</v>
      </c>
      <c r="BJ523" s="12">
        <f>SUM(data__22[[#This Row],[N14]:[N15]],data__22[[#This Row],[N19]:[N22]],data__22[[#This Row],[N26]:[N28]])/9</f>
        <v>0.55555555555555558</v>
      </c>
      <c r="BK523" s="12">
        <f>SUM(data__22[[#This Row],[N29]:[N33]])/5</f>
        <v>3</v>
      </c>
      <c r="BL523" s="12">
        <f>SUM(data__22[[#This Row],[N34]:[N36]])/3</f>
        <v>0</v>
      </c>
    </row>
    <row r="524" spans="1:64" x14ac:dyDescent="0.3">
      <c r="A524" s="7">
        <v>23</v>
      </c>
      <c r="B524" s="7" t="s">
        <v>70</v>
      </c>
      <c r="C524" s="7" t="s">
        <v>113</v>
      </c>
      <c r="D524" s="7" t="s">
        <v>149</v>
      </c>
      <c r="E524" s="7" t="s">
        <v>108</v>
      </c>
      <c r="F524" s="7" t="s">
        <v>74</v>
      </c>
      <c r="G524" s="7" t="s">
        <v>440</v>
      </c>
      <c r="H524" s="7" t="s">
        <v>136</v>
      </c>
      <c r="I524" s="7" t="s">
        <v>76</v>
      </c>
      <c r="J524" s="7" t="s">
        <v>77</v>
      </c>
      <c r="K524" s="7" t="s">
        <v>122</v>
      </c>
      <c r="L524" s="8" t="s">
        <v>82</v>
      </c>
      <c r="M524" s="8" t="s">
        <v>80</v>
      </c>
      <c r="N524" s="8" t="s">
        <v>79</v>
      </c>
      <c r="O524" s="8" t="s">
        <v>133</v>
      </c>
      <c r="P524" s="8" t="s">
        <v>82</v>
      </c>
      <c r="Q524" s="8" t="s">
        <v>83</v>
      </c>
      <c r="R524" s="8" t="s">
        <v>82</v>
      </c>
      <c r="S524" s="8" t="s">
        <v>82</v>
      </c>
      <c r="T524" s="8" t="s">
        <v>106</v>
      </c>
      <c r="U524" s="8" t="s">
        <v>141</v>
      </c>
      <c r="V524" s="8" t="s">
        <v>457</v>
      </c>
      <c r="W524" s="9">
        <v>2</v>
      </c>
      <c r="X524" s="9">
        <v>3</v>
      </c>
      <c r="Y524" s="9">
        <v>3</v>
      </c>
      <c r="Z524" s="9">
        <v>3</v>
      </c>
      <c r="AA524" s="9">
        <v>0</v>
      </c>
      <c r="AB524" s="9">
        <v>1</v>
      </c>
      <c r="AC524" s="9">
        <v>0</v>
      </c>
      <c r="AD524" s="9">
        <v>3</v>
      </c>
      <c r="AE524" s="9">
        <v>3</v>
      </c>
      <c r="AF524" s="9">
        <v>3</v>
      </c>
      <c r="AG524" s="9">
        <v>3</v>
      </c>
      <c r="AH524" s="9">
        <v>3</v>
      </c>
      <c r="AI524" s="9">
        <v>3</v>
      </c>
      <c r="AJ524" s="9">
        <v>0</v>
      </c>
      <c r="AK524" s="9">
        <v>0</v>
      </c>
      <c r="AL524" s="10">
        <v>3</v>
      </c>
      <c r="AM524" s="10">
        <v>3</v>
      </c>
      <c r="AN524" s="10">
        <v>3</v>
      </c>
      <c r="AO524" s="10">
        <v>0</v>
      </c>
      <c r="AP524" s="10">
        <v>0</v>
      </c>
      <c r="AQ524" s="10">
        <v>0</v>
      </c>
      <c r="AR524" s="10">
        <v>0</v>
      </c>
      <c r="AS524" s="11">
        <v>2</v>
      </c>
      <c r="AT524" s="11">
        <v>2</v>
      </c>
      <c r="AU524" s="11">
        <v>2</v>
      </c>
      <c r="AV524" s="11">
        <v>1</v>
      </c>
      <c r="AW524" s="11">
        <v>1</v>
      </c>
      <c r="AX524" s="11">
        <v>0</v>
      </c>
      <c r="AY524" s="7"/>
      <c r="AZ524" s="7"/>
      <c r="BA524" s="7"/>
      <c r="BB524" s="7"/>
      <c r="BC524" s="7"/>
      <c r="BD524" s="7"/>
      <c r="BE524" s="7"/>
      <c r="BF524" s="7"/>
      <c r="BG524" s="12">
        <f>SUM(data__22[[#This Row],[N1]:[N4]],data__22[[#This Row],[N10]:[N13]],data__22[[#This Row],[N16]:[N18]])/11</f>
        <v>2.9090909090909092</v>
      </c>
      <c r="BH524" s="13">
        <f>SUM(data__22[[#This Row],[N8]:[N9]],data__22[[#This Row],[N23]:[N25]])/5</f>
        <v>2.4</v>
      </c>
      <c r="BI524" s="12">
        <f>SUM(data__22[[#This Row],[N5]:[N7]])/3</f>
        <v>0.33333333333333331</v>
      </c>
      <c r="BJ524" s="12">
        <f>SUM(data__22[[#This Row],[N14]:[N15]],data__22[[#This Row],[N19]:[N22]],data__22[[#This Row],[N26]:[N28]])/9</f>
        <v>0.22222222222222221</v>
      </c>
      <c r="BK524" s="12">
        <f>SUM(data__22[[#This Row],[N29]:[N33]])/5</f>
        <v>0</v>
      </c>
      <c r="BL524" s="12">
        <f>SUM(data__22[[#This Row],[N34]:[N36]])/3</f>
        <v>0</v>
      </c>
    </row>
    <row r="525" spans="1:64" x14ac:dyDescent="0.3">
      <c r="A525" s="7">
        <v>21</v>
      </c>
      <c r="B525" s="7" t="s">
        <v>70</v>
      </c>
      <c r="C525" s="7" t="s">
        <v>113</v>
      </c>
      <c r="D525" s="7" t="s">
        <v>72</v>
      </c>
      <c r="E525" s="7" t="s">
        <v>108</v>
      </c>
      <c r="F525" s="7" t="s">
        <v>74</v>
      </c>
      <c r="G525" s="7" t="s">
        <v>439</v>
      </c>
      <c r="H525" s="7" t="s">
        <v>74</v>
      </c>
      <c r="I525" s="7" t="s">
        <v>76</v>
      </c>
      <c r="J525" s="7" t="s">
        <v>77</v>
      </c>
      <c r="K525" s="7" t="s">
        <v>125</v>
      </c>
      <c r="L525" s="8" t="s">
        <v>82</v>
      </c>
      <c r="M525" s="8" t="s">
        <v>80</v>
      </c>
      <c r="N525" s="8" t="s">
        <v>79</v>
      </c>
      <c r="O525" s="8" t="s">
        <v>81</v>
      </c>
      <c r="P525" s="8" t="s">
        <v>82</v>
      </c>
      <c r="Q525" s="8" t="s">
        <v>83</v>
      </c>
      <c r="R525" s="8" t="s">
        <v>82</v>
      </c>
      <c r="S525" s="8" t="s">
        <v>82</v>
      </c>
      <c r="T525" s="8" t="s">
        <v>106</v>
      </c>
      <c r="U525" s="8" t="s">
        <v>87</v>
      </c>
      <c r="V525" s="8" t="s">
        <v>112</v>
      </c>
      <c r="W525" s="9">
        <v>1</v>
      </c>
      <c r="X525" s="9">
        <v>1</v>
      </c>
      <c r="Y525" s="9">
        <v>3</v>
      </c>
      <c r="Z525" s="9">
        <v>3</v>
      </c>
      <c r="AA525" s="9">
        <v>1</v>
      </c>
      <c r="AB525" s="9">
        <v>1</v>
      </c>
      <c r="AC525" s="9">
        <v>1</v>
      </c>
      <c r="AD525" s="9">
        <v>0</v>
      </c>
      <c r="AE525" s="9">
        <v>0</v>
      </c>
      <c r="AF525" s="9">
        <v>0</v>
      </c>
      <c r="AG525" s="9">
        <v>3</v>
      </c>
      <c r="AH525" s="9">
        <v>3</v>
      </c>
      <c r="AI525" s="9">
        <v>3</v>
      </c>
      <c r="AJ525" s="9">
        <v>0</v>
      </c>
      <c r="AK525" s="9">
        <v>0</v>
      </c>
      <c r="AL525" s="10">
        <v>3</v>
      </c>
      <c r="AM525" s="10">
        <v>3</v>
      </c>
      <c r="AN525" s="10">
        <v>3</v>
      </c>
      <c r="AO525" s="10">
        <v>0</v>
      </c>
      <c r="AP525" s="10">
        <v>0</v>
      </c>
      <c r="AQ525" s="10">
        <v>0</v>
      </c>
      <c r="AR525" s="10">
        <v>0</v>
      </c>
      <c r="AS525" s="11">
        <v>2</v>
      </c>
      <c r="AT525" s="11">
        <v>1</v>
      </c>
      <c r="AU525" s="11">
        <v>3</v>
      </c>
      <c r="AV525" s="11">
        <v>1</v>
      </c>
      <c r="AW525" s="11">
        <v>1</v>
      </c>
      <c r="AX525" s="11">
        <v>0</v>
      </c>
      <c r="AY525" s="7"/>
      <c r="AZ525" s="7"/>
      <c r="BA525" s="7"/>
      <c r="BB525" s="7"/>
      <c r="BC525" s="7"/>
      <c r="BD525" s="7"/>
      <c r="BE525" s="7"/>
      <c r="BF525" s="7"/>
      <c r="BG525" s="12">
        <f>SUM(data__22[[#This Row],[N1]:[N4]],data__22[[#This Row],[N10]:[N13]],data__22[[#This Row],[N16]:[N18]])/11</f>
        <v>2.3636363636363638</v>
      </c>
      <c r="BH525" s="13">
        <f>SUM(data__22[[#This Row],[N8]:[N9]],data__22[[#This Row],[N23]:[N25]])/5</f>
        <v>1.2</v>
      </c>
      <c r="BI525" s="12">
        <f>SUM(data__22[[#This Row],[N5]:[N7]])/3</f>
        <v>1</v>
      </c>
      <c r="BJ525" s="12">
        <f>SUM(data__22[[#This Row],[N14]:[N15]],data__22[[#This Row],[N19]:[N22]],data__22[[#This Row],[N26]:[N28]])/9</f>
        <v>0.22222222222222221</v>
      </c>
      <c r="BK525" s="12">
        <f>SUM(data__22[[#This Row],[N29]:[N33]])/5</f>
        <v>0</v>
      </c>
      <c r="BL525" s="12">
        <f>SUM(data__22[[#This Row],[N34]:[N36]])/3</f>
        <v>0</v>
      </c>
    </row>
    <row r="526" spans="1:64" x14ac:dyDescent="0.3">
      <c r="A526" s="7">
        <v>22</v>
      </c>
      <c r="B526" s="7" t="s">
        <v>70</v>
      </c>
      <c r="C526" s="7" t="s">
        <v>113</v>
      </c>
      <c r="D526" s="7" t="s">
        <v>97</v>
      </c>
      <c r="E526" s="7" t="s">
        <v>108</v>
      </c>
      <c r="F526" s="7" t="s">
        <v>74</v>
      </c>
      <c r="G526" s="7" t="s">
        <v>439</v>
      </c>
      <c r="H526" s="7" t="s">
        <v>74</v>
      </c>
      <c r="I526" s="7" t="s">
        <v>439</v>
      </c>
      <c r="J526" s="7" t="s">
        <v>77</v>
      </c>
      <c r="K526" s="7" t="s">
        <v>122</v>
      </c>
      <c r="L526" s="8" t="s">
        <v>79</v>
      </c>
      <c r="M526" s="8" t="s">
        <v>80</v>
      </c>
      <c r="N526" s="8" t="s">
        <v>79</v>
      </c>
      <c r="O526" s="8" t="s">
        <v>117</v>
      </c>
      <c r="P526" s="8" t="s">
        <v>79</v>
      </c>
      <c r="Q526" s="8" t="s">
        <v>83</v>
      </c>
      <c r="R526" s="8" t="s">
        <v>79</v>
      </c>
      <c r="S526" s="8" t="s">
        <v>79</v>
      </c>
      <c r="T526" s="8" t="s">
        <v>106</v>
      </c>
      <c r="U526" s="8" t="s">
        <v>120</v>
      </c>
      <c r="V526" s="8" t="s">
        <v>112</v>
      </c>
      <c r="W526" s="9">
        <v>2</v>
      </c>
      <c r="X526" s="9">
        <v>2</v>
      </c>
      <c r="Y526" s="9">
        <v>2</v>
      </c>
      <c r="Z526" s="9">
        <v>2</v>
      </c>
      <c r="AA526" s="9">
        <v>2</v>
      </c>
      <c r="AB526" s="9">
        <v>2</v>
      </c>
      <c r="AC526" s="9">
        <v>2</v>
      </c>
      <c r="AD526" s="9">
        <v>2</v>
      </c>
      <c r="AE526" s="9">
        <v>2</v>
      </c>
      <c r="AF526" s="9">
        <v>2</v>
      </c>
      <c r="AG526" s="9">
        <v>2</v>
      </c>
      <c r="AH526" s="9">
        <v>2</v>
      </c>
      <c r="AI526" s="9">
        <v>2</v>
      </c>
      <c r="AJ526" s="9">
        <v>2</v>
      </c>
      <c r="AK526" s="9">
        <v>2</v>
      </c>
      <c r="AL526" s="10">
        <v>2</v>
      </c>
      <c r="AM526" s="10">
        <v>2</v>
      </c>
      <c r="AN526" s="10">
        <v>2</v>
      </c>
      <c r="AO526" s="10">
        <v>2</v>
      </c>
      <c r="AP526" s="10">
        <v>2</v>
      </c>
      <c r="AQ526" s="10">
        <v>2</v>
      </c>
      <c r="AR526" s="10">
        <v>2</v>
      </c>
      <c r="AS526" s="11">
        <v>2</v>
      </c>
      <c r="AT526" s="11">
        <v>2</v>
      </c>
      <c r="AU526" s="11">
        <v>2</v>
      </c>
      <c r="AV526" s="11">
        <v>2</v>
      </c>
      <c r="AW526" s="11">
        <v>2</v>
      </c>
      <c r="AX526" s="11">
        <v>2</v>
      </c>
      <c r="AY526" s="7">
        <v>2</v>
      </c>
      <c r="AZ526" s="7">
        <v>2</v>
      </c>
      <c r="BA526" s="7">
        <v>2</v>
      </c>
      <c r="BB526" s="7">
        <v>2</v>
      </c>
      <c r="BC526" s="7">
        <v>2</v>
      </c>
      <c r="BD526" s="7">
        <v>2</v>
      </c>
      <c r="BE526" s="7">
        <v>2</v>
      </c>
      <c r="BF526" s="7">
        <v>2</v>
      </c>
      <c r="BG526" s="12">
        <f>SUM(data__22[[#This Row],[N1]:[N4]],data__22[[#This Row],[N10]:[N13]],data__22[[#This Row],[N16]:[N18]])/11</f>
        <v>2</v>
      </c>
      <c r="BH526" s="13">
        <f>SUM(data__22[[#This Row],[N8]:[N9]],data__22[[#This Row],[N23]:[N25]])/5</f>
        <v>2</v>
      </c>
      <c r="BI526" s="12">
        <f>SUM(data__22[[#This Row],[N5]:[N7]])/3</f>
        <v>2</v>
      </c>
      <c r="BJ526" s="12">
        <f>SUM(data__22[[#This Row],[N14]:[N15]],data__22[[#This Row],[N19]:[N22]],data__22[[#This Row],[N26]:[N28]])/9</f>
        <v>2</v>
      </c>
      <c r="BK526" s="12">
        <f>SUM(data__22[[#This Row],[N29]:[N33]])/5</f>
        <v>2</v>
      </c>
      <c r="BL526" s="12">
        <f>SUM(data__22[[#This Row],[N34]:[N36]])/3</f>
        <v>2</v>
      </c>
    </row>
    <row r="527" spans="1:64" x14ac:dyDescent="0.3">
      <c r="A527" s="7">
        <v>22</v>
      </c>
      <c r="B527" s="7" t="s">
        <v>70</v>
      </c>
      <c r="C527" s="7" t="s">
        <v>113</v>
      </c>
      <c r="D527" s="7" t="s">
        <v>72</v>
      </c>
      <c r="E527" s="7" t="s">
        <v>114</v>
      </c>
      <c r="F527" s="7" t="s">
        <v>136</v>
      </c>
      <c r="G527" s="7" t="s">
        <v>439</v>
      </c>
      <c r="H527" s="7" t="s">
        <v>98</v>
      </c>
      <c r="I527" s="7" t="s">
        <v>76</v>
      </c>
      <c r="J527" s="7" t="s">
        <v>77</v>
      </c>
      <c r="K527" s="7" t="s">
        <v>125</v>
      </c>
      <c r="L527" s="8" t="s">
        <v>82</v>
      </c>
      <c r="M527" s="8" t="s">
        <v>102</v>
      </c>
      <c r="N527" s="8" t="s">
        <v>79</v>
      </c>
      <c r="O527" s="8" t="s">
        <v>117</v>
      </c>
      <c r="P527" s="8" t="s">
        <v>82</v>
      </c>
      <c r="Q527" s="8" t="s">
        <v>83</v>
      </c>
      <c r="R527" s="8" t="s">
        <v>79</v>
      </c>
      <c r="S527" s="8" t="s">
        <v>82</v>
      </c>
      <c r="T527" s="8" t="s">
        <v>86</v>
      </c>
      <c r="U527" s="8" t="s">
        <v>87</v>
      </c>
      <c r="V527" s="8" t="s">
        <v>112</v>
      </c>
      <c r="W527" s="9">
        <v>1</v>
      </c>
      <c r="X527" s="9">
        <v>3</v>
      </c>
      <c r="Y527" s="9">
        <v>3</v>
      </c>
      <c r="Z527" s="9">
        <v>2</v>
      </c>
      <c r="AA527" s="9">
        <v>1</v>
      </c>
      <c r="AB527" s="9">
        <v>1</v>
      </c>
      <c r="AC527" s="9">
        <v>0</v>
      </c>
      <c r="AD527" s="9">
        <v>1</v>
      </c>
      <c r="AE527" s="9">
        <v>1</v>
      </c>
      <c r="AF527" s="9">
        <v>3</v>
      </c>
      <c r="AG527" s="9">
        <v>2</v>
      </c>
      <c r="AH527" s="9">
        <v>2</v>
      </c>
      <c r="AI527" s="9">
        <v>2</v>
      </c>
      <c r="AJ527" s="9">
        <v>1</v>
      </c>
      <c r="AK527" s="9">
        <v>0</v>
      </c>
      <c r="AL527" s="10">
        <v>1</v>
      </c>
      <c r="AM527" s="10">
        <v>2</v>
      </c>
      <c r="AN527" s="10">
        <v>2</v>
      </c>
      <c r="AO527" s="10">
        <v>0</v>
      </c>
      <c r="AP527" s="10">
        <v>0</v>
      </c>
      <c r="AQ527" s="10">
        <v>0</v>
      </c>
      <c r="AR527" s="10">
        <v>0</v>
      </c>
      <c r="AS527" s="11">
        <v>1</v>
      </c>
      <c r="AT527" s="11">
        <v>1</v>
      </c>
      <c r="AU527" s="11">
        <v>1</v>
      </c>
      <c r="AV527" s="11">
        <v>1</v>
      </c>
      <c r="AW527" s="11">
        <v>0</v>
      </c>
      <c r="AX527" s="11">
        <v>0</v>
      </c>
      <c r="AY527" s="7">
        <v>3</v>
      </c>
      <c r="AZ527" s="7">
        <v>1</v>
      </c>
      <c r="BA527" s="7">
        <v>1</v>
      </c>
      <c r="BB527" s="7">
        <v>3</v>
      </c>
      <c r="BC527" s="7">
        <v>3</v>
      </c>
      <c r="BD527" s="7">
        <v>1</v>
      </c>
      <c r="BE527" s="7">
        <v>1</v>
      </c>
      <c r="BF527" s="7">
        <v>1</v>
      </c>
      <c r="BG527" s="12">
        <f>SUM(data__22[[#This Row],[N1]:[N4]],data__22[[#This Row],[N10]:[N13]],data__22[[#This Row],[N16]:[N18]])/11</f>
        <v>2.0909090909090908</v>
      </c>
      <c r="BH527" s="13">
        <f>SUM(data__22[[#This Row],[N8]:[N9]],data__22[[#This Row],[N23]:[N25]])/5</f>
        <v>1</v>
      </c>
      <c r="BI527" s="12">
        <f>SUM(data__22[[#This Row],[N5]:[N7]])/3</f>
        <v>0.66666666666666663</v>
      </c>
      <c r="BJ527" s="12">
        <f>SUM(data__22[[#This Row],[N14]:[N15]],data__22[[#This Row],[N19]:[N22]],data__22[[#This Row],[N26]:[N28]])/9</f>
        <v>0.22222222222222221</v>
      </c>
      <c r="BK527" s="12">
        <f>SUM(data__22[[#This Row],[N29]:[N33]])/5</f>
        <v>2.2000000000000002</v>
      </c>
      <c r="BL527" s="12">
        <f>SUM(data__22[[#This Row],[N34]:[N36]])/3</f>
        <v>1</v>
      </c>
    </row>
    <row r="528" spans="1:64" x14ac:dyDescent="0.3">
      <c r="A528" s="7">
        <v>21</v>
      </c>
      <c r="B528" s="7" t="s">
        <v>128</v>
      </c>
      <c r="C528" s="7" t="s">
        <v>157</v>
      </c>
      <c r="D528" s="7" t="s">
        <v>72</v>
      </c>
      <c r="E528" s="7" t="s">
        <v>108</v>
      </c>
      <c r="F528" s="7" t="s">
        <v>74</v>
      </c>
      <c r="G528" s="7" t="s">
        <v>440</v>
      </c>
      <c r="H528" s="7" t="s">
        <v>74</v>
      </c>
      <c r="I528" s="7" t="s">
        <v>76</v>
      </c>
      <c r="J528" s="7" t="s">
        <v>77</v>
      </c>
      <c r="K528" s="7" t="s">
        <v>125</v>
      </c>
      <c r="L528" s="8" t="s">
        <v>79</v>
      </c>
      <c r="M528" s="8" t="s">
        <v>80</v>
      </c>
      <c r="N528" s="8" t="s">
        <v>79</v>
      </c>
      <c r="O528" s="8" t="s">
        <v>81</v>
      </c>
      <c r="P528" s="8" t="s">
        <v>79</v>
      </c>
      <c r="Q528" s="8" t="s">
        <v>103</v>
      </c>
      <c r="R528" s="8" t="s">
        <v>79</v>
      </c>
      <c r="S528" s="8" t="s">
        <v>79</v>
      </c>
      <c r="T528" s="8" t="s">
        <v>106</v>
      </c>
      <c r="U528" s="8" t="s">
        <v>141</v>
      </c>
      <c r="V528" s="8" t="s">
        <v>112</v>
      </c>
      <c r="W528" s="9">
        <v>2</v>
      </c>
      <c r="X528" s="9">
        <v>3</v>
      </c>
      <c r="Y528" s="9">
        <v>0</v>
      </c>
      <c r="Z528" s="9">
        <v>3</v>
      </c>
      <c r="AA528" s="9">
        <v>3</v>
      </c>
      <c r="AB528" s="9">
        <v>1</v>
      </c>
      <c r="AC528" s="9">
        <v>1</v>
      </c>
      <c r="AD528" s="9">
        <v>3</v>
      </c>
      <c r="AE528" s="9">
        <v>3</v>
      </c>
      <c r="AF528" s="9">
        <v>1</v>
      </c>
      <c r="AG528" s="9">
        <v>3</v>
      </c>
      <c r="AH528" s="9">
        <v>3</v>
      </c>
      <c r="AI528" s="9">
        <v>3</v>
      </c>
      <c r="AJ528" s="9">
        <v>1</v>
      </c>
      <c r="AK528" s="9">
        <v>1</v>
      </c>
      <c r="AL528" s="10">
        <v>3</v>
      </c>
      <c r="AM528" s="10">
        <v>3</v>
      </c>
      <c r="AN528" s="10">
        <v>3</v>
      </c>
      <c r="AO528" s="10">
        <v>1</v>
      </c>
      <c r="AP528" s="10">
        <v>0</v>
      </c>
      <c r="AQ528" s="10">
        <v>0</v>
      </c>
      <c r="AR528" s="10">
        <v>0</v>
      </c>
      <c r="AS528" s="11">
        <v>1</v>
      </c>
      <c r="AT528" s="11">
        <v>2</v>
      </c>
      <c r="AU528" s="11">
        <v>1</v>
      </c>
      <c r="AV528" s="11">
        <v>2</v>
      </c>
      <c r="AW528" s="11">
        <v>0</v>
      </c>
      <c r="AX528" s="11">
        <v>0</v>
      </c>
      <c r="AY528" s="7">
        <v>2</v>
      </c>
      <c r="AZ528" s="7">
        <v>2</v>
      </c>
      <c r="BA528" s="7">
        <v>2</v>
      </c>
      <c r="BB528" s="7">
        <v>3</v>
      </c>
      <c r="BC528" s="7">
        <v>3</v>
      </c>
      <c r="BD528" s="7">
        <v>0</v>
      </c>
      <c r="BE528" s="7">
        <v>2</v>
      </c>
      <c r="BF528" s="7">
        <v>0</v>
      </c>
      <c r="BG528" s="12">
        <f>SUM(data__22[[#This Row],[N1]:[N4]],data__22[[#This Row],[N10]:[N13]],data__22[[#This Row],[N16]:[N18]])/11</f>
        <v>2.4545454545454546</v>
      </c>
      <c r="BH528" s="13">
        <f>SUM(data__22[[#This Row],[N8]:[N9]],data__22[[#This Row],[N23]:[N25]])/5</f>
        <v>2</v>
      </c>
      <c r="BI528" s="12">
        <f>SUM(data__22[[#This Row],[N5]:[N7]])/3</f>
        <v>1.6666666666666667</v>
      </c>
      <c r="BJ528" s="12">
        <f>SUM(data__22[[#This Row],[N14]:[N15]],data__22[[#This Row],[N19]:[N22]],data__22[[#This Row],[N26]:[N28]])/9</f>
        <v>0.55555555555555558</v>
      </c>
      <c r="BK528" s="12">
        <f>SUM(data__22[[#This Row],[N29]:[N33]])/5</f>
        <v>2.4</v>
      </c>
      <c r="BL528" s="12">
        <f>SUM(data__22[[#This Row],[N34]:[N36]])/3</f>
        <v>0.66666666666666663</v>
      </c>
    </row>
    <row r="529" spans="1:64" x14ac:dyDescent="0.3">
      <c r="A529" s="7">
        <v>19</v>
      </c>
      <c r="B529" s="7" t="s">
        <v>70</v>
      </c>
      <c r="C529" s="7" t="s">
        <v>157</v>
      </c>
      <c r="D529" s="7" t="s">
        <v>97</v>
      </c>
      <c r="E529" s="7" t="s">
        <v>114</v>
      </c>
      <c r="F529" s="7" t="s">
        <v>100</v>
      </c>
      <c r="G529" s="7" t="s">
        <v>438</v>
      </c>
      <c r="H529" s="7" t="s">
        <v>100</v>
      </c>
      <c r="I529" s="7" t="s">
        <v>76</v>
      </c>
      <c r="J529" s="7" t="s">
        <v>77</v>
      </c>
      <c r="K529" s="7" t="s">
        <v>125</v>
      </c>
      <c r="L529" s="8" t="s">
        <v>79</v>
      </c>
      <c r="M529" s="8" t="s">
        <v>80</v>
      </c>
      <c r="N529" s="8" t="s">
        <v>79</v>
      </c>
      <c r="O529" s="8" t="s">
        <v>109</v>
      </c>
      <c r="P529" s="8" t="s">
        <v>82</v>
      </c>
      <c r="Q529" s="8" t="s">
        <v>83</v>
      </c>
      <c r="R529" s="8" t="s">
        <v>82</v>
      </c>
      <c r="S529" s="8" t="s">
        <v>82</v>
      </c>
      <c r="T529" s="8" t="s">
        <v>106</v>
      </c>
      <c r="U529" s="8" t="s">
        <v>87</v>
      </c>
      <c r="V529" s="8" t="s">
        <v>112</v>
      </c>
      <c r="W529" s="9">
        <v>3</v>
      </c>
      <c r="X529" s="9">
        <v>2</v>
      </c>
      <c r="Y529" s="9">
        <v>2</v>
      </c>
      <c r="Z529" s="9">
        <v>3</v>
      </c>
      <c r="AA529" s="9">
        <v>2</v>
      </c>
      <c r="AB529" s="9">
        <v>3</v>
      </c>
      <c r="AC529" s="9">
        <v>2</v>
      </c>
      <c r="AD529" s="9">
        <v>3</v>
      </c>
      <c r="AE529" s="9">
        <v>2</v>
      </c>
      <c r="AF529" s="9">
        <v>2</v>
      </c>
      <c r="AG529" s="9">
        <v>2</v>
      </c>
      <c r="AH529" s="9">
        <v>2</v>
      </c>
      <c r="AI529" s="9">
        <v>2</v>
      </c>
      <c r="AJ529" s="9">
        <v>2</v>
      </c>
      <c r="AK529" s="9">
        <v>2</v>
      </c>
      <c r="AL529" s="10">
        <v>3</v>
      </c>
      <c r="AM529" s="10">
        <v>2</v>
      </c>
      <c r="AN529" s="10">
        <v>3</v>
      </c>
      <c r="AO529" s="10">
        <v>3</v>
      </c>
      <c r="AP529" s="10">
        <v>3</v>
      </c>
      <c r="AQ529" s="10">
        <v>3</v>
      </c>
      <c r="AR529" s="10">
        <v>2</v>
      </c>
      <c r="AS529" s="11">
        <v>3</v>
      </c>
      <c r="AT529" s="11">
        <v>3</v>
      </c>
      <c r="AU529" s="11">
        <v>3</v>
      </c>
      <c r="AV529" s="11">
        <v>3</v>
      </c>
      <c r="AW529" s="11">
        <v>3</v>
      </c>
      <c r="AX529" s="11">
        <v>3</v>
      </c>
      <c r="AY529" s="7">
        <v>2</v>
      </c>
      <c r="AZ529" s="7">
        <v>3</v>
      </c>
      <c r="BA529" s="7">
        <v>2</v>
      </c>
      <c r="BB529" s="7">
        <v>3</v>
      </c>
      <c r="BC529" s="7">
        <v>2</v>
      </c>
      <c r="BD529" s="7">
        <v>3</v>
      </c>
      <c r="BE529" s="7">
        <v>3</v>
      </c>
      <c r="BF529" s="7">
        <v>3</v>
      </c>
      <c r="BG529" s="12">
        <f>SUM(data__22[[#This Row],[N1]:[N4]],data__22[[#This Row],[N10]:[N13]],data__22[[#This Row],[N16]:[N18]])/11</f>
        <v>2.3636363636363638</v>
      </c>
      <c r="BH529" s="13">
        <f>SUM(data__22[[#This Row],[N8]:[N9]],data__22[[#This Row],[N23]:[N25]])/5</f>
        <v>2.8</v>
      </c>
      <c r="BI529" s="12">
        <f>SUM(data__22[[#This Row],[N5]:[N7]])/3</f>
        <v>2.3333333333333335</v>
      </c>
      <c r="BJ529" s="12">
        <f>SUM(data__22[[#This Row],[N14]:[N15]],data__22[[#This Row],[N19]:[N22]],data__22[[#This Row],[N26]:[N28]])/9</f>
        <v>2.6666666666666665</v>
      </c>
      <c r="BK529" s="12">
        <f>SUM(data__22[[#This Row],[N29]:[N33]])/5</f>
        <v>2.4</v>
      </c>
      <c r="BL529" s="12">
        <f>SUM(data__22[[#This Row],[N34]:[N36]])/3</f>
        <v>3</v>
      </c>
    </row>
    <row r="530" spans="1:64" x14ac:dyDescent="0.3">
      <c r="A530" s="7">
        <v>20</v>
      </c>
      <c r="B530" s="7" t="s">
        <v>70</v>
      </c>
      <c r="C530" s="7" t="s">
        <v>157</v>
      </c>
      <c r="D530" s="7" t="s">
        <v>149</v>
      </c>
      <c r="E530" s="7" t="s">
        <v>114</v>
      </c>
      <c r="F530" s="7" t="s">
        <v>74</v>
      </c>
      <c r="G530" s="7" t="s">
        <v>439</v>
      </c>
      <c r="H530" s="7" t="s">
        <v>74</v>
      </c>
      <c r="I530" s="7" t="s">
        <v>76</v>
      </c>
      <c r="J530" s="7" t="s">
        <v>77</v>
      </c>
      <c r="K530" s="7" t="s">
        <v>125</v>
      </c>
      <c r="L530" s="8" t="s">
        <v>79</v>
      </c>
      <c r="M530" s="8" t="s">
        <v>80</v>
      </c>
      <c r="N530" s="8" t="s">
        <v>82</v>
      </c>
      <c r="O530" s="8" t="s">
        <v>117</v>
      </c>
      <c r="P530" s="8" t="s">
        <v>82</v>
      </c>
      <c r="Q530" s="8" t="s">
        <v>103</v>
      </c>
      <c r="R530" s="8" t="s">
        <v>82</v>
      </c>
      <c r="S530" s="8" t="s">
        <v>82</v>
      </c>
      <c r="T530" s="8" t="s">
        <v>106</v>
      </c>
      <c r="U530" s="8" t="s">
        <v>141</v>
      </c>
      <c r="V530" s="8" t="s">
        <v>237</v>
      </c>
      <c r="W530" s="9">
        <v>2</v>
      </c>
      <c r="X530" s="9">
        <v>2</v>
      </c>
      <c r="Y530" s="9">
        <v>2</v>
      </c>
      <c r="Z530" s="9">
        <v>2</v>
      </c>
      <c r="AA530" s="9">
        <v>1</v>
      </c>
      <c r="AB530" s="9">
        <v>1</v>
      </c>
      <c r="AC530" s="9">
        <v>1</v>
      </c>
      <c r="AD530" s="9">
        <v>0</v>
      </c>
      <c r="AE530" s="9">
        <v>1</v>
      </c>
      <c r="AF530" s="9">
        <v>1</v>
      </c>
      <c r="AG530" s="9">
        <v>2</v>
      </c>
      <c r="AH530" s="9">
        <v>1</v>
      </c>
      <c r="AI530" s="9">
        <v>1</v>
      </c>
      <c r="AJ530" s="9">
        <v>1</v>
      </c>
      <c r="AK530" s="9">
        <v>1</v>
      </c>
      <c r="AL530" s="10">
        <v>1</v>
      </c>
      <c r="AM530" s="10">
        <v>1</v>
      </c>
      <c r="AN530" s="10">
        <v>1</v>
      </c>
      <c r="AO530" s="10">
        <v>1</v>
      </c>
      <c r="AP530" s="10">
        <v>1</v>
      </c>
      <c r="AQ530" s="10">
        <v>1</v>
      </c>
      <c r="AR530" s="10">
        <v>1</v>
      </c>
      <c r="AS530" s="11">
        <v>1</v>
      </c>
      <c r="AT530" s="11">
        <v>1</v>
      </c>
      <c r="AU530" s="11">
        <v>1</v>
      </c>
      <c r="AV530" s="11">
        <v>1</v>
      </c>
      <c r="AW530" s="11">
        <v>1</v>
      </c>
      <c r="AX530" s="11">
        <v>1</v>
      </c>
      <c r="AY530" s="7">
        <v>1</v>
      </c>
      <c r="AZ530" s="7">
        <v>1</v>
      </c>
      <c r="BA530" s="7">
        <v>1</v>
      </c>
      <c r="BB530" s="7">
        <v>1</v>
      </c>
      <c r="BC530" s="7">
        <v>1</v>
      </c>
      <c r="BD530" s="7">
        <v>1</v>
      </c>
      <c r="BE530" s="7">
        <v>1</v>
      </c>
      <c r="BF530" s="7">
        <v>1</v>
      </c>
      <c r="BG530" s="12">
        <f>SUM(data__22[[#This Row],[N1]:[N4]],data__22[[#This Row],[N10]:[N13]],data__22[[#This Row],[N16]:[N18]])/11</f>
        <v>1.4545454545454546</v>
      </c>
      <c r="BH530" s="13">
        <f>SUM(data__22[[#This Row],[N8]:[N9]],data__22[[#This Row],[N23]:[N25]])/5</f>
        <v>0.8</v>
      </c>
      <c r="BI530" s="12">
        <f>SUM(data__22[[#This Row],[N5]:[N7]])/3</f>
        <v>1</v>
      </c>
      <c r="BJ530" s="12">
        <f>SUM(data__22[[#This Row],[N14]:[N15]],data__22[[#This Row],[N19]:[N22]],data__22[[#This Row],[N26]:[N28]])/9</f>
        <v>1</v>
      </c>
      <c r="BK530" s="12">
        <f>SUM(data__22[[#This Row],[N29]:[N33]])/5</f>
        <v>1</v>
      </c>
      <c r="BL530" s="12">
        <f>SUM(data__22[[#This Row],[N34]:[N36]])/3</f>
        <v>1</v>
      </c>
    </row>
    <row r="531" spans="1:64" x14ac:dyDescent="0.3">
      <c r="A531" s="7">
        <v>20</v>
      </c>
      <c r="B531" s="7" t="s">
        <v>70</v>
      </c>
      <c r="C531" s="7" t="s">
        <v>157</v>
      </c>
      <c r="D531" s="7" t="s">
        <v>149</v>
      </c>
      <c r="E531" s="7" t="s">
        <v>114</v>
      </c>
      <c r="F531" s="7" t="s">
        <v>74</v>
      </c>
      <c r="G531" s="7" t="s">
        <v>440</v>
      </c>
      <c r="H531" s="7" t="s">
        <v>74</v>
      </c>
      <c r="I531" s="7" t="s">
        <v>439</v>
      </c>
      <c r="J531" s="7" t="s">
        <v>77</v>
      </c>
      <c r="K531" s="7" t="s">
        <v>125</v>
      </c>
      <c r="L531" s="8" t="s">
        <v>79</v>
      </c>
      <c r="M531" s="8" t="s">
        <v>80</v>
      </c>
      <c r="N531" s="8" t="s">
        <v>82</v>
      </c>
      <c r="O531" s="8" t="s">
        <v>117</v>
      </c>
      <c r="P531" s="8" t="s">
        <v>82</v>
      </c>
      <c r="Q531" s="8" t="s">
        <v>103</v>
      </c>
      <c r="R531" s="8" t="s">
        <v>82</v>
      </c>
      <c r="S531" s="8" t="s">
        <v>82</v>
      </c>
      <c r="T531" s="8" t="s">
        <v>106</v>
      </c>
      <c r="U531" s="8" t="s">
        <v>141</v>
      </c>
      <c r="V531" s="8" t="s">
        <v>237</v>
      </c>
      <c r="W531" s="9">
        <v>2</v>
      </c>
      <c r="X531" s="9">
        <v>2</v>
      </c>
      <c r="Y531" s="9">
        <v>2</v>
      </c>
      <c r="Z531" s="9">
        <v>2</v>
      </c>
      <c r="AA531" s="9">
        <v>1</v>
      </c>
      <c r="AB531" s="9">
        <v>1</v>
      </c>
      <c r="AC531" s="9">
        <v>1</v>
      </c>
      <c r="AD531" s="9">
        <v>0</v>
      </c>
      <c r="AE531" s="9">
        <v>1</v>
      </c>
      <c r="AF531" s="9">
        <v>1</v>
      </c>
      <c r="AG531" s="9">
        <v>2</v>
      </c>
      <c r="AH531" s="9">
        <v>1</v>
      </c>
      <c r="AI531" s="9">
        <v>1</v>
      </c>
      <c r="AJ531" s="9">
        <v>1</v>
      </c>
      <c r="AK531" s="9">
        <v>1</v>
      </c>
      <c r="AL531" s="10">
        <v>1</v>
      </c>
      <c r="AM531" s="10">
        <v>1</v>
      </c>
      <c r="AN531" s="10">
        <v>1</v>
      </c>
      <c r="AO531" s="10">
        <v>1</v>
      </c>
      <c r="AP531" s="10">
        <v>1</v>
      </c>
      <c r="AQ531" s="10">
        <v>1</v>
      </c>
      <c r="AR531" s="10">
        <v>1</v>
      </c>
      <c r="AS531" s="11">
        <v>1</v>
      </c>
      <c r="AT531" s="11">
        <v>1</v>
      </c>
      <c r="AU531" s="11">
        <v>1</v>
      </c>
      <c r="AV531" s="11">
        <v>1</v>
      </c>
      <c r="AW531" s="11">
        <v>1</v>
      </c>
      <c r="AX531" s="11">
        <v>1</v>
      </c>
      <c r="AY531" s="7">
        <v>1</v>
      </c>
      <c r="AZ531" s="7">
        <v>1</v>
      </c>
      <c r="BA531" s="7">
        <v>1</v>
      </c>
      <c r="BB531" s="7">
        <v>1</v>
      </c>
      <c r="BC531" s="7">
        <v>1</v>
      </c>
      <c r="BD531" s="7">
        <v>1</v>
      </c>
      <c r="BE531" s="7">
        <v>1</v>
      </c>
      <c r="BF531" s="7">
        <v>1</v>
      </c>
      <c r="BG531" s="12">
        <f>SUM(data__22[[#This Row],[N1]:[N4]],data__22[[#This Row],[N10]:[N13]],data__22[[#This Row],[N16]:[N18]])/11</f>
        <v>1.4545454545454546</v>
      </c>
      <c r="BH531" s="13">
        <f>SUM(data__22[[#This Row],[N8]:[N9]],data__22[[#This Row],[N23]:[N25]])/5</f>
        <v>0.8</v>
      </c>
      <c r="BI531" s="12">
        <f>SUM(data__22[[#This Row],[N5]:[N7]])/3</f>
        <v>1</v>
      </c>
      <c r="BJ531" s="12">
        <f>SUM(data__22[[#This Row],[N14]:[N15]],data__22[[#This Row],[N19]:[N22]],data__22[[#This Row],[N26]:[N28]])/9</f>
        <v>1</v>
      </c>
      <c r="BK531" s="12">
        <f>SUM(data__22[[#This Row],[N29]:[N33]])/5</f>
        <v>1</v>
      </c>
      <c r="BL531" s="12">
        <f>SUM(data__22[[#This Row],[N34]:[N36]])/3</f>
        <v>1</v>
      </c>
    </row>
    <row r="532" spans="1:64" x14ac:dyDescent="0.3">
      <c r="A532" s="7">
        <v>24</v>
      </c>
      <c r="B532" s="7" t="s">
        <v>70</v>
      </c>
      <c r="C532" s="7" t="s">
        <v>113</v>
      </c>
      <c r="D532" s="7" t="s">
        <v>97</v>
      </c>
      <c r="E532" s="7" t="s">
        <v>108</v>
      </c>
      <c r="F532" s="7" t="s">
        <v>74</v>
      </c>
      <c r="G532" s="7" t="s">
        <v>439</v>
      </c>
      <c r="H532" s="7" t="s">
        <v>98</v>
      </c>
      <c r="I532" s="7" t="s">
        <v>76</v>
      </c>
      <c r="J532" s="7" t="s">
        <v>77</v>
      </c>
      <c r="K532" s="7" t="s">
        <v>125</v>
      </c>
      <c r="L532" s="8" t="s">
        <v>79</v>
      </c>
      <c r="M532" s="8" t="s">
        <v>80</v>
      </c>
      <c r="N532" s="8" t="s">
        <v>79</v>
      </c>
      <c r="O532" s="8" t="s">
        <v>109</v>
      </c>
      <c r="P532" s="8" t="s">
        <v>82</v>
      </c>
      <c r="Q532" s="8" t="s">
        <v>103</v>
      </c>
      <c r="R532" s="8" t="s">
        <v>82</v>
      </c>
      <c r="S532" s="8" t="s">
        <v>82</v>
      </c>
      <c r="T532" s="8" t="s">
        <v>106</v>
      </c>
      <c r="U532" s="8" t="s">
        <v>87</v>
      </c>
      <c r="V532" s="8" t="s">
        <v>112</v>
      </c>
      <c r="W532" s="9">
        <v>1</v>
      </c>
      <c r="X532" s="9">
        <v>1</v>
      </c>
      <c r="Y532" s="9">
        <v>0</v>
      </c>
      <c r="Z532" s="9">
        <v>0</v>
      </c>
      <c r="AA532" s="9">
        <v>2</v>
      </c>
      <c r="AB532" s="9">
        <v>2</v>
      </c>
      <c r="AC532" s="9">
        <v>2</v>
      </c>
      <c r="AD532" s="9">
        <v>2</v>
      </c>
      <c r="AE532" s="9">
        <v>1</v>
      </c>
      <c r="AF532" s="9">
        <v>2</v>
      </c>
      <c r="AG532" s="9">
        <v>1</v>
      </c>
      <c r="AH532" s="9">
        <v>1</v>
      </c>
      <c r="AI532" s="9">
        <v>1</v>
      </c>
      <c r="AJ532" s="9">
        <v>1</v>
      </c>
      <c r="AK532" s="9">
        <v>2</v>
      </c>
      <c r="AL532" s="10">
        <v>2</v>
      </c>
      <c r="AM532" s="10">
        <v>3</v>
      </c>
      <c r="AN532" s="10">
        <v>3</v>
      </c>
      <c r="AO532" s="10">
        <v>1</v>
      </c>
      <c r="AP532" s="10">
        <v>0</v>
      </c>
      <c r="AQ532" s="10">
        <v>0</v>
      </c>
      <c r="AR532" s="10">
        <v>0</v>
      </c>
      <c r="AS532" s="11">
        <v>0</v>
      </c>
      <c r="AT532" s="11">
        <v>1</v>
      </c>
      <c r="AU532" s="11">
        <v>0</v>
      </c>
      <c r="AV532" s="11">
        <v>3</v>
      </c>
      <c r="AW532" s="11">
        <v>0</v>
      </c>
      <c r="AX532" s="11">
        <v>0</v>
      </c>
      <c r="AY532" s="7">
        <v>3</v>
      </c>
      <c r="AZ532" s="7">
        <v>3</v>
      </c>
      <c r="BA532" s="7">
        <v>3</v>
      </c>
      <c r="BB532" s="7">
        <v>3</v>
      </c>
      <c r="BC532" s="7">
        <v>3</v>
      </c>
      <c r="BD532" s="7">
        <v>0</v>
      </c>
      <c r="BE532" s="7">
        <v>2</v>
      </c>
      <c r="BF532" s="7">
        <v>0</v>
      </c>
      <c r="BG532" s="12">
        <f>SUM(data__22[[#This Row],[N1]:[N4]],data__22[[#This Row],[N10]:[N13]],data__22[[#This Row],[N16]:[N18]])/11</f>
        <v>1.3636363636363635</v>
      </c>
      <c r="BH532" s="13">
        <f>SUM(data__22[[#This Row],[N8]:[N9]],data__22[[#This Row],[N23]:[N25]])/5</f>
        <v>0.8</v>
      </c>
      <c r="BI532" s="12">
        <f>SUM(data__22[[#This Row],[N5]:[N7]])/3</f>
        <v>2</v>
      </c>
      <c r="BJ532" s="12">
        <f>SUM(data__22[[#This Row],[N14]:[N15]],data__22[[#This Row],[N19]:[N22]],data__22[[#This Row],[N26]:[N28]])/9</f>
        <v>0.77777777777777779</v>
      </c>
      <c r="BK532" s="12">
        <f>SUM(data__22[[#This Row],[N29]:[N33]])/5</f>
        <v>3</v>
      </c>
      <c r="BL532" s="12">
        <f>SUM(data__22[[#This Row],[N34]:[N36]])/3</f>
        <v>0.66666666666666663</v>
      </c>
    </row>
    <row r="533" spans="1:64" x14ac:dyDescent="0.3">
      <c r="A533" s="7">
        <v>22</v>
      </c>
      <c r="B533" s="7" t="s">
        <v>70</v>
      </c>
      <c r="C533" s="7" t="s">
        <v>113</v>
      </c>
      <c r="D533" s="7" t="s">
        <v>72</v>
      </c>
      <c r="E533" s="7" t="s">
        <v>114</v>
      </c>
      <c r="F533" s="7" t="s">
        <v>74</v>
      </c>
      <c r="G533" s="7" t="s">
        <v>99</v>
      </c>
      <c r="H533" s="7" t="s">
        <v>136</v>
      </c>
      <c r="I533" s="7" t="s">
        <v>76</v>
      </c>
      <c r="J533" s="7" t="s">
        <v>77</v>
      </c>
      <c r="K533" s="7" t="s">
        <v>125</v>
      </c>
      <c r="L533" s="8" t="s">
        <v>79</v>
      </c>
      <c r="M533" s="8" t="s">
        <v>80</v>
      </c>
      <c r="N533" s="8" t="s">
        <v>79</v>
      </c>
      <c r="O533" s="8" t="s">
        <v>133</v>
      </c>
      <c r="P533" s="8" t="s">
        <v>82</v>
      </c>
      <c r="Q533" s="8" t="s">
        <v>83</v>
      </c>
      <c r="R533" s="8" t="s">
        <v>82</v>
      </c>
      <c r="S533" s="8" t="s">
        <v>82</v>
      </c>
      <c r="T533" s="8" t="s">
        <v>106</v>
      </c>
      <c r="U533" s="8" t="s">
        <v>141</v>
      </c>
      <c r="V533" s="8" t="s">
        <v>112</v>
      </c>
      <c r="W533" s="9">
        <v>1</v>
      </c>
      <c r="X533" s="9">
        <v>1</v>
      </c>
      <c r="Y533" s="9">
        <v>1</v>
      </c>
      <c r="Z533" s="9">
        <v>0</v>
      </c>
      <c r="AA533" s="9">
        <v>2</v>
      </c>
      <c r="AB533" s="9">
        <v>1</v>
      </c>
      <c r="AC533" s="9">
        <v>0</v>
      </c>
      <c r="AD533" s="9">
        <v>1</v>
      </c>
      <c r="AE533" s="9">
        <v>2</v>
      </c>
      <c r="AF533" s="9">
        <v>1</v>
      </c>
      <c r="AG533" s="9">
        <v>1</v>
      </c>
      <c r="AH533" s="9">
        <v>2</v>
      </c>
      <c r="AI533" s="9">
        <v>1</v>
      </c>
      <c r="AJ533" s="9">
        <v>0</v>
      </c>
      <c r="AK533" s="9">
        <v>1</v>
      </c>
      <c r="AL533" s="10">
        <v>0</v>
      </c>
      <c r="AM533" s="10">
        <v>0</v>
      </c>
      <c r="AN533" s="10">
        <v>2</v>
      </c>
      <c r="AO533" s="10">
        <v>1</v>
      </c>
      <c r="AP533" s="10">
        <v>1</v>
      </c>
      <c r="AQ533" s="10">
        <v>2</v>
      </c>
      <c r="AR533" s="10">
        <v>0</v>
      </c>
      <c r="AS533" s="11">
        <v>2</v>
      </c>
      <c r="AT533" s="11">
        <v>1</v>
      </c>
      <c r="AU533" s="11">
        <v>2</v>
      </c>
      <c r="AV533" s="11">
        <v>3</v>
      </c>
      <c r="AW533" s="11">
        <v>1</v>
      </c>
      <c r="AX533" s="11">
        <v>2</v>
      </c>
      <c r="AY533" s="7">
        <v>0</v>
      </c>
      <c r="AZ533" s="7">
        <v>1</v>
      </c>
      <c r="BA533" s="7">
        <v>0</v>
      </c>
      <c r="BB533" s="7">
        <v>2</v>
      </c>
      <c r="BC533" s="7">
        <v>3</v>
      </c>
      <c r="BD533" s="7">
        <v>1</v>
      </c>
      <c r="BE533" s="7">
        <v>1</v>
      </c>
      <c r="BF533" s="7">
        <v>2</v>
      </c>
      <c r="BG533" s="12">
        <f>SUM(data__22[[#This Row],[N1]:[N4]],data__22[[#This Row],[N10]:[N13]],data__22[[#This Row],[N16]:[N18]])/11</f>
        <v>0.90909090909090906</v>
      </c>
      <c r="BH533" s="13">
        <f>SUM(data__22[[#This Row],[N8]:[N9]],data__22[[#This Row],[N23]:[N25]])/5</f>
        <v>1.6</v>
      </c>
      <c r="BI533" s="12">
        <f>SUM(data__22[[#This Row],[N5]:[N7]])/3</f>
        <v>1</v>
      </c>
      <c r="BJ533" s="12">
        <f>SUM(data__22[[#This Row],[N14]:[N15]],data__22[[#This Row],[N19]:[N22]],data__22[[#This Row],[N26]:[N28]])/9</f>
        <v>1.2222222222222223</v>
      </c>
      <c r="BK533" s="12">
        <f>SUM(data__22[[#This Row],[N29]:[N33]])/5</f>
        <v>1.2</v>
      </c>
      <c r="BL533" s="12">
        <f>SUM(data__22[[#This Row],[N34]:[N36]])/3</f>
        <v>1.3333333333333333</v>
      </c>
    </row>
    <row r="534" spans="1:64" x14ac:dyDescent="0.3">
      <c r="A534" s="7">
        <v>21</v>
      </c>
      <c r="B534" s="7" t="s">
        <v>70</v>
      </c>
      <c r="C534" s="7" t="s">
        <v>113</v>
      </c>
      <c r="D534" s="7" t="s">
        <v>72</v>
      </c>
      <c r="E534" s="7" t="s">
        <v>108</v>
      </c>
      <c r="F534" s="7" t="s">
        <v>74</v>
      </c>
      <c r="G534" s="7" t="s">
        <v>440</v>
      </c>
      <c r="H534" s="7" t="s">
        <v>98</v>
      </c>
      <c r="I534" s="7" t="s">
        <v>76</v>
      </c>
      <c r="J534" s="7" t="s">
        <v>101</v>
      </c>
      <c r="K534" s="7" t="s">
        <v>125</v>
      </c>
      <c r="L534" s="8" t="s">
        <v>82</v>
      </c>
      <c r="M534" s="8" t="s">
        <v>132</v>
      </c>
      <c r="N534" s="8" t="s">
        <v>79</v>
      </c>
      <c r="O534" s="8" t="s">
        <v>133</v>
      </c>
      <c r="P534" s="8" t="s">
        <v>79</v>
      </c>
      <c r="Q534" s="8" t="s">
        <v>83</v>
      </c>
      <c r="R534" s="8" t="s">
        <v>82</v>
      </c>
      <c r="S534" s="8" t="s">
        <v>82</v>
      </c>
      <c r="T534" s="8" t="s">
        <v>106</v>
      </c>
      <c r="U534" s="8" t="s">
        <v>120</v>
      </c>
      <c r="V534" s="8" t="s">
        <v>455</v>
      </c>
      <c r="W534" s="9">
        <v>1</v>
      </c>
      <c r="X534" s="9">
        <v>0</v>
      </c>
      <c r="Y534" s="9">
        <v>1</v>
      </c>
      <c r="Z534" s="9">
        <v>0</v>
      </c>
      <c r="AA534" s="9">
        <v>2</v>
      </c>
      <c r="AB534" s="9">
        <v>2</v>
      </c>
      <c r="AC534" s="9">
        <v>2</v>
      </c>
      <c r="AD534" s="9">
        <v>0</v>
      </c>
      <c r="AE534" s="9">
        <v>0</v>
      </c>
      <c r="AF534" s="9">
        <v>2</v>
      </c>
      <c r="AG534" s="9">
        <v>0</v>
      </c>
      <c r="AH534" s="9">
        <v>1</v>
      </c>
      <c r="AI534" s="9">
        <v>0</v>
      </c>
      <c r="AJ534" s="9">
        <v>1</v>
      </c>
      <c r="AK534" s="9">
        <v>2</v>
      </c>
      <c r="AL534" s="10">
        <v>0</v>
      </c>
      <c r="AM534" s="10">
        <v>1</v>
      </c>
      <c r="AN534" s="10">
        <v>0</v>
      </c>
      <c r="AO534" s="10">
        <v>0</v>
      </c>
      <c r="AP534" s="10">
        <v>0</v>
      </c>
      <c r="AQ534" s="10">
        <v>0</v>
      </c>
      <c r="AR534" s="10">
        <v>1</v>
      </c>
      <c r="AS534" s="11">
        <v>0</v>
      </c>
      <c r="AT534" s="11">
        <v>0</v>
      </c>
      <c r="AU534" s="11">
        <v>0</v>
      </c>
      <c r="AV534" s="11">
        <v>3</v>
      </c>
      <c r="AW534" s="11">
        <v>3</v>
      </c>
      <c r="AX534" s="11">
        <v>3</v>
      </c>
      <c r="AY534" s="7">
        <v>3</v>
      </c>
      <c r="AZ534" s="7">
        <v>0</v>
      </c>
      <c r="BA534" s="7">
        <v>3</v>
      </c>
      <c r="BB534" s="7">
        <v>3</v>
      </c>
      <c r="BC534" s="7">
        <v>1</v>
      </c>
      <c r="BD534" s="7">
        <v>0</v>
      </c>
      <c r="BE534" s="7">
        <v>0</v>
      </c>
      <c r="BF534" s="7">
        <v>3</v>
      </c>
      <c r="BG534" s="12">
        <f>SUM(data__22[[#This Row],[N1]:[N4]],data__22[[#This Row],[N10]:[N13]],data__22[[#This Row],[N16]:[N18]])/11</f>
        <v>0.54545454545454541</v>
      </c>
      <c r="BH534" s="13">
        <f>SUM(data__22[[#This Row],[N8]:[N9]],data__22[[#This Row],[N23]:[N25]])/5</f>
        <v>0</v>
      </c>
      <c r="BI534" s="12">
        <f>SUM(data__22[[#This Row],[N5]:[N7]])/3</f>
        <v>2</v>
      </c>
      <c r="BJ534" s="12">
        <f>SUM(data__22[[#This Row],[N14]:[N15]],data__22[[#This Row],[N19]:[N22]],data__22[[#This Row],[N26]:[N28]])/9</f>
        <v>1.4444444444444444</v>
      </c>
      <c r="BK534" s="12">
        <f>SUM(data__22[[#This Row],[N29]:[N33]])/5</f>
        <v>2</v>
      </c>
      <c r="BL534" s="12">
        <f>SUM(data__22[[#This Row],[N34]:[N36]])/3</f>
        <v>1</v>
      </c>
    </row>
    <row r="535" spans="1:64" x14ac:dyDescent="0.3">
      <c r="A535" s="7">
        <v>23</v>
      </c>
      <c r="B535" s="7" t="s">
        <v>70</v>
      </c>
      <c r="C535" s="7" t="s">
        <v>71</v>
      </c>
      <c r="D535" s="7" t="s">
        <v>72</v>
      </c>
      <c r="E535" s="7" t="s">
        <v>108</v>
      </c>
      <c r="F535" s="7" t="s">
        <v>74</v>
      </c>
      <c r="G535" s="7" t="s">
        <v>439</v>
      </c>
      <c r="H535" s="7" t="s">
        <v>74</v>
      </c>
      <c r="I535" s="7" t="s">
        <v>76</v>
      </c>
      <c r="J535" s="7" t="s">
        <v>77</v>
      </c>
      <c r="K535" s="7" t="s">
        <v>122</v>
      </c>
      <c r="L535" s="8" t="s">
        <v>79</v>
      </c>
      <c r="M535" s="8" t="s">
        <v>80</v>
      </c>
      <c r="N535" s="8" t="s">
        <v>79</v>
      </c>
      <c r="O535" s="8" t="s">
        <v>117</v>
      </c>
      <c r="P535" s="8" t="s">
        <v>82</v>
      </c>
      <c r="Q535" s="8" t="s">
        <v>83</v>
      </c>
      <c r="R535" s="8" t="s">
        <v>79</v>
      </c>
      <c r="S535" s="8" t="s">
        <v>82</v>
      </c>
      <c r="T535" s="8" t="s">
        <v>86</v>
      </c>
      <c r="U535" s="8" t="s">
        <v>87</v>
      </c>
      <c r="V535" s="8" t="s">
        <v>112</v>
      </c>
      <c r="W535" s="9">
        <v>2</v>
      </c>
      <c r="X535" s="9">
        <v>1</v>
      </c>
      <c r="Y535" s="9">
        <v>2</v>
      </c>
      <c r="Z535" s="9">
        <v>2</v>
      </c>
      <c r="AA535" s="9">
        <v>1</v>
      </c>
      <c r="AB535" s="9">
        <v>2</v>
      </c>
      <c r="AC535" s="9">
        <v>1</v>
      </c>
      <c r="AD535" s="9">
        <v>1</v>
      </c>
      <c r="AE535" s="9">
        <v>2</v>
      </c>
      <c r="AF535" s="9">
        <v>2</v>
      </c>
      <c r="AG535" s="9">
        <v>2</v>
      </c>
      <c r="AH535" s="9">
        <v>2</v>
      </c>
      <c r="AI535" s="9">
        <v>2</v>
      </c>
      <c r="AJ535" s="9">
        <v>1</v>
      </c>
      <c r="AK535" s="9">
        <v>1</v>
      </c>
      <c r="AL535" s="10">
        <v>2</v>
      </c>
      <c r="AM535" s="10">
        <v>2</v>
      </c>
      <c r="AN535" s="10">
        <v>0</v>
      </c>
      <c r="AO535" s="10">
        <v>2</v>
      </c>
      <c r="AP535" s="10">
        <v>0</v>
      </c>
      <c r="AQ535" s="10">
        <v>0</v>
      </c>
      <c r="AR535" s="10">
        <v>0</v>
      </c>
      <c r="AS535" s="11">
        <v>1</v>
      </c>
      <c r="AT535" s="11">
        <v>1</v>
      </c>
      <c r="AU535" s="11">
        <v>1</v>
      </c>
      <c r="AV535" s="11">
        <v>1</v>
      </c>
      <c r="AW535" s="11">
        <v>0</v>
      </c>
      <c r="AX535" s="11">
        <v>0</v>
      </c>
      <c r="AY535" s="7"/>
      <c r="AZ535" s="7"/>
      <c r="BA535" s="7"/>
      <c r="BB535" s="7"/>
      <c r="BC535" s="7"/>
      <c r="BD535" s="7"/>
      <c r="BE535" s="7"/>
      <c r="BF535" s="7"/>
      <c r="BG535" s="12">
        <f>SUM(data__22[[#This Row],[N1]:[N4]],data__22[[#This Row],[N10]:[N13]],data__22[[#This Row],[N16]:[N18]])/11</f>
        <v>1.7272727272727273</v>
      </c>
      <c r="BH535" s="13">
        <f>SUM(data__22[[#This Row],[N8]:[N9]],data__22[[#This Row],[N23]:[N25]])/5</f>
        <v>1.2</v>
      </c>
      <c r="BI535" s="12">
        <f>SUM(data__22[[#This Row],[N5]:[N7]])/3</f>
        <v>1.3333333333333333</v>
      </c>
      <c r="BJ535" s="12">
        <f>SUM(data__22[[#This Row],[N14]:[N15]],data__22[[#This Row],[N19]:[N22]],data__22[[#This Row],[N26]:[N28]])/9</f>
        <v>0.55555555555555558</v>
      </c>
      <c r="BK535" s="12">
        <f>SUM(data__22[[#This Row],[N29]:[N33]])/5</f>
        <v>0</v>
      </c>
      <c r="BL535" s="12">
        <f>SUM(data__22[[#This Row],[N34]:[N36]])/3</f>
        <v>0</v>
      </c>
    </row>
    <row r="536" spans="1:64" x14ac:dyDescent="0.3">
      <c r="A536" s="7">
        <v>23</v>
      </c>
      <c r="B536" s="7" t="s">
        <v>70</v>
      </c>
      <c r="C536" s="7" t="s">
        <v>113</v>
      </c>
      <c r="D536" s="7" t="s">
        <v>72</v>
      </c>
      <c r="E536" s="7" t="s">
        <v>108</v>
      </c>
      <c r="F536" s="7" t="s">
        <v>74</v>
      </c>
      <c r="G536" s="7" t="s">
        <v>439</v>
      </c>
      <c r="H536" s="7" t="s">
        <v>136</v>
      </c>
      <c r="I536" s="7" t="s">
        <v>76</v>
      </c>
      <c r="J536" s="7" t="s">
        <v>77</v>
      </c>
      <c r="K536" s="7" t="s">
        <v>125</v>
      </c>
      <c r="L536" s="8" t="s">
        <v>79</v>
      </c>
      <c r="M536" s="8" t="s">
        <v>80</v>
      </c>
      <c r="N536" s="8" t="s">
        <v>79</v>
      </c>
      <c r="O536" s="8" t="s">
        <v>117</v>
      </c>
      <c r="P536" s="8" t="s">
        <v>79</v>
      </c>
      <c r="Q536" s="8" t="s">
        <v>83</v>
      </c>
      <c r="R536" s="8" t="s">
        <v>79</v>
      </c>
      <c r="S536" s="8" t="s">
        <v>79</v>
      </c>
      <c r="T536" s="8" t="s">
        <v>106</v>
      </c>
      <c r="U536" s="8" t="s">
        <v>141</v>
      </c>
      <c r="V536" s="8" t="s">
        <v>112</v>
      </c>
      <c r="W536" s="9">
        <v>1</v>
      </c>
      <c r="X536" s="9">
        <v>1</v>
      </c>
      <c r="Y536" s="9">
        <v>0</v>
      </c>
      <c r="Z536" s="9">
        <v>2</v>
      </c>
      <c r="AA536" s="9">
        <v>0</v>
      </c>
      <c r="AB536" s="9">
        <v>1</v>
      </c>
      <c r="AC536" s="9">
        <v>1</v>
      </c>
      <c r="AD536" s="9">
        <v>2</v>
      </c>
      <c r="AE536" s="9">
        <v>0</v>
      </c>
      <c r="AF536" s="9">
        <v>0</v>
      </c>
      <c r="AG536" s="9">
        <v>0</v>
      </c>
      <c r="AH536" s="9">
        <v>2</v>
      </c>
      <c r="AI536" s="9">
        <v>0</v>
      </c>
      <c r="AJ536" s="9">
        <v>2</v>
      </c>
      <c r="AK536" s="9">
        <v>0</v>
      </c>
      <c r="AL536" s="10">
        <v>1</v>
      </c>
      <c r="AM536" s="10">
        <v>2</v>
      </c>
      <c r="AN536" s="10">
        <v>1</v>
      </c>
      <c r="AO536" s="10">
        <v>3</v>
      </c>
      <c r="AP536" s="10">
        <v>1</v>
      </c>
      <c r="AQ536" s="10">
        <v>3</v>
      </c>
      <c r="AR536" s="10">
        <v>0</v>
      </c>
      <c r="AS536" s="11">
        <v>2</v>
      </c>
      <c r="AT536" s="11">
        <v>0</v>
      </c>
      <c r="AU536" s="11">
        <v>0</v>
      </c>
      <c r="AV536" s="11">
        <v>2</v>
      </c>
      <c r="AW536" s="11">
        <v>1</v>
      </c>
      <c r="AX536" s="11">
        <v>1</v>
      </c>
      <c r="AY536" s="7"/>
      <c r="AZ536" s="7">
        <v>1</v>
      </c>
      <c r="BA536" s="7">
        <v>2</v>
      </c>
      <c r="BB536" s="7"/>
      <c r="BC536" s="7">
        <v>0</v>
      </c>
      <c r="BD536" s="7">
        <v>2</v>
      </c>
      <c r="BE536" s="7"/>
      <c r="BF536" s="7">
        <v>0</v>
      </c>
      <c r="BG536" s="12">
        <f>SUM(data__22[[#This Row],[N1]:[N4]],data__22[[#This Row],[N10]:[N13]],data__22[[#This Row],[N16]:[N18]])/11</f>
        <v>0.90909090909090906</v>
      </c>
      <c r="BH536" s="13">
        <f>SUM(data__22[[#This Row],[N8]:[N9]],data__22[[#This Row],[N23]:[N25]])/5</f>
        <v>0.8</v>
      </c>
      <c r="BI536" s="12">
        <f>SUM(data__22[[#This Row],[N5]:[N7]])/3</f>
        <v>0.66666666666666663</v>
      </c>
      <c r="BJ536" s="12">
        <f>SUM(data__22[[#This Row],[N14]:[N15]],data__22[[#This Row],[N19]:[N22]],data__22[[#This Row],[N26]:[N28]])/9</f>
        <v>1.4444444444444444</v>
      </c>
      <c r="BK536" s="12">
        <f>SUM(data__22[[#This Row],[N29]:[N33]])/5</f>
        <v>0.6</v>
      </c>
      <c r="BL536" s="12">
        <f>SUM(data__22[[#This Row],[N34]:[N36]])/3</f>
        <v>0.66666666666666663</v>
      </c>
    </row>
    <row r="537" spans="1:64" x14ac:dyDescent="0.3">
      <c r="A537" s="7">
        <v>23</v>
      </c>
      <c r="B537" s="7" t="s">
        <v>70</v>
      </c>
      <c r="C537" s="7" t="s">
        <v>113</v>
      </c>
      <c r="D537" s="7" t="s">
        <v>72</v>
      </c>
      <c r="E537" s="7" t="s">
        <v>114</v>
      </c>
      <c r="F537" s="7" t="s">
        <v>74</v>
      </c>
      <c r="G537" s="7" t="s">
        <v>439</v>
      </c>
      <c r="H537" s="7" t="s">
        <v>74</v>
      </c>
      <c r="I537" s="7" t="s">
        <v>76</v>
      </c>
      <c r="J537" s="7" t="s">
        <v>77</v>
      </c>
      <c r="K537" s="7" t="s">
        <v>125</v>
      </c>
      <c r="L537" s="8" t="s">
        <v>79</v>
      </c>
      <c r="M537" s="8" t="s">
        <v>80</v>
      </c>
      <c r="N537" s="8" t="s">
        <v>79</v>
      </c>
      <c r="O537" s="8" t="s">
        <v>81</v>
      </c>
      <c r="P537" s="8" t="s">
        <v>82</v>
      </c>
      <c r="Q537" s="8" t="s">
        <v>103</v>
      </c>
      <c r="R537" s="8" t="s">
        <v>79</v>
      </c>
      <c r="S537" s="8" t="s">
        <v>82</v>
      </c>
      <c r="T537" s="8" t="s">
        <v>106</v>
      </c>
      <c r="U537" s="8" t="s">
        <v>87</v>
      </c>
      <c r="V537" s="8" t="s">
        <v>112</v>
      </c>
      <c r="W537" s="9">
        <v>3</v>
      </c>
      <c r="X537" s="9">
        <v>3</v>
      </c>
      <c r="Y537" s="9">
        <v>3</v>
      </c>
      <c r="Z537" s="9">
        <v>3</v>
      </c>
      <c r="AA537" s="9">
        <v>1</v>
      </c>
      <c r="AB537" s="9">
        <v>1</v>
      </c>
      <c r="AC537" s="9">
        <v>0</v>
      </c>
      <c r="AD537" s="9">
        <v>3</v>
      </c>
      <c r="AE537" s="9">
        <v>3</v>
      </c>
      <c r="AF537" s="9">
        <v>0</v>
      </c>
      <c r="AG537" s="9">
        <v>3</v>
      </c>
      <c r="AH537" s="9">
        <v>1</v>
      </c>
      <c r="AI537" s="9">
        <v>2</v>
      </c>
      <c r="AJ537" s="9">
        <v>0</v>
      </c>
      <c r="AK537" s="9">
        <v>0</v>
      </c>
      <c r="AL537" s="10">
        <v>3</v>
      </c>
      <c r="AM537" s="10">
        <v>3</v>
      </c>
      <c r="AN537" s="10">
        <v>3</v>
      </c>
      <c r="AO537" s="10">
        <v>0</v>
      </c>
      <c r="AP537" s="10">
        <v>0</v>
      </c>
      <c r="AQ537" s="10">
        <v>0</v>
      </c>
      <c r="AR537" s="10">
        <v>0</v>
      </c>
      <c r="AS537" s="11">
        <v>3</v>
      </c>
      <c r="AT537" s="11">
        <v>3</v>
      </c>
      <c r="AU537" s="11">
        <v>3</v>
      </c>
      <c r="AV537" s="11">
        <v>0</v>
      </c>
      <c r="AW537" s="11">
        <v>0</v>
      </c>
      <c r="AX537" s="11">
        <v>0</v>
      </c>
      <c r="AY537" s="7">
        <v>3</v>
      </c>
      <c r="AZ537" s="7">
        <v>3</v>
      </c>
      <c r="BA537" s="7">
        <v>3</v>
      </c>
      <c r="BB537" s="7">
        <v>3</v>
      </c>
      <c r="BC537" s="7">
        <v>3</v>
      </c>
      <c r="BD537" s="7">
        <v>0</v>
      </c>
      <c r="BE537" s="7">
        <v>0</v>
      </c>
      <c r="BF537" s="7">
        <v>0</v>
      </c>
      <c r="BG537" s="12">
        <f>SUM(data__22[[#This Row],[N1]:[N4]],data__22[[#This Row],[N10]:[N13]],data__22[[#This Row],[N16]:[N18]])/11</f>
        <v>2.4545454545454546</v>
      </c>
      <c r="BH537" s="13">
        <f>SUM(data__22[[#This Row],[N8]:[N9]],data__22[[#This Row],[N23]:[N25]])/5</f>
        <v>3</v>
      </c>
      <c r="BI537" s="12">
        <f>SUM(data__22[[#This Row],[N5]:[N7]])/3</f>
        <v>0.66666666666666663</v>
      </c>
      <c r="BJ537" s="12">
        <f>SUM(data__22[[#This Row],[N14]:[N15]],data__22[[#This Row],[N19]:[N22]],data__22[[#This Row],[N26]:[N28]])/9</f>
        <v>0</v>
      </c>
      <c r="BK537" s="12">
        <f>SUM(data__22[[#This Row],[N29]:[N33]])/5</f>
        <v>3</v>
      </c>
      <c r="BL537" s="12">
        <f>SUM(data__22[[#This Row],[N34]:[N36]])/3</f>
        <v>0</v>
      </c>
    </row>
    <row r="538" spans="1:64" x14ac:dyDescent="0.3">
      <c r="A538" s="7">
        <v>22</v>
      </c>
      <c r="B538" s="7" t="s">
        <v>70</v>
      </c>
      <c r="C538" s="7" t="s">
        <v>113</v>
      </c>
      <c r="D538" s="7" t="s">
        <v>72</v>
      </c>
      <c r="E538" s="7" t="s">
        <v>108</v>
      </c>
      <c r="F538" s="7" t="s">
        <v>74</v>
      </c>
      <c r="G538" s="7" t="s">
        <v>439</v>
      </c>
      <c r="H538" s="7" t="s">
        <v>136</v>
      </c>
      <c r="I538" s="7" t="s">
        <v>76</v>
      </c>
      <c r="J538" s="7" t="s">
        <v>77</v>
      </c>
      <c r="K538" s="7" t="s">
        <v>122</v>
      </c>
      <c r="L538" s="8" t="s">
        <v>82</v>
      </c>
      <c r="M538" s="8" t="s">
        <v>80</v>
      </c>
      <c r="N538" s="8" t="s">
        <v>79</v>
      </c>
      <c r="O538" s="8" t="s">
        <v>109</v>
      </c>
      <c r="P538" s="8" t="s">
        <v>82</v>
      </c>
      <c r="Q538" s="8" t="s">
        <v>83</v>
      </c>
      <c r="R538" s="8" t="s">
        <v>82</v>
      </c>
      <c r="S538" s="8" t="s">
        <v>82</v>
      </c>
      <c r="T538" s="8" t="s">
        <v>106</v>
      </c>
      <c r="U538" s="8" t="s">
        <v>87</v>
      </c>
      <c r="V538" s="8" t="s">
        <v>457</v>
      </c>
      <c r="W538" s="9">
        <v>3</v>
      </c>
      <c r="X538" s="9">
        <v>3</v>
      </c>
      <c r="Y538" s="9">
        <v>3</v>
      </c>
      <c r="Z538" s="9">
        <v>3</v>
      </c>
      <c r="AA538" s="9">
        <v>1</v>
      </c>
      <c r="AB538" s="9">
        <v>1</v>
      </c>
      <c r="AC538" s="9">
        <v>3</v>
      </c>
      <c r="AD538" s="9">
        <v>2</v>
      </c>
      <c r="AE538" s="9">
        <v>3</v>
      </c>
      <c r="AF538" s="9">
        <v>2</v>
      </c>
      <c r="AG538" s="9">
        <v>3</v>
      </c>
      <c r="AH538" s="9">
        <v>3</v>
      </c>
      <c r="AI538" s="9">
        <v>2</v>
      </c>
      <c r="AJ538" s="9">
        <v>2</v>
      </c>
      <c r="AK538" s="9">
        <v>0</v>
      </c>
      <c r="AL538" s="10">
        <v>3</v>
      </c>
      <c r="AM538" s="10">
        <v>3</v>
      </c>
      <c r="AN538" s="10">
        <v>3</v>
      </c>
      <c r="AO538" s="10">
        <v>0</v>
      </c>
      <c r="AP538" s="10">
        <v>0</v>
      </c>
      <c r="AQ538" s="10">
        <v>0</v>
      </c>
      <c r="AR538" s="10">
        <v>0</v>
      </c>
      <c r="AS538" s="11">
        <v>3</v>
      </c>
      <c r="AT538" s="11">
        <v>3</v>
      </c>
      <c r="AU538" s="11">
        <v>3</v>
      </c>
      <c r="AV538" s="11">
        <v>0</v>
      </c>
      <c r="AW538" s="11">
        <v>0</v>
      </c>
      <c r="AX538" s="11">
        <v>0</v>
      </c>
      <c r="AY538" s="7"/>
      <c r="AZ538" s="7"/>
      <c r="BA538" s="7"/>
      <c r="BB538" s="7"/>
      <c r="BC538" s="7"/>
      <c r="BD538" s="7"/>
      <c r="BE538" s="7"/>
      <c r="BF538" s="7"/>
      <c r="BG538" s="12">
        <f>SUM(data__22[[#This Row],[N1]:[N4]],data__22[[#This Row],[N10]:[N13]],data__22[[#This Row],[N16]:[N18]])/11</f>
        <v>2.8181818181818183</v>
      </c>
      <c r="BH538" s="13">
        <f>SUM(data__22[[#This Row],[N8]:[N9]],data__22[[#This Row],[N23]:[N25]])/5</f>
        <v>2.8</v>
      </c>
      <c r="BI538" s="12">
        <f>SUM(data__22[[#This Row],[N5]:[N7]])/3</f>
        <v>1.6666666666666667</v>
      </c>
      <c r="BJ538" s="12">
        <f>SUM(data__22[[#This Row],[N14]:[N15]],data__22[[#This Row],[N19]:[N22]],data__22[[#This Row],[N26]:[N28]])/9</f>
        <v>0.22222222222222221</v>
      </c>
      <c r="BK538" s="12">
        <f>SUM(data__22[[#This Row],[N29]:[N33]])/5</f>
        <v>0</v>
      </c>
      <c r="BL538" s="12">
        <f>SUM(data__22[[#This Row],[N34]:[N36]])/3</f>
        <v>0</v>
      </c>
    </row>
    <row r="539" spans="1:64" x14ac:dyDescent="0.3">
      <c r="A539" s="7">
        <v>20</v>
      </c>
      <c r="B539" s="7" t="s">
        <v>70</v>
      </c>
      <c r="C539" s="7" t="s">
        <v>113</v>
      </c>
      <c r="D539" s="7" t="s">
        <v>72</v>
      </c>
      <c r="E539" s="7" t="s">
        <v>73</v>
      </c>
      <c r="F539" s="7" t="s">
        <v>74</v>
      </c>
      <c r="G539" s="7" t="s">
        <v>439</v>
      </c>
      <c r="H539" s="7" t="s">
        <v>74</v>
      </c>
      <c r="I539" s="7" t="s">
        <v>439</v>
      </c>
      <c r="J539" s="7" t="s">
        <v>77</v>
      </c>
      <c r="K539" s="7" t="s">
        <v>78</v>
      </c>
      <c r="L539" s="8" t="s">
        <v>79</v>
      </c>
      <c r="M539" s="8" t="s">
        <v>80</v>
      </c>
      <c r="N539" s="8" t="s">
        <v>79</v>
      </c>
      <c r="O539" s="8" t="s">
        <v>133</v>
      </c>
      <c r="P539" s="8" t="s">
        <v>82</v>
      </c>
      <c r="Q539" s="8" t="s">
        <v>83</v>
      </c>
      <c r="R539" s="8" t="s">
        <v>82</v>
      </c>
      <c r="S539" s="8" t="s">
        <v>79</v>
      </c>
      <c r="T539" s="8" t="s">
        <v>86</v>
      </c>
      <c r="U539" s="8" t="s">
        <v>87</v>
      </c>
      <c r="V539" s="8" t="s">
        <v>112</v>
      </c>
      <c r="W539" s="9">
        <v>3</v>
      </c>
      <c r="X539" s="9">
        <v>3</v>
      </c>
      <c r="Y539" s="9">
        <v>3</v>
      </c>
      <c r="Z539" s="9">
        <v>2</v>
      </c>
      <c r="AA539" s="9">
        <v>1</v>
      </c>
      <c r="AB539" s="9">
        <v>1</v>
      </c>
      <c r="AC539" s="9">
        <v>0</v>
      </c>
      <c r="AD539" s="9">
        <v>3</v>
      </c>
      <c r="AE539" s="9">
        <v>3</v>
      </c>
      <c r="AF539" s="9">
        <v>3</v>
      </c>
      <c r="AG539" s="9">
        <v>2</v>
      </c>
      <c r="AH539" s="9">
        <v>2</v>
      </c>
      <c r="AI539" s="9">
        <v>2</v>
      </c>
      <c r="AJ539" s="9">
        <v>1</v>
      </c>
      <c r="AK539" s="9">
        <v>0</v>
      </c>
      <c r="AL539" s="10">
        <v>3</v>
      </c>
      <c r="AM539" s="10">
        <v>3</v>
      </c>
      <c r="AN539" s="10">
        <v>3</v>
      </c>
      <c r="AO539" s="10">
        <v>0</v>
      </c>
      <c r="AP539" s="10">
        <v>0</v>
      </c>
      <c r="AQ539" s="10">
        <v>0</v>
      </c>
      <c r="AR539" s="10">
        <v>0</v>
      </c>
      <c r="AS539" s="11">
        <v>2</v>
      </c>
      <c r="AT539" s="11">
        <v>2</v>
      </c>
      <c r="AU539" s="11">
        <v>1</v>
      </c>
      <c r="AV539" s="11">
        <v>1</v>
      </c>
      <c r="AW539" s="11">
        <v>1</v>
      </c>
      <c r="AX539" s="11">
        <v>1</v>
      </c>
      <c r="AY539" s="7">
        <v>3</v>
      </c>
      <c r="AZ539" s="7">
        <v>3</v>
      </c>
      <c r="BA539" s="7">
        <v>3</v>
      </c>
      <c r="BB539" s="7">
        <v>3</v>
      </c>
      <c r="BC539" s="7">
        <v>3</v>
      </c>
      <c r="BD539" s="7">
        <v>0</v>
      </c>
      <c r="BE539" s="7">
        <v>0</v>
      </c>
      <c r="BF539" s="7">
        <v>0</v>
      </c>
      <c r="BG539" s="12">
        <f>SUM(data__22[[#This Row],[N1]:[N4]],data__22[[#This Row],[N10]:[N13]],data__22[[#This Row],[N16]:[N18]])/11</f>
        <v>2.6363636363636362</v>
      </c>
      <c r="BH539" s="13">
        <f>SUM(data__22[[#This Row],[N8]:[N9]],data__22[[#This Row],[N23]:[N25]])/5</f>
        <v>2.2000000000000002</v>
      </c>
      <c r="BI539" s="12">
        <f>SUM(data__22[[#This Row],[N5]:[N7]])/3</f>
        <v>0.66666666666666663</v>
      </c>
      <c r="BJ539" s="12">
        <f>SUM(data__22[[#This Row],[N14]:[N15]],data__22[[#This Row],[N19]:[N22]],data__22[[#This Row],[N26]:[N28]])/9</f>
        <v>0.44444444444444442</v>
      </c>
      <c r="BK539" s="12">
        <f>SUM(data__22[[#This Row],[N29]:[N33]])/5</f>
        <v>3</v>
      </c>
      <c r="BL539" s="12">
        <f>SUM(data__22[[#This Row],[N34]:[N36]])/3</f>
        <v>0</v>
      </c>
    </row>
    <row r="540" spans="1:64" x14ac:dyDescent="0.3">
      <c r="A540" s="7">
        <v>22</v>
      </c>
      <c r="B540" s="7" t="s">
        <v>70</v>
      </c>
      <c r="C540" s="7" t="s">
        <v>113</v>
      </c>
      <c r="D540" s="7" t="s">
        <v>72</v>
      </c>
      <c r="E540" s="7" t="s">
        <v>108</v>
      </c>
      <c r="F540" s="7" t="s">
        <v>74</v>
      </c>
      <c r="G540" s="7" t="s">
        <v>99</v>
      </c>
      <c r="H540" s="7" t="s">
        <v>74</v>
      </c>
      <c r="I540" s="7" t="s">
        <v>76</v>
      </c>
      <c r="J540" s="7" t="s">
        <v>77</v>
      </c>
      <c r="K540" s="7" t="s">
        <v>122</v>
      </c>
      <c r="L540" s="8" t="s">
        <v>79</v>
      </c>
      <c r="M540" s="8" t="s">
        <v>80</v>
      </c>
      <c r="N540" s="8" t="s">
        <v>79</v>
      </c>
      <c r="O540" s="8" t="s">
        <v>109</v>
      </c>
      <c r="P540" s="8" t="s">
        <v>82</v>
      </c>
      <c r="Q540" s="8" t="s">
        <v>103</v>
      </c>
      <c r="R540" s="8" t="s">
        <v>82</v>
      </c>
      <c r="S540" s="8" t="s">
        <v>82</v>
      </c>
      <c r="T540" s="8" t="s">
        <v>106</v>
      </c>
      <c r="U540" s="8" t="s">
        <v>141</v>
      </c>
      <c r="V540" s="8" t="s">
        <v>112</v>
      </c>
      <c r="W540" s="9">
        <v>1</v>
      </c>
      <c r="X540" s="9">
        <v>2</v>
      </c>
      <c r="Y540" s="9">
        <v>2</v>
      </c>
      <c r="Z540" s="9">
        <v>1</v>
      </c>
      <c r="AA540" s="9">
        <v>1</v>
      </c>
      <c r="AB540" s="9">
        <v>3</v>
      </c>
      <c r="AC540" s="9">
        <v>1</v>
      </c>
      <c r="AD540" s="9">
        <v>2</v>
      </c>
      <c r="AE540" s="9">
        <v>2</v>
      </c>
      <c r="AF540" s="9">
        <v>3</v>
      </c>
      <c r="AG540" s="9">
        <v>3</v>
      </c>
      <c r="AH540" s="9">
        <v>3</v>
      </c>
      <c r="AI540" s="9">
        <v>3</v>
      </c>
      <c r="AJ540" s="9">
        <v>0</v>
      </c>
      <c r="AK540" s="9">
        <v>1</v>
      </c>
      <c r="AL540" s="10">
        <v>3</v>
      </c>
      <c r="AM540" s="10">
        <v>3</v>
      </c>
      <c r="AN540" s="10">
        <v>3</v>
      </c>
      <c r="AO540" s="10">
        <v>0</v>
      </c>
      <c r="AP540" s="10">
        <v>0</v>
      </c>
      <c r="AQ540" s="10">
        <v>0</v>
      </c>
      <c r="AR540" s="10">
        <v>0</v>
      </c>
      <c r="AS540" s="11">
        <v>3</v>
      </c>
      <c r="AT540" s="11">
        <v>1</v>
      </c>
      <c r="AU540" s="11">
        <v>2</v>
      </c>
      <c r="AV540" s="11">
        <v>0</v>
      </c>
      <c r="AW540" s="11">
        <v>1</v>
      </c>
      <c r="AX540" s="11">
        <v>0</v>
      </c>
      <c r="AY540" s="7">
        <v>3</v>
      </c>
      <c r="AZ540" s="7">
        <v>3</v>
      </c>
      <c r="BA540" s="7"/>
      <c r="BB540" s="7">
        <v>3</v>
      </c>
      <c r="BC540" s="7">
        <v>3</v>
      </c>
      <c r="BD540" s="7">
        <v>0</v>
      </c>
      <c r="BE540" s="7">
        <v>1</v>
      </c>
      <c r="BF540" s="7">
        <v>3</v>
      </c>
      <c r="BG540" s="12">
        <f>SUM(data__22[[#This Row],[N1]:[N4]],data__22[[#This Row],[N10]:[N13]],data__22[[#This Row],[N16]:[N18]])/11</f>
        <v>2.4545454545454546</v>
      </c>
      <c r="BH540" s="13">
        <f>SUM(data__22[[#This Row],[N8]:[N9]],data__22[[#This Row],[N23]:[N25]])/5</f>
        <v>2</v>
      </c>
      <c r="BI540" s="12">
        <f>SUM(data__22[[#This Row],[N5]:[N7]])/3</f>
        <v>1.6666666666666667</v>
      </c>
      <c r="BJ540" s="12">
        <f>SUM(data__22[[#This Row],[N14]:[N15]],data__22[[#This Row],[N19]:[N22]],data__22[[#This Row],[N26]:[N28]])/9</f>
        <v>0.22222222222222221</v>
      </c>
      <c r="BK540" s="12">
        <f>SUM(data__22[[#This Row],[N29]:[N33]])/5</f>
        <v>2.4</v>
      </c>
      <c r="BL540" s="12">
        <f>SUM(data__22[[#This Row],[N34]:[N36]])/3</f>
        <v>1.3333333333333333</v>
      </c>
    </row>
    <row r="541" spans="1:64" x14ac:dyDescent="0.3">
      <c r="A541" s="7">
        <v>23</v>
      </c>
      <c r="B541" s="7" t="s">
        <v>70</v>
      </c>
      <c r="C541" s="7" t="s">
        <v>113</v>
      </c>
      <c r="D541" s="7" t="s">
        <v>72</v>
      </c>
      <c r="E541" s="7" t="s">
        <v>73</v>
      </c>
      <c r="F541" s="7" t="s">
        <v>98</v>
      </c>
      <c r="G541" s="7" t="s">
        <v>440</v>
      </c>
      <c r="H541" s="7" t="s">
        <v>98</v>
      </c>
      <c r="I541" s="7" t="s">
        <v>76</v>
      </c>
      <c r="J541" s="7" t="s">
        <v>77</v>
      </c>
      <c r="K541" s="7" t="s">
        <v>78</v>
      </c>
      <c r="L541" s="8" t="s">
        <v>82</v>
      </c>
      <c r="M541" s="8" t="s">
        <v>80</v>
      </c>
      <c r="N541" s="8" t="s">
        <v>79</v>
      </c>
      <c r="O541" s="8" t="s">
        <v>109</v>
      </c>
      <c r="P541" s="8" t="s">
        <v>79</v>
      </c>
      <c r="Q541" s="8" t="s">
        <v>83</v>
      </c>
      <c r="R541" s="8" t="s">
        <v>79</v>
      </c>
      <c r="S541" s="8" t="s">
        <v>82</v>
      </c>
      <c r="T541" s="8" t="s">
        <v>86</v>
      </c>
      <c r="U541" s="8" t="s">
        <v>120</v>
      </c>
      <c r="V541" s="8" t="s">
        <v>457</v>
      </c>
      <c r="W541" s="9">
        <v>1</v>
      </c>
      <c r="X541" s="9">
        <v>3</v>
      </c>
      <c r="Y541" s="9">
        <v>3</v>
      </c>
      <c r="Z541" s="9">
        <v>2</v>
      </c>
      <c r="AA541" s="9">
        <v>1</v>
      </c>
      <c r="AB541" s="9">
        <v>2</v>
      </c>
      <c r="AC541" s="9">
        <v>2</v>
      </c>
      <c r="AD541" s="9">
        <v>3</v>
      </c>
      <c r="AE541" s="9">
        <v>2</v>
      </c>
      <c r="AF541" s="9">
        <v>3</v>
      </c>
      <c r="AG541" s="9">
        <v>3</v>
      </c>
      <c r="AH541" s="9">
        <v>3</v>
      </c>
      <c r="AI541" s="9">
        <v>2</v>
      </c>
      <c r="AJ541" s="9">
        <v>3</v>
      </c>
      <c r="AK541" s="9">
        <v>3</v>
      </c>
      <c r="AL541" s="10">
        <v>2</v>
      </c>
      <c r="AM541" s="10">
        <v>2</v>
      </c>
      <c r="AN541" s="10">
        <v>1</v>
      </c>
      <c r="AO541" s="10">
        <v>2</v>
      </c>
      <c r="AP541" s="10">
        <v>1</v>
      </c>
      <c r="AQ541" s="10">
        <v>2</v>
      </c>
      <c r="AR541" s="10">
        <v>1</v>
      </c>
      <c r="AS541" s="11">
        <v>1</v>
      </c>
      <c r="AT541" s="11">
        <v>2</v>
      </c>
      <c r="AU541" s="11">
        <v>2</v>
      </c>
      <c r="AV541" s="11">
        <v>1</v>
      </c>
      <c r="AW541" s="11">
        <v>1</v>
      </c>
      <c r="AX541" s="11">
        <v>2</v>
      </c>
      <c r="AY541" s="7">
        <v>2</v>
      </c>
      <c r="AZ541" s="7">
        <v>1</v>
      </c>
      <c r="BA541" s="7">
        <v>2</v>
      </c>
      <c r="BB541" s="7">
        <v>2</v>
      </c>
      <c r="BC541" s="7">
        <v>2</v>
      </c>
      <c r="BD541" s="7">
        <v>3</v>
      </c>
      <c r="BE541" s="7">
        <v>3</v>
      </c>
      <c r="BF541" s="7">
        <v>2</v>
      </c>
      <c r="BG541" s="12">
        <f>SUM(data__22[[#This Row],[N1]:[N4]],data__22[[#This Row],[N10]:[N13]],data__22[[#This Row],[N16]:[N18]])/11</f>
        <v>2.2727272727272729</v>
      </c>
      <c r="BH541" s="13">
        <f>SUM(data__22[[#This Row],[N8]:[N9]],data__22[[#This Row],[N23]:[N25]])/5</f>
        <v>2</v>
      </c>
      <c r="BI541" s="12">
        <f>SUM(data__22[[#This Row],[N5]:[N7]])/3</f>
        <v>1.6666666666666667</v>
      </c>
      <c r="BJ541" s="12">
        <f>SUM(data__22[[#This Row],[N14]:[N15]],data__22[[#This Row],[N19]:[N22]],data__22[[#This Row],[N26]:[N28]])/9</f>
        <v>1.7777777777777777</v>
      </c>
      <c r="BK541" s="12">
        <f>SUM(data__22[[#This Row],[N29]:[N33]])/5</f>
        <v>1.8</v>
      </c>
      <c r="BL541" s="12">
        <f>SUM(data__22[[#This Row],[N34]:[N36]])/3</f>
        <v>2.6666666666666665</v>
      </c>
    </row>
    <row r="542" spans="1:64" x14ac:dyDescent="0.3">
      <c r="A542" s="7">
        <v>20</v>
      </c>
      <c r="B542" s="7" t="s">
        <v>70</v>
      </c>
      <c r="C542" s="7" t="s">
        <v>157</v>
      </c>
      <c r="D542" s="7" t="s">
        <v>149</v>
      </c>
      <c r="E542" s="7" t="s">
        <v>108</v>
      </c>
      <c r="F542" s="7" t="s">
        <v>74</v>
      </c>
      <c r="G542" s="7" t="s">
        <v>439</v>
      </c>
      <c r="H542" s="7" t="s">
        <v>136</v>
      </c>
      <c r="I542" s="7" t="s">
        <v>76</v>
      </c>
      <c r="J542" s="7" t="s">
        <v>77</v>
      </c>
      <c r="K542" s="7" t="s">
        <v>122</v>
      </c>
      <c r="L542" s="8" t="s">
        <v>79</v>
      </c>
      <c r="M542" s="8" t="s">
        <v>80</v>
      </c>
      <c r="N542" s="8" t="s">
        <v>79</v>
      </c>
      <c r="O542" s="8" t="s">
        <v>81</v>
      </c>
      <c r="P542" s="8" t="s">
        <v>82</v>
      </c>
      <c r="Q542" s="8" t="s">
        <v>83</v>
      </c>
      <c r="R542" s="8" t="s">
        <v>79</v>
      </c>
      <c r="S542" s="8" t="s">
        <v>79</v>
      </c>
      <c r="T542" s="8" t="s">
        <v>86</v>
      </c>
      <c r="U542" s="8" t="s">
        <v>87</v>
      </c>
      <c r="V542" s="8" t="s">
        <v>112</v>
      </c>
      <c r="W542" s="9">
        <v>1</v>
      </c>
      <c r="X542" s="9">
        <v>1</v>
      </c>
      <c r="Y542" s="9">
        <v>1</v>
      </c>
      <c r="Z542" s="9">
        <v>3</v>
      </c>
      <c r="AA542" s="9">
        <v>2</v>
      </c>
      <c r="AB542" s="9">
        <v>2</v>
      </c>
      <c r="AC542" s="9">
        <v>2</v>
      </c>
      <c r="AD542" s="9">
        <v>2</v>
      </c>
      <c r="AE542" s="9">
        <v>2</v>
      </c>
      <c r="AF542" s="9">
        <v>3</v>
      </c>
      <c r="AG542" s="9">
        <v>1</v>
      </c>
      <c r="AH542" s="9">
        <v>1</v>
      </c>
      <c r="AI542" s="9">
        <v>1</v>
      </c>
      <c r="AJ542" s="9">
        <v>1</v>
      </c>
      <c r="AK542" s="9">
        <v>2</v>
      </c>
      <c r="AL542" s="10">
        <v>3</v>
      </c>
      <c r="AM542" s="10">
        <v>3</v>
      </c>
      <c r="AN542" s="10">
        <v>3</v>
      </c>
      <c r="AO542" s="10">
        <v>3</v>
      </c>
      <c r="AP542" s="10">
        <v>3</v>
      </c>
      <c r="AQ542" s="10">
        <v>3</v>
      </c>
      <c r="AR542" s="10">
        <v>3</v>
      </c>
      <c r="AS542" s="11">
        <v>1</v>
      </c>
      <c r="AT542" s="11">
        <v>1</v>
      </c>
      <c r="AU542" s="11">
        <v>3</v>
      </c>
      <c r="AV542" s="11">
        <v>1</v>
      </c>
      <c r="AW542" s="11">
        <v>1</v>
      </c>
      <c r="AX542" s="11">
        <v>1</v>
      </c>
      <c r="AY542" s="7">
        <v>3</v>
      </c>
      <c r="AZ542" s="7">
        <v>0</v>
      </c>
      <c r="BA542" s="7">
        <v>1</v>
      </c>
      <c r="BB542" s="7">
        <v>1</v>
      </c>
      <c r="BC542" s="7">
        <v>1</v>
      </c>
      <c r="BD542" s="7">
        <v>0</v>
      </c>
      <c r="BE542" s="7">
        <v>1</v>
      </c>
      <c r="BF542" s="7">
        <v>3</v>
      </c>
      <c r="BG542" s="12">
        <f>SUM(data__22[[#This Row],[N1]:[N4]],data__22[[#This Row],[N10]:[N13]],data__22[[#This Row],[N16]:[N18]])/11</f>
        <v>1.9090909090909092</v>
      </c>
      <c r="BH542" s="13">
        <f>SUM(data__22[[#This Row],[N8]:[N9]],data__22[[#This Row],[N23]:[N25]])/5</f>
        <v>1.8</v>
      </c>
      <c r="BI542" s="12">
        <f>SUM(data__22[[#This Row],[N5]:[N7]])/3</f>
        <v>2</v>
      </c>
      <c r="BJ542" s="12">
        <f>SUM(data__22[[#This Row],[N14]:[N15]],data__22[[#This Row],[N19]:[N22]],data__22[[#This Row],[N26]:[N28]])/9</f>
        <v>2</v>
      </c>
      <c r="BK542" s="12">
        <f>SUM(data__22[[#This Row],[N29]:[N33]])/5</f>
        <v>1.2</v>
      </c>
      <c r="BL542" s="12">
        <f>SUM(data__22[[#This Row],[N34]:[N36]])/3</f>
        <v>1.3333333333333333</v>
      </c>
    </row>
    <row r="543" spans="1:64" x14ac:dyDescent="0.3">
      <c r="A543" s="7">
        <v>22</v>
      </c>
      <c r="B543" s="7" t="s">
        <v>70</v>
      </c>
      <c r="C543" s="7" t="s">
        <v>113</v>
      </c>
      <c r="D543" s="7" t="s">
        <v>97</v>
      </c>
      <c r="E543" s="7" t="s">
        <v>108</v>
      </c>
      <c r="F543" s="7" t="s">
        <v>74</v>
      </c>
      <c r="G543" s="7" t="s">
        <v>439</v>
      </c>
      <c r="H543" s="7" t="s">
        <v>74</v>
      </c>
      <c r="I543" s="7" t="s">
        <v>76</v>
      </c>
      <c r="J543" s="7" t="s">
        <v>77</v>
      </c>
      <c r="K543" s="7" t="s">
        <v>78</v>
      </c>
      <c r="L543" s="8" t="s">
        <v>82</v>
      </c>
      <c r="M543" s="8" t="s">
        <v>80</v>
      </c>
      <c r="N543" s="8" t="s">
        <v>79</v>
      </c>
      <c r="O543" s="8" t="s">
        <v>109</v>
      </c>
      <c r="P543" s="8" t="s">
        <v>82</v>
      </c>
      <c r="Q543" s="8" t="s">
        <v>83</v>
      </c>
      <c r="R543" s="8" t="s">
        <v>82</v>
      </c>
      <c r="S543" s="8" t="s">
        <v>82</v>
      </c>
      <c r="T543" s="8" t="s">
        <v>106</v>
      </c>
      <c r="U543" s="8" t="s">
        <v>141</v>
      </c>
      <c r="V543" s="8" t="s">
        <v>112</v>
      </c>
      <c r="W543" s="9">
        <v>0</v>
      </c>
      <c r="X543" s="9">
        <v>3</v>
      </c>
      <c r="Y543" s="9">
        <v>3</v>
      </c>
      <c r="Z543" s="9">
        <v>3</v>
      </c>
      <c r="AA543" s="9">
        <v>2</v>
      </c>
      <c r="AB543" s="9">
        <v>2</v>
      </c>
      <c r="AC543" s="9">
        <v>2</v>
      </c>
      <c r="AD543" s="9">
        <v>0</v>
      </c>
      <c r="AE543" s="9">
        <v>3</v>
      </c>
      <c r="AF543" s="9">
        <v>0</v>
      </c>
      <c r="AG543" s="9">
        <v>3</v>
      </c>
      <c r="AH543" s="9">
        <v>3</v>
      </c>
      <c r="AI543" s="9">
        <v>3</v>
      </c>
      <c r="AJ543" s="9">
        <v>3</v>
      </c>
      <c r="AK543" s="9">
        <v>3</v>
      </c>
      <c r="AL543" s="10">
        <v>2</v>
      </c>
      <c r="AM543" s="10">
        <v>2</v>
      </c>
      <c r="AN543" s="10">
        <v>2</v>
      </c>
      <c r="AO543" s="10">
        <v>2</v>
      </c>
      <c r="AP543" s="10">
        <v>2</v>
      </c>
      <c r="AQ543" s="10">
        <v>2</v>
      </c>
      <c r="AR543" s="10">
        <v>2</v>
      </c>
      <c r="AS543" s="11">
        <v>2</v>
      </c>
      <c r="AT543" s="11">
        <v>2</v>
      </c>
      <c r="AU543" s="11">
        <v>2</v>
      </c>
      <c r="AV543" s="11">
        <v>2</v>
      </c>
      <c r="AW543" s="11">
        <v>2</v>
      </c>
      <c r="AX543" s="11">
        <v>2</v>
      </c>
      <c r="AY543" s="7">
        <v>2</v>
      </c>
      <c r="AZ543" s="7">
        <v>2</v>
      </c>
      <c r="BA543" s="7">
        <v>2</v>
      </c>
      <c r="BB543" s="7">
        <v>2</v>
      </c>
      <c r="BC543" s="7">
        <v>2</v>
      </c>
      <c r="BD543" s="7">
        <v>2</v>
      </c>
      <c r="BE543" s="7">
        <v>2</v>
      </c>
      <c r="BF543" s="7">
        <v>2</v>
      </c>
      <c r="BG543" s="12">
        <f>SUM(data__22[[#This Row],[N1]:[N4]],data__22[[#This Row],[N10]:[N13]],data__22[[#This Row],[N16]:[N18]])/11</f>
        <v>2.1818181818181817</v>
      </c>
      <c r="BH543" s="13">
        <f>SUM(data__22[[#This Row],[N8]:[N9]],data__22[[#This Row],[N23]:[N25]])/5</f>
        <v>1.8</v>
      </c>
      <c r="BI543" s="12">
        <f>SUM(data__22[[#This Row],[N5]:[N7]])/3</f>
        <v>2</v>
      </c>
      <c r="BJ543" s="12">
        <f>SUM(data__22[[#This Row],[N14]:[N15]],data__22[[#This Row],[N19]:[N22]],data__22[[#This Row],[N26]:[N28]])/9</f>
        <v>2.2222222222222223</v>
      </c>
      <c r="BK543" s="12">
        <f>SUM(data__22[[#This Row],[N29]:[N33]])/5</f>
        <v>2</v>
      </c>
      <c r="BL543" s="12">
        <f>SUM(data__22[[#This Row],[N34]:[N36]])/3</f>
        <v>2</v>
      </c>
    </row>
    <row r="544" spans="1:64" x14ac:dyDescent="0.3">
      <c r="A544" s="7">
        <v>22</v>
      </c>
      <c r="B544" s="7" t="s">
        <v>70</v>
      </c>
      <c r="C544" s="7" t="s">
        <v>113</v>
      </c>
      <c r="D544" s="7" t="s">
        <v>72</v>
      </c>
      <c r="E544" s="7" t="s">
        <v>108</v>
      </c>
      <c r="F544" s="7" t="s">
        <v>74</v>
      </c>
      <c r="G544" s="7" t="s">
        <v>439</v>
      </c>
      <c r="H544" s="7" t="s">
        <v>74</v>
      </c>
      <c r="I544" s="7" t="s">
        <v>439</v>
      </c>
      <c r="J544" s="7" t="s">
        <v>101</v>
      </c>
      <c r="K544" s="7" t="s">
        <v>131</v>
      </c>
      <c r="L544" s="8" t="s">
        <v>82</v>
      </c>
      <c r="M544" s="8" t="s">
        <v>132</v>
      </c>
      <c r="N544" s="8" t="s">
        <v>82</v>
      </c>
      <c r="O544" s="8" t="s">
        <v>81</v>
      </c>
      <c r="P544" s="8" t="s">
        <v>79</v>
      </c>
      <c r="Q544" s="8" t="s">
        <v>103</v>
      </c>
      <c r="R544" s="8" t="s">
        <v>82</v>
      </c>
      <c r="S544" s="8" t="s">
        <v>82</v>
      </c>
      <c r="T544" s="8" t="s">
        <v>106</v>
      </c>
      <c r="U544" s="8" t="s">
        <v>141</v>
      </c>
      <c r="V544" s="8" t="s">
        <v>112</v>
      </c>
      <c r="W544" s="9">
        <v>3</v>
      </c>
      <c r="X544" s="9">
        <v>3</v>
      </c>
      <c r="Y544" s="9">
        <v>3</v>
      </c>
      <c r="Z544" s="9">
        <v>3</v>
      </c>
      <c r="AA544" s="9">
        <v>1</v>
      </c>
      <c r="AB544" s="9">
        <v>1</v>
      </c>
      <c r="AC544" s="9">
        <v>0</v>
      </c>
      <c r="AD544" s="9">
        <v>2</v>
      </c>
      <c r="AE544" s="9">
        <v>3</v>
      </c>
      <c r="AF544" s="9">
        <v>3</v>
      </c>
      <c r="AG544" s="9">
        <v>3</v>
      </c>
      <c r="AH544" s="9">
        <v>3</v>
      </c>
      <c r="AI544" s="9">
        <v>3</v>
      </c>
      <c r="AJ544" s="9">
        <v>3</v>
      </c>
      <c r="AK544" s="9">
        <v>1</v>
      </c>
      <c r="AL544" s="10">
        <v>3</v>
      </c>
      <c r="AM544" s="10">
        <v>3</v>
      </c>
      <c r="AN544" s="10">
        <v>3</v>
      </c>
      <c r="AO544" s="10">
        <v>0</v>
      </c>
      <c r="AP544" s="10">
        <v>0</v>
      </c>
      <c r="AQ544" s="10">
        <v>0</v>
      </c>
      <c r="AR544" s="10">
        <v>0</v>
      </c>
      <c r="AS544" s="11">
        <v>0</v>
      </c>
      <c r="AT544" s="11">
        <v>0</v>
      </c>
      <c r="AU544" s="11">
        <v>0</v>
      </c>
      <c r="AV544" s="11">
        <v>1</v>
      </c>
      <c r="AW544" s="11">
        <v>0</v>
      </c>
      <c r="AX544" s="11">
        <v>0</v>
      </c>
      <c r="AY544" s="7"/>
      <c r="AZ544" s="7"/>
      <c r="BA544" s="7"/>
      <c r="BB544" s="7"/>
      <c r="BC544" s="7"/>
      <c r="BD544" s="7"/>
      <c r="BE544" s="7"/>
      <c r="BF544" s="7"/>
      <c r="BG544" s="12">
        <f>SUM(data__22[[#This Row],[N1]:[N4]],data__22[[#This Row],[N10]:[N13]],data__22[[#This Row],[N16]:[N18]])/11</f>
        <v>3</v>
      </c>
      <c r="BH544" s="13">
        <f>SUM(data__22[[#This Row],[N8]:[N9]],data__22[[#This Row],[N23]:[N25]])/5</f>
        <v>1</v>
      </c>
      <c r="BI544" s="12">
        <f>SUM(data__22[[#This Row],[N5]:[N7]])/3</f>
        <v>0.66666666666666663</v>
      </c>
      <c r="BJ544" s="12">
        <f>SUM(data__22[[#This Row],[N14]:[N15]],data__22[[#This Row],[N19]:[N22]],data__22[[#This Row],[N26]:[N28]])/9</f>
        <v>0.55555555555555558</v>
      </c>
      <c r="BK544" s="12">
        <f>SUM(data__22[[#This Row],[N29]:[N33]])/5</f>
        <v>0</v>
      </c>
      <c r="BL544" s="12">
        <f>SUM(data__22[[#This Row],[N34]:[N36]])/3</f>
        <v>0</v>
      </c>
    </row>
    <row r="545" spans="1:64" x14ac:dyDescent="0.3">
      <c r="A545" s="7">
        <v>21</v>
      </c>
      <c r="B545" s="7" t="s">
        <v>70</v>
      </c>
      <c r="C545" s="7" t="s">
        <v>96</v>
      </c>
      <c r="D545" s="7" t="s">
        <v>72</v>
      </c>
      <c r="E545" s="7" t="s">
        <v>73</v>
      </c>
      <c r="F545" s="7" t="s">
        <v>98</v>
      </c>
      <c r="G545" s="7" t="s">
        <v>439</v>
      </c>
      <c r="H545" s="7" t="s">
        <v>98</v>
      </c>
      <c r="I545" s="7" t="s">
        <v>76</v>
      </c>
      <c r="J545" s="7" t="s">
        <v>77</v>
      </c>
      <c r="K545" s="7" t="s">
        <v>125</v>
      </c>
      <c r="L545" s="8" t="s">
        <v>79</v>
      </c>
      <c r="M545" s="8" t="s">
        <v>80</v>
      </c>
      <c r="N545" s="8" t="s">
        <v>82</v>
      </c>
      <c r="O545" s="8" t="s">
        <v>138</v>
      </c>
      <c r="P545" s="8" t="s">
        <v>82</v>
      </c>
      <c r="Q545" s="8" t="s">
        <v>83</v>
      </c>
      <c r="R545" s="8" t="s">
        <v>79</v>
      </c>
      <c r="S545" s="8" t="s">
        <v>82</v>
      </c>
      <c r="T545" s="8" t="s">
        <v>106</v>
      </c>
      <c r="U545" s="8" t="s">
        <v>87</v>
      </c>
      <c r="V545" s="8" t="s">
        <v>112</v>
      </c>
      <c r="W545" s="9">
        <v>2</v>
      </c>
      <c r="X545" s="9">
        <v>3</v>
      </c>
      <c r="Y545" s="9">
        <v>3</v>
      </c>
      <c r="Z545" s="9">
        <v>3</v>
      </c>
      <c r="AA545" s="9">
        <v>2</v>
      </c>
      <c r="AB545" s="9">
        <v>2</v>
      </c>
      <c r="AC545" s="9">
        <v>3</v>
      </c>
      <c r="AD545" s="9">
        <v>2</v>
      </c>
      <c r="AE545" s="9">
        <v>3</v>
      </c>
      <c r="AF545" s="9">
        <v>2</v>
      </c>
      <c r="AG545" s="9">
        <v>2</v>
      </c>
      <c r="AH545" s="9">
        <v>3</v>
      </c>
      <c r="AI545" s="9">
        <v>2</v>
      </c>
      <c r="AJ545" s="9">
        <v>2</v>
      </c>
      <c r="AK545" s="9">
        <v>3</v>
      </c>
      <c r="AL545" s="10">
        <v>1</v>
      </c>
      <c r="AM545" s="10">
        <v>2</v>
      </c>
      <c r="AN545" s="10">
        <v>1</v>
      </c>
      <c r="AO545" s="10">
        <v>0</v>
      </c>
      <c r="AP545" s="10">
        <v>0</v>
      </c>
      <c r="AQ545" s="10">
        <v>1</v>
      </c>
      <c r="AR545" s="10">
        <v>2</v>
      </c>
      <c r="AS545" s="11">
        <v>1</v>
      </c>
      <c r="AT545" s="11">
        <v>1</v>
      </c>
      <c r="AU545" s="11">
        <v>2</v>
      </c>
      <c r="AV545" s="11">
        <v>1</v>
      </c>
      <c r="AW545" s="11">
        <v>1</v>
      </c>
      <c r="AX545" s="11">
        <v>1</v>
      </c>
      <c r="AY545" s="7">
        <v>1</v>
      </c>
      <c r="AZ545" s="7">
        <v>2</v>
      </c>
      <c r="BA545" s="7">
        <v>1</v>
      </c>
      <c r="BB545" s="7">
        <v>1</v>
      </c>
      <c r="BC545" s="7">
        <v>1</v>
      </c>
      <c r="BD545" s="7">
        <v>2</v>
      </c>
      <c r="BE545" s="7">
        <v>1</v>
      </c>
      <c r="BF545" s="7">
        <v>1</v>
      </c>
      <c r="BG545" s="12">
        <f>SUM(data__22[[#This Row],[N1]:[N4]],data__22[[#This Row],[N10]:[N13]],data__22[[#This Row],[N16]:[N18]])/11</f>
        <v>2.1818181818181817</v>
      </c>
      <c r="BH545" s="13">
        <f>SUM(data__22[[#This Row],[N8]:[N9]],data__22[[#This Row],[N23]:[N25]])/5</f>
        <v>1.8</v>
      </c>
      <c r="BI545" s="12">
        <f>SUM(data__22[[#This Row],[N5]:[N7]])/3</f>
        <v>2.3333333333333335</v>
      </c>
      <c r="BJ545" s="12">
        <f>SUM(data__22[[#This Row],[N14]:[N15]],data__22[[#This Row],[N19]:[N22]],data__22[[#This Row],[N26]:[N28]])/9</f>
        <v>1.2222222222222223</v>
      </c>
      <c r="BK545" s="12">
        <f>SUM(data__22[[#This Row],[N29]:[N33]])/5</f>
        <v>1.2</v>
      </c>
      <c r="BL545" s="12">
        <f>SUM(data__22[[#This Row],[N34]:[N36]])/3</f>
        <v>1.3333333333333333</v>
      </c>
    </row>
    <row r="546" spans="1:64" x14ac:dyDescent="0.3">
      <c r="A546" s="7">
        <v>23</v>
      </c>
      <c r="B546" s="7" t="s">
        <v>70</v>
      </c>
      <c r="C546" s="7" t="s">
        <v>113</v>
      </c>
      <c r="D546" s="7" t="s">
        <v>97</v>
      </c>
      <c r="E546" s="7" t="s">
        <v>108</v>
      </c>
      <c r="F546" s="7" t="s">
        <v>74</v>
      </c>
      <c r="G546" s="7" t="s">
        <v>166</v>
      </c>
      <c r="H546" s="7" t="s">
        <v>136</v>
      </c>
      <c r="I546" s="7" t="s">
        <v>76</v>
      </c>
      <c r="J546" s="7" t="s">
        <v>77</v>
      </c>
      <c r="K546" s="7" t="s">
        <v>125</v>
      </c>
      <c r="L546" s="8" t="s">
        <v>79</v>
      </c>
      <c r="M546" s="8" t="s">
        <v>80</v>
      </c>
      <c r="N546" s="8" t="s">
        <v>79</v>
      </c>
      <c r="O546" s="8" t="s">
        <v>109</v>
      </c>
      <c r="P546" s="8" t="s">
        <v>79</v>
      </c>
      <c r="Q546" s="8" t="s">
        <v>83</v>
      </c>
      <c r="R546" s="8" t="s">
        <v>79</v>
      </c>
      <c r="S546" s="8" t="s">
        <v>79</v>
      </c>
      <c r="T546" s="8" t="s">
        <v>106</v>
      </c>
      <c r="U546" s="8" t="s">
        <v>87</v>
      </c>
      <c r="V546" s="8" t="s">
        <v>112</v>
      </c>
      <c r="W546" s="9">
        <v>2</v>
      </c>
      <c r="X546" s="9">
        <v>1</v>
      </c>
      <c r="Y546" s="9">
        <v>1</v>
      </c>
      <c r="Z546" s="9">
        <v>1</v>
      </c>
      <c r="AA546" s="9">
        <v>1</v>
      </c>
      <c r="AB546" s="9">
        <v>1</v>
      </c>
      <c r="AC546" s="9">
        <v>1</v>
      </c>
      <c r="AD546" s="9">
        <v>1</v>
      </c>
      <c r="AE546" s="9">
        <v>1</v>
      </c>
      <c r="AF546" s="9">
        <v>1</v>
      </c>
      <c r="AG546" s="9">
        <v>1</v>
      </c>
      <c r="AH546" s="9">
        <v>1</v>
      </c>
      <c r="AI546" s="9">
        <v>1</v>
      </c>
      <c r="AJ546" s="9">
        <v>1</v>
      </c>
      <c r="AK546" s="9">
        <v>1</v>
      </c>
      <c r="AL546" s="10">
        <v>1</v>
      </c>
      <c r="AM546" s="10">
        <v>1</v>
      </c>
      <c r="AN546" s="10">
        <v>1</v>
      </c>
      <c r="AO546" s="10">
        <v>1</v>
      </c>
      <c r="AP546" s="10">
        <v>1</v>
      </c>
      <c r="AQ546" s="10">
        <v>1</v>
      </c>
      <c r="AR546" s="10">
        <v>1</v>
      </c>
      <c r="AS546" s="11">
        <v>1</v>
      </c>
      <c r="AT546" s="11">
        <v>1</v>
      </c>
      <c r="AU546" s="11">
        <v>1</v>
      </c>
      <c r="AV546" s="11">
        <v>1</v>
      </c>
      <c r="AW546" s="11">
        <v>1</v>
      </c>
      <c r="AX546" s="11">
        <v>1</v>
      </c>
      <c r="AY546" s="7">
        <v>1</v>
      </c>
      <c r="AZ546" s="7">
        <v>1</v>
      </c>
      <c r="BA546" s="7">
        <v>1</v>
      </c>
      <c r="BB546" s="7">
        <v>0</v>
      </c>
      <c r="BC546" s="7">
        <v>1</v>
      </c>
      <c r="BD546" s="7">
        <v>1</v>
      </c>
      <c r="BE546" s="7">
        <v>1</v>
      </c>
      <c r="BF546" s="7">
        <v>0</v>
      </c>
      <c r="BG546" s="12">
        <f>SUM(data__22[[#This Row],[N1]:[N4]],data__22[[#This Row],[N10]:[N13]],data__22[[#This Row],[N16]:[N18]])/11</f>
        <v>1.0909090909090908</v>
      </c>
      <c r="BH546" s="13">
        <f>SUM(data__22[[#This Row],[N8]:[N9]],data__22[[#This Row],[N23]:[N25]])/5</f>
        <v>1</v>
      </c>
      <c r="BI546" s="12">
        <f>SUM(data__22[[#This Row],[N5]:[N7]])/3</f>
        <v>1</v>
      </c>
      <c r="BJ546" s="12">
        <f>SUM(data__22[[#This Row],[N14]:[N15]],data__22[[#This Row],[N19]:[N22]],data__22[[#This Row],[N26]:[N28]])/9</f>
        <v>1</v>
      </c>
      <c r="BK546" s="12">
        <f>SUM(data__22[[#This Row],[N29]:[N33]])/5</f>
        <v>0.8</v>
      </c>
      <c r="BL546" s="12">
        <f>SUM(data__22[[#This Row],[N34]:[N36]])/3</f>
        <v>0.66666666666666663</v>
      </c>
    </row>
    <row r="547" spans="1:64" x14ac:dyDescent="0.3">
      <c r="A547" s="7">
        <v>23</v>
      </c>
      <c r="B547" s="7" t="s">
        <v>70</v>
      </c>
      <c r="C547" s="7" t="s">
        <v>113</v>
      </c>
      <c r="D547" s="7" t="s">
        <v>72</v>
      </c>
      <c r="E547" s="7" t="s">
        <v>114</v>
      </c>
      <c r="F547" s="7" t="s">
        <v>100</v>
      </c>
      <c r="G547" s="7" t="s">
        <v>438</v>
      </c>
      <c r="H547" s="7" t="s">
        <v>100</v>
      </c>
      <c r="I547" s="7" t="s">
        <v>76</v>
      </c>
      <c r="J547" s="7" t="s">
        <v>101</v>
      </c>
      <c r="K547" s="7" t="s">
        <v>125</v>
      </c>
      <c r="L547" s="8" t="s">
        <v>82</v>
      </c>
      <c r="M547" s="8" t="s">
        <v>80</v>
      </c>
      <c r="N547" s="8" t="s">
        <v>79</v>
      </c>
      <c r="O547" s="8" t="s">
        <v>109</v>
      </c>
      <c r="P547" s="8" t="s">
        <v>82</v>
      </c>
      <c r="Q547" s="8" t="s">
        <v>103</v>
      </c>
      <c r="R547" s="8" t="s">
        <v>79</v>
      </c>
      <c r="S547" s="8" t="s">
        <v>82</v>
      </c>
      <c r="T547" s="8" t="s">
        <v>86</v>
      </c>
      <c r="U547" s="8" t="s">
        <v>141</v>
      </c>
      <c r="V547" s="8" t="s">
        <v>112</v>
      </c>
      <c r="W547" s="9">
        <v>3</v>
      </c>
      <c r="X547" s="9">
        <v>3</v>
      </c>
      <c r="Y547" s="9">
        <v>3</v>
      </c>
      <c r="Z547" s="9">
        <v>2</v>
      </c>
      <c r="AA547" s="9">
        <v>3</v>
      </c>
      <c r="AB547" s="9">
        <v>2</v>
      </c>
      <c r="AC547" s="9">
        <v>3</v>
      </c>
      <c r="AD547" s="9">
        <v>3</v>
      </c>
      <c r="AE547" s="9">
        <v>3</v>
      </c>
      <c r="AF547" s="9">
        <v>3</v>
      </c>
      <c r="AG547" s="9">
        <v>3</v>
      </c>
      <c r="AH547" s="9">
        <v>2</v>
      </c>
      <c r="AI547" s="9">
        <v>2</v>
      </c>
      <c r="AJ547" s="9">
        <v>2</v>
      </c>
      <c r="AK547" s="9">
        <v>3</v>
      </c>
      <c r="AL547" s="10">
        <v>3</v>
      </c>
      <c r="AM547" s="10">
        <v>3</v>
      </c>
      <c r="AN547" s="10">
        <v>3</v>
      </c>
      <c r="AO547" s="10">
        <v>0</v>
      </c>
      <c r="AP547" s="10">
        <v>2</v>
      </c>
      <c r="AQ547" s="10">
        <v>2</v>
      </c>
      <c r="AR547" s="10">
        <v>2</v>
      </c>
      <c r="AS547" s="11">
        <v>2</v>
      </c>
      <c r="AT547" s="11">
        <v>2</v>
      </c>
      <c r="AU547" s="11">
        <v>3</v>
      </c>
      <c r="AV547" s="11">
        <v>3</v>
      </c>
      <c r="AW547" s="11">
        <v>2</v>
      </c>
      <c r="AX547" s="11">
        <v>3</v>
      </c>
      <c r="AY547" s="7">
        <v>3</v>
      </c>
      <c r="AZ547" s="7">
        <v>3</v>
      </c>
      <c r="BA547" s="7">
        <v>3</v>
      </c>
      <c r="BB547" s="7">
        <v>3</v>
      </c>
      <c r="BC547" s="7">
        <v>3</v>
      </c>
      <c r="BD547" s="7">
        <v>2</v>
      </c>
      <c r="BE547" s="7">
        <v>0</v>
      </c>
      <c r="BF547" s="7">
        <v>3</v>
      </c>
      <c r="BG547" s="12">
        <f>SUM(data__22[[#This Row],[N1]:[N4]],data__22[[#This Row],[N10]:[N13]],data__22[[#This Row],[N16]:[N18]])/11</f>
        <v>2.7272727272727271</v>
      </c>
      <c r="BH547" s="13">
        <f>SUM(data__22[[#This Row],[N8]:[N9]],data__22[[#This Row],[N23]:[N25]])/5</f>
        <v>2.6</v>
      </c>
      <c r="BI547" s="12">
        <f>SUM(data__22[[#This Row],[N5]:[N7]])/3</f>
        <v>2.6666666666666665</v>
      </c>
      <c r="BJ547" s="12">
        <f>SUM(data__22[[#This Row],[N14]:[N15]],data__22[[#This Row],[N19]:[N22]],data__22[[#This Row],[N26]:[N28]])/9</f>
        <v>2.1111111111111112</v>
      </c>
      <c r="BK547" s="12">
        <f>SUM(data__22[[#This Row],[N29]:[N33]])/5</f>
        <v>3</v>
      </c>
      <c r="BL547" s="12">
        <f>SUM(data__22[[#This Row],[N34]:[N36]])/3</f>
        <v>1.6666666666666667</v>
      </c>
    </row>
    <row r="548" spans="1:64" x14ac:dyDescent="0.3">
      <c r="A548" s="7">
        <v>23</v>
      </c>
      <c r="B548" s="7" t="s">
        <v>70</v>
      </c>
      <c r="C548" s="7" t="s">
        <v>113</v>
      </c>
      <c r="D548" s="7" t="s">
        <v>72</v>
      </c>
      <c r="E548" s="7" t="s">
        <v>73</v>
      </c>
      <c r="F548" s="7" t="s">
        <v>136</v>
      </c>
      <c r="G548" s="7" t="s">
        <v>440</v>
      </c>
      <c r="H548" s="7" t="s">
        <v>98</v>
      </c>
      <c r="I548" s="7" t="s">
        <v>76</v>
      </c>
      <c r="J548" s="7" t="s">
        <v>77</v>
      </c>
      <c r="K548" s="7" t="s">
        <v>125</v>
      </c>
      <c r="L548" s="8" t="s">
        <v>79</v>
      </c>
      <c r="M548" s="8" t="s">
        <v>102</v>
      </c>
      <c r="N548" s="8" t="s">
        <v>79</v>
      </c>
      <c r="O548" s="8" t="s">
        <v>109</v>
      </c>
      <c r="P548" s="8" t="s">
        <v>82</v>
      </c>
      <c r="Q548" s="8" t="s">
        <v>103</v>
      </c>
      <c r="R548" s="8" t="s">
        <v>79</v>
      </c>
      <c r="S548" s="8" t="s">
        <v>82</v>
      </c>
      <c r="T548" s="8" t="s">
        <v>106</v>
      </c>
      <c r="U548" s="8" t="s">
        <v>141</v>
      </c>
      <c r="V548" s="8" t="s">
        <v>112</v>
      </c>
      <c r="W548" s="9">
        <v>3</v>
      </c>
      <c r="X548" s="9">
        <v>3</v>
      </c>
      <c r="Y548" s="9">
        <v>3</v>
      </c>
      <c r="Z548" s="9">
        <v>3</v>
      </c>
      <c r="AA548" s="9">
        <v>3</v>
      </c>
      <c r="AB548" s="9">
        <v>3</v>
      </c>
      <c r="AC548" s="9">
        <v>3</v>
      </c>
      <c r="AD548" s="9">
        <v>3</v>
      </c>
      <c r="AE548" s="9">
        <v>3</v>
      </c>
      <c r="AF548" s="9">
        <v>3</v>
      </c>
      <c r="AG548" s="9">
        <v>3</v>
      </c>
      <c r="AH548" s="9">
        <v>3</v>
      </c>
      <c r="AI548" s="9">
        <v>3</v>
      </c>
      <c r="AJ548" s="9">
        <v>3</v>
      </c>
      <c r="AK548" s="9">
        <v>3</v>
      </c>
      <c r="AL548" s="10">
        <v>3</v>
      </c>
      <c r="AM548" s="10">
        <v>3</v>
      </c>
      <c r="AN548" s="10">
        <v>3</v>
      </c>
      <c r="AO548" s="10">
        <v>3</v>
      </c>
      <c r="AP548" s="10">
        <v>3</v>
      </c>
      <c r="AQ548" s="10">
        <v>3</v>
      </c>
      <c r="AR548" s="10">
        <v>3</v>
      </c>
      <c r="AS548" s="11">
        <v>2</v>
      </c>
      <c r="AT548" s="11">
        <v>2</v>
      </c>
      <c r="AU548" s="11">
        <v>2</v>
      </c>
      <c r="AV548" s="11">
        <v>2</v>
      </c>
      <c r="AW548" s="11">
        <v>2</v>
      </c>
      <c r="AX548" s="11">
        <v>2</v>
      </c>
      <c r="AY548" s="7">
        <v>2</v>
      </c>
      <c r="AZ548" s="7">
        <v>2</v>
      </c>
      <c r="BA548" s="7">
        <v>2</v>
      </c>
      <c r="BB548" s="7">
        <v>2</v>
      </c>
      <c r="BC548" s="7"/>
      <c r="BD548" s="7">
        <v>2</v>
      </c>
      <c r="BE548" s="7">
        <v>2</v>
      </c>
      <c r="BF548" s="7">
        <v>2</v>
      </c>
      <c r="BG548" s="12">
        <f>SUM(data__22[[#This Row],[N1]:[N4]],data__22[[#This Row],[N10]:[N13]],data__22[[#This Row],[N16]:[N18]])/11</f>
        <v>3</v>
      </c>
      <c r="BH548" s="13">
        <f>SUM(data__22[[#This Row],[N8]:[N9]],data__22[[#This Row],[N23]:[N25]])/5</f>
        <v>2.4</v>
      </c>
      <c r="BI548" s="12">
        <f>SUM(data__22[[#This Row],[N5]:[N7]])/3</f>
        <v>3</v>
      </c>
      <c r="BJ548" s="12">
        <f>SUM(data__22[[#This Row],[N14]:[N15]],data__22[[#This Row],[N19]:[N22]],data__22[[#This Row],[N26]:[N28]])/9</f>
        <v>2.6666666666666665</v>
      </c>
      <c r="BK548" s="12">
        <f>SUM(data__22[[#This Row],[N29]:[N33]])/5</f>
        <v>1.6</v>
      </c>
      <c r="BL548" s="12">
        <f>SUM(data__22[[#This Row],[N34]:[N36]])/3</f>
        <v>2</v>
      </c>
    </row>
    <row r="549" spans="1:64" x14ac:dyDescent="0.3">
      <c r="A549" s="7">
        <v>23</v>
      </c>
      <c r="B549" s="7" t="s">
        <v>70</v>
      </c>
      <c r="C549" s="7" t="s">
        <v>113</v>
      </c>
      <c r="D549" s="7" t="s">
        <v>72</v>
      </c>
      <c r="E549" s="7" t="s">
        <v>73</v>
      </c>
      <c r="F549" s="7" t="s">
        <v>74</v>
      </c>
      <c r="G549" s="7" t="s">
        <v>439</v>
      </c>
      <c r="H549" s="7" t="s">
        <v>136</v>
      </c>
      <c r="I549" s="7" t="s">
        <v>76</v>
      </c>
      <c r="J549" s="7" t="s">
        <v>77</v>
      </c>
      <c r="K549" s="7" t="s">
        <v>122</v>
      </c>
      <c r="L549" s="8" t="s">
        <v>79</v>
      </c>
      <c r="M549" s="8" t="s">
        <v>80</v>
      </c>
      <c r="N549" s="8" t="s">
        <v>79</v>
      </c>
      <c r="O549" s="8" t="s">
        <v>117</v>
      </c>
      <c r="P549" s="8" t="s">
        <v>82</v>
      </c>
      <c r="Q549" s="8" t="s">
        <v>83</v>
      </c>
      <c r="R549" s="8" t="s">
        <v>79</v>
      </c>
      <c r="S549" s="8" t="s">
        <v>82</v>
      </c>
      <c r="T549" s="8" t="s">
        <v>106</v>
      </c>
      <c r="U549" s="8" t="s">
        <v>87</v>
      </c>
      <c r="V549" s="8" t="s">
        <v>112</v>
      </c>
      <c r="W549" s="9">
        <v>1</v>
      </c>
      <c r="X549" s="9">
        <v>2</v>
      </c>
      <c r="Y549" s="9">
        <v>3</v>
      </c>
      <c r="Z549" s="9">
        <v>2</v>
      </c>
      <c r="AA549" s="9">
        <v>3</v>
      </c>
      <c r="AB549" s="9">
        <v>3</v>
      </c>
      <c r="AC549" s="9">
        <v>3</v>
      </c>
      <c r="AD549" s="9">
        <v>3</v>
      </c>
      <c r="AE549" s="9">
        <v>2</v>
      </c>
      <c r="AF549" s="9">
        <v>1</v>
      </c>
      <c r="AG549" s="9">
        <v>3</v>
      </c>
      <c r="AH549" s="9">
        <v>2</v>
      </c>
      <c r="AI549" s="9">
        <v>2</v>
      </c>
      <c r="AJ549" s="9">
        <v>2</v>
      </c>
      <c r="AK549" s="9">
        <v>3</v>
      </c>
      <c r="AL549" s="10">
        <v>3</v>
      </c>
      <c r="AM549" s="10">
        <v>3</v>
      </c>
      <c r="AN549" s="10">
        <v>3</v>
      </c>
      <c r="AO549" s="10">
        <v>3</v>
      </c>
      <c r="AP549" s="10">
        <v>3</v>
      </c>
      <c r="AQ549" s="10">
        <v>3</v>
      </c>
      <c r="AR549" s="10">
        <v>3</v>
      </c>
      <c r="AS549" s="11">
        <v>3</v>
      </c>
      <c r="AT549" s="11">
        <v>3</v>
      </c>
      <c r="AU549" s="11">
        <v>3</v>
      </c>
      <c r="AV549" s="11">
        <v>3</v>
      </c>
      <c r="AW549" s="11">
        <v>3</v>
      </c>
      <c r="AX549" s="11">
        <v>3</v>
      </c>
      <c r="AY549" s="7">
        <v>3</v>
      </c>
      <c r="AZ549" s="7">
        <v>3</v>
      </c>
      <c r="BA549" s="7">
        <v>3</v>
      </c>
      <c r="BB549" s="7">
        <v>3</v>
      </c>
      <c r="BC549" s="7">
        <v>3</v>
      </c>
      <c r="BD549" s="7">
        <v>3</v>
      </c>
      <c r="BE549" s="7">
        <v>3</v>
      </c>
      <c r="BF549" s="7">
        <v>3</v>
      </c>
      <c r="BG549" s="12">
        <f>SUM(data__22[[#This Row],[N1]:[N4]],data__22[[#This Row],[N10]:[N13]],data__22[[#This Row],[N16]:[N18]])/11</f>
        <v>2.2727272727272729</v>
      </c>
      <c r="BH549" s="13">
        <f>SUM(data__22[[#This Row],[N8]:[N9]],data__22[[#This Row],[N23]:[N25]])/5</f>
        <v>2.8</v>
      </c>
      <c r="BI549" s="12">
        <f>SUM(data__22[[#This Row],[N5]:[N7]])/3</f>
        <v>3</v>
      </c>
      <c r="BJ549" s="12">
        <f>SUM(data__22[[#This Row],[N14]:[N15]],data__22[[#This Row],[N19]:[N22]],data__22[[#This Row],[N26]:[N28]])/9</f>
        <v>2.8888888888888888</v>
      </c>
      <c r="BK549" s="12">
        <f>SUM(data__22[[#This Row],[N29]:[N33]])/5</f>
        <v>3</v>
      </c>
      <c r="BL549" s="12">
        <f>SUM(data__22[[#This Row],[N34]:[N36]])/3</f>
        <v>3</v>
      </c>
    </row>
    <row r="550" spans="1:64" x14ac:dyDescent="0.3">
      <c r="A550" s="7">
        <v>22</v>
      </c>
      <c r="B550" s="7" t="s">
        <v>128</v>
      </c>
      <c r="C550" s="7" t="s">
        <v>113</v>
      </c>
      <c r="D550" s="7" t="s">
        <v>72</v>
      </c>
      <c r="E550" s="7" t="s">
        <v>73</v>
      </c>
      <c r="F550" s="7" t="s">
        <v>74</v>
      </c>
      <c r="G550" s="7" t="s">
        <v>439</v>
      </c>
      <c r="H550" s="7" t="s">
        <v>74</v>
      </c>
      <c r="I550" s="7" t="s">
        <v>76</v>
      </c>
      <c r="J550" s="7" t="s">
        <v>77</v>
      </c>
      <c r="K550" s="7" t="s">
        <v>122</v>
      </c>
      <c r="L550" s="8" t="s">
        <v>79</v>
      </c>
      <c r="M550" s="8" t="s">
        <v>80</v>
      </c>
      <c r="N550" s="8" t="s">
        <v>79</v>
      </c>
      <c r="O550" s="8" t="s">
        <v>117</v>
      </c>
      <c r="P550" s="8" t="s">
        <v>82</v>
      </c>
      <c r="Q550" s="8" t="s">
        <v>83</v>
      </c>
      <c r="R550" s="8" t="s">
        <v>82</v>
      </c>
      <c r="S550" s="8" t="s">
        <v>82</v>
      </c>
      <c r="T550" s="8" t="s">
        <v>106</v>
      </c>
      <c r="U550" s="8" t="s">
        <v>87</v>
      </c>
      <c r="V550" s="8" t="s">
        <v>455</v>
      </c>
      <c r="W550" s="9">
        <v>1</v>
      </c>
      <c r="X550" s="9">
        <v>2</v>
      </c>
      <c r="Y550" s="9">
        <v>1</v>
      </c>
      <c r="Z550" s="9">
        <v>1</v>
      </c>
      <c r="AA550" s="9">
        <v>1</v>
      </c>
      <c r="AB550" s="9">
        <v>1</v>
      </c>
      <c r="AC550" s="9">
        <v>2</v>
      </c>
      <c r="AD550" s="9">
        <v>1</v>
      </c>
      <c r="AE550" s="9">
        <v>1</v>
      </c>
      <c r="AF550" s="9">
        <v>0</v>
      </c>
      <c r="AG550" s="9">
        <v>1</v>
      </c>
      <c r="AH550" s="9">
        <v>1</v>
      </c>
      <c r="AI550" s="9">
        <v>2</v>
      </c>
      <c r="AJ550" s="9">
        <v>1</v>
      </c>
      <c r="AK550" s="9">
        <v>0</v>
      </c>
      <c r="AL550" s="10">
        <v>3</v>
      </c>
      <c r="AM550" s="10">
        <v>3</v>
      </c>
      <c r="AN550" s="10">
        <v>3</v>
      </c>
      <c r="AO550" s="10">
        <v>2</v>
      </c>
      <c r="AP550" s="10">
        <v>3</v>
      </c>
      <c r="AQ550" s="10">
        <v>2</v>
      </c>
      <c r="AR550" s="10">
        <v>3</v>
      </c>
      <c r="AS550" s="11">
        <v>3</v>
      </c>
      <c r="AT550" s="11">
        <v>3</v>
      </c>
      <c r="AU550" s="11">
        <v>3</v>
      </c>
      <c r="AV550" s="11">
        <v>3</v>
      </c>
      <c r="AW550" s="11">
        <v>3</v>
      </c>
      <c r="AX550" s="11">
        <v>3</v>
      </c>
      <c r="AY550" s="7">
        <v>3</v>
      </c>
      <c r="AZ550" s="7">
        <v>2</v>
      </c>
      <c r="BA550" s="7">
        <v>3</v>
      </c>
      <c r="BB550" s="7">
        <v>3</v>
      </c>
      <c r="BC550" s="7">
        <v>3</v>
      </c>
      <c r="BD550" s="7">
        <v>3</v>
      </c>
      <c r="BE550" s="7">
        <v>2</v>
      </c>
      <c r="BF550" s="7">
        <v>2</v>
      </c>
      <c r="BG550" s="12">
        <f>SUM(data__22[[#This Row],[N1]:[N4]],data__22[[#This Row],[N10]:[N13]],data__22[[#This Row],[N16]:[N18]])/11</f>
        <v>1.6363636363636365</v>
      </c>
      <c r="BH550" s="13">
        <f>SUM(data__22[[#This Row],[N8]:[N9]],data__22[[#This Row],[N23]:[N25]])/5</f>
        <v>2.2000000000000002</v>
      </c>
      <c r="BI550" s="12">
        <f>SUM(data__22[[#This Row],[N5]:[N7]])/3</f>
        <v>1.3333333333333333</v>
      </c>
      <c r="BJ550" s="12">
        <f>SUM(data__22[[#This Row],[N14]:[N15]],data__22[[#This Row],[N19]:[N22]],data__22[[#This Row],[N26]:[N28]])/9</f>
        <v>2.2222222222222223</v>
      </c>
      <c r="BK550" s="12">
        <f>SUM(data__22[[#This Row],[N29]:[N33]])/5</f>
        <v>2.8</v>
      </c>
      <c r="BL550" s="12">
        <f>SUM(data__22[[#This Row],[N34]:[N36]])/3</f>
        <v>2.3333333333333335</v>
      </c>
    </row>
    <row r="551" spans="1:64" x14ac:dyDescent="0.3">
      <c r="A551" s="7">
        <v>21</v>
      </c>
      <c r="B551" s="7" t="s">
        <v>70</v>
      </c>
      <c r="C551" s="7" t="s">
        <v>96</v>
      </c>
      <c r="D551" s="7" t="s">
        <v>72</v>
      </c>
      <c r="E551" s="7" t="s">
        <v>73</v>
      </c>
      <c r="F551" s="7" t="s">
        <v>74</v>
      </c>
      <c r="G551" s="7" t="s">
        <v>440</v>
      </c>
      <c r="H551" s="7" t="s">
        <v>74</v>
      </c>
      <c r="I551" s="7" t="s">
        <v>99</v>
      </c>
      <c r="J551" s="7" t="s">
        <v>77</v>
      </c>
      <c r="K551" s="7" t="s">
        <v>78</v>
      </c>
      <c r="L551" s="8" t="s">
        <v>79</v>
      </c>
      <c r="M551" s="8" t="s">
        <v>80</v>
      </c>
      <c r="N551" s="8" t="s">
        <v>79</v>
      </c>
      <c r="O551" s="8" t="s">
        <v>109</v>
      </c>
      <c r="P551" s="8" t="s">
        <v>79</v>
      </c>
      <c r="Q551" s="8" t="s">
        <v>83</v>
      </c>
      <c r="R551" s="8" t="s">
        <v>79</v>
      </c>
      <c r="S551" s="8" t="s">
        <v>79</v>
      </c>
      <c r="T551" s="8" t="s">
        <v>106</v>
      </c>
      <c r="U551" s="8" t="s">
        <v>87</v>
      </c>
      <c r="V551" s="8" t="s">
        <v>112</v>
      </c>
      <c r="W551" s="9">
        <v>2</v>
      </c>
      <c r="X551" s="9">
        <v>2</v>
      </c>
      <c r="Y551" s="9">
        <v>2</v>
      </c>
      <c r="Z551" s="9">
        <v>3</v>
      </c>
      <c r="AA551" s="9">
        <v>3</v>
      </c>
      <c r="AB551" s="9">
        <v>3</v>
      </c>
      <c r="AC551" s="9">
        <v>3</v>
      </c>
      <c r="AD551" s="9">
        <v>3</v>
      </c>
      <c r="AE551" s="9">
        <v>1</v>
      </c>
      <c r="AF551" s="9">
        <v>2</v>
      </c>
      <c r="AG551" s="9">
        <v>2</v>
      </c>
      <c r="AH551" s="9">
        <v>2</v>
      </c>
      <c r="AI551" s="9">
        <v>2</v>
      </c>
      <c r="AJ551" s="9">
        <v>2</v>
      </c>
      <c r="AK551" s="9">
        <v>2</v>
      </c>
      <c r="AL551" s="10">
        <v>3</v>
      </c>
      <c r="AM551" s="10">
        <v>3</v>
      </c>
      <c r="AN551" s="10">
        <v>3</v>
      </c>
      <c r="AO551" s="10">
        <v>3</v>
      </c>
      <c r="AP551" s="10">
        <v>0</v>
      </c>
      <c r="AQ551" s="10">
        <v>0</v>
      </c>
      <c r="AR551" s="10">
        <v>0</v>
      </c>
      <c r="AS551" s="11">
        <v>3</v>
      </c>
      <c r="AT551" s="11">
        <v>3</v>
      </c>
      <c r="AU551" s="11">
        <v>3</v>
      </c>
      <c r="AV551" s="11">
        <v>3</v>
      </c>
      <c r="AW551" s="11">
        <v>3</v>
      </c>
      <c r="AX551" s="11">
        <v>3</v>
      </c>
      <c r="AY551" s="7">
        <v>3</v>
      </c>
      <c r="AZ551" s="7">
        <v>3</v>
      </c>
      <c r="BA551" s="7">
        <v>3</v>
      </c>
      <c r="BB551" s="7">
        <v>3</v>
      </c>
      <c r="BC551" s="7">
        <v>3</v>
      </c>
      <c r="BD551" s="7">
        <v>3</v>
      </c>
      <c r="BE551" s="7">
        <v>3</v>
      </c>
      <c r="BF551" s="7">
        <v>3</v>
      </c>
      <c r="BG551" s="12">
        <f>SUM(data__22[[#This Row],[N1]:[N4]],data__22[[#This Row],[N10]:[N13]],data__22[[#This Row],[N16]:[N18]])/11</f>
        <v>2.3636363636363638</v>
      </c>
      <c r="BH551" s="13">
        <f>SUM(data__22[[#This Row],[N8]:[N9]],data__22[[#This Row],[N23]:[N25]])/5</f>
        <v>2.6</v>
      </c>
      <c r="BI551" s="12">
        <f>SUM(data__22[[#This Row],[N5]:[N7]])/3</f>
        <v>3</v>
      </c>
      <c r="BJ551" s="12">
        <f>SUM(data__22[[#This Row],[N14]:[N15]],data__22[[#This Row],[N19]:[N22]],data__22[[#This Row],[N26]:[N28]])/9</f>
        <v>1.7777777777777777</v>
      </c>
      <c r="BK551" s="12">
        <f>SUM(data__22[[#This Row],[N29]:[N33]])/5</f>
        <v>3</v>
      </c>
      <c r="BL551" s="12">
        <f>SUM(data__22[[#This Row],[N34]:[N36]])/3</f>
        <v>3</v>
      </c>
    </row>
    <row r="552" spans="1:64" x14ac:dyDescent="0.3">
      <c r="A552" s="7">
        <v>21</v>
      </c>
      <c r="B552" s="7" t="s">
        <v>70</v>
      </c>
      <c r="C552" s="7" t="s">
        <v>96</v>
      </c>
      <c r="D552" s="7" t="s">
        <v>72</v>
      </c>
      <c r="E552" s="7" t="s">
        <v>73</v>
      </c>
      <c r="F552" s="7" t="s">
        <v>74</v>
      </c>
      <c r="G552" s="7" t="s">
        <v>439</v>
      </c>
      <c r="H552" s="7" t="s">
        <v>74</v>
      </c>
      <c r="I552" s="7" t="s">
        <v>439</v>
      </c>
      <c r="J552" s="7" t="s">
        <v>77</v>
      </c>
      <c r="K552" s="7" t="s">
        <v>78</v>
      </c>
      <c r="L552" s="8" t="s">
        <v>79</v>
      </c>
      <c r="M552" s="8" t="s">
        <v>80</v>
      </c>
      <c r="N552" s="8" t="s">
        <v>79</v>
      </c>
      <c r="O552" s="8" t="s">
        <v>81</v>
      </c>
      <c r="P552" s="8" t="s">
        <v>79</v>
      </c>
      <c r="Q552" s="8" t="s">
        <v>83</v>
      </c>
      <c r="R552" s="8" t="s">
        <v>79</v>
      </c>
      <c r="S552" s="8" t="s">
        <v>82</v>
      </c>
      <c r="T552" s="8" t="s">
        <v>86</v>
      </c>
      <c r="U552" s="8" t="s">
        <v>120</v>
      </c>
      <c r="V552" s="8" t="s">
        <v>112</v>
      </c>
      <c r="W552" s="9">
        <v>0</v>
      </c>
      <c r="X552" s="9">
        <v>1</v>
      </c>
      <c r="Y552" s="9">
        <v>2</v>
      </c>
      <c r="Z552" s="9">
        <v>3</v>
      </c>
      <c r="AA552" s="9">
        <v>3</v>
      </c>
      <c r="AB552" s="9">
        <v>3</v>
      </c>
      <c r="AC552" s="9">
        <v>3</v>
      </c>
      <c r="AD552" s="9">
        <v>3</v>
      </c>
      <c r="AE552" s="9">
        <v>2</v>
      </c>
      <c r="AF552" s="9">
        <v>2</v>
      </c>
      <c r="AG552" s="9">
        <v>3</v>
      </c>
      <c r="AH552" s="9">
        <v>3</v>
      </c>
      <c r="AI552" s="9">
        <v>3</v>
      </c>
      <c r="AJ552" s="9">
        <v>3</v>
      </c>
      <c r="AK552" s="9">
        <v>2</v>
      </c>
      <c r="AL552" s="10">
        <v>3</v>
      </c>
      <c r="AM552" s="10">
        <v>3</v>
      </c>
      <c r="AN552" s="10">
        <v>3</v>
      </c>
      <c r="AO552" s="10">
        <v>0</v>
      </c>
      <c r="AP552" s="10">
        <v>0</v>
      </c>
      <c r="AQ552" s="10">
        <v>0</v>
      </c>
      <c r="AR552" s="10">
        <v>0</v>
      </c>
      <c r="AS552" s="11">
        <v>3</v>
      </c>
      <c r="AT552" s="11">
        <v>3</v>
      </c>
      <c r="AU552" s="11">
        <v>3</v>
      </c>
      <c r="AV552" s="11">
        <v>0</v>
      </c>
      <c r="AW552" s="11">
        <v>0</v>
      </c>
      <c r="AX552" s="11">
        <v>0</v>
      </c>
      <c r="AY552" s="7">
        <v>2</v>
      </c>
      <c r="AZ552" s="7">
        <v>2</v>
      </c>
      <c r="BA552" s="7">
        <v>3</v>
      </c>
      <c r="BB552" s="7">
        <v>2</v>
      </c>
      <c r="BC552" s="7">
        <v>2</v>
      </c>
      <c r="BD552" s="7">
        <v>0</v>
      </c>
      <c r="BE552" s="7">
        <v>1</v>
      </c>
      <c r="BF552" s="7">
        <v>0</v>
      </c>
      <c r="BG552" s="12">
        <f>SUM(data__22[[#This Row],[N1]:[N4]],data__22[[#This Row],[N10]:[N13]],data__22[[#This Row],[N16]:[N18]])/11</f>
        <v>2.3636363636363638</v>
      </c>
      <c r="BH552" s="13">
        <f>SUM(data__22[[#This Row],[N8]:[N9]],data__22[[#This Row],[N23]:[N25]])/5</f>
        <v>2.8</v>
      </c>
      <c r="BI552" s="12">
        <f>SUM(data__22[[#This Row],[N5]:[N7]])/3</f>
        <v>3</v>
      </c>
      <c r="BJ552" s="12">
        <f>SUM(data__22[[#This Row],[N14]:[N15]],data__22[[#This Row],[N19]:[N22]],data__22[[#This Row],[N26]:[N28]])/9</f>
        <v>0.55555555555555558</v>
      </c>
      <c r="BK552" s="12">
        <f>SUM(data__22[[#This Row],[N29]:[N33]])/5</f>
        <v>2.2000000000000002</v>
      </c>
      <c r="BL552" s="12">
        <f>SUM(data__22[[#This Row],[N34]:[N36]])/3</f>
        <v>0.33333333333333331</v>
      </c>
    </row>
    <row r="553" spans="1:64" x14ac:dyDescent="0.3">
      <c r="A553" s="7">
        <v>24</v>
      </c>
      <c r="B553" s="7" t="s">
        <v>70</v>
      </c>
      <c r="C553" s="7" t="s">
        <v>113</v>
      </c>
      <c r="D553" s="7" t="s">
        <v>72</v>
      </c>
      <c r="E553" s="7" t="s">
        <v>114</v>
      </c>
      <c r="F553" s="7" t="s">
        <v>136</v>
      </c>
      <c r="G553" s="7" t="s">
        <v>440</v>
      </c>
      <c r="H553" s="7" t="s">
        <v>136</v>
      </c>
      <c r="I553" s="7" t="s">
        <v>76</v>
      </c>
      <c r="J553" s="7" t="s">
        <v>77</v>
      </c>
      <c r="K553" s="7" t="s">
        <v>125</v>
      </c>
      <c r="L553" s="8" t="s">
        <v>79</v>
      </c>
      <c r="M553" s="8" t="s">
        <v>102</v>
      </c>
      <c r="N553" s="8" t="s">
        <v>79</v>
      </c>
      <c r="O553" s="8" t="s">
        <v>81</v>
      </c>
      <c r="P553" s="8" t="s">
        <v>82</v>
      </c>
      <c r="Q553" s="8" t="s">
        <v>83</v>
      </c>
      <c r="R553" s="8" t="s">
        <v>82</v>
      </c>
      <c r="S553" s="8" t="s">
        <v>82</v>
      </c>
      <c r="T553" s="8" t="s">
        <v>106</v>
      </c>
      <c r="U553" s="8" t="s">
        <v>141</v>
      </c>
      <c r="V553" s="8" t="s">
        <v>127</v>
      </c>
      <c r="W553" s="9">
        <v>1</v>
      </c>
      <c r="X553" s="9">
        <v>0</v>
      </c>
      <c r="Y553" s="9">
        <v>0</v>
      </c>
      <c r="Z553" s="9">
        <v>0</v>
      </c>
      <c r="AA553" s="9">
        <v>1</v>
      </c>
      <c r="AB553" s="9">
        <v>1</v>
      </c>
      <c r="AC553" s="9">
        <v>1</v>
      </c>
      <c r="AD553" s="9">
        <v>1</v>
      </c>
      <c r="AE553" s="9">
        <v>1</v>
      </c>
      <c r="AF553" s="9">
        <v>1</v>
      </c>
      <c r="AG553" s="9">
        <v>1</v>
      </c>
      <c r="AH553" s="9">
        <v>1</v>
      </c>
      <c r="AI553" s="9">
        <v>1</v>
      </c>
      <c r="AJ553" s="9">
        <v>1</v>
      </c>
      <c r="AK553" s="9">
        <v>1</v>
      </c>
      <c r="AL553" s="10">
        <v>0</v>
      </c>
      <c r="AM553" s="10">
        <v>0</v>
      </c>
      <c r="AN553" s="10">
        <v>0</v>
      </c>
      <c r="AO553" s="10">
        <v>0</v>
      </c>
      <c r="AP553" s="10">
        <v>0</v>
      </c>
      <c r="AQ553" s="10">
        <v>0</v>
      </c>
      <c r="AR553" s="10">
        <v>0</v>
      </c>
      <c r="AS553" s="11">
        <v>1</v>
      </c>
      <c r="AT553" s="11">
        <v>1</v>
      </c>
      <c r="AU553" s="11">
        <v>1</v>
      </c>
      <c r="AV553" s="11">
        <v>1</v>
      </c>
      <c r="AW553" s="11">
        <v>1</v>
      </c>
      <c r="AX553" s="11">
        <v>1</v>
      </c>
      <c r="AY553" s="7">
        <v>3</v>
      </c>
      <c r="AZ553" s="7">
        <v>3</v>
      </c>
      <c r="BA553" s="7">
        <v>3</v>
      </c>
      <c r="BB553" s="7">
        <v>3</v>
      </c>
      <c r="BC553" s="7">
        <v>3</v>
      </c>
      <c r="BD553" s="7">
        <v>3</v>
      </c>
      <c r="BE553" s="7">
        <v>3</v>
      </c>
      <c r="BF553" s="7">
        <v>3</v>
      </c>
      <c r="BG553" s="12">
        <f>SUM(data__22[[#This Row],[N1]:[N4]],data__22[[#This Row],[N10]:[N13]],data__22[[#This Row],[N16]:[N18]])/11</f>
        <v>0.45454545454545453</v>
      </c>
      <c r="BH553" s="13">
        <f>SUM(data__22[[#This Row],[N8]:[N9]],data__22[[#This Row],[N23]:[N25]])/5</f>
        <v>1</v>
      </c>
      <c r="BI553" s="12">
        <f>SUM(data__22[[#This Row],[N5]:[N7]])/3</f>
        <v>1</v>
      </c>
      <c r="BJ553" s="12">
        <f>SUM(data__22[[#This Row],[N14]:[N15]],data__22[[#This Row],[N19]:[N22]],data__22[[#This Row],[N26]:[N28]])/9</f>
        <v>0.55555555555555558</v>
      </c>
      <c r="BK553" s="12">
        <f>SUM(data__22[[#This Row],[N29]:[N33]])/5</f>
        <v>3</v>
      </c>
      <c r="BL553" s="12">
        <f>SUM(data__22[[#This Row],[N34]:[N36]])/3</f>
        <v>3</v>
      </c>
    </row>
    <row r="554" spans="1:64" x14ac:dyDescent="0.3">
      <c r="A554" s="7">
        <v>23</v>
      </c>
      <c r="B554" s="7" t="s">
        <v>70</v>
      </c>
      <c r="C554" s="7" t="s">
        <v>96</v>
      </c>
      <c r="D554" s="7" t="s">
        <v>72</v>
      </c>
      <c r="E554" s="7" t="s">
        <v>108</v>
      </c>
      <c r="F554" s="7" t="s">
        <v>136</v>
      </c>
      <c r="G554" s="7" t="s">
        <v>440</v>
      </c>
      <c r="H554" s="7" t="s">
        <v>98</v>
      </c>
      <c r="I554" s="7" t="s">
        <v>76</v>
      </c>
      <c r="J554" s="7" t="s">
        <v>77</v>
      </c>
      <c r="K554" s="7" t="s">
        <v>125</v>
      </c>
      <c r="L554" s="8" t="s">
        <v>79</v>
      </c>
      <c r="M554" s="8" t="s">
        <v>80</v>
      </c>
      <c r="N554" s="8" t="s">
        <v>79</v>
      </c>
      <c r="O554" s="8" t="s">
        <v>117</v>
      </c>
      <c r="P554" s="8" t="s">
        <v>82</v>
      </c>
      <c r="Q554" s="8" t="s">
        <v>83</v>
      </c>
      <c r="R554" s="8" t="s">
        <v>79</v>
      </c>
      <c r="S554" s="8" t="s">
        <v>82</v>
      </c>
      <c r="T554" s="8" t="s">
        <v>106</v>
      </c>
      <c r="U554" s="8" t="s">
        <v>141</v>
      </c>
      <c r="V554" s="8" t="s">
        <v>112</v>
      </c>
      <c r="W554" s="9">
        <v>2</v>
      </c>
      <c r="X554" s="9">
        <v>2</v>
      </c>
      <c r="Y554" s="9">
        <v>1</v>
      </c>
      <c r="Z554" s="9">
        <v>1</v>
      </c>
      <c r="AA554" s="9">
        <v>1</v>
      </c>
      <c r="AB554" s="9">
        <v>1</v>
      </c>
      <c r="AC554" s="9">
        <v>2</v>
      </c>
      <c r="AD554" s="9">
        <v>1</v>
      </c>
      <c r="AE554" s="9">
        <v>1</v>
      </c>
      <c r="AF554" s="9">
        <v>2</v>
      </c>
      <c r="AG554" s="9">
        <v>1</v>
      </c>
      <c r="AH554" s="9">
        <v>2</v>
      </c>
      <c r="AI554" s="9">
        <v>2</v>
      </c>
      <c r="AJ554" s="9">
        <v>2</v>
      </c>
      <c r="AK554" s="9">
        <v>1</v>
      </c>
      <c r="AL554" s="10">
        <v>2</v>
      </c>
      <c r="AM554" s="10">
        <v>2</v>
      </c>
      <c r="AN554" s="10">
        <v>1</v>
      </c>
      <c r="AO554" s="10">
        <v>1</v>
      </c>
      <c r="AP554" s="10">
        <v>1</v>
      </c>
      <c r="AQ554" s="10">
        <v>1</v>
      </c>
      <c r="AR554" s="10">
        <v>1</v>
      </c>
      <c r="AS554" s="11">
        <v>1</v>
      </c>
      <c r="AT554" s="11">
        <v>1</v>
      </c>
      <c r="AU554" s="11">
        <v>1</v>
      </c>
      <c r="AV554" s="11">
        <v>2</v>
      </c>
      <c r="AW554" s="11">
        <v>2</v>
      </c>
      <c r="AX554" s="11">
        <v>1</v>
      </c>
      <c r="AY554" s="7">
        <v>1</v>
      </c>
      <c r="AZ554" s="7">
        <v>1</v>
      </c>
      <c r="BA554" s="7">
        <v>1</v>
      </c>
      <c r="BB554" s="7">
        <v>1</v>
      </c>
      <c r="BC554" s="7">
        <v>1</v>
      </c>
      <c r="BD554" s="7">
        <v>2</v>
      </c>
      <c r="BE554" s="7">
        <v>2</v>
      </c>
      <c r="BF554" s="7">
        <v>1</v>
      </c>
      <c r="BG554" s="12">
        <f>SUM(data__22[[#This Row],[N1]:[N4]],data__22[[#This Row],[N10]:[N13]],data__22[[#This Row],[N16]:[N18]])/11</f>
        <v>1.6363636363636365</v>
      </c>
      <c r="BH554" s="13">
        <f>SUM(data__22[[#This Row],[N8]:[N9]],data__22[[#This Row],[N23]:[N25]])/5</f>
        <v>1</v>
      </c>
      <c r="BI554" s="12">
        <f>SUM(data__22[[#This Row],[N5]:[N7]])/3</f>
        <v>1.3333333333333333</v>
      </c>
      <c r="BJ554" s="12">
        <f>SUM(data__22[[#This Row],[N14]:[N15]],data__22[[#This Row],[N19]:[N22]],data__22[[#This Row],[N26]:[N28]])/9</f>
        <v>1.3333333333333333</v>
      </c>
      <c r="BK554" s="12">
        <f>SUM(data__22[[#This Row],[N29]:[N33]])/5</f>
        <v>1</v>
      </c>
      <c r="BL554" s="12">
        <f>SUM(data__22[[#This Row],[N34]:[N36]])/3</f>
        <v>1.6666666666666667</v>
      </c>
    </row>
    <row r="555" spans="1:64" x14ac:dyDescent="0.3">
      <c r="A555" s="7">
        <v>22</v>
      </c>
      <c r="B555" s="7" t="s">
        <v>70</v>
      </c>
      <c r="C555" s="7" t="s">
        <v>113</v>
      </c>
      <c r="D555" s="7" t="s">
        <v>72</v>
      </c>
      <c r="E555" s="7" t="s">
        <v>108</v>
      </c>
      <c r="F555" s="7" t="s">
        <v>136</v>
      </c>
      <c r="G555" s="7" t="s">
        <v>439</v>
      </c>
      <c r="H555" s="7" t="s">
        <v>100</v>
      </c>
      <c r="I555" s="7" t="s">
        <v>76</v>
      </c>
      <c r="J555" s="7" t="s">
        <v>77</v>
      </c>
      <c r="K555" s="7" t="s">
        <v>78</v>
      </c>
      <c r="L555" s="8" t="s">
        <v>79</v>
      </c>
      <c r="M555" s="8" t="s">
        <v>102</v>
      </c>
      <c r="N555" s="8" t="s">
        <v>79</v>
      </c>
      <c r="O555" s="8" t="s">
        <v>81</v>
      </c>
      <c r="P555" s="8" t="s">
        <v>79</v>
      </c>
      <c r="Q555" s="8" t="s">
        <v>83</v>
      </c>
      <c r="R555" s="8" t="s">
        <v>79</v>
      </c>
      <c r="S555" s="8" t="s">
        <v>82</v>
      </c>
      <c r="T555" s="8" t="s">
        <v>106</v>
      </c>
      <c r="U555" s="8" t="s">
        <v>87</v>
      </c>
      <c r="V555" s="8" t="s">
        <v>455</v>
      </c>
      <c r="W555" s="9">
        <v>1</v>
      </c>
      <c r="X555" s="9">
        <v>1</v>
      </c>
      <c r="Y555" s="9">
        <v>1</v>
      </c>
      <c r="Z555" s="9">
        <v>1</v>
      </c>
      <c r="AA555" s="9">
        <v>2</v>
      </c>
      <c r="AB555" s="9">
        <v>2</v>
      </c>
      <c r="AC555" s="9">
        <v>2</v>
      </c>
      <c r="AD555" s="9">
        <v>2</v>
      </c>
      <c r="AE555" s="9">
        <v>2</v>
      </c>
      <c r="AF555" s="9">
        <v>2</v>
      </c>
      <c r="AG555" s="9">
        <v>1</v>
      </c>
      <c r="AH555" s="9">
        <v>0</v>
      </c>
      <c r="AI555" s="9">
        <v>1</v>
      </c>
      <c r="AJ555" s="9">
        <v>1</v>
      </c>
      <c r="AK555" s="9">
        <v>1</v>
      </c>
      <c r="AL555" s="10">
        <v>2</v>
      </c>
      <c r="AM555" s="10">
        <v>2</v>
      </c>
      <c r="AN555" s="10">
        <v>2</v>
      </c>
      <c r="AO555" s="10">
        <v>1</v>
      </c>
      <c r="AP555" s="10">
        <v>1</v>
      </c>
      <c r="AQ555" s="10">
        <v>0</v>
      </c>
      <c r="AR555" s="10">
        <v>1</v>
      </c>
      <c r="AS555" s="11">
        <v>1</v>
      </c>
      <c r="AT555" s="11">
        <v>0</v>
      </c>
      <c r="AU555" s="11">
        <v>1</v>
      </c>
      <c r="AV555" s="11">
        <v>2</v>
      </c>
      <c r="AW555" s="11">
        <v>2</v>
      </c>
      <c r="AX555" s="11">
        <v>1</v>
      </c>
      <c r="AY555" s="7">
        <v>2</v>
      </c>
      <c r="AZ555" s="7">
        <v>1</v>
      </c>
      <c r="BA555" s="7">
        <v>2</v>
      </c>
      <c r="BB555" s="7">
        <v>2</v>
      </c>
      <c r="BC555" s="7">
        <v>2</v>
      </c>
      <c r="BD555" s="7">
        <v>3</v>
      </c>
      <c r="BE555" s="7">
        <v>3</v>
      </c>
      <c r="BF555" s="7">
        <v>3</v>
      </c>
      <c r="BG555" s="12">
        <f>SUM(data__22[[#This Row],[N1]:[N4]],data__22[[#This Row],[N10]:[N13]],data__22[[#This Row],[N16]:[N18]])/11</f>
        <v>1.2727272727272727</v>
      </c>
      <c r="BH555" s="13">
        <f>SUM(data__22[[#This Row],[N8]:[N9]],data__22[[#This Row],[N23]:[N25]])/5</f>
        <v>1.2</v>
      </c>
      <c r="BI555" s="12">
        <f>SUM(data__22[[#This Row],[N5]:[N7]])/3</f>
        <v>2</v>
      </c>
      <c r="BJ555" s="12">
        <f>SUM(data__22[[#This Row],[N14]:[N15]],data__22[[#This Row],[N19]:[N22]],data__22[[#This Row],[N26]:[N28]])/9</f>
        <v>1.1111111111111112</v>
      </c>
      <c r="BK555" s="12">
        <f>SUM(data__22[[#This Row],[N29]:[N33]])/5</f>
        <v>1.8</v>
      </c>
      <c r="BL555" s="12">
        <f>SUM(data__22[[#This Row],[N34]:[N36]])/3</f>
        <v>3</v>
      </c>
    </row>
    <row r="556" spans="1:64" x14ac:dyDescent="0.3">
      <c r="A556" s="7">
        <v>23</v>
      </c>
      <c r="B556" s="7" t="s">
        <v>70</v>
      </c>
      <c r="C556" s="7" t="s">
        <v>113</v>
      </c>
      <c r="D556" s="7" t="s">
        <v>149</v>
      </c>
      <c r="E556" s="7" t="s">
        <v>73</v>
      </c>
      <c r="F556" s="7" t="s">
        <v>74</v>
      </c>
      <c r="G556" s="7" t="s">
        <v>440</v>
      </c>
      <c r="H556" s="7" t="s">
        <v>74</v>
      </c>
      <c r="I556" s="7" t="s">
        <v>439</v>
      </c>
      <c r="J556" s="7" t="s">
        <v>77</v>
      </c>
      <c r="K556" s="7" t="s">
        <v>122</v>
      </c>
      <c r="L556" s="8" t="s">
        <v>82</v>
      </c>
      <c r="M556" s="8" t="s">
        <v>132</v>
      </c>
      <c r="N556" s="8" t="s">
        <v>82</v>
      </c>
      <c r="O556" s="8" t="s">
        <v>109</v>
      </c>
      <c r="P556" s="8" t="s">
        <v>82</v>
      </c>
      <c r="Q556" s="8" t="s">
        <v>83</v>
      </c>
      <c r="R556" s="8" t="s">
        <v>82</v>
      </c>
      <c r="S556" s="8" t="s">
        <v>82</v>
      </c>
      <c r="T556" s="8" t="s">
        <v>106</v>
      </c>
      <c r="U556" s="8" t="s">
        <v>87</v>
      </c>
      <c r="V556" s="8" t="s">
        <v>455</v>
      </c>
      <c r="W556" s="9">
        <v>2</v>
      </c>
      <c r="X556" s="9">
        <v>2</v>
      </c>
      <c r="Y556" s="9">
        <v>2</v>
      </c>
      <c r="Z556" s="9">
        <v>2</v>
      </c>
      <c r="AA556" s="9">
        <v>1</v>
      </c>
      <c r="AB556" s="9">
        <v>1</v>
      </c>
      <c r="AC556" s="9">
        <v>0</v>
      </c>
      <c r="AD556" s="9">
        <v>2</v>
      </c>
      <c r="AE556" s="9">
        <v>1</v>
      </c>
      <c r="AF556" s="9">
        <v>1</v>
      </c>
      <c r="AG556" s="9">
        <v>1</v>
      </c>
      <c r="AH556" s="9">
        <v>1</v>
      </c>
      <c r="AI556" s="9">
        <v>2</v>
      </c>
      <c r="AJ556" s="9">
        <v>1</v>
      </c>
      <c r="AK556" s="9">
        <v>1</v>
      </c>
      <c r="AL556" s="10">
        <v>2</v>
      </c>
      <c r="AM556" s="10">
        <v>2</v>
      </c>
      <c r="AN556" s="10">
        <v>2</v>
      </c>
      <c r="AO556" s="10">
        <v>0</v>
      </c>
      <c r="AP556" s="10">
        <v>0</v>
      </c>
      <c r="AQ556" s="10">
        <v>0</v>
      </c>
      <c r="AR556" s="10">
        <v>0</v>
      </c>
      <c r="AS556" s="11">
        <v>0</v>
      </c>
      <c r="AT556" s="11">
        <v>0</v>
      </c>
      <c r="AU556" s="11">
        <v>0</v>
      </c>
      <c r="AV556" s="11">
        <v>2</v>
      </c>
      <c r="AW556" s="11">
        <v>1</v>
      </c>
      <c r="AX556" s="11">
        <v>0</v>
      </c>
      <c r="AY556" s="7">
        <v>3</v>
      </c>
      <c r="AZ556" s="7">
        <v>2</v>
      </c>
      <c r="BA556" s="7">
        <v>2</v>
      </c>
      <c r="BB556" s="7">
        <v>3</v>
      </c>
      <c r="BC556" s="7">
        <v>2</v>
      </c>
      <c r="BD556" s="7">
        <v>1</v>
      </c>
      <c r="BE556" s="7">
        <v>0</v>
      </c>
      <c r="BF556" s="7">
        <v>2</v>
      </c>
      <c r="BG556" s="12">
        <f>SUM(data__22[[#This Row],[N1]:[N4]],data__22[[#This Row],[N10]:[N13]],data__22[[#This Row],[N16]:[N18]])/11</f>
        <v>1.7272727272727273</v>
      </c>
      <c r="BH556" s="13">
        <f>SUM(data__22[[#This Row],[N8]:[N9]],data__22[[#This Row],[N23]:[N25]])/5</f>
        <v>0.6</v>
      </c>
      <c r="BI556" s="12">
        <f>SUM(data__22[[#This Row],[N5]:[N7]])/3</f>
        <v>0.66666666666666663</v>
      </c>
      <c r="BJ556" s="12">
        <f>SUM(data__22[[#This Row],[N14]:[N15]],data__22[[#This Row],[N19]:[N22]],data__22[[#This Row],[N26]:[N28]])/9</f>
        <v>0.55555555555555558</v>
      </c>
      <c r="BK556" s="12">
        <f>SUM(data__22[[#This Row],[N29]:[N33]])/5</f>
        <v>2.4</v>
      </c>
      <c r="BL556" s="12">
        <f>SUM(data__22[[#This Row],[N34]:[N36]])/3</f>
        <v>1</v>
      </c>
    </row>
    <row r="557" spans="1:64" x14ac:dyDescent="0.3">
      <c r="A557" s="7">
        <v>22</v>
      </c>
      <c r="B557" s="7" t="s">
        <v>70</v>
      </c>
      <c r="C557" s="7" t="s">
        <v>113</v>
      </c>
      <c r="D557" s="7" t="s">
        <v>72</v>
      </c>
      <c r="E557" s="7" t="s">
        <v>114</v>
      </c>
      <c r="F557" s="7" t="s">
        <v>98</v>
      </c>
      <c r="G557" s="7" t="s">
        <v>438</v>
      </c>
      <c r="H557" s="7" t="s">
        <v>165</v>
      </c>
      <c r="I557" s="7" t="s">
        <v>76</v>
      </c>
      <c r="J557" s="7" t="s">
        <v>77</v>
      </c>
      <c r="K557" s="7" t="s">
        <v>125</v>
      </c>
      <c r="L557" s="8" t="s">
        <v>82</v>
      </c>
      <c r="M557" s="8" t="s">
        <v>102</v>
      </c>
      <c r="N557" s="8" t="s">
        <v>79</v>
      </c>
      <c r="O557" s="8" t="s">
        <v>117</v>
      </c>
      <c r="P557" s="8" t="s">
        <v>79</v>
      </c>
      <c r="Q557" s="8" t="s">
        <v>83</v>
      </c>
      <c r="R557" s="8" t="s">
        <v>79</v>
      </c>
      <c r="S557" s="8" t="s">
        <v>82</v>
      </c>
      <c r="T557" s="8" t="s">
        <v>106</v>
      </c>
      <c r="U557" s="8" t="s">
        <v>141</v>
      </c>
      <c r="V557" s="8" t="s">
        <v>455</v>
      </c>
      <c r="W557" s="9">
        <v>0</v>
      </c>
      <c r="X557" s="9">
        <v>1</v>
      </c>
      <c r="Y557" s="9">
        <v>3</v>
      </c>
      <c r="Z557" s="9">
        <v>1</v>
      </c>
      <c r="AA557" s="9">
        <v>2</v>
      </c>
      <c r="AB557" s="9">
        <v>2</v>
      </c>
      <c r="AC557" s="9">
        <v>1</v>
      </c>
      <c r="AD557" s="9">
        <v>0</v>
      </c>
      <c r="AE557" s="9">
        <v>0</v>
      </c>
      <c r="AF557" s="9">
        <v>1</v>
      </c>
      <c r="AG557" s="9">
        <v>1</v>
      </c>
      <c r="AH557" s="9">
        <v>1</v>
      </c>
      <c r="AI557" s="9">
        <v>1</v>
      </c>
      <c r="AJ557" s="9">
        <v>1</v>
      </c>
      <c r="AK557" s="9">
        <v>0</v>
      </c>
      <c r="AL557" s="10">
        <v>3</v>
      </c>
      <c r="AM557" s="10">
        <v>3</v>
      </c>
      <c r="AN557" s="10">
        <v>3</v>
      </c>
      <c r="AO557" s="10">
        <v>1</v>
      </c>
      <c r="AP557" s="10">
        <v>1</v>
      </c>
      <c r="AQ557" s="10">
        <v>1</v>
      </c>
      <c r="AR557" s="10">
        <v>1</v>
      </c>
      <c r="AS557" s="11">
        <v>1</v>
      </c>
      <c r="AT557" s="11">
        <v>0</v>
      </c>
      <c r="AU557" s="11">
        <v>0</v>
      </c>
      <c r="AV557" s="11">
        <v>1</v>
      </c>
      <c r="AW557" s="11">
        <v>0</v>
      </c>
      <c r="AX557" s="11">
        <v>0</v>
      </c>
      <c r="AY557" s="7">
        <v>3</v>
      </c>
      <c r="AZ557" s="7">
        <v>3</v>
      </c>
      <c r="BA557" s="7">
        <v>3</v>
      </c>
      <c r="BB557" s="7">
        <v>3</v>
      </c>
      <c r="BC557" s="7">
        <v>1</v>
      </c>
      <c r="BD557" s="7">
        <v>0</v>
      </c>
      <c r="BE557" s="7">
        <v>0</v>
      </c>
      <c r="BF557" s="7">
        <v>0</v>
      </c>
      <c r="BG557" s="12">
        <f>SUM(data__22[[#This Row],[N1]:[N4]],data__22[[#This Row],[N10]:[N13]],data__22[[#This Row],[N16]:[N18]])/11</f>
        <v>1.6363636363636365</v>
      </c>
      <c r="BH557" s="13">
        <f>SUM(data__22[[#This Row],[N8]:[N9]],data__22[[#This Row],[N23]:[N25]])/5</f>
        <v>0.2</v>
      </c>
      <c r="BI557" s="12">
        <f>SUM(data__22[[#This Row],[N5]:[N7]])/3</f>
        <v>1.6666666666666667</v>
      </c>
      <c r="BJ557" s="12">
        <f>SUM(data__22[[#This Row],[N14]:[N15]],data__22[[#This Row],[N19]:[N22]],data__22[[#This Row],[N26]:[N28]])/9</f>
        <v>0.66666666666666663</v>
      </c>
      <c r="BK557" s="12">
        <f>SUM(data__22[[#This Row],[N29]:[N33]])/5</f>
        <v>2.6</v>
      </c>
      <c r="BL557" s="12">
        <f>SUM(data__22[[#This Row],[N34]:[N36]])/3</f>
        <v>0</v>
      </c>
    </row>
    <row r="558" spans="1:64" x14ac:dyDescent="0.3">
      <c r="A558" s="7">
        <v>26</v>
      </c>
      <c r="B558" s="7" t="s">
        <v>70</v>
      </c>
      <c r="C558" s="7" t="s">
        <v>153</v>
      </c>
      <c r="D558" s="7" t="s">
        <v>72</v>
      </c>
      <c r="E558" s="7" t="s">
        <v>108</v>
      </c>
      <c r="F558" s="7" t="s">
        <v>74</v>
      </c>
      <c r="G558" s="7" t="s">
        <v>438</v>
      </c>
      <c r="H558" s="7" t="s">
        <v>136</v>
      </c>
      <c r="I558" s="7" t="s">
        <v>76</v>
      </c>
      <c r="J558" s="7" t="s">
        <v>77</v>
      </c>
      <c r="K558" s="7" t="s">
        <v>78</v>
      </c>
      <c r="L558" s="8" t="s">
        <v>82</v>
      </c>
      <c r="M558" s="8" t="s">
        <v>132</v>
      </c>
      <c r="N558" s="8" t="s">
        <v>79</v>
      </c>
      <c r="O558" s="8" t="s">
        <v>138</v>
      </c>
      <c r="P558" s="8" t="s">
        <v>82</v>
      </c>
      <c r="Q558" s="8" t="s">
        <v>83</v>
      </c>
      <c r="R558" s="8" t="s">
        <v>82</v>
      </c>
      <c r="S558" s="8" t="s">
        <v>82</v>
      </c>
      <c r="T558" s="8" t="s">
        <v>86</v>
      </c>
      <c r="U558" s="8" t="s">
        <v>141</v>
      </c>
      <c r="V558" s="8" t="s">
        <v>455</v>
      </c>
      <c r="W558" s="9">
        <v>2</v>
      </c>
      <c r="X558" s="9">
        <v>2</v>
      </c>
      <c r="Y558" s="9">
        <v>2</v>
      </c>
      <c r="Z558" s="9">
        <v>3</v>
      </c>
      <c r="AA558" s="9">
        <v>1</v>
      </c>
      <c r="AB558" s="9">
        <v>1</v>
      </c>
      <c r="AC558" s="9">
        <v>1</v>
      </c>
      <c r="AD558" s="9">
        <v>2</v>
      </c>
      <c r="AE558" s="9">
        <v>2</v>
      </c>
      <c r="AF558" s="9">
        <v>2</v>
      </c>
      <c r="AG558" s="9">
        <v>1</v>
      </c>
      <c r="AH558" s="9">
        <v>0</v>
      </c>
      <c r="AI558" s="9">
        <v>0</v>
      </c>
      <c r="AJ558" s="9">
        <v>2</v>
      </c>
      <c r="AK558" s="9">
        <v>0</v>
      </c>
      <c r="AL558" s="10">
        <v>3</v>
      </c>
      <c r="AM558" s="10">
        <v>3</v>
      </c>
      <c r="AN558" s="10">
        <v>3</v>
      </c>
      <c r="AO558" s="10">
        <v>0</v>
      </c>
      <c r="AP558" s="10">
        <v>0</v>
      </c>
      <c r="AQ558" s="10">
        <v>0</v>
      </c>
      <c r="AR558" s="10">
        <v>0</v>
      </c>
      <c r="AS558" s="11">
        <v>2</v>
      </c>
      <c r="AT558" s="11">
        <v>1</v>
      </c>
      <c r="AU558" s="11">
        <v>2</v>
      </c>
      <c r="AV558" s="11">
        <v>0</v>
      </c>
      <c r="AW558" s="11">
        <v>2</v>
      </c>
      <c r="AX558" s="11">
        <v>0</v>
      </c>
      <c r="AY558" s="7">
        <v>3</v>
      </c>
      <c r="AZ558" s="7">
        <v>3</v>
      </c>
      <c r="BA558" s="7">
        <v>3</v>
      </c>
      <c r="BB558" s="7">
        <v>3</v>
      </c>
      <c r="BC558" s="7">
        <v>3</v>
      </c>
      <c r="BD558" s="7">
        <v>0</v>
      </c>
      <c r="BE558" s="7">
        <v>0</v>
      </c>
      <c r="BF558" s="7">
        <v>0</v>
      </c>
      <c r="BG558" s="12">
        <f>SUM(data__22[[#This Row],[N1]:[N4]],data__22[[#This Row],[N10]:[N13]],data__22[[#This Row],[N16]:[N18]])/11</f>
        <v>1.9090909090909092</v>
      </c>
      <c r="BH558" s="13">
        <f>SUM(data__22[[#This Row],[N8]:[N9]],data__22[[#This Row],[N23]:[N25]])/5</f>
        <v>1.8</v>
      </c>
      <c r="BI558" s="12">
        <f>SUM(data__22[[#This Row],[N5]:[N7]])/3</f>
        <v>1</v>
      </c>
      <c r="BJ558" s="12">
        <f>SUM(data__22[[#This Row],[N14]:[N15]],data__22[[#This Row],[N19]:[N22]],data__22[[#This Row],[N26]:[N28]])/9</f>
        <v>0.44444444444444442</v>
      </c>
      <c r="BK558" s="12">
        <f>SUM(data__22[[#This Row],[N29]:[N33]])/5</f>
        <v>3</v>
      </c>
      <c r="BL558" s="12">
        <f>SUM(data__22[[#This Row],[N34]:[N36]])/3</f>
        <v>0</v>
      </c>
    </row>
    <row r="559" spans="1:64" x14ac:dyDescent="0.3">
      <c r="A559" s="7">
        <v>20</v>
      </c>
      <c r="B559" s="7" t="s">
        <v>70</v>
      </c>
      <c r="C559" s="7" t="s">
        <v>157</v>
      </c>
      <c r="D559" s="7" t="s">
        <v>97</v>
      </c>
      <c r="E559" s="7" t="s">
        <v>108</v>
      </c>
      <c r="F559" s="7" t="s">
        <v>74</v>
      </c>
      <c r="G559" s="7" t="s">
        <v>439</v>
      </c>
      <c r="H559" s="7" t="s">
        <v>74</v>
      </c>
      <c r="I559" s="7" t="s">
        <v>439</v>
      </c>
      <c r="J559" s="7" t="s">
        <v>77</v>
      </c>
      <c r="K559" s="7" t="s">
        <v>78</v>
      </c>
      <c r="L559" s="8" t="s">
        <v>82</v>
      </c>
      <c r="M559" s="8" t="s">
        <v>80</v>
      </c>
      <c r="N559" s="8" t="s">
        <v>79</v>
      </c>
      <c r="O559" s="8" t="s">
        <v>81</v>
      </c>
      <c r="P559" s="8" t="s">
        <v>82</v>
      </c>
      <c r="Q559" s="8" t="s">
        <v>83</v>
      </c>
      <c r="R559" s="8" t="s">
        <v>82</v>
      </c>
      <c r="S559" s="8" t="s">
        <v>82</v>
      </c>
      <c r="T559" s="8" t="s">
        <v>106</v>
      </c>
      <c r="U559" s="8" t="s">
        <v>141</v>
      </c>
      <c r="V559" s="8" t="s">
        <v>112</v>
      </c>
      <c r="W559" s="9">
        <v>3</v>
      </c>
      <c r="X559" s="9">
        <v>3</v>
      </c>
      <c r="Y559" s="9">
        <v>3</v>
      </c>
      <c r="Z559" s="9">
        <v>3</v>
      </c>
      <c r="AA559" s="9">
        <v>0</v>
      </c>
      <c r="AB559" s="9">
        <v>0</v>
      </c>
      <c r="AC559" s="9">
        <v>0</v>
      </c>
      <c r="AD559" s="9">
        <v>3</v>
      </c>
      <c r="AE559" s="9">
        <v>1</v>
      </c>
      <c r="AF559" s="9">
        <v>0</v>
      </c>
      <c r="AG559" s="9">
        <v>0</v>
      </c>
      <c r="AH559" s="9">
        <v>0</v>
      </c>
      <c r="AI559" s="9">
        <v>0</v>
      </c>
      <c r="AJ559" s="9">
        <v>3</v>
      </c>
      <c r="AK559" s="9">
        <v>0</v>
      </c>
      <c r="AL559" s="10">
        <v>3</v>
      </c>
      <c r="AM559" s="10">
        <v>3</v>
      </c>
      <c r="AN559" s="10">
        <v>3</v>
      </c>
      <c r="AO559" s="10">
        <v>0</v>
      </c>
      <c r="AP559" s="10">
        <v>0</v>
      </c>
      <c r="AQ559" s="10">
        <v>0</v>
      </c>
      <c r="AR559" s="10">
        <v>0</v>
      </c>
      <c r="AS559" s="11">
        <v>3</v>
      </c>
      <c r="AT559" s="11">
        <v>3</v>
      </c>
      <c r="AU559" s="11">
        <v>3</v>
      </c>
      <c r="AV559" s="11">
        <v>0</v>
      </c>
      <c r="AW559" s="11">
        <v>0</v>
      </c>
      <c r="AX559" s="11">
        <v>0</v>
      </c>
      <c r="AY559" s="7">
        <v>3</v>
      </c>
      <c r="AZ559" s="7">
        <v>3</v>
      </c>
      <c r="BA559" s="7">
        <v>3</v>
      </c>
      <c r="BB559" s="7">
        <v>3</v>
      </c>
      <c r="BC559" s="7">
        <v>3</v>
      </c>
      <c r="BD559" s="7">
        <v>0</v>
      </c>
      <c r="BE559" s="7">
        <v>0</v>
      </c>
      <c r="BF559" s="7">
        <v>0</v>
      </c>
      <c r="BG559" s="12">
        <f>SUM(data__22[[#This Row],[N1]:[N4]],data__22[[#This Row],[N10]:[N13]],data__22[[#This Row],[N16]:[N18]])/11</f>
        <v>1.9090909090909092</v>
      </c>
      <c r="BH559" s="13">
        <f>SUM(data__22[[#This Row],[N8]:[N9]],data__22[[#This Row],[N23]:[N25]])/5</f>
        <v>2.6</v>
      </c>
      <c r="BI559" s="12">
        <f>SUM(data__22[[#This Row],[N5]:[N7]])/3</f>
        <v>0</v>
      </c>
      <c r="BJ559" s="12">
        <f>SUM(data__22[[#This Row],[N14]:[N15]],data__22[[#This Row],[N19]:[N22]],data__22[[#This Row],[N26]:[N28]])/9</f>
        <v>0.33333333333333331</v>
      </c>
      <c r="BK559" s="12">
        <f>SUM(data__22[[#This Row],[N29]:[N33]])/5</f>
        <v>3</v>
      </c>
      <c r="BL559" s="12">
        <f>SUM(data__22[[#This Row],[N34]:[N36]])/3</f>
        <v>0</v>
      </c>
    </row>
    <row r="560" spans="1:64" x14ac:dyDescent="0.3">
      <c r="A560" s="7">
        <v>22</v>
      </c>
      <c r="B560" s="7" t="s">
        <v>70</v>
      </c>
      <c r="C560" s="7" t="s">
        <v>113</v>
      </c>
      <c r="D560" s="7" t="s">
        <v>149</v>
      </c>
      <c r="E560" s="7" t="s">
        <v>108</v>
      </c>
      <c r="F560" s="7" t="s">
        <v>98</v>
      </c>
      <c r="G560" s="7" t="s">
        <v>99</v>
      </c>
      <c r="H560" s="7" t="s">
        <v>98</v>
      </c>
      <c r="I560" s="7" t="s">
        <v>76</v>
      </c>
      <c r="J560" s="7" t="s">
        <v>77</v>
      </c>
      <c r="K560" s="7" t="s">
        <v>122</v>
      </c>
      <c r="L560" s="8" t="s">
        <v>82</v>
      </c>
      <c r="M560" s="8" t="s">
        <v>80</v>
      </c>
      <c r="N560" s="8" t="s">
        <v>79</v>
      </c>
      <c r="O560" s="8" t="s">
        <v>109</v>
      </c>
      <c r="P560" s="8" t="s">
        <v>82</v>
      </c>
      <c r="Q560" s="8" t="s">
        <v>103</v>
      </c>
      <c r="R560" s="8" t="s">
        <v>79</v>
      </c>
      <c r="S560" s="8" t="s">
        <v>79</v>
      </c>
      <c r="T560" s="8" t="s">
        <v>106</v>
      </c>
      <c r="U560" s="8" t="s">
        <v>141</v>
      </c>
      <c r="V560" s="8" t="s">
        <v>457</v>
      </c>
      <c r="W560" s="9">
        <v>3</v>
      </c>
      <c r="X560" s="9">
        <v>3</v>
      </c>
      <c r="Y560" s="9">
        <v>3</v>
      </c>
      <c r="Z560" s="9">
        <v>3</v>
      </c>
      <c r="AA560" s="9">
        <v>2</v>
      </c>
      <c r="AB560" s="9">
        <v>0</v>
      </c>
      <c r="AC560" s="9">
        <v>0</v>
      </c>
      <c r="AD560" s="9">
        <v>3</v>
      </c>
      <c r="AE560" s="9">
        <v>3</v>
      </c>
      <c r="AF560" s="9">
        <v>3</v>
      </c>
      <c r="AG560" s="9">
        <v>3</v>
      </c>
      <c r="AH560" s="9">
        <v>2</v>
      </c>
      <c r="AI560" s="9">
        <v>3</v>
      </c>
      <c r="AJ560" s="9">
        <v>0</v>
      </c>
      <c r="AK560" s="9">
        <v>0</v>
      </c>
      <c r="AL560" s="10">
        <v>3</v>
      </c>
      <c r="AM560" s="10">
        <v>3</v>
      </c>
      <c r="AN560" s="10">
        <v>3</v>
      </c>
      <c r="AO560" s="10">
        <v>0</v>
      </c>
      <c r="AP560" s="10">
        <v>0</v>
      </c>
      <c r="AQ560" s="10">
        <v>0</v>
      </c>
      <c r="AR560" s="10">
        <v>0</v>
      </c>
      <c r="AS560" s="11">
        <v>3</v>
      </c>
      <c r="AT560" s="11">
        <v>3</v>
      </c>
      <c r="AU560" s="11">
        <v>3</v>
      </c>
      <c r="AV560" s="11">
        <v>0</v>
      </c>
      <c r="AW560" s="11">
        <v>0</v>
      </c>
      <c r="AX560" s="11">
        <v>0</v>
      </c>
      <c r="AY560" s="7"/>
      <c r="AZ560" s="7"/>
      <c r="BA560" s="7"/>
      <c r="BB560" s="7"/>
      <c r="BC560" s="7"/>
      <c r="BD560" s="7"/>
      <c r="BE560" s="7"/>
      <c r="BF560" s="7"/>
      <c r="BG560" s="12">
        <f>SUM(data__22[[#This Row],[N1]:[N4]],data__22[[#This Row],[N10]:[N13]],data__22[[#This Row],[N16]:[N18]])/11</f>
        <v>2.9090909090909092</v>
      </c>
      <c r="BH560" s="13">
        <f>SUM(data__22[[#This Row],[N8]:[N9]],data__22[[#This Row],[N23]:[N25]])/5</f>
        <v>3</v>
      </c>
      <c r="BI560" s="12">
        <f>SUM(data__22[[#This Row],[N5]:[N7]])/3</f>
        <v>0.66666666666666663</v>
      </c>
      <c r="BJ560" s="12">
        <f>SUM(data__22[[#This Row],[N14]:[N15]],data__22[[#This Row],[N19]:[N22]],data__22[[#This Row],[N26]:[N28]])/9</f>
        <v>0</v>
      </c>
      <c r="BK560" s="12">
        <f>SUM(data__22[[#This Row],[N29]:[N33]])/5</f>
        <v>0</v>
      </c>
      <c r="BL560" s="12">
        <f>SUM(data__22[[#This Row],[N34]:[N36]])/3</f>
        <v>0</v>
      </c>
    </row>
    <row r="561" spans="1:64" x14ac:dyDescent="0.3">
      <c r="A561" s="7">
        <v>23</v>
      </c>
      <c r="B561" s="7" t="s">
        <v>70</v>
      </c>
      <c r="C561" s="7" t="s">
        <v>71</v>
      </c>
      <c r="D561" s="7" t="s">
        <v>72</v>
      </c>
      <c r="E561" s="7" t="s">
        <v>114</v>
      </c>
      <c r="F561" s="7" t="s">
        <v>136</v>
      </c>
      <c r="G561" s="7" t="s">
        <v>438</v>
      </c>
      <c r="H561" s="7" t="s">
        <v>136</v>
      </c>
      <c r="I561" s="7" t="s">
        <v>439</v>
      </c>
      <c r="J561" s="7" t="s">
        <v>77</v>
      </c>
      <c r="K561" s="7" t="s">
        <v>125</v>
      </c>
      <c r="L561" s="8" t="s">
        <v>79</v>
      </c>
      <c r="M561" s="8" t="s">
        <v>132</v>
      </c>
      <c r="N561" s="8" t="s">
        <v>79</v>
      </c>
      <c r="O561" s="8" t="s">
        <v>81</v>
      </c>
      <c r="P561" s="8" t="s">
        <v>82</v>
      </c>
      <c r="Q561" s="8" t="s">
        <v>83</v>
      </c>
      <c r="R561" s="8" t="s">
        <v>82</v>
      </c>
      <c r="S561" s="8" t="s">
        <v>82</v>
      </c>
      <c r="T561" s="8" t="s">
        <v>106</v>
      </c>
      <c r="U561" s="8" t="s">
        <v>87</v>
      </c>
      <c r="V561" s="8" t="s">
        <v>260</v>
      </c>
      <c r="W561" s="9">
        <v>2</v>
      </c>
      <c r="X561" s="9">
        <v>3</v>
      </c>
      <c r="Y561" s="9">
        <v>3</v>
      </c>
      <c r="Z561" s="9">
        <v>3</v>
      </c>
      <c r="AA561" s="9">
        <v>1</v>
      </c>
      <c r="AB561" s="9">
        <v>1</v>
      </c>
      <c r="AC561" s="9">
        <v>1</v>
      </c>
      <c r="AD561" s="9">
        <v>0</v>
      </c>
      <c r="AE561" s="9">
        <v>0</v>
      </c>
      <c r="AF561" s="9">
        <v>1</v>
      </c>
      <c r="AG561" s="9">
        <v>3</v>
      </c>
      <c r="AH561" s="9">
        <v>3</v>
      </c>
      <c r="AI561" s="9">
        <v>3</v>
      </c>
      <c r="AJ561" s="9">
        <v>1</v>
      </c>
      <c r="AK561" s="9">
        <v>1</v>
      </c>
      <c r="AL561" s="10">
        <v>3</v>
      </c>
      <c r="AM561" s="10">
        <v>3</v>
      </c>
      <c r="AN561" s="10">
        <v>3</v>
      </c>
      <c r="AO561" s="10">
        <v>0</v>
      </c>
      <c r="AP561" s="10">
        <v>0</v>
      </c>
      <c r="AQ561" s="10">
        <v>0</v>
      </c>
      <c r="AR561" s="10">
        <v>0</v>
      </c>
      <c r="AS561" s="11">
        <v>0</v>
      </c>
      <c r="AT561" s="11">
        <v>1</v>
      </c>
      <c r="AU561" s="11">
        <v>1</v>
      </c>
      <c r="AV561" s="11">
        <v>1</v>
      </c>
      <c r="AW561" s="11">
        <v>0</v>
      </c>
      <c r="AX561" s="11">
        <v>0</v>
      </c>
      <c r="AY561" s="7">
        <v>3</v>
      </c>
      <c r="AZ561" s="7">
        <v>3</v>
      </c>
      <c r="BA561" s="7">
        <v>3</v>
      </c>
      <c r="BB561" s="7">
        <v>3</v>
      </c>
      <c r="BC561" s="7">
        <v>3</v>
      </c>
      <c r="BD561" s="7">
        <v>0</v>
      </c>
      <c r="BE561" s="7">
        <v>1</v>
      </c>
      <c r="BF561" s="7">
        <v>0</v>
      </c>
      <c r="BG561" s="12">
        <f>SUM(data__22[[#This Row],[N1]:[N4]],data__22[[#This Row],[N10]:[N13]],data__22[[#This Row],[N16]:[N18]])/11</f>
        <v>2.7272727272727271</v>
      </c>
      <c r="BH561" s="13">
        <f>SUM(data__22[[#This Row],[N8]:[N9]],data__22[[#This Row],[N23]:[N25]])/5</f>
        <v>0.4</v>
      </c>
      <c r="BI561" s="12">
        <f>SUM(data__22[[#This Row],[N5]:[N7]])/3</f>
        <v>1</v>
      </c>
      <c r="BJ561" s="12">
        <f>SUM(data__22[[#This Row],[N14]:[N15]],data__22[[#This Row],[N19]:[N22]],data__22[[#This Row],[N26]:[N28]])/9</f>
        <v>0.33333333333333331</v>
      </c>
      <c r="BK561" s="12">
        <f>SUM(data__22[[#This Row],[N29]:[N33]])/5</f>
        <v>3</v>
      </c>
      <c r="BL561" s="12">
        <f>SUM(data__22[[#This Row],[N34]:[N36]])/3</f>
        <v>0.33333333333333331</v>
      </c>
    </row>
    <row r="562" spans="1:64" x14ac:dyDescent="0.3">
      <c r="A562" s="7">
        <v>24</v>
      </c>
      <c r="B562" s="7" t="s">
        <v>70</v>
      </c>
      <c r="C562" s="7" t="s">
        <v>71</v>
      </c>
      <c r="D562" s="7" t="s">
        <v>149</v>
      </c>
      <c r="E562" s="7" t="s">
        <v>114</v>
      </c>
      <c r="F562" s="7" t="s">
        <v>136</v>
      </c>
      <c r="G562" s="7" t="s">
        <v>440</v>
      </c>
      <c r="H562" s="7" t="s">
        <v>98</v>
      </c>
      <c r="I562" s="7" t="s">
        <v>76</v>
      </c>
      <c r="J562" s="7" t="s">
        <v>77</v>
      </c>
      <c r="K562" s="7" t="s">
        <v>125</v>
      </c>
      <c r="L562" s="8" t="s">
        <v>82</v>
      </c>
      <c r="M562" s="8" t="s">
        <v>80</v>
      </c>
      <c r="N562" s="8" t="s">
        <v>79</v>
      </c>
      <c r="O562" s="8" t="s">
        <v>109</v>
      </c>
      <c r="P562" s="8" t="s">
        <v>79</v>
      </c>
      <c r="Q562" s="8" t="s">
        <v>103</v>
      </c>
      <c r="R562" s="8" t="s">
        <v>79</v>
      </c>
      <c r="S562" s="8" t="s">
        <v>82</v>
      </c>
      <c r="T562" s="8" t="s">
        <v>86</v>
      </c>
      <c r="U562" s="8" t="s">
        <v>120</v>
      </c>
      <c r="V562" s="8" t="s">
        <v>112</v>
      </c>
      <c r="W562" s="9">
        <v>3</v>
      </c>
      <c r="X562" s="9">
        <v>3</v>
      </c>
      <c r="Y562" s="9">
        <v>1</v>
      </c>
      <c r="Z562" s="9">
        <v>3</v>
      </c>
      <c r="AA562" s="9">
        <v>0</v>
      </c>
      <c r="AB562" s="9">
        <v>1</v>
      </c>
      <c r="AC562" s="9">
        <v>3</v>
      </c>
      <c r="AD562" s="9">
        <v>2</v>
      </c>
      <c r="AE562" s="9">
        <v>1</v>
      </c>
      <c r="AF562" s="9">
        <v>2</v>
      </c>
      <c r="AG562" s="9">
        <v>2</v>
      </c>
      <c r="AH562" s="9">
        <v>1</v>
      </c>
      <c r="AI562" s="9">
        <v>1</v>
      </c>
      <c r="AJ562" s="9">
        <v>1</v>
      </c>
      <c r="AK562" s="9">
        <v>3</v>
      </c>
      <c r="AL562" s="10">
        <v>3</v>
      </c>
      <c r="AM562" s="10">
        <v>3</v>
      </c>
      <c r="AN562" s="10">
        <v>3</v>
      </c>
      <c r="AO562" s="10">
        <v>0</v>
      </c>
      <c r="AP562" s="10">
        <v>0</v>
      </c>
      <c r="AQ562" s="10">
        <v>0</v>
      </c>
      <c r="AR562" s="10">
        <v>0</v>
      </c>
      <c r="AS562" s="11">
        <v>2</v>
      </c>
      <c r="AT562" s="11">
        <v>0</v>
      </c>
      <c r="AU562" s="11">
        <v>0</v>
      </c>
      <c r="AV562" s="11">
        <v>1</v>
      </c>
      <c r="AW562" s="11">
        <v>3</v>
      </c>
      <c r="AX562" s="11">
        <v>1</v>
      </c>
      <c r="AY562" s="7">
        <v>3</v>
      </c>
      <c r="AZ562" s="7">
        <v>1</v>
      </c>
      <c r="BA562" s="7">
        <v>3</v>
      </c>
      <c r="BB562" s="7">
        <v>3</v>
      </c>
      <c r="BC562" s="7">
        <v>3</v>
      </c>
      <c r="BD562" s="7">
        <v>1</v>
      </c>
      <c r="BE562" s="7">
        <v>1</v>
      </c>
      <c r="BF562" s="7">
        <v>1</v>
      </c>
      <c r="BG562" s="12">
        <f>SUM(data__22[[#This Row],[N1]:[N4]],data__22[[#This Row],[N10]:[N13]],data__22[[#This Row],[N16]:[N18]])/11</f>
        <v>2.2727272727272729</v>
      </c>
      <c r="BH562" s="13">
        <f>SUM(data__22[[#This Row],[N8]:[N9]],data__22[[#This Row],[N23]:[N25]])/5</f>
        <v>1</v>
      </c>
      <c r="BI562" s="12">
        <f>SUM(data__22[[#This Row],[N5]:[N7]])/3</f>
        <v>1.3333333333333333</v>
      </c>
      <c r="BJ562" s="12">
        <f>SUM(data__22[[#This Row],[N14]:[N15]],data__22[[#This Row],[N19]:[N22]],data__22[[#This Row],[N26]:[N28]])/9</f>
        <v>1</v>
      </c>
      <c r="BK562" s="12">
        <f>SUM(data__22[[#This Row],[N29]:[N33]])/5</f>
        <v>2.6</v>
      </c>
      <c r="BL562" s="12">
        <f>SUM(data__22[[#This Row],[N34]:[N36]])/3</f>
        <v>1</v>
      </c>
    </row>
    <row r="563" spans="1:64" x14ac:dyDescent="0.3">
      <c r="A563" s="7">
        <v>22</v>
      </c>
      <c r="B563" s="7" t="s">
        <v>70</v>
      </c>
      <c r="C563" s="7" t="s">
        <v>113</v>
      </c>
      <c r="D563" s="7" t="s">
        <v>97</v>
      </c>
      <c r="E563" s="7" t="s">
        <v>114</v>
      </c>
      <c r="F563" s="7" t="s">
        <v>74</v>
      </c>
      <c r="G563" s="7" t="s">
        <v>99</v>
      </c>
      <c r="H563" s="7" t="s">
        <v>98</v>
      </c>
      <c r="I563" s="7" t="s">
        <v>76</v>
      </c>
      <c r="J563" s="7" t="s">
        <v>77</v>
      </c>
      <c r="K563" s="7" t="s">
        <v>122</v>
      </c>
      <c r="L563" s="8" t="s">
        <v>82</v>
      </c>
      <c r="M563" s="8" t="s">
        <v>80</v>
      </c>
      <c r="N563" s="8" t="s">
        <v>79</v>
      </c>
      <c r="O563" s="8" t="s">
        <v>117</v>
      </c>
      <c r="P563" s="8" t="s">
        <v>79</v>
      </c>
      <c r="Q563" s="8" t="s">
        <v>83</v>
      </c>
      <c r="R563" s="8" t="s">
        <v>82</v>
      </c>
      <c r="S563" s="8" t="s">
        <v>82</v>
      </c>
      <c r="T563" s="8" t="s">
        <v>106</v>
      </c>
      <c r="U563" s="8" t="s">
        <v>87</v>
      </c>
      <c r="V563" s="8" t="s">
        <v>112</v>
      </c>
      <c r="W563" s="9">
        <v>3</v>
      </c>
      <c r="X563" s="9">
        <v>3</v>
      </c>
      <c r="Y563" s="9">
        <v>3</v>
      </c>
      <c r="Z563" s="9">
        <v>3</v>
      </c>
      <c r="AA563" s="9">
        <v>3</v>
      </c>
      <c r="AB563" s="9">
        <v>3</v>
      </c>
      <c r="AC563" s="9">
        <v>1</v>
      </c>
      <c r="AD563" s="9">
        <v>3</v>
      </c>
      <c r="AE563" s="9">
        <v>3</v>
      </c>
      <c r="AF563" s="9">
        <v>3</v>
      </c>
      <c r="AG563" s="9">
        <v>3</v>
      </c>
      <c r="AH563" s="9">
        <v>3</v>
      </c>
      <c r="AI563" s="9">
        <v>3</v>
      </c>
      <c r="AJ563" s="9">
        <v>0</v>
      </c>
      <c r="AK563" s="9">
        <v>1</v>
      </c>
      <c r="AL563" s="10">
        <v>3</v>
      </c>
      <c r="AM563" s="10">
        <v>3</v>
      </c>
      <c r="AN563" s="10">
        <v>0</v>
      </c>
      <c r="AO563" s="10">
        <v>0</v>
      </c>
      <c r="AP563" s="10">
        <v>1</v>
      </c>
      <c r="AQ563" s="10">
        <v>0</v>
      </c>
      <c r="AR563" s="10">
        <v>0</v>
      </c>
      <c r="AS563" s="11">
        <v>3</v>
      </c>
      <c r="AT563" s="11">
        <v>1</v>
      </c>
      <c r="AU563" s="11">
        <v>0</v>
      </c>
      <c r="AV563" s="11">
        <v>0</v>
      </c>
      <c r="AW563" s="11">
        <v>0</v>
      </c>
      <c r="AX563" s="11">
        <v>0</v>
      </c>
      <c r="AY563" s="7">
        <v>3</v>
      </c>
      <c r="AZ563" s="7">
        <v>3</v>
      </c>
      <c r="BA563" s="7">
        <v>3</v>
      </c>
      <c r="BB563" s="7">
        <v>3</v>
      </c>
      <c r="BC563" s="7">
        <v>3</v>
      </c>
      <c r="BD563" s="7">
        <v>0</v>
      </c>
      <c r="BE563" s="7">
        <v>0</v>
      </c>
      <c r="BF563" s="7">
        <v>1</v>
      </c>
      <c r="BG563" s="12">
        <f>SUM(data__22[[#This Row],[N1]:[N4]],data__22[[#This Row],[N10]:[N13]],data__22[[#This Row],[N16]:[N18]])/11</f>
        <v>2.7272727272727271</v>
      </c>
      <c r="BH563" s="13">
        <f>SUM(data__22[[#This Row],[N8]:[N9]],data__22[[#This Row],[N23]:[N25]])/5</f>
        <v>2</v>
      </c>
      <c r="BI563" s="12">
        <f>SUM(data__22[[#This Row],[N5]:[N7]])/3</f>
        <v>2.3333333333333335</v>
      </c>
      <c r="BJ563" s="12">
        <f>SUM(data__22[[#This Row],[N14]:[N15]],data__22[[#This Row],[N19]:[N22]],data__22[[#This Row],[N26]:[N28]])/9</f>
        <v>0.22222222222222221</v>
      </c>
      <c r="BK563" s="12">
        <f>SUM(data__22[[#This Row],[N29]:[N33]])/5</f>
        <v>3</v>
      </c>
      <c r="BL563" s="12">
        <f>SUM(data__22[[#This Row],[N34]:[N36]])/3</f>
        <v>0.33333333333333331</v>
      </c>
    </row>
    <row r="564" spans="1:64" x14ac:dyDescent="0.3">
      <c r="A564" s="7">
        <v>23</v>
      </c>
      <c r="B564" s="7" t="s">
        <v>128</v>
      </c>
      <c r="C564" s="7" t="s">
        <v>113</v>
      </c>
      <c r="D564" s="7" t="s">
        <v>72</v>
      </c>
      <c r="E564" s="7" t="s">
        <v>114</v>
      </c>
      <c r="F564" s="7" t="s">
        <v>74</v>
      </c>
      <c r="G564" s="7" t="s">
        <v>439</v>
      </c>
      <c r="H564" s="7" t="s">
        <v>74</v>
      </c>
      <c r="I564" s="7" t="s">
        <v>439</v>
      </c>
      <c r="J564" s="7" t="s">
        <v>77</v>
      </c>
      <c r="K564" s="7" t="s">
        <v>78</v>
      </c>
      <c r="L564" s="8" t="s">
        <v>82</v>
      </c>
      <c r="M564" s="8" t="s">
        <v>80</v>
      </c>
      <c r="N564" s="8" t="s">
        <v>79</v>
      </c>
      <c r="O564" s="8" t="s">
        <v>133</v>
      </c>
      <c r="P564" s="8" t="s">
        <v>82</v>
      </c>
      <c r="Q564" s="8" t="s">
        <v>103</v>
      </c>
      <c r="R564" s="8" t="s">
        <v>79</v>
      </c>
      <c r="S564" s="8" t="s">
        <v>82</v>
      </c>
      <c r="T564" s="8" t="s">
        <v>86</v>
      </c>
      <c r="U564" s="8" t="s">
        <v>87</v>
      </c>
      <c r="V564" s="8" t="s">
        <v>112</v>
      </c>
      <c r="W564" s="9">
        <v>1</v>
      </c>
      <c r="X564" s="9">
        <v>1</v>
      </c>
      <c r="Y564" s="9">
        <v>1</v>
      </c>
      <c r="Z564" s="9">
        <v>1</v>
      </c>
      <c r="AA564" s="9">
        <v>1</v>
      </c>
      <c r="AB564" s="9">
        <v>1</v>
      </c>
      <c r="AC564" s="9">
        <v>1</v>
      </c>
      <c r="AD564" s="9">
        <v>1</v>
      </c>
      <c r="AE564" s="9">
        <v>1</v>
      </c>
      <c r="AF564" s="9">
        <v>1</v>
      </c>
      <c r="AG564" s="9">
        <v>1</v>
      </c>
      <c r="AH564" s="9">
        <v>1</v>
      </c>
      <c r="AI564" s="9">
        <v>1</v>
      </c>
      <c r="AJ564" s="9">
        <v>1</v>
      </c>
      <c r="AK564" s="9">
        <v>1</v>
      </c>
      <c r="AL564" s="10">
        <v>1</v>
      </c>
      <c r="AM564" s="10">
        <v>1</v>
      </c>
      <c r="AN564" s="10">
        <v>1</v>
      </c>
      <c r="AO564" s="10">
        <v>1</v>
      </c>
      <c r="AP564" s="10">
        <v>1</v>
      </c>
      <c r="AQ564" s="10">
        <v>1</v>
      </c>
      <c r="AR564" s="10">
        <v>1</v>
      </c>
      <c r="AS564" s="11">
        <v>1</v>
      </c>
      <c r="AT564" s="11">
        <v>1</v>
      </c>
      <c r="AU564" s="11">
        <v>1</v>
      </c>
      <c r="AV564" s="11">
        <v>1</v>
      </c>
      <c r="AW564" s="11">
        <v>1</v>
      </c>
      <c r="AX564" s="11">
        <v>1</v>
      </c>
      <c r="AY564" s="7">
        <v>0</v>
      </c>
      <c r="AZ564" s="7">
        <v>2</v>
      </c>
      <c r="BA564" s="7">
        <v>2</v>
      </c>
      <c r="BB564" s="7">
        <v>2</v>
      </c>
      <c r="BC564" s="7">
        <v>2</v>
      </c>
      <c r="BD564" s="7">
        <v>2</v>
      </c>
      <c r="BE564" s="7">
        <v>2</v>
      </c>
      <c r="BF564" s="7">
        <v>2</v>
      </c>
      <c r="BG564" s="12">
        <f>SUM(data__22[[#This Row],[N1]:[N4]],data__22[[#This Row],[N10]:[N13]],data__22[[#This Row],[N16]:[N18]])/11</f>
        <v>1</v>
      </c>
      <c r="BH564" s="13">
        <f>SUM(data__22[[#This Row],[N8]:[N9]],data__22[[#This Row],[N23]:[N25]])/5</f>
        <v>1</v>
      </c>
      <c r="BI564" s="12">
        <f>SUM(data__22[[#This Row],[N5]:[N7]])/3</f>
        <v>1</v>
      </c>
      <c r="BJ564" s="12">
        <f>SUM(data__22[[#This Row],[N14]:[N15]],data__22[[#This Row],[N19]:[N22]],data__22[[#This Row],[N26]:[N28]])/9</f>
        <v>1</v>
      </c>
      <c r="BK564" s="12">
        <f>SUM(data__22[[#This Row],[N29]:[N33]])/5</f>
        <v>1.6</v>
      </c>
      <c r="BL564" s="12">
        <f>SUM(data__22[[#This Row],[N34]:[N36]])/3</f>
        <v>2</v>
      </c>
    </row>
    <row r="565" spans="1:64" x14ac:dyDescent="0.3">
      <c r="A565" s="7">
        <v>22</v>
      </c>
      <c r="B565" s="7" t="s">
        <v>70</v>
      </c>
      <c r="C565" s="7" t="s">
        <v>113</v>
      </c>
      <c r="D565" s="7" t="s">
        <v>72</v>
      </c>
      <c r="E565" s="7" t="s">
        <v>108</v>
      </c>
      <c r="F565" s="7" t="s">
        <v>74</v>
      </c>
      <c r="G565" s="7" t="s">
        <v>439</v>
      </c>
      <c r="H565" s="7" t="s">
        <v>136</v>
      </c>
      <c r="I565" s="7" t="s">
        <v>76</v>
      </c>
      <c r="J565" s="7" t="s">
        <v>77</v>
      </c>
      <c r="K565" s="7" t="s">
        <v>125</v>
      </c>
      <c r="L565" s="8" t="s">
        <v>79</v>
      </c>
      <c r="M565" s="8" t="s">
        <v>80</v>
      </c>
      <c r="N565" s="8" t="s">
        <v>79</v>
      </c>
      <c r="O565" s="8" t="s">
        <v>81</v>
      </c>
      <c r="P565" s="8" t="s">
        <v>82</v>
      </c>
      <c r="Q565" s="8" t="s">
        <v>83</v>
      </c>
      <c r="R565" s="8" t="s">
        <v>82</v>
      </c>
      <c r="S565" s="8" t="s">
        <v>82</v>
      </c>
      <c r="T565" s="8" t="s">
        <v>106</v>
      </c>
      <c r="U565" s="8" t="s">
        <v>120</v>
      </c>
      <c r="V565" s="8" t="s">
        <v>455</v>
      </c>
      <c r="W565" s="9">
        <v>3</v>
      </c>
      <c r="X565" s="9">
        <v>1</v>
      </c>
      <c r="Y565" s="9">
        <v>2</v>
      </c>
      <c r="Z565" s="9">
        <v>3</v>
      </c>
      <c r="AA565" s="9">
        <v>1</v>
      </c>
      <c r="AB565" s="9">
        <v>1</v>
      </c>
      <c r="AC565" s="9">
        <v>2</v>
      </c>
      <c r="AD565" s="9">
        <v>1</v>
      </c>
      <c r="AE565" s="9">
        <v>2</v>
      </c>
      <c r="AF565" s="9">
        <v>1</v>
      </c>
      <c r="AG565" s="9">
        <v>2</v>
      </c>
      <c r="AH565" s="9">
        <v>1</v>
      </c>
      <c r="AI565" s="9">
        <v>2</v>
      </c>
      <c r="AJ565" s="9">
        <v>1</v>
      </c>
      <c r="AK565" s="9">
        <v>2</v>
      </c>
      <c r="AL565" s="10">
        <v>1</v>
      </c>
      <c r="AM565" s="10">
        <v>2</v>
      </c>
      <c r="AN565" s="10">
        <v>1</v>
      </c>
      <c r="AO565" s="10">
        <v>2</v>
      </c>
      <c r="AP565" s="10">
        <v>1</v>
      </c>
      <c r="AQ565" s="10">
        <v>2</v>
      </c>
      <c r="AR565" s="10">
        <v>2</v>
      </c>
      <c r="AS565" s="11">
        <v>2</v>
      </c>
      <c r="AT565" s="11">
        <v>2</v>
      </c>
      <c r="AU565" s="11">
        <v>1</v>
      </c>
      <c r="AV565" s="11">
        <v>2</v>
      </c>
      <c r="AW565" s="11">
        <v>2</v>
      </c>
      <c r="AX565" s="11">
        <v>2</v>
      </c>
      <c r="AY565" s="7">
        <v>1</v>
      </c>
      <c r="AZ565" s="7">
        <v>2</v>
      </c>
      <c r="BA565" s="7">
        <v>1</v>
      </c>
      <c r="BB565" s="7">
        <v>2</v>
      </c>
      <c r="BC565" s="7">
        <v>2</v>
      </c>
      <c r="BD565" s="7">
        <v>1</v>
      </c>
      <c r="BE565" s="7">
        <v>2</v>
      </c>
      <c r="BF565" s="7">
        <v>1</v>
      </c>
      <c r="BG565" s="12">
        <f>SUM(data__22[[#This Row],[N1]:[N4]],data__22[[#This Row],[N10]:[N13]],data__22[[#This Row],[N16]:[N18]])/11</f>
        <v>1.7272727272727273</v>
      </c>
      <c r="BH565" s="13">
        <f>SUM(data__22[[#This Row],[N8]:[N9]],data__22[[#This Row],[N23]:[N25]])/5</f>
        <v>1.6</v>
      </c>
      <c r="BI565" s="12">
        <f>SUM(data__22[[#This Row],[N5]:[N7]])/3</f>
        <v>1.3333333333333333</v>
      </c>
      <c r="BJ565" s="12">
        <f>SUM(data__22[[#This Row],[N14]:[N15]],data__22[[#This Row],[N19]:[N22]],data__22[[#This Row],[N26]:[N28]])/9</f>
        <v>1.7777777777777777</v>
      </c>
      <c r="BK565" s="12">
        <f>SUM(data__22[[#This Row],[N29]:[N33]])/5</f>
        <v>1.6</v>
      </c>
      <c r="BL565" s="12">
        <f>SUM(data__22[[#This Row],[N34]:[N36]])/3</f>
        <v>1.3333333333333333</v>
      </c>
    </row>
    <row r="566" spans="1:64" x14ac:dyDescent="0.3">
      <c r="A566" s="7">
        <v>23</v>
      </c>
      <c r="B566" s="7" t="s">
        <v>70</v>
      </c>
      <c r="C566" s="7" t="s">
        <v>71</v>
      </c>
      <c r="D566" s="7" t="s">
        <v>149</v>
      </c>
      <c r="E566" s="7" t="s">
        <v>108</v>
      </c>
      <c r="F566" s="7" t="s">
        <v>74</v>
      </c>
      <c r="G566" s="7" t="s">
        <v>439</v>
      </c>
      <c r="H566" s="7" t="s">
        <v>74</v>
      </c>
      <c r="I566" s="7" t="s">
        <v>439</v>
      </c>
      <c r="J566" s="7" t="s">
        <v>77</v>
      </c>
      <c r="K566" s="7" t="s">
        <v>122</v>
      </c>
      <c r="L566" s="8" t="s">
        <v>79</v>
      </c>
      <c r="M566" s="8" t="s">
        <v>80</v>
      </c>
      <c r="N566" s="8" t="s">
        <v>79</v>
      </c>
      <c r="O566" s="8" t="s">
        <v>138</v>
      </c>
      <c r="P566" s="8" t="s">
        <v>82</v>
      </c>
      <c r="Q566" s="8" t="s">
        <v>103</v>
      </c>
      <c r="R566" s="8" t="s">
        <v>79</v>
      </c>
      <c r="S566" s="8" t="s">
        <v>82</v>
      </c>
      <c r="T566" s="8" t="s">
        <v>86</v>
      </c>
      <c r="U566" s="8" t="s">
        <v>87</v>
      </c>
      <c r="V566" s="8" t="s">
        <v>237</v>
      </c>
      <c r="W566" s="9">
        <v>3</v>
      </c>
      <c r="X566" s="9">
        <v>3</v>
      </c>
      <c r="Y566" s="9">
        <v>3</v>
      </c>
      <c r="Z566" s="9">
        <v>3</v>
      </c>
      <c r="AA566" s="9">
        <v>1</v>
      </c>
      <c r="AB566" s="9">
        <v>1</v>
      </c>
      <c r="AC566" s="9">
        <v>1</v>
      </c>
      <c r="AD566" s="9">
        <v>3</v>
      </c>
      <c r="AE566" s="9">
        <v>3</v>
      </c>
      <c r="AF566" s="9">
        <v>3</v>
      </c>
      <c r="AG566" s="9">
        <v>3</v>
      </c>
      <c r="AH566" s="9">
        <v>3</v>
      </c>
      <c r="AI566" s="9">
        <v>3</v>
      </c>
      <c r="AJ566" s="9">
        <v>0</v>
      </c>
      <c r="AK566" s="9">
        <v>0</v>
      </c>
      <c r="AL566" s="10">
        <v>3</v>
      </c>
      <c r="AM566" s="10">
        <v>3</v>
      </c>
      <c r="AN566" s="10">
        <v>3</v>
      </c>
      <c r="AO566" s="10">
        <v>0</v>
      </c>
      <c r="AP566" s="10">
        <v>0</v>
      </c>
      <c r="AQ566" s="10">
        <v>0</v>
      </c>
      <c r="AR566" s="10">
        <v>0</v>
      </c>
      <c r="AS566" s="11">
        <v>3</v>
      </c>
      <c r="AT566" s="11">
        <v>1</v>
      </c>
      <c r="AU566" s="11">
        <v>1</v>
      </c>
      <c r="AV566" s="11">
        <v>0</v>
      </c>
      <c r="AW566" s="11">
        <v>0</v>
      </c>
      <c r="AX566" s="11">
        <v>0</v>
      </c>
      <c r="AY566" s="7">
        <v>3</v>
      </c>
      <c r="AZ566" s="7">
        <v>3</v>
      </c>
      <c r="BA566" s="7">
        <v>3</v>
      </c>
      <c r="BB566" s="7">
        <v>3</v>
      </c>
      <c r="BC566" s="7">
        <v>0</v>
      </c>
      <c r="BD566" s="7">
        <v>0</v>
      </c>
      <c r="BE566" s="7">
        <v>0</v>
      </c>
      <c r="BF566" s="7">
        <v>1</v>
      </c>
      <c r="BG566" s="12">
        <f>SUM(data__22[[#This Row],[N1]:[N4]],data__22[[#This Row],[N10]:[N13]],data__22[[#This Row],[N16]:[N18]])/11</f>
        <v>3</v>
      </c>
      <c r="BH566" s="13">
        <f>SUM(data__22[[#This Row],[N8]:[N9]],data__22[[#This Row],[N23]:[N25]])/5</f>
        <v>2.2000000000000002</v>
      </c>
      <c r="BI566" s="12">
        <f>SUM(data__22[[#This Row],[N5]:[N7]])/3</f>
        <v>1</v>
      </c>
      <c r="BJ566" s="12">
        <f>SUM(data__22[[#This Row],[N14]:[N15]],data__22[[#This Row],[N19]:[N22]],data__22[[#This Row],[N26]:[N28]])/9</f>
        <v>0</v>
      </c>
      <c r="BK566" s="12">
        <f>SUM(data__22[[#This Row],[N29]:[N33]])/5</f>
        <v>2.4</v>
      </c>
      <c r="BL566" s="12">
        <f>SUM(data__22[[#This Row],[N34]:[N36]])/3</f>
        <v>0.33333333333333331</v>
      </c>
    </row>
    <row r="567" spans="1:64" x14ac:dyDescent="0.3">
      <c r="A567" s="7">
        <v>23</v>
      </c>
      <c r="B567" s="7" t="s">
        <v>70</v>
      </c>
      <c r="C567" s="7" t="s">
        <v>113</v>
      </c>
      <c r="D567" s="7" t="s">
        <v>72</v>
      </c>
      <c r="E567" s="7" t="s">
        <v>108</v>
      </c>
      <c r="F567" s="7" t="s">
        <v>74</v>
      </c>
      <c r="G567" s="7" t="s">
        <v>439</v>
      </c>
      <c r="H567" s="7" t="s">
        <v>136</v>
      </c>
      <c r="I567" s="7" t="s">
        <v>76</v>
      </c>
      <c r="J567" s="7" t="s">
        <v>77</v>
      </c>
      <c r="K567" s="7" t="s">
        <v>122</v>
      </c>
      <c r="L567" s="8" t="s">
        <v>79</v>
      </c>
      <c r="M567" s="8" t="s">
        <v>80</v>
      </c>
      <c r="N567" s="8" t="s">
        <v>82</v>
      </c>
      <c r="O567" s="8" t="s">
        <v>109</v>
      </c>
      <c r="P567" s="8" t="s">
        <v>82</v>
      </c>
      <c r="Q567" s="8" t="s">
        <v>83</v>
      </c>
      <c r="R567" s="8" t="s">
        <v>82</v>
      </c>
      <c r="S567" s="8" t="s">
        <v>82</v>
      </c>
      <c r="T567" s="8" t="s">
        <v>106</v>
      </c>
      <c r="U567" s="8" t="s">
        <v>141</v>
      </c>
      <c r="V567" s="8" t="s">
        <v>112</v>
      </c>
      <c r="W567" s="9">
        <v>3</v>
      </c>
      <c r="X567" s="9">
        <v>3</v>
      </c>
      <c r="Y567" s="9">
        <v>3</v>
      </c>
      <c r="Z567" s="9">
        <v>3</v>
      </c>
      <c r="AA567" s="9">
        <v>3</v>
      </c>
      <c r="AB567" s="9">
        <v>3</v>
      </c>
      <c r="AC567" s="9">
        <v>3</v>
      </c>
      <c r="AD567" s="9">
        <v>3</v>
      </c>
      <c r="AE567" s="9">
        <v>3</v>
      </c>
      <c r="AF567" s="9">
        <v>3</v>
      </c>
      <c r="AG567" s="9">
        <v>3</v>
      </c>
      <c r="AH567" s="9">
        <v>3</v>
      </c>
      <c r="AI567" s="9">
        <v>3</v>
      </c>
      <c r="AJ567" s="9">
        <v>3</v>
      </c>
      <c r="AK567" s="9">
        <v>3</v>
      </c>
      <c r="AL567" s="10">
        <v>3</v>
      </c>
      <c r="AM567" s="10">
        <v>3</v>
      </c>
      <c r="AN567" s="10">
        <v>3</v>
      </c>
      <c r="AO567" s="10">
        <v>3</v>
      </c>
      <c r="AP567" s="10">
        <v>3</v>
      </c>
      <c r="AQ567" s="10">
        <v>3</v>
      </c>
      <c r="AR567" s="10">
        <v>3</v>
      </c>
      <c r="AS567" s="11">
        <v>3</v>
      </c>
      <c r="AT567" s="11">
        <v>3</v>
      </c>
      <c r="AU567" s="11">
        <v>3</v>
      </c>
      <c r="AV567" s="11">
        <v>3</v>
      </c>
      <c r="AW567" s="11">
        <v>3</v>
      </c>
      <c r="AX567" s="11">
        <v>3</v>
      </c>
      <c r="AY567" s="7">
        <v>3</v>
      </c>
      <c r="AZ567" s="7">
        <v>0</v>
      </c>
      <c r="BA567" s="7">
        <v>3</v>
      </c>
      <c r="BB567" s="7">
        <v>3</v>
      </c>
      <c r="BC567" s="7">
        <v>3</v>
      </c>
      <c r="BD567" s="7">
        <v>3</v>
      </c>
      <c r="BE567" s="7">
        <v>3</v>
      </c>
      <c r="BF567" s="7">
        <v>3</v>
      </c>
      <c r="BG567" s="12">
        <f>SUM(data__22[[#This Row],[N1]:[N4]],data__22[[#This Row],[N10]:[N13]],data__22[[#This Row],[N16]:[N18]])/11</f>
        <v>3</v>
      </c>
      <c r="BH567" s="13">
        <f>SUM(data__22[[#This Row],[N8]:[N9]],data__22[[#This Row],[N23]:[N25]])/5</f>
        <v>3</v>
      </c>
      <c r="BI567" s="12">
        <f>SUM(data__22[[#This Row],[N5]:[N7]])/3</f>
        <v>3</v>
      </c>
      <c r="BJ567" s="12">
        <f>SUM(data__22[[#This Row],[N14]:[N15]],data__22[[#This Row],[N19]:[N22]],data__22[[#This Row],[N26]:[N28]])/9</f>
        <v>3</v>
      </c>
      <c r="BK567" s="12">
        <f>SUM(data__22[[#This Row],[N29]:[N33]])/5</f>
        <v>2.4</v>
      </c>
      <c r="BL567" s="12">
        <f>SUM(data__22[[#This Row],[N34]:[N36]])/3</f>
        <v>3</v>
      </c>
    </row>
    <row r="568" spans="1:64" x14ac:dyDescent="0.3">
      <c r="A568" s="7">
        <v>23</v>
      </c>
      <c r="B568" s="7" t="s">
        <v>70</v>
      </c>
      <c r="C568" s="7" t="s">
        <v>71</v>
      </c>
      <c r="D568" s="7" t="s">
        <v>72</v>
      </c>
      <c r="E568" s="7" t="s">
        <v>114</v>
      </c>
      <c r="F568" s="7" t="s">
        <v>136</v>
      </c>
      <c r="G568" s="7" t="s">
        <v>440</v>
      </c>
      <c r="H568" s="7" t="s">
        <v>136</v>
      </c>
      <c r="I568" s="7" t="s">
        <v>76</v>
      </c>
      <c r="J568" s="7" t="s">
        <v>101</v>
      </c>
      <c r="K568" s="7" t="s">
        <v>125</v>
      </c>
      <c r="L568" s="8" t="s">
        <v>82</v>
      </c>
      <c r="M568" s="8" t="s">
        <v>80</v>
      </c>
      <c r="N568" s="8" t="s">
        <v>79</v>
      </c>
      <c r="O568" s="8" t="s">
        <v>117</v>
      </c>
      <c r="P568" s="8" t="s">
        <v>82</v>
      </c>
      <c r="Q568" s="8" t="s">
        <v>83</v>
      </c>
      <c r="R568" s="8" t="s">
        <v>79</v>
      </c>
      <c r="S568" s="8" t="s">
        <v>79</v>
      </c>
      <c r="T568" s="8" t="s">
        <v>86</v>
      </c>
      <c r="U568" s="8" t="s">
        <v>141</v>
      </c>
      <c r="V568" s="8" t="s">
        <v>455</v>
      </c>
      <c r="W568" s="9">
        <v>2</v>
      </c>
      <c r="X568" s="9">
        <v>3</v>
      </c>
      <c r="Y568" s="9">
        <v>3</v>
      </c>
      <c r="Z568" s="9">
        <v>3</v>
      </c>
      <c r="AA568" s="9">
        <v>1</v>
      </c>
      <c r="AB568" s="9">
        <v>1</v>
      </c>
      <c r="AC568" s="9">
        <v>2</v>
      </c>
      <c r="AD568" s="9">
        <v>1</v>
      </c>
      <c r="AE568" s="9">
        <v>3</v>
      </c>
      <c r="AF568" s="9">
        <v>3</v>
      </c>
      <c r="AG568" s="9">
        <v>3</v>
      </c>
      <c r="AH568" s="9">
        <v>3</v>
      </c>
      <c r="AI568" s="9">
        <v>3</v>
      </c>
      <c r="AJ568" s="9">
        <v>1</v>
      </c>
      <c r="AK568" s="9">
        <v>1</v>
      </c>
      <c r="AL568" s="10">
        <v>3</v>
      </c>
      <c r="AM568" s="10">
        <v>3</v>
      </c>
      <c r="AN568" s="10">
        <v>2</v>
      </c>
      <c r="AO568" s="10">
        <v>1</v>
      </c>
      <c r="AP568" s="10">
        <v>0</v>
      </c>
      <c r="AQ568" s="10">
        <v>0</v>
      </c>
      <c r="AR568" s="10">
        <v>1</v>
      </c>
      <c r="AS568" s="11">
        <v>3</v>
      </c>
      <c r="AT568" s="11">
        <v>3</v>
      </c>
      <c r="AU568" s="11">
        <v>3</v>
      </c>
      <c r="AV568" s="11">
        <v>1</v>
      </c>
      <c r="AW568" s="11">
        <v>1</v>
      </c>
      <c r="AX568" s="11">
        <v>1</v>
      </c>
      <c r="AY568" s="7">
        <v>3</v>
      </c>
      <c r="AZ568" s="7">
        <v>3</v>
      </c>
      <c r="BA568" s="7">
        <v>3</v>
      </c>
      <c r="BB568" s="7">
        <v>3</v>
      </c>
      <c r="BC568" s="7">
        <v>3</v>
      </c>
      <c r="BD568" s="7">
        <v>1</v>
      </c>
      <c r="BE568" s="7">
        <v>1</v>
      </c>
      <c r="BF568" s="7">
        <v>1</v>
      </c>
      <c r="BG568" s="12">
        <f>SUM(data__22[[#This Row],[N1]:[N4]],data__22[[#This Row],[N10]:[N13]],data__22[[#This Row],[N16]:[N18]])/11</f>
        <v>2.8181818181818183</v>
      </c>
      <c r="BH568" s="13">
        <f>SUM(data__22[[#This Row],[N8]:[N9]],data__22[[#This Row],[N23]:[N25]])/5</f>
        <v>2.6</v>
      </c>
      <c r="BI568" s="12">
        <f>SUM(data__22[[#This Row],[N5]:[N7]])/3</f>
        <v>1.3333333333333333</v>
      </c>
      <c r="BJ568" s="12">
        <f>SUM(data__22[[#This Row],[N14]:[N15]],data__22[[#This Row],[N19]:[N22]],data__22[[#This Row],[N26]:[N28]])/9</f>
        <v>0.77777777777777779</v>
      </c>
      <c r="BK568" s="12">
        <f>SUM(data__22[[#This Row],[N29]:[N33]])/5</f>
        <v>3</v>
      </c>
      <c r="BL568" s="12">
        <f>SUM(data__22[[#This Row],[N34]:[N36]])/3</f>
        <v>1</v>
      </c>
    </row>
    <row r="569" spans="1:64" x14ac:dyDescent="0.3">
      <c r="A569" s="7">
        <v>22</v>
      </c>
      <c r="B569" s="7" t="s">
        <v>70</v>
      </c>
      <c r="C569" s="7" t="s">
        <v>96</v>
      </c>
      <c r="D569" s="7" t="s">
        <v>72</v>
      </c>
      <c r="E569" s="7" t="s">
        <v>108</v>
      </c>
      <c r="F569" s="7" t="s">
        <v>136</v>
      </c>
      <c r="G569" s="7" t="s">
        <v>440</v>
      </c>
      <c r="H569" s="7" t="s">
        <v>98</v>
      </c>
      <c r="I569" s="7" t="s">
        <v>76</v>
      </c>
      <c r="J569" s="7" t="s">
        <v>101</v>
      </c>
      <c r="K569" s="7" t="s">
        <v>78</v>
      </c>
      <c r="L569" s="8" t="s">
        <v>79</v>
      </c>
      <c r="M569" s="8" t="s">
        <v>102</v>
      </c>
      <c r="N569" s="8" t="s">
        <v>79</v>
      </c>
      <c r="O569" s="8" t="s">
        <v>117</v>
      </c>
      <c r="P569" s="8" t="s">
        <v>82</v>
      </c>
      <c r="Q569" s="8" t="s">
        <v>83</v>
      </c>
      <c r="R569" s="8" t="s">
        <v>82</v>
      </c>
      <c r="S569" s="8" t="s">
        <v>82</v>
      </c>
      <c r="T569" s="8" t="s">
        <v>106</v>
      </c>
      <c r="U569" s="8" t="s">
        <v>141</v>
      </c>
      <c r="V569" s="8" t="s">
        <v>112</v>
      </c>
      <c r="W569" s="9">
        <v>3</v>
      </c>
      <c r="X569" s="9">
        <v>1</v>
      </c>
      <c r="Y569" s="9">
        <v>2</v>
      </c>
      <c r="Z569" s="9">
        <v>3</v>
      </c>
      <c r="AA569" s="9">
        <v>3</v>
      </c>
      <c r="AB569" s="9">
        <v>1</v>
      </c>
      <c r="AC569" s="9">
        <v>3</v>
      </c>
      <c r="AD569" s="9">
        <v>3</v>
      </c>
      <c r="AE569" s="9">
        <v>3</v>
      </c>
      <c r="AF569" s="9">
        <v>3</v>
      </c>
      <c r="AG569" s="9">
        <v>3</v>
      </c>
      <c r="AH569" s="9">
        <v>1</v>
      </c>
      <c r="AI569" s="9">
        <v>2</v>
      </c>
      <c r="AJ569" s="9">
        <v>3</v>
      </c>
      <c r="AK569" s="9">
        <v>0</v>
      </c>
      <c r="AL569" s="10">
        <v>3</v>
      </c>
      <c r="AM569" s="10">
        <v>3</v>
      </c>
      <c r="AN569" s="10">
        <v>3</v>
      </c>
      <c r="AO569" s="10">
        <v>2</v>
      </c>
      <c r="AP569" s="10">
        <v>0</v>
      </c>
      <c r="AQ569" s="10">
        <v>0</v>
      </c>
      <c r="AR569" s="10">
        <v>0</v>
      </c>
      <c r="AS569" s="11">
        <v>2</v>
      </c>
      <c r="AT569" s="11">
        <v>3</v>
      </c>
      <c r="AU569" s="11">
        <v>3</v>
      </c>
      <c r="AV569" s="11">
        <v>2</v>
      </c>
      <c r="AW569" s="11">
        <v>0</v>
      </c>
      <c r="AX569" s="11">
        <v>0</v>
      </c>
      <c r="AY569" s="7">
        <v>3</v>
      </c>
      <c r="AZ569" s="7">
        <v>3</v>
      </c>
      <c r="BA569" s="7">
        <v>3</v>
      </c>
      <c r="BB569" s="7">
        <v>3</v>
      </c>
      <c r="BC569" s="7">
        <v>3</v>
      </c>
      <c r="BD569" s="7">
        <v>0</v>
      </c>
      <c r="BE569" s="7">
        <v>2</v>
      </c>
      <c r="BF569" s="7">
        <v>1</v>
      </c>
      <c r="BG569" s="12">
        <f>SUM(data__22[[#This Row],[N1]:[N4]],data__22[[#This Row],[N10]:[N13]],data__22[[#This Row],[N16]:[N18]])/11</f>
        <v>2.4545454545454546</v>
      </c>
      <c r="BH569" s="13">
        <f>SUM(data__22[[#This Row],[N8]:[N9]],data__22[[#This Row],[N23]:[N25]])/5</f>
        <v>2.8</v>
      </c>
      <c r="BI569" s="12">
        <f>SUM(data__22[[#This Row],[N5]:[N7]])/3</f>
        <v>2.3333333333333335</v>
      </c>
      <c r="BJ569" s="12">
        <f>SUM(data__22[[#This Row],[N14]:[N15]],data__22[[#This Row],[N19]:[N22]],data__22[[#This Row],[N26]:[N28]])/9</f>
        <v>0.77777777777777779</v>
      </c>
      <c r="BK569" s="12">
        <f>SUM(data__22[[#This Row],[N29]:[N33]])/5</f>
        <v>3</v>
      </c>
      <c r="BL569" s="12">
        <f>SUM(data__22[[#This Row],[N34]:[N36]])/3</f>
        <v>1</v>
      </c>
    </row>
    <row r="570" spans="1:64" x14ac:dyDescent="0.3">
      <c r="A570" s="7">
        <v>20</v>
      </c>
      <c r="B570" s="7" t="s">
        <v>128</v>
      </c>
      <c r="C570" s="7" t="s">
        <v>157</v>
      </c>
      <c r="D570" s="7" t="s">
        <v>72</v>
      </c>
      <c r="E570" s="7" t="s">
        <v>73</v>
      </c>
      <c r="F570" s="7" t="s">
        <v>74</v>
      </c>
      <c r="G570" s="7" t="s">
        <v>439</v>
      </c>
      <c r="H570" s="7" t="s">
        <v>74</v>
      </c>
      <c r="I570" s="7" t="s">
        <v>76</v>
      </c>
      <c r="J570" s="7" t="s">
        <v>77</v>
      </c>
      <c r="K570" s="7" t="s">
        <v>78</v>
      </c>
      <c r="L570" s="8" t="s">
        <v>79</v>
      </c>
      <c r="M570" s="8" t="s">
        <v>80</v>
      </c>
      <c r="N570" s="8" t="s">
        <v>82</v>
      </c>
      <c r="O570" s="8" t="s">
        <v>117</v>
      </c>
      <c r="P570" s="8" t="s">
        <v>82</v>
      </c>
      <c r="Q570" s="8" t="s">
        <v>83</v>
      </c>
      <c r="R570" s="8" t="s">
        <v>79</v>
      </c>
      <c r="S570" s="8" t="s">
        <v>82</v>
      </c>
      <c r="T570" s="8" t="s">
        <v>106</v>
      </c>
      <c r="U570" s="8" t="s">
        <v>141</v>
      </c>
      <c r="V570" s="8" t="s">
        <v>160</v>
      </c>
      <c r="W570" s="9">
        <v>3</v>
      </c>
      <c r="X570" s="9">
        <v>2</v>
      </c>
      <c r="Y570" s="9">
        <v>3</v>
      </c>
      <c r="Z570" s="9">
        <v>2</v>
      </c>
      <c r="AA570" s="9">
        <v>1</v>
      </c>
      <c r="AB570" s="9">
        <v>1</v>
      </c>
      <c r="AC570" s="9">
        <v>1</v>
      </c>
      <c r="AD570" s="9">
        <v>3</v>
      </c>
      <c r="AE570" s="9">
        <v>2</v>
      </c>
      <c r="AF570" s="9">
        <v>3</v>
      </c>
      <c r="AG570" s="9">
        <v>3</v>
      </c>
      <c r="AH570" s="9">
        <v>3</v>
      </c>
      <c r="AI570" s="9">
        <v>3</v>
      </c>
      <c r="AJ570" s="9">
        <v>1</v>
      </c>
      <c r="AK570" s="9">
        <v>1</v>
      </c>
      <c r="AL570" s="10">
        <v>2</v>
      </c>
      <c r="AM570" s="10">
        <v>2</v>
      </c>
      <c r="AN570" s="10">
        <v>3</v>
      </c>
      <c r="AO570" s="10">
        <v>1</v>
      </c>
      <c r="AP570" s="10">
        <v>0</v>
      </c>
      <c r="AQ570" s="10">
        <v>0</v>
      </c>
      <c r="AR570" s="10">
        <v>0</v>
      </c>
      <c r="AS570" s="11">
        <v>3</v>
      </c>
      <c r="AT570" s="11">
        <v>3</v>
      </c>
      <c r="AU570" s="11">
        <v>2</v>
      </c>
      <c r="AV570" s="11">
        <v>0</v>
      </c>
      <c r="AW570" s="11">
        <v>0</v>
      </c>
      <c r="AX570" s="11">
        <v>0</v>
      </c>
      <c r="AY570" s="7">
        <v>3</v>
      </c>
      <c r="AZ570" s="7">
        <v>3</v>
      </c>
      <c r="BA570" s="7">
        <v>3</v>
      </c>
      <c r="BB570" s="7">
        <v>3</v>
      </c>
      <c r="BC570" s="7">
        <v>3</v>
      </c>
      <c r="BD570" s="7">
        <v>0</v>
      </c>
      <c r="BE570" s="7">
        <v>1</v>
      </c>
      <c r="BF570" s="7">
        <v>0</v>
      </c>
      <c r="BG570" s="12">
        <f>SUM(data__22[[#This Row],[N1]:[N4]],data__22[[#This Row],[N10]:[N13]],data__22[[#This Row],[N16]:[N18]])/11</f>
        <v>2.6363636363636362</v>
      </c>
      <c r="BH570" s="13">
        <f>SUM(data__22[[#This Row],[N8]:[N9]],data__22[[#This Row],[N23]:[N25]])/5</f>
        <v>2.6</v>
      </c>
      <c r="BI570" s="12">
        <f>SUM(data__22[[#This Row],[N5]:[N7]])/3</f>
        <v>1</v>
      </c>
      <c r="BJ570" s="12">
        <f>SUM(data__22[[#This Row],[N14]:[N15]],data__22[[#This Row],[N19]:[N22]],data__22[[#This Row],[N26]:[N28]])/9</f>
        <v>0.33333333333333331</v>
      </c>
      <c r="BK570" s="12">
        <f>SUM(data__22[[#This Row],[N29]:[N33]])/5</f>
        <v>3</v>
      </c>
      <c r="BL570" s="12">
        <f>SUM(data__22[[#This Row],[N34]:[N36]])/3</f>
        <v>0.33333333333333331</v>
      </c>
    </row>
    <row r="571" spans="1:64" x14ac:dyDescent="0.3">
      <c r="A571" s="7">
        <v>20</v>
      </c>
      <c r="B571" s="7" t="s">
        <v>70</v>
      </c>
      <c r="C571" s="7" t="s">
        <v>157</v>
      </c>
      <c r="D571" s="7" t="s">
        <v>72</v>
      </c>
      <c r="E571" s="7" t="s">
        <v>114</v>
      </c>
      <c r="F571" s="7" t="s">
        <v>136</v>
      </c>
      <c r="G571" s="7" t="s">
        <v>439</v>
      </c>
      <c r="H571" s="7" t="s">
        <v>98</v>
      </c>
      <c r="I571" s="7" t="s">
        <v>76</v>
      </c>
      <c r="J571" s="7" t="s">
        <v>77</v>
      </c>
      <c r="K571" s="7" t="s">
        <v>125</v>
      </c>
      <c r="L571" s="8" t="s">
        <v>82</v>
      </c>
      <c r="M571" s="8" t="s">
        <v>80</v>
      </c>
      <c r="N571" s="8" t="s">
        <v>79</v>
      </c>
      <c r="O571" s="8" t="s">
        <v>117</v>
      </c>
      <c r="P571" s="8" t="s">
        <v>82</v>
      </c>
      <c r="Q571" s="8" t="s">
        <v>83</v>
      </c>
      <c r="R571" s="8" t="s">
        <v>79</v>
      </c>
      <c r="S571" s="8" t="s">
        <v>82</v>
      </c>
      <c r="T571" s="8" t="s">
        <v>86</v>
      </c>
      <c r="U571" s="8" t="s">
        <v>141</v>
      </c>
      <c r="V571" s="8" t="s">
        <v>112</v>
      </c>
      <c r="W571" s="9">
        <v>2</v>
      </c>
      <c r="X571" s="9">
        <v>1</v>
      </c>
      <c r="Y571" s="9">
        <v>2</v>
      </c>
      <c r="Z571" s="9">
        <v>2</v>
      </c>
      <c r="AA571" s="9">
        <v>2</v>
      </c>
      <c r="AB571" s="9">
        <v>2</v>
      </c>
      <c r="AC571" s="9">
        <v>2</v>
      </c>
      <c r="AD571" s="9">
        <v>2</v>
      </c>
      <c r="AE571" s="9">
        <v>2</v>
      </c>
      <c r="AF571" s="9">
        <v>2</v>
      </c>
      <c r="AG571" s="9">
        <v>2</v>
      </c>
      <c r="AH571" s="9">
        <v>2</v>
      </c>
      <c r="AI571" s="9">
        <v>2</v>
      </c>
      <c r="AJ571" s="9">
        <v>1</v>
      </c>
      <c r="AK571" s="9">
        <v>1</v>
      </c>
      <c r="AL571" s="10">
        <v>2</v>
      </c>
      <c r="AM571" s="10">
        <v>2</v>
      </c>
      <c r="AN571" s="10">
        <v>2</v>
      </c>
      <c r="AO571" s="10">
        <v>2</v>
      </c>
      <c r="AP571" s="10">
        <v>0</v>
      </c>
      <c r="AQ571" s="10">
        <v>0</v>
      </c>
      <c r="AR571" s="10">
        <v>1</v>
      </c>
      <c r="AS571" s="11">
        <v>3</v>
      </c>
      <c r="AT571" s="11">
        <v>3</v>
      </c>
      <c r="AU571" s="11">
        <v>3</v>
      </c>
      <c r="AV571" s="11">
        <v>0</v>
      </c>
      <c r="AW571" s="11">
        <v>0</v>
      </c>
      <c r="AX571" s="11">
        <v>2</v>
      </c>
      <c r="AY571" s="7">
        <v>3</v>
      </c>
      <c r="AZ571" s="7">
        <v>3</v>
      </c>
      <c r="BA571" s="7">
        <v>3</v>
      </c>
      <c r="BB571" s="7">
        <v>3</v>
      </c>
      <c r="BC571" s="7">
        <v>3</v>
      </c>
      <c r="BD571" s="7">
        <v>1</v>
      </c>
      <c r="BE571" s="7">
        <v>1</v>
      </c>
      <c r="BF571" s="7">
        <v>1</v>
      </c>
      <c r="BG571" s="12">
        <f>SUM(data__22[[#This Row],[N1]:[N4]],data__22[[#This Row],[N10]:[N13]],data__22[[#This Row],[N16]:[N18]])/11</f>
        <v>1.9090909090909092</v>
      </c>
      <c r="BH571" s="13">
        <f>SUM(data__22[[#This Row],[N8]:[N9]],data__22[[#This Row],[N23]:[N25]])/5</f>
        <v>2.6</v>
      </c>
      <c r="BI571" s="12">
        <f>SUM(data__22[[#This Row],[N5]:[N7]])/3</f>
        <v>2</v>
      </c>
      <c r="BJ571" s="12">
        <f>SUM(data__22[[#This Row],[N14]:[N15]],data__22[[#This Row],[N19]:[N22]],data__22[[#This Row],[N26]:[N28]])/9</f>
        <v>0.77777777777777779</v>
      </c>
      <c r="BK571" s="12">
        <f>SUM(data__22[[#This Row],[N29]:[N33]])/5</f>
        <v>3</v>
      </c>
      <c r="BL571" s="12">
        <f>SUM(data__22[[#This Row],[N34]:[N36]])/3</f>
        <v>1</v>
      </c>
    </row>
    <row r="572" spans="1:64" x14ac:dyDescent="0.3">
      <c r="A572" s="7">
        <v>22</v>
      </c>
      <c r="B572" s="7" t="s">
        <v>128</v>
      </c>
      <c r="C572" s="7" t="s">
        <v>71</v>
      </c>
      <c r="D572" s="7" t="s">
        <v>72</v>
      </c>
      <c r="E572" s="7" t="s">
        <v>114</v>
      </c>
      <c r="F572" s="7" t="s">
        <v>98</v>
      </c>
      <c r="G572" s="7" t="s">
        <v>440</v>
      </c>
      <c r="H572" s="7" t="s">
        <v>98</v>
      </c>
      <c r="I572" s="7" t="s">
        <v>166</v>
      </c>
      <c r="J572" s="7" t="s">
        <v>77</v>
      </c>
      <c r="K572" s="7" t="s">
        <v>125</v>
      </c>
      <c r="L572" s="8" t="s">
        <v>82</v>
      </c>
      <c r="M572" s="8" t="s">
        <v>80</v>
      </c>
      <c r="N572" s="8" t="s">
        <v>82</v>
      </c>
      <c r="O572" s="8" t="s">
        <v>81</v>
      </c>
      <c r="P572" s="8" t="s">
        <v>82</v>
      </c>
      <c r="Q572" s="8" t="s">
        <v>118</v>
      </c>
      <c r="R572" s="8" t="s">
        <v>82</v>
      </c>
      <c r="S572" s="8" t="s">
        <v>82</v>
      </c>
      <c r="T572" s="8" t="s">
        <v>86</v>
      </c>
      <c r="U572" s="8" t="s">
        <v>87</v>
      </c>
      <c r="V572" s="8" t="s">
        <v>112</v>
      </c>
      <c r="W572" s="9">
        <v>1</v>
      </c>
      <c r="X572" s="9">
        <v>1</v>
      </c>
      <c r="Y572" s="9">
        <v>1</v>
      </c>
      <c r="Z572" s="9">
        <v>1</v>
      </c>
      <c r="AA572" s="9">
        <v>1</v>
      </c>
      <c r="AB572" s="9">
        <v>1</v>
      </c>
      <c r="AC572" s="9">
        <v>1</v>
      </c>
      <c r="AD572" s="9">
        <v>1</v>
      </c>
      <c r="AE572" s="9">
        <v>1</v>
      </c>
      <c r="AF572" s="9">
        <v>1</v>
      </c>
      <c r="AG572" s="9">
        <v>1</v>
      </c>
      <c r="AH572" s="9">
        <v>1</v>
      </c>
      <c r="AI572" s="9">
        <v>1</v>
      </c>
      <c r="AJ572" s="9">
        <v>1</v>
      </c>
      <c r="AK572" s="9">
        <v>1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1">
        <v>0</v>
      </c>
      <c r="AT572" s="11">
        <v>1</v>
      </c>
      <c r="AU572" s="11">
        <v>1</v>
      </c>
      <c r="AV572" s="11">
        <v>1</v>
      </c>
      <c r="AW572" s="11">
        <v>1</v>
      </c>
      <c r="AX572" s="11">
        <v>1</v>
      </c>
      <c r="AY572" s="7">
        <v>1</v>
      </c>
      <c r="AZ572" s="7">
        <v>1</v>
      </c>
      <c r="BA572" s="7">
        <v>0</v>
      </c>
      <c r="BB572" s="7">
        <v>1</v>
      </c>
      <c r="BC572" s="7">
        <v>1</v>
      </c>
      <c r="BD572" s="7">
        <v>1</v>
      </c>
      <c r="BE572" s="7">
        <v>1</v>
      </c>
      <c r="BF572" s="7">
        <v>0</v>
      </c>
      <c r="BG572" s="12">
        <f>SUM(data__22[[#This Row],[N1]:[N4]],data__22[[#This Row],[N10]:[N13]],data__22[[#This Row],[N16]:[N18]])/11</f>
        <v>0.72727272727272729</v>
      </c>
      <c r="BH572" s="13">
        <f>SUM(data__22[[#This Row],[N8]:[N9]],data__22[[#This Row],[N23]:[N25]])/5</f>
        <v>0.8</v>
      </c>
      <c r="BI572" s="12">
        <f>SUM(data__22[[#This Row],[N5]:[N7]])/3</f>
        <v>1</v>
      </c>
      <c r="BJ572" s="12">
        <f>SUM(data__22[[#This Row],[N14]:[N15]],data__22[[#This Row],[N19]:[N22]],data__22[[#This Row],[N26]:[N28]])/9</f>
        <v>0.55555555555555558</v>
      </c>
      <c r="BK572" s="12">
        <f>SUM(data__22[[#This Row],[N29]:[N33]])/5</f>
        <v>0.8</v>
      </c>
      <c r="BL572" s="12">
        <f>SUM(data__22[[#This Row],[N34]:[N36]])/3</f>
        <v>0.66666666666666663</v>
      </c>
    </row>
    <row r="573" spans="1:64" x14ac:dyDescent="0.3">
      <c r="A573" s="7">
        <v>23</v>
      </c>
      <c r="B573" s="7" t="s">
        <v>128</v>
      </c>
      <c r="C573" s="7" t="s">
        <v>71</v>
      </c>
      <c r="D573" s="7" t="s">
        <v>72</v>
      </c>
      <c r="E573" s="7" t="s">
        <v>108</v>
      </c>
      <c r="F573" s="7" t="s">
        <v>98</v>
      </c>
      <c r="G573" s="7" t="s">
        <v>440</v>
      </c>
      <c r="H573" s="7" t="s">
        <v>98</v>
      </c>
      <c r="I573" s="7" t="s">
        <v>76</v>
      </c>
      <c r="J573" s="7" t="s">
        <v>77</v>
      </c>
      <c r="K573" s="7" t="s">
        <v>122</v>
      </c>
      <c r="L573" s="8" t="s">
        <v>79</v>
      </c>
      <c r="M573" s="8" t="s">
        <v>80</v>
      </c>
      <c r="N573" s="8" t="s">
        <v>79</v>
      </c>
      <c r="O573" s="8" t="s">
        <v>81</v>
      </c>
      <c r="P573" s="8" t="s">
        <v>82</v>
      </c>
      <c r="Q573" s="8" t="s">
        <v>83</v>
      </c>
      <c r="R573" s="8" t="s">
        <v>82</v>
      </c>
      <c r="S573" s="8" t="s">
        <v>82</v>
      </c>
      <c r="T573" s="8" t="s">
        <v>106</v>
      </c>
      <c r="U573" s="8" t="s">
        <v>87</v>
      </c>
      <c r="V573" s="8" t="s">
        <v>121</v>
      </c>
      <c r="W573" s="9">
        <v>1</v>
      </c>
      <c r="X573" s="9">
        <v>1</v>
      </c>
      <c r="Y573" s="9">
        <v>1</v>
      </c>
      <c r="Z573" s="9">
        <v>1</v>
      </c>
      <c r="AA573" s="9">
        <v>1</v>
      </c>
      <c r="AB573" s="9">
        <v>1</v>
      </c>
      <c r="AC573" s="9">
        <v>1</v>
      </c>
      <c r="AD573" s="9">
        <v>1</v>
      </c>
      <c r="AE573" s="9">
        <v>1</v>
      </c>
      <c r="AF573" s="9">
        <v>1</v>
      </c>
      <c r="AG573" s="9">
        <v>1</v>
      </c>
      <c r="AH573" s="9">
        <v>1</v>
      </c>
      <c r="AI573" s="9">
        <v>1</v>
      </c>
      <c r="AJ573" s="9">
        <v>1</v>
      </c>
      <c r="AK573" s="9">
        <v>1</v>
      </c>
      <c r="AL573" s="10">
        <v>3</v>
      </c>
      <c r="AM573" s="10">
        <v>3</v>
      </c>
      <c r="AN573" s="10">
        <v>3</v>
      </c>
      <c r="AO573" s="10">
        <v>3</v>
      </c>
      <c r="AP573" s="10">
        <v>3</v>
      </c>
      <c r="AQ573" s="10">
        <v>3</v>
      </c>
      <c r="AR573" s="10">
        <v>3</v>
      </c>
      <c r="AS573" s="11">
        <v>0</v>
      </c>
      <c r="AT573" s="11">
        <v>0</v>
      </c>
      <c r="AU573" s="11">
        <v>0</v>
      </c>
      <c r="AV573" s="11">
        <v>0</v>
      </c>
      <c r="AW573" s="11">
        <v>0</v>
      </c>
      <c r="AX573" s="11">
        <v>0</v>
      </c>
      <c r="AY573" s="7">
        <v>3</v>
      </c>
      <c r="AZ573" s="7">
        <v>3</v>
      </c>
      <c r="BA573" s="7">
        <v>3</v>
      </c>
      <c r="BB573" s="7">
        <v>3</v>
      </c>
      <c r="BC573" s="7">
        <v>3</v>
      </c>
      <c r="BD573" s="7">
        <v>3</v>
      </c>
      <c r="BE573" s="7">
        <v>3</v>
      </c>
      <c r="BF573" s="7">
        <v>3</v>
      </c>
      <c r="BG573" s="12">
        <f>SUM(data__22[[#This Row],[N1]:[N4]],data__22[[#This Row],[N10]:[N13]],data__22[[#This Row],[N16]:[N18]])/11</f>
        <v>1.5454545454545454</v>
      </c>
      <c r="BH573" s="13">
        <f>SUM(data__22[[#This Row],[N8]:[N9]],data__22[[#This Row],[N23]:[N25]])/5</f>
        <v>0.4</v>
      </c>
      <c r="BI573" s="12">
        <f>SUM(data__22[[#This Row],[N5]:[N7]])/3</f>
        <v>1</v>
      </c>
      <c r="BJ573" s="12">
        <f>SUM(data__22[[#This Row],[N14]:[N15]],data__22[[#This Row],[N19]:[N22]],data__22[[#This Row],[N26]:[N28]])/9</f>
        <v>1.5555555555555556</v>
      </c>
      <c r="BK573" s="12">
        <f>SUM(data__22[[#This Row],[N29]:[N33]])/5</f>
        <v>3</v>
      </c>
      <c r="BL573" s="12">
        <f>SUM(data__22[[#This Row],[N34]:[N36]])/3</f>
        <v>3</v>
      </c>
    </row>
    <row r="574" spans="1:64" x14ac:dyDescent="0.3">
      <c r="A574" s="7">
        <v>22</v>
      </c>
      <c r="B574" s="7" t="s">
        <v>70</v>
      </c>
      <c r="C574" s="7" t="s">
        <v>96</v>
      </c>
      <c r="D574" s="7" t="s">
        <v>97</v>
      </c>
      <c r="E574" s="7" t="s">
        <v>114</v>
      </c>
      <c r="F574" s="7" t="s">
        <v>98</v>
      </c>
      <c r="G574" s="7" t="s">
        <v>439</v>
      </c>
      <c r="H574" s="7" t="s">
        <v>100</v>
      </c>
      <c r="I574" s="7" t="s">
        <v>76</v>
      </c>
      <c r="J574" s="7" t="s">
        <v>77</v>
      </c>
      <c r="K574" s="7" t="s">
        <v>125</v>
      </c>
      <c r="L574" s="8" t="s">
        <v>79</v>
      </c>
      <c r="M574" s="8" t="s">
        <v>80</v>
      </c>
      <c r="N574" s="8" t="s">
        <v>79</v>
      </c>
      <c r="O574" s="8" t="s">
        <v>179</v>
      </c>
      <c r="P574" s="8" t="s">
        <v>79</v>
      </c>
      <c r="Q574" s="8" t="s">
        <v>83</v>
      </c>
      <c r="R574" s="8" t="s">
        <v>79</v>
      </c>
      <c r="S574" s="8" t="s">
        <v>79</v>
      </c>
      <c r="T574" s="8" t="s">
        <v>106</v>
      </c>
      <c r="U574" s="8" t="s">
        <v>87</v>
      </c>
      <c r="V574" s="8" t="s">
        <v>307</v>
      </c>
      <c r="W574" s="9">
        <v>1</v>
      </c>
      <c r="X574" s="9">
        <v>0</v>
      </c>
      <c r="Y574" s="9">
        <v>2</v>
      </c>
      <c r="Z574" s="9">
        <v>1</v>
      </c>
      <c r="AA574" s="9">
        <v>0</v>
      </c>
      <c r="AB574" s="9">
        <v>1</v>
      </c>
      <c r="AC574" s="9">
        <v>2</v>
      </c>
      <c r="AD574" s="9">
        <v>0</v>
      </c>
      <c r="AE574" s="9">
        <v>1</v>
      </c>
      <c r="AF574" s="9">
        <v>1</v>
      </c>
      <c r="AG574" s="9">
        <v>0</v>
      </c>
      <c r="AH574" s="9">
        <v>1</v>
      </c>
      <c r="AI574" s="9">
        <v>0</v>
      </c>
      <c r="AJ574" s="9">
        <v>1</v>
      </c>
      <c r="AK574" s="9">
        <v>0</v>
      </c>
      <c r="AL574" s="10">
        <v>1</v>
      </c>
      <c r="AM574" s="10">
        <v>1</v>
      </c>
      <c r="AN574" s="10">
        <v>0</v>
      </c>
      <c r="AO574" s="10">
        <v>2</v>
      </c>
      <c r="AP574" s="10">
        <v>2</v>
      </c>
      <c r="AQ574" s="10">
        <v>3</v>
      </c>
      <c r="AR574" s="10">
        <v>1</v>
      </c>
      <c r="AS574" s="11">
        <v>1</v>
      </c>
      <c r="AT574" s="11">
        <v>1</v>
      </c>
      <c r="AU574" s="11">
        <v>2</v>
      </c>
      <c r="AV574" s="11">
        <v>1</v>
      </c>
      <c r="AW574" s="11">
        <v>3</v>
      </c>
      <c r="AX574" s="11">
        <v>1</v>
      </c>
      <c r="AY574" s="7">
        <v>0</v>
      </c>
      <c r="AZ574" s="7">
        <v>1</v>
      </c>
      <c r="BA574" s="7"/>
      <c r="BB574" s="7">
        <v>1</v>
      </c>
      <c r="BC574" s="7">
        <v>2</v>
      </c>
      <c r="BD574" s="7">
        <v>2</v>
      </c>
      <c r="BE574" s="7">
        <v>2</v>
      </c>
      <c r="BF574" s="7">
        <v>1</v>
      </c>
      <c r="BG574" s="12">
        <f>SUM(data__22[[#This Row],[N1]:[N4]],data__22[[#This Row],[N10]:[N13]],data__22[[#This Row],[N16]:[N18]])/11</f>
        <v>0.72727272727272729</v>
      </c>
      <c r="BH574" s="13">
        <f>SUM(data__22[[#This Row],[N8]:[N9]],data__22[[#This Row],[N23]:[N25]])/5</f>
        <v>1</v>
      </c>
      <c r="BI574" s="12">
        <f>SUM(data__22[[#This Row],[N5]:[N7]])/3</f>
        <v>1</v>
      </c>
      <c r="BJ574" s="12">
        <f>SUM(data__22[[#This Row],[N14]:[N15]],data__22[[#This Row],[N19]:[N22]],data__22[[#This Row],[N26]:[N28]])/9</f>
        <v>1.5555555555555556</v>
      </c>
      <c r="BK574" s="12">
        <f>SUM(data__22[[#This Row],[N29]:[N33]])/5</f>
        <v>0.8</v>
      </c>
      <c r="BL574" s="12">
        <f>SUM(data__22[[#This Row],[N34]:[N36]])/3</f>
        <v>1.6666666666666667</v>
      </c>
    </row>
    <row r="575" spans="1:64" x14ac:dyDescent="0.3">
      <c r="A575" s="7">
        <v>23</v>
      </c>
      <c r="B575" s="7" t="s">
        <v>70</v>
      </c>
      <c r="C575" s="7" t="s">
        <v>113</v>
      </c>
      <c r="D575" s="7" t="s">
        <v>72</v>
      </c>
      <c r="E575" s="7" t="s">
        <v>73</v>
      </c>
      <c r="F575" s="7" t="s">
        <v>74</v>
      </c>
      <c r="G575" s="7" t="s">
        <v>439</v>
      </c>
      <c r="H575" s="7" t="s">
        <v>136</v>
      </c>
      <c r="I575" s="7" t="s">
        <v>439</v>
      </c>
      <c r="J575" s="7" t="s">
        <v>77</v>
      </c>
      <c r="K575" s="7" t="s">
        <v>131</v>
      </c>
      <c r="L575" s="8" t="s">
        <v>79</v>
      </c>
      <c r="M575" s="8" t="s">
        <v>80</v>
      </c>
      <c r="N575" s="8" t="s">
        <v>79</v>
      </c>
      <c r="O575" s="8" t="s">
        <v>81</v>
      </c>
      <c r="P575" s="8" t="s">
        <v>82</v>
      </c>
      <c r="Q575" s="8" t="s">
        <v>83</v>
      </c>
      <c r="R575" s="8" t="s">
        <v>79</v>
      </c>
      <c r="S575" s="8" t="s">
        <v>79</v>
      </c>
      <c r="T575" s="8" t="s">
        <v>86</v>
      </c>
      <c r="U575" s="8" t="s">
        <v>141</v>
      </c>
      <c r="V575" s="8" t="s">
        <v>112</v>
      </c>
      <c r="W575" s="9">
        <v>2</v>
      </c>
      <c r="X575" s="9">
        <v>3</v>
      </c>
      <c r="Y575" s="9">
        <v>3</v>
      </c>
      <c r="Z575" s="9">
        <v>2</v>
      </c>
      <c r="AA575" s="9">
        <v>1</v>
      </c>
      <c r="AB575" s="9">
        <v>0</v>
      </c>
      <c r="AC575" s="9">
        <v>0</v>
      </c>
      <c r="AD575" s="9">
        <v>1</v>
      </c>
      <c r="AE575" s="9">
        <v>1</v>
      </c>
      <c r="AF575" s="9">
        <v>2</v>
      </c>
      <c r="AG575" s="9">
        <v>3</v>
      </c>
      <c r="AH575" s="9">
        <v>1</v>
      </c>
      <c r="AI575" s="9">
        <v>1</v>
      </c>
      <c r="AJ575" s="9">
        <v>0</v>
      </c>
      <c r="AK575" s="9">
        <v>1</v>
      </c>
      <c r="AL575" s="10">
        <v>3</v>
      </c>
      <c r="AM575" s="10">
        <v>3</v>
      </c>
      <c r="AN575" s="10">
        <v>3</v>
      </c>
      <c r="AO575" s="10">
        <v>0</v>
      </c>
      <c r="AP575" s="10">
        <v>0</v>
      </c>
      <c r="AQ575" s="10">
        <v>0</v>
      </c>
      <c r="AR575" s="10">
        <v>0</v>
      </c>
      <c r="AS575" s="11">
        <v>2</v>
      </c>
      <c r="AT575" s="11">
        <v>1</v>
      </c>
      <c r="AU575" s="11">
        <v>2</v>
      </c>
      <c r="AV575" s="11">
        <v>1</v>
      </c>
      <c r="AW575" s="11">
        <v>1</v>
      </c>
      <c r="AX575" s="11">
        <v>0</v>
      </c>
      <c r="AY575" s="7">
        <v>3</v>
      </c>
      <c r="AZ575" s="7">
        <v>2</v>
      </c>
      <c r="BA575" s="7">
        <v>3</v>
      </c>
      <c r="BB575" s="7">
        <v>2</v>
      </c>
      <c r="BC575" s="7">
        <v>2</v>
      </c>
      <c r="BD575" s="7">
        <v>2</v>
      </c>
      <c r="BE575" s="7">
        <v>3</v>
      </c>
      <c r="BF575" s="7">
        <v>2</v>
      </c>
      <c r="BG575" s="12">
        <f>SUM(data__22[[#This Row],[N1]:[N4]],data__22[[#This Row],[N10]:[N13]],data__22[[#This Row],[N16]:[N18]])/11</f>
        <v>2.3636363636363638</v>
      </c>
      <c r="BH575" s="13">
        <f>SUM(data__22[[#This Row],[N8]:[N9]],data__22[[#This Row],[N23]:[N25]])/5</f>
        <v>1.4</v>
      </c>
      <c r="BI575" s="12">
        <f>SUM(data__22[[#This Row],[N5]:[N7]])/3</f>
        <v>0.33333333333333331</v>
      </c>
      <c r="BJ575" s="12">
        <f>SUM(data__22[[#This Row],[N14]:[N15]],data__22[[#This Row],[N19]:[N22]],data__22[[#This Row],[N26]:[N28]])/9</f>
        <v>0.33333333333333331</v>
      </c>
      <c r="BK575" s="12">
        <f>SUM(data__22[[#This Row],[N29]:[N33]])/5</f>
        <v>2.4</v>
      </c>
      <c r="BL575" s="12">
        <f>SUM(data__22[[#This Row],[N34]:[N36]])/3</f>
        <v>2.3333333333333335</v>
      </c>
    </row>
    <row r="576" spans="1:64" x14ac:dyDescent="0.3">
      <c r="A576" s="7">
        <v>23</v>
      </c>
      <c r="B576" s="7" t="s">
        <v>70</v>
      </c>
      <c r="C576" s="7" t="s">
        <v>113</v>
      </c>
      <c r="D576" s="7" t="s">
        <v>72</v>
      </c>
      <c r="E576" s="7" t="s">
        <v>73</v>
      </c>
      <c r="F576" s="7" t="s">
        <v>136</v>
      </c>
      <c r="G576" s="7" t="s">
        <v>440</v>
      </c>
      <c r="H576" s="7" t="s">
        <v>136</v>
      </c>
      <c r="I576" s="7" t="s">
        <v>76</v>
      </c>
      <c r="J576" s="7" t="s">
        <v>77</v>
      </c>
      <c r="K576" s="7" t="s">
        <v>131</v>
      </c>
      <c r="L576" s="8" t="s">
        <v>82</v>
      </c>
      <c r="M576" s="8" t="s">
        <v>80</v>
      </c>
      <c r="N576" s="8" t="s">
        <v>79</v>
      </c>
      <c r="O576" s="8" t="s">
        <v>117</v>
      </c>
      <c r="P576" s="8" t="s">
        <v>82</v>
      </c>
      <c r="Q576" s="8" t="s">
        <v>83</v>
      </c>
      <c r="R576" s="8" t="s">
        <v>82</v>
      </c>
      <c r="S576" s="8" t="s">
        <v>82</v>
      </c>
      <c r="T576" s="8" t="s">
        <v>106</v>
      </c>
      <c r="U576" s="8" t="s">
        <v>120</v>
      </c>
      <c r="V576" s="8" t="s">
        <v>457</v>
      </c>
      <c r="W576" s="9">
        <v>2</v>
      </c>
      <c r="X576" s="9">
        <v>2</v>
      </c>
      <c r="Y576" s="9">
        <v>1</v>
      </c>
      <c r="Z576" s="9">
        <v>2</v>
      </c>
      <c r="AA576" s="9">
        <v>1</v>
      </c>
      <c r="AB576" s="9">
        <v>1</v>
      </c>
      <c r="AC576" s="9">
        <v>1</v>
      </c>
      <c r="AD576" s="9">
        <v>1</v>
      </c>
      <c r="AE576" s="9">
        <v>2</v>
      </c>
      <c r="AF576" s="9">
        <v>1</v>
      </c>
      <c r="AG576" s="9">
        <v>3</v>
      </c>
      <c r="AH576" s="9">
        <v>2</v>
      </c>
      <c r="AI576" s="9">
        <v>2</v>
      </c>
      <c r="AJ576" s="9">
        <v>2</v>
      </c>
      <c r="AK576" s="9">
        <v>0</v>
      </c>
      <c r="AL576" s="10">
        <v>2</v>
      </c>
      <c r="AM576" s="10">
        <v>2</v>
      </c>
      <c r="AN576" s="10">
        <v>2</v>
      </c>
      <c r="AO576" s="10">
        <v>1</v>
      </c>
      <c r="AP576" s="10">
        <v>2</v>
      </c>
      <c r="AQ576" s="10">
        <v>0</v>
      </c>
      <c r="AR576" s="10">
        <v>0</v>
      </c>
      <c r="AS576" s="11">
        <v>1</v>
      </c>
      <c r="AT576" s="11">
        <v>2</v>
      </c>
      <c r="AU576" s="11">
        <v>2</v>
      </c>
      <c r="AV576" s="11">
        <v>1</v>
      </c>
      <c r="AW576" s="11">
        <v>1</v>
      </c>
      <c r="AX576" s="11">
        <v>0</v>
      </c>
      <c r="AY576" s="7">
        <v>3</v>
      </c>
      <c r="AZ576" s="7">
        <v>2</v>
      </c>
      <c r="BA576" s="7">
        <v>2</v>
      </c>
      <c r="BB576" s="7">
        <v>2</v>
      </c>
      <c r="BC576" s="7">
        <v>1</v>
      </c>
      <c r="BD576" s="7">
        <v>0</v>
      </c>
      <c r="BE576" s="7">
        <v>2</v>
      </c>
      <c r="BF576" s="7">
        <v>1</v>
      </c>
      <c r="BG576" s="12">
        <f>SUM(data__22[[#This Row],[N1]:[N4]],data__22[[#This Row],[N10]:[N13]],data__22[[#This Row],[N16]:[N18]])/11</f>
        <v>1.9090909090909092</v>
      </c>
      <c r="BH576" s="13">
        <f>SUM(data__22[[#This Row],[N8]:[N9]],data__22[[#This Row],[N23]:[N25]])/5</f>
        <v>1.6</v>
      </c>
      <c r="BI576" s="12">
        <f>SUM(data__22[[#This Row],[N5]:[N7]])/3</f>
        <v>1</v>
      </c>
      <c r="BJ576" s="12">
        <f>SUM(data__22[[#This Row],[N14]:[N15]],data__22[[#This Row],[N19]:[N22]],data__22[[#This Row],[N26]:[N28]])/9</f>
        <v>0.77777777777777779</v>
      </c>
      <c r="BK576" s="12">
        <f>SUM(data__22[[#This Row],[N29]:[N33]])/5</f>
        <v>2</v>
      </c>
      <c r="BL576" s="12">
        <f>SUM(data__22[[#This Row],[N34]:[N36]])/3</f>
        <v>1</v>
      </c>
    </row>
    <row r="577" spans="1:64" x14ac:dyDescent="0.3">
      <c r="A577" s="7">
        <v>23</v>
      </c>
      <c r="B577" s="7" t="s">
        <v>70</v>
      </c>
      <c r="C577" s="7" t="s">
        <v>96</v>
      </c>
      <c r="D577" s="7" t="s">
        <v>97</v>
      </c>
      <c r="E577" s="7" t="s">
        <v>108</v>
      </c>
      <c r="F577" s="7" t="s">
        <v>98</v>
      </c>
      <c r="G577" s="7" t="s">
        <v>439</v>
      </c>
      <c r="H577" s="7" t="s">
        <v>98</v>
      </c>
      <c r="I577" s="7" t="s">
        <v>76</v>
      </c>
      <c r="J577" s="7" t="s">
        <v>77</v>
      </c>
      <c r="K577" s="7" t="s">
        <v>125</v>
      </c>
      <c r="L577" s="8" t="s">
        <v>82</v>
      </c>
      <c r="M577" s="8" t="s">
        <v>102</v>
      </c>
      <c r="N577" s="8" t="s">
        <v>79</v>
      </c>
      <c r="O577" s="8" t="s">
        <v>81</v>
      </c>
      <c r="P577" s="8" t="s">
        <v>82</v>
      </c>
      <c r="Q577" s="8" t="s">
        <v>83</v>
      </c>
      <c r="R577" s="8" t="s">
        <v>82</v>
      </c>
      <c r="S577" s="8" t="s">
        <v>82</v>
      </c>
      <c r="T577" s="8" t="s">
        <v>106</v>
      </c>
      <c r="U577" s="8" t="s">
        <v>141</v>
      </c>
      <c r="V577" s="8" t="s">
        <v>457</v>
      </c>
      <c r="W577" s="9">
        <v>1</v>
      </c>
      <c r="X577" s="9">
        <v>1</v>
      </c>
      <c r="Y577" s="9">
        <v>1</v>
      </c>
      <c r="Z577" s="9">
        <v>1</v>
      </c>
      <c r="AA577" s="9">
        <v>1</v>
      </c>
      <c r="AB577" s="9">
        <v>1</v>
      </c>
      <c r="AC577" s="9">
        <v>1</v>
      </c>
      <c r="AD577" s="9">
        <v>1</v>
      </c>
      <c r="AE577" s="9">
        <v>1</v>
      </c>
      <c r="AF577" s="9">
        <v>1</v>
      </c>
      <c r="AG577" s="9">
        <v>1</v>
      </c>
      <c r="AH577" s="9">
        <v>1</v>
      </c>
      <c r="AI577" s="9">
        <v>1</v>
      </c>
      <c r="AJ577" s="9">
        <v>1</v>
      </c>
      <c r="AK577" s="9">
        <v>1</v>
      </c>
      <c r="AL577" s="10">
        <v>1</v>
      </c>
      <c r="AM577" s="10">
        <v>1</v>
      </c>
      <c r="AN577" s="10">
        <v>1</v>
      </c>
      <c r="AO577" s="10">
        <v>1</v>
      </c>
      <c r="AP577" s="10">
        <v>1</v>
      </c>
      <c r="AQ577" s="10">
        <v>1</v>
      </c>
      <c r="AR577" s="10">
        <v>1</v>
      </c>
      <c r="AS577" s="11">
        <v>1</v>
      </c>
      <c r="AT577" s="11">
        <v>1</v>
      </c>
      <c r="AU577" s="11">
        <v>1</v>
      </c>
      <c r="AV577" s="11">
        <v>1</v>
      </c>
      <c r="AW577" s="11">
        <v>1</v>
      </c>
      <c r="AX577" s="11">
        <v>1</v>
      </c>
      <c r="AY577" s="7">
        <v>1</v>
      </c>
      <c r="AZ577" s="7">
        <v>1</v>
      </c>
      <c r="BA577" s="7">
        <v>1</v>
      </c>
      <c r="BB577" s="7">
        <v>1</v>
      </c>
      <c r="BC577" s="7">
        <v>1</v>
      </c>
      <c r="BD577" s="7">
        <v>1</v>
      </c>
      <c r="BE577" s="7">
        <v>1</v>
      </c>
      <c r="BF577" s="7">
        <v>1</v>
      </c>
      <c r="BG577" s="12">
        <f>SUM(data__22[[#This Row],[N1]:[N4]],data__22[[#This Row],[N10]:[N13]],data__22[[#This Row],[N16]:[N18]])/11</f>
        <v>1</v>
      </c>
      <c r="BH577" s="13">
        <f>SUM(data__22[[#This Row],[N8]:[N9]],data__22[[#This Row],[N23]:[N25]])/5</f>
        <v>1</v>
      </c>
      <c r="BI577" s="12">
        <f>SUM(data__22[[#This Row],[N5]:[N7]])/3</f>
        <v>1</v>
      </c>
      <c r="BJ577" s="12">
        <f>SUM(data__22[[#This Row],[N14]:[N15]],data__22[[#This Row],[N19]:[N22]],data__22[[#This Row],[N26]:[N28]])/9</f>
        <v>1</v>
      </c>
      <c r="BK577" s="12">
        <f>SUM(data__22[[#This Row],[N29]:[N33]])/5</f>
        <v>1</v>
      </c>
      <c r="BL577" s="12">
        <f>SUM(data__22[[#This Row],[N34]:[N36]])/3</f>
        <v>1</v>
      </c>
    </row>
    <row r="578" spans="1:64" x14ac:dyDescent="0.3">
      <c r="A578" s="7">
        <v>22</v>
      </c>
      <c r="B578" s="7" t="s">
        <v>70</v>
      </c>
      <c r="C578" s="7" t="s">
        <v>96</v>
      </c>
      <c r="D578" s="7" t="s">
        <v>72</v>
      </c>
      <c r="E578" s="7" t="s">
        <v>108</v>
      </c>
      <c r="F578" s="7" t="s">
        <v>74</v>
      </c>
      <c r="G578" s="7" t="s">
        <v>439</v>
      </c>
      <c r="H578" s="7" t="s">
        <v>74</v>
      </c>
      <c r="I578" s="7" t="s">
        <v>76</v>
      </c>
      <c r="J578" s="7" t="s">
        <v>101</v>
      </c>
      <c r="K578" s="7" t="s">
        <v>78</v>
      </c>
      <c r="L578" s="8" t="s">
        <v>79</v>
      </c>
      <c r="M578" s="8" t="s">
        <v>80</v>
      </c>
      <c r="N578" s="8" t="s">
        <v>79</v>
      </c>
      <c r="O578" s="8" t="s">
        <v>109</v>
      </c>
      <c r="P578" s="8" t="s">
        <v>79</v>
      </c>
      <c r="Q578" s="8" t="s">
        <v>83</v>
      </c>
      <c r="R578" s="8" t="s">
        <v>82</v>
      </c>
      <c r="S578" s="8" t="s">
        <v>82</v>
      </c>
      <c r="T578" s="8" t="s">
        <v>148</v>
      </c>
      <c r="U578" s="8" t="s">
        <v>120</v>
      </c>
      <c r="V578" s="8" t="s">
        <v>112</v>
      </c>
      <c r="W578" s="9">
        <v>0</v>
      </c>
      <c r="X578" s="9">
        <v>1</v>
      </c>
      <c r="Y578" s="9">
        <v>0</v>
      </c>
      <c r="Z578" s="9">
        <v>1</v>
      </c>
      <c r="AA578" s="9">
        <v>0</v>
      </c>
      <c r="AB578" s="9">
        <v>1</v>
      </c>
      <c r="AC578" s="9">
        <v>0</v>
      </c>
      <c r="AD578" s="9">
        <v>1</v>
      </c>
      <c r="AE578" s="9">
        <v>0</v>
      </c>
      <c r="AF578" s="9">
        <v>1</v>
      </c>
      <c r="AG578" s="9">
        <v>0</v>
      </c>
      <c r="AH578" s="9">
        <v>1</v>
      </c>
      <c r="AI578" s="9">
        <v>0</v>
      </c>
      <c r="AJ578" s="9">
        <v>1</v>
      </c>
      <c r="AK578" s="9">
        <v>0</v>
      </c>
      <c r="AL578" s="10">
        <v>1</v>
      </c>
      <c r="AM578" s="10">
        <v>1</v>
      </c>
      <c r="AN578" s="10">
        <v>1</v>
      </c>
      <c r="AO578" s="10">
        <v>2</v>
      </c>
      <c r="AP578" s="10">
        <v>1</v>
      </c>
      <c r="AQ578" s="10">
        <v>2</v>
      </c>
      <c r="AR578" s="10">
        <v>1</v>
      </c>
      <c r="AS578" s="11">
        <v>0</v>
      </c>
      <c r="AT578" s="11">
        <v>1</v>
      </c>
      <c r="AU578" s="11">
        <v>1</v>
      </c>
      <c r="AV578" s="11">
        <v>1</v>
      </c>
      <c r="AW578" s="11">
        <v>1</v>
      </c>
      <c r="AX578" s="11">
        <v>1</v>
      </c>
      <c r="AY578" s="7">
        <v>0</v>
      </c>
      <c r="AZ578" s="7">
        <v>1</v>
      </c>
      <c r="BA578" s="7">
        <v>0</v>
      </c>
      <c r="BB578" s="7">
        <v>1</v>
      </c>
      <c r="BC578" s="7">
        <v>0</v>
      </c>
      <c r="BD578" s="7">
        <v>1</v>
      </c>
      <c r="BE578" s="7">
        <v>1</v>
      </c>
      <c r="BF578" s="7">
        <v>1</v>
      </c>
      <c r="BG578" s="12">
        <f>SUM(data__22[[#This Row],[N1]:[N4]],data__22[[#This Row],[N10]:[N13]],data__22[[#This Row],[N16]:[N18]])/11</f>
        <v>0.63636363636363635</v>
      </c>
      <c r="BH578" s="13">
        <f>SUM(data__22[[#This Row],[N8]:[N9]],data__22[[#This Row],[N23]:[N25]])/5</f>
        <v>0.6</v>
      </c>
      <c r="BI578" s="12">
        <f>SUM(data__22[[#This Row],[N5]:[N7]])/3</f>
        <v>0.33333333333333331</v>
      </c>
      <c r="BJ578" s="12">
        <f>SUM(data__22[[#This Row],[N14]:[N15]],data__22[[#This Row],[N19]:[N22]],data__22[[#This Row],[N26]:[N28]])/9</f>
        <v>1.1111111111111112</v>
      </c>
      <c r="BK578" s="12">
        <f>SUM(data__22[[#This Row],[N29]:[N33]])/5</f>
        <v>0.4</v>
      </c>
      <c r="BL578" s="12">
        <f>SUM(data__22[[#This Row],[N34]:[N36]])/3</f>
        <v>1</v>
      </c>
    </row>
    <row r="579" spans="1:64" x14ac:dyDescent="0.3">
      <c r="A579" s="7">
        <v>22</v>
      </c>
      <c r="B579" s="7" t="s">
        <v>128</v>
      </c>
      <c r="C579" s="7" t="s">
        <v>96</v>
      </c>
      <c r="D579" s="7" t="s">
        <v>72</v>
      </c>
      <c r="E579" s="7" t="s">
        <v>73</v>
      </c>
      <c r="F579" s="7" t="s">
        <v>98</v>
      </c>
      <c r="G579" s="7" t="s">
        <v>440</v>
      </c>
      <c r="H579" s="7" t="s">
        <v>165</v>
      </c>
      <c r="I579" s="7" t="s">
        <v>76</v>
      </c>
      <c r="J579" s="7" t="s">
        <v>77</v>
      </c>
      <c r="K579" s="7" t="s">
        <v>125</v>
      </c>
      <c r="L579" s="8" t="s">
        <v>79</v>
      </c>
      <c r="M579" s="8" t="s">
        <v>102</v>
      </c>
      <c r="N579" s="8" t="s">
        <v>79</v>
      </c>
      <c r="O579" s="8" t="s">
        <v>109</v>
      </c>
      <c r="P579" s="8" t="s">
        <v>79</v>
      </c>
      <c r="Q579" s="8" t="s">
        <v>83</v>
      </c>
      <c r="R579" s="8" t="s">
        <v>79</v>
      </c>
      <c r="S579" s="8" t="s">
        <v>82</v>
      </c>
      <c r="T579" s="8" t="s">
        <v>106</v>
      </c>
      <c r="U579" s="8" t="s">
        <v>120</v>
      </c>
      <c r="V579" s="8" t="s">
        <v>112</v>
      </c>
      <c r="W579" s="9">
        <v>1</v>
      </c>
      <c r="X579" s="9">
        <v>1</v>
      </c>
      <c r="Y579" s="9">
        <v>0</v>
      </c>
      <c r="Z579" s="9">
        <v>1</v>
      </c>
      <c r="AA579" s="9">
        <v>2</v>
      </c>
      <c r="AB579" s="9">
        <v>2</v>
      </c>
      <c r="AC579" s="9">
        <v>2</v>
      </c>
      <c r="AD579" s="9">
        <v>2</v>
      </c>
      <c r="AE579" s="9">
        <v>2</v>
      </c>
      <c r="AF579" s="9">
        <v>2</v>
      </c>
      <c r="AG579" s="9">
        <v>2</v>
      </c>
      <c r="AH579" s="9">
        <v>2</v>
      </c>
      <c r="AI579" s="9">
        <v>2</v>
      </c>
      <c r="AJ579" s="9">
        <v>1</v>
      </c>
      <c r="AK579" s="9">
        <v>1</v>
      </c>
      <c r="AL579" s="10">
        <v>2</v>
      </c>
      <c r="AM579" s="10">
        <v>1</v>
      </c>
      <c r="AN579" s="10">
        <v>1</v>
      </c>
      <c r="AO579" s="10">
        <v>1</v>
      </c>
      <c r="AP579" s="10">
        <v>1</v>
      </c>
      <c r="AQ579" s="10">
        <v>2</v>
      </c>
      <c r="AR579" s="10">
        <v>1</v>
      </c>
      <c r="AS579" s="11">
        <v>2</v>
      </c>
      <c r="AT579" s="11">
        <v>2</v>
      </c>
      <c r="AU579" s="11">
        <v>2</v>
      </c>
      <c r="AV579" s="11">
        <v>2</v>
      </c>
      <c r="AW579" s="11">
        <v>2</v>
      </c>
      <c r="AX579" s="11">
        <v>2</v>
      </c>
      <c r="AY579" s="7">
        <v>2</v>
      </c>
      <c r="AZ579" s="7">
        <v>2</v>
      </c>
      <c r="BA579" s="7">
        <v>2</v>
      </c>
      <c r="BB579" s="7">
        <v>1</v>
      </c>
      <c r="BC579" s="7">
        <v>2</v>
      </c>
      <c r="BD579" s="7">
        <v>1</v>
      </c>
      <c r="BE579" s="7">
        <v>2</v>
      </c>
      <c r="BF579" s="7">
        <v>1</v>
      </c>
      <c r="BG579" s="12">
        <f>SUM(data__22[[#This Row],[N1]:[N4]],data__22[[#This Row],[N10]:[N13]],data__22[[#This Row],[N16]:[N18]])/11</f>
        <v>1.3636363636363635</v>
      </c>
      <c r="BH579" s="13">
        <f>SUM(data__22[[#This Row],[N8]:[N9]],data__22[[#This Row],[N23]:[N25]])/5</f>
        <v>2</v>
      </c>
      <c r="BI579" s="12">
        <f>SUM(data__22[[#This Row],[N5]:[N7]])/3</f>
        <v>2</v>
      </c>
      <c r="BJ579" s="12">
        <f>SUM(data__22[[#This Row],[N14]:[N15]],data__22[[#This Row],[N19]:[N22]],data__22[[#This Row],[N26]:[N28]])/9</f>
        <v>1.4444444444444444</v>
      </c>
      <c r="BK579" s="12">
        <f>SUM(data__22[[#This Row],[N29]:[N33]])/5</f>
        <v>1.8</v>
      </c>
      <c r="BL579" s="12">
        <f>SUM(data__22[[#This Row],[N34]:[N36]])/3</f>
        <v>1.3333333333333333</v>
      </c>
    </row>
    <row r="580" spans="1:64" x14ac:dyDescent="0.3">
      <c r="A580" s="7">
        <v>22</v>
      </c>
      <c r="B580" s="7" t="s">
        <v>162</v>
      </c>
      <c r="C580" s="7" t="s">
        <v>96</v>
      </c>
      <c r="D580" s="7" t="s">
        <v>72</v>
      </c>
      <c r="E580" s="7" t="s">
        <v>73</v>
      </c>
      <c r="F580" s="7" t="s">
        <v>136</v>
      </c>
      <c r="G580" s="7" t="s">
        <v>439</v>
      </c>
      <c r="H580" s="7" t="s">
        <v>165</v>
      </c>
      <c r="I580" s="7" t="s">
        <v>76</v>
      </c>
      <c r="J580" s="7" t="s">
        <v>77</v>
      </c>
      <c r="K580" s="7" t="s">
        <v>125</v>
      </c>
      <c r="L580" s="8" t="s">
        <v>79</v>
      </c>
      <c r="M580" s="8" t="s">
        <v>80</v>
      </c>
      <c r="N580" s="8" t="s">
        <v>79</v>
      </c>
      <c r="O580" s="8" t="s">
        <v>109</v>
      </c>
      <c r="P580" s="8" t="s">
        <v>79</v>
      </c>
      <c r="Q580" s="8" t="s">
        <v>83</v>
      </c>
      <c r="R580" s="8" t="s">
        <v>82</v>
      </c>
      <c r="S580" s="8" t="s">
        <v>79</v>
      </c>
      <c r="T580" s="8" t="s">
        <v>106</v>
      </c>
      <c r="U580" s="8" t="s">
        <v>120</v>
      </c>
      <c r="V580" s="8" t="s">
        <v>112</v>
      </c>
      <c r="W580" s="9">
        <v>1</v>
      </c>
      <c r="X580" s="9">
        <v>1</v>
      </c>
      <c r="Y580" s="9">
        <v>1</v>
      </c>
      <c r="Z580" s="9">
        <v>2</v>
      </c>
      <c r="AA580" s="9">
        <v>1</v>
      </c>
      <c r="AB580" s="9">
        <v>2</v>
      </c>
      <c r="AC580" s="9">
        <v>1</v>
      </c>
      <c r="AD580" s="9">
        <v>2</v>
      </c>
      <c r="AE580" s="9">
        <v>1</v>
      </c>
      <c r="AF580" s="9">
        <v>2</v>
      </c>
      <c r="AG580" s="9">
        <v>1</v>
      </c>
      <c r="AH580" s="9">
        <v>2</v>
      </c>
      <c r="AI580" s="9">
        <v>1</v>
      </c>
      <c r="AJ580" s="9">
        <v>2</v>
      </c>
      <c r="AK580" s="9">
        <v>1</v>
      </c>
      <c r="AL580" s="10">
        <v>1</v>
      </c>
      <c r="AM580" s="10">
        <v>1</v>
      </c>
      <c r="AN580" s="10">
        <v>2</v>
      </c>
      <c r="AO580" s="10">
        <v>1</v>
      </c>
      <c r="AP580" s="10">
        <v>2</v>
      </c>
      <c r="AQ580" s="10">
        <v>1</v>
      </c>
      <c r="AR580" s="10">
        <v>1</v>
      </c>
      <c r="AS580" s="11">
        <v>1</v>
      </c>
      <c r="AT580" s="11">
        <v>1</v>
      </c>
      <c r="AU580" s="11">
        <v>1</v>
      </c>
      <c r="AV580" s="11">
        <v>1</v>
      </c>
      <c r="AW580" s="11">
        <v>1</v>
      </c>
      <c r="AX580" s="11">
        <v>1</v>
      </c>
      <c r="AY580" s="7">
        <v>1</v>
      </c>
      <c r="AZ580" s="7">
        <v>1</v>
      </c>
      <c r="BA580" s="7">
        <v>1</v>
      </c>
      <c r="BB580" s="7">
        <v>1</v>
      </c>
      <c r="BC580" s="7">
        <v>1</v>
      </c>
      <c r="BD580" s="7">
        <v>1</v>
      </c>
      <c r="BE580" s="7">
        <v>2</v>
      </c>
      <c r="BF580" s="7">
        <v>1</v>
      </c>
      <c r="BG580" s="12">
        <f>SUM(data__22[[#This Row],[N1]:[N4]],data__22[[#This Row],[N10]:[N13]],data__22[[#This Row],[N16]:[N18]])/11</f>
        <v>1.3636363636363635</v>
      </c>
      <c r="BH580" s="13">
        <f>SUM(data__22[[#This Row],[N8]:[N9]],data__22[[#This Row],[N23]:[N25]])/5</f>
        <v>1.2</v>
      </c>
      <c r="BI580" s="12">
        <f>SUM(data__22[[#This Row],[N5]:[N7]])/3</f>
        <v>1.3333333333333333</v>
      </c>
      <c r="BJ580" s="12">
        <f>SUM(data__22[[#This Row],[N14]:[N15]],data__22[[#This Row],[N19]:[N22]],data__22[[#This Row],[N26]:[N28]])/9</f>
        <v>1.2222222222222223</v>
      </c>
      <c r="BK580" s="12">
        <f>SUM(data__22[[#This Row],[N29]:[N33]])/5</f>
        <v>1</v>
      </c>
      <c r="BL580" s="12">
        <f>SUM(data__22[[#This Row],[N34]:[N36]])/3</f>
        <v>1.3333333333333333</v>
      </c>
    </row>
    <row r="581" spans="1:64" x14ac:dyDescent="0.3">
      <c r="A581" s="7">
        <v>24</v>
      </c>
      <c r="B581" s="7" t="s">
        <v>128</v>
      </c>
      <c r="C581" s="7" t="s">
        <v>96</v>
      </c>
      <c r="D581" s="7" t="s">
        <v>72</v>
      </c>
      <c r="E581" s="7" t="s">
        <v>114</v>
      </c>
      <c r="F581" s="7" t="s">
        <v>165</v>
      </c>
      <c r="G581" s="7" t="s">
        <v>440</v>
      </c>
      <c r="H581" s="7" t="s">
        <v>165</v>
      </c>
      <c r="I581" s="7" t="s">
        <v>76</v>
      </c>
      <c r="J581" s="7" t="s">
        <v>77</v>
      </c>
      <c r="K581" s="7" t="s">
        <v>125</v>
      </c>
      <c r="L581" s="8" t="s">
        <v>79</v>
      </c>
      <c r="M581" s="8" t="s">
        <v>80</v>
      </c>
      <c r="N581" s="8" t="s">
        <v>79</v>
      </c>
      <c r="O581" s="8" t="s">
        <v>109</v>
      </c>
      <c r="P581" s="8" t="s">
        <v>79</v>
      </c>
      <c r="Q581" s="8" t="s">
        <v>83</v>
      </c>
      <c r="R581" s="8" t="s">
        <v>79</v>
      </c>
      <c r="S581" s="8" t="s">
        <v>79</v>
      </c>
      <c r="T581" s="8" t="s">
        <v>106</v>
      </c>
      <c r="U581" s="8" t="s">
        <v>141</v>
      </c>
      <c r="V581" s="8" t="s">
        <v>112</v>
      </c>
      <c r="W581" s="9">
        <v>2</v>
      </c>
      <c r="X581" s="9">
        <v>2</v>
      </c>
      <c r="Y581" s="9">
        <v>2</v>
      </c>
      <c r="Z581" s="9">
        <v>2</v>
      </c>
      <c r="AA581" s="9">
        <v>2</v>
      </c>
      <c r="AB581" s="9">
        <v>2</v>
      </c>
      <c r="AC581" s="9">
        <v>2</v>
      </c>
      <c r="AD581" s="9">
        <v>2</v>
      </c>
      <c r="AE581" s="9">
        <v>2</v>
      </c>
      <c r="AF581" s="9">
        <v>2</v>
      </c>
      <c r="AG581" s="9">
        <v>2</v>
      </c>
      <c r="AH581" s="9">
        <v>2</v>
      </c>
      <c r="AI581" s="9">
        <v>2</v>
      </c>
      <c r="AJ581" s="9">
        <v>2</v>
      </c>
      <c r="AK581" s="9">
        <v>2</v>
      </c>
      <c r="AL581" s="10">
        <v>1</v>
      </c>
      <c r="AM581" s="10">
        <v>2</v>
      </c>
      <c r="AN581" s="10">
        <v>1</v>
      </c>
      <c r="AO581" s="10">
        <v>2</v>
      </c>
      <c r="AP581" s="10">
        <v>1</v>
      </c>
      <c r="AQ581" s="10">
        <v>2</v>
      </c>
      <c r="AR581" s="10">
        <v>1</v>
      </c>
      <c r="AS581" s="11">
        <v>1</v>
      </c>
      <c r="AT581" s="11">
        <v>1</v>
      </c>
      <c r="AU581" s="11">
        <v>1</v>
      </c>
      <c r="AV581" s="11">
        <v>1</v>
      </c>
      <c r="AW581" s="11">
        <v>1</v>
      </c>
      <c r="AX581" s="11">
        <v>1</v>
      </c>
      <c r="AY581" s="7">
        <v>2</v>
      </c>
      <c r="AZ581" s="7">
        <v>2</v>
      </c>
      <c r="BA581" s="7">
        <v>2</v>
      </c>
      <c r="BB581" s="7">
        <v>1</v>
      </c>
      <c r="BC581" s="7">
        <v>2</v>
      </c>
      <c r="BD581" s="7">
        <v>2</v>
      </c>
      <c r="BE581" s="7">
        <v>1</v>
      </c>
      <c r="BF581" s="7">
        <v>2</v>
      </c>
      <c r="BG581" s="12">
        <f>SUM(data__22[[#This Row],[N1]:[N4]],data__22[[#This Row],[N10]:[N13]],data__22[[#This Row],[N16]:[N18]])/11</f>
        <v>1.8181818181818181</v>
      </c>
      <c r="BH581" s="13">
        <f>SUM(data__22[[#This Row],[N8]:[N9]],data__22[[#This Row],[N23]:[N25]])/5</f>
        <v>1.4</v>
      </c>
      <c r="BI581" s="12">
        <f>SUM(data__22[[#This Row],[N5]:[N7]])/3</f>
        <v>2</v>
      </c>
      <c r="BJ581" s="12">
        <f>SUM(data__22[[#This Row],[N14]:[N15]],data__22[[#This Row],[N19]:[N22]],data__22[[#This Row],[N26]:[N28]])/9</f>
        <v>1.4444444444444444</v>
      </c>
      <c r="BK581" s="12">
        <f>SUM(data__22[[#This Row],[N29]:[N33]])/5</f>
        <v>1.8</v>
      </c>
      <c r="BL581" s="12">
        <f>SUM(data__22[[#This Row],[N34]:[N36]])/3</f>
        <v>1.6666666666666667</v>
      </c>
    </row>
    <row r="582" spans="1:64" x14ac:dyDescent="0.3">
      <c r="A582" s="7">
        <v>23</v>
      </c>
      <c r="B582" s="7" t="s">
        <v>128</v>
      </c>
      <c r="C582" s="7" t="s">
        <v>96</v>
      </c>
      <c r="D582" s="7" t="s">
        <v>72</v>
      </c>
      <c r="E582" s="7" t="s">
        <v>114</v>
      </c>
      <c r="F582" s="7" t="s">
        <v>136</v>
      </c>
      <c r="G582" s="7" t="s">
        <v>440</v>
      </c>
      <c r="H582" s="7" t="s">
        <v>165</v>
      </c>
      <c r="I582" s="7" t="s">
        <v>76</v>
      </c>
      <c r="J582" s="7" t="s">
        <v>77</v>
      </c>
      <c r="K582" s="7" t="s">
        <v>125</v>
      </c>
      <c r="L582" s="8" t="s">
        <v>79</v>
      </c>
      <c r="M582" s="8" t="s">
        <v>80</v>
      </c>
      <c r="N582" s="8" t="s">
        <v>82</v>
      </c>
      <c r="O582" s="8" t="s">
        <v>109</v>
      </c>
      <c r="P582" s="8" t="s">
        <v>79</v>
      </c>
      <c r="Q582" s="8" t="s">
        <v>118</v>
      </c>
      <c r="R582" s="8" t="s">
        <v>79</v>
      </c>
      <c r="S582" s="8" t="s">
        <v>79</v>
      </c>
      <c r="T582" s="8" t="s">
        <v>148</v>
      </c>
      <c r="U582" s="8" t="s">
        <v>120</v>
      </c>
      <c r="V582" s="8" t="s">
        <v>112</v>
      </c>
      <c r="W582" s="9">
        <v>1</v>
      </c>
      <c r="X582" s="9">
        <v>1</v>
      </c>
      <c r="Y582" s="9">
        <v>1</v>
      </c>
      <c r="Z582" s="9">
        <v>2</v>
      </c>
      <c r="AA582" s="9">
        <v>2</v>
      </c>
      <c r="AB582" s="9">
        <v>1</v>
      </c>
      <c r="AC582" s="9">
        <v>2</v>
      </c>
      <c r="AD582" s="9">
        <v>1</v>
      </c>
      <c r="AE582" s="9">
        <v>2</v>
      </c>
      <c r="AF582" s="9">
        <v>1</v>
      </c>
      <c r="AG582" s="9">
        <v>2</v>
      </c>
      <c r="AH582" s="9">
        <v>1</v>
      </c>
      <c r="AI582" s="9">
        <v>2</v>
      </c>
      <c r="AJ582" s="9">
        <v>1</v>
      </c>
      <c r="AK582" s="9">
        <v>2</v>
      </c>
      <c r="AL582" s="10">
        <v>1</v>
      </c>
      <c r="AM582" s="10">
        <v>1</v>
      </c>
      <c r="AN582" s="10">
        <v>1</v>
      </c>
      <c r="AO582" s="10">
        <v>1</v>
      </c>
      <c r="AP582" s="10">
        <v>1</v>
      </c>
      <c r="AQ582" s="10">
        <v>1</v>
      </c>
      <c r="AR582" s="10">
        <v>2</v>
      </c>
      <c r="AS582" s="11">
        <v>1</v>
      </c>
      <c r="AT582" s="11">
        <v>2</v>
      </c>
      <c r="AU582" s="11">
        <v>1</v>
      </c>
      <c r="AV582" s="11">
        <v>2</v>
      </c>
      <c r="AW582" s="11">
        <v>1</v>
      </c>
      <c r="AX582" s="11">
        <v>2</v>
      </c>
      <c r="AY582" s="7">
        <v>1</v>
      </c>
      <c r="AZ582" s="7">
        <v>2</v>
      </c>
      <c r="BA582" s="7">
        <v>1</v>
      </c>
      <c r="BB582" s="7">
        <v>2</v>
      </c>
      <c r="BC582" s="7">
        <v>1</v>
      </c>
      <c r="BD582" s="7">
        <v>2</v>
      </c>
      <c r="BE582" s="7">
        <v>1</v>
      </c>
      <c r="BF582" s="7">
        <v>2</v>
      </c>
      <c r="BG582" s="12">
        <f>SUM(data__22[[#This Row],[N1]:[N4]],data__22[[#This Row],[N10]:[N13]],data__22[[#This Row],[N16]:[N18]])/11</f>
        <v>1.2727272727272727</v>
      </c>
      <c r="BH582" s="13">
        <f>SUM(data__22[[#This Row],[N8]:[N9]],data__22[[#This Row],[N23]:[N25]])/5</f>
        <v>1.4</v>
      </c>
      <c r="BI582" s="12">
        <f>SUM(data__22[[#This Row],[N5]:[N7]])/3</f>
        <v>1.6666666666666667</v>
      </c>
      <c r="BJ582" s="12">
        <f>SUM(data__22[[#This Row],[N14]:[N15]],data__22[[#This Row],[N19]:[N22]],data__22[[#This Row],[N26]:[N28]])/9</f>
        <v>1.4444444444444444</v>
      </c>
      <c r="BK582" s="12">
        <f>SUM(data__22[[#This Row],[N29]:[N33]])/5</f>
        <v>1.4</v>
      </c>
      <c r="BL582" s="12">
        <f>SUM(data__22[[#This Row],[N34]:[N36]])/3</f>
        <v>1.6666666666666667</v>
      </c>
    </row>
    <row r="583" spans="1:64" x14ac:dyDescent="0.3">
      <c r="A583" s="7">
        <v>20</v>
      </c>
      <c r="B583" s="7" t="s">
        <v>128</v>
      </c>
      <c r="C583" s="7" t="s">
        <v>96</v>
      </c>
      <c r="D583" s="7" t="s">
        <v>149</v>
      </c>
      <c r="E583" s="7" t="s">
        <v>114</v>
      </c>
      <c r="F583" s="7" t="s">
        <v>165</v>
      </c>
      <c r="G583" s="7" t="s">
        <v>440</v>
      </c>
      <c r="H583" s="7" t="s">
        <v>165</v>
      </c>
      <c r="I583" s="7" t="s">
        <v>76</v>
      </c>
      <c r="J583" s="7" t="s">
        <v>77</v>
      </c>
      <c r="K583" s="7" t="s">
        <v>122</v>
      </c>
      <c r="L583" s="8" t="s">
        <v>79</v>
      </c>
      <c r="M583" s="8" t="s">
        <v>80</v>
      </c>
      <c r="N583" s="8" t="s">
        <v>79</v>
      </c>
      <c r="O583" s="8" t="s">
        <v>109</v>
      </c>
      <c r="P583" s="8" t="s">
        <v>79</v>
      </c>
      <c r="Q583" s="8" t="s">
        <v>118</v>
      </c>
      <c r="R583" s="8" t="s">
        <v>79</v>
      </c>
      <c r="S583" s="8" t="s">
        <v>79</v>
      </c>
      <c r="T583" s="8" t="s">
        <v>106</v>
      </c>
      <c r="U583" s="8" t="s">
        <v>141</v>
      </c>
      <c r="V583" s="8" t="s">
        <v>112</v>
      </c>
      <c r="W583" s="9">
        <v>1</v>
      </c>
      <c r="X583" s="9">
        <v>1</v>
      </c>
      <c r="Y583" s="9">
        <v>2</v>
      </c>
      <c r="Z583" s="9">
        <v>2</v>
      </c>
      <c r="AA583" s="9">
        <v>1</v>
      </c>
      <c r="AB583" s="9">
        <v>2</v>
      </c>
      <c r="AC583" s="9">
        <v>1</v>
      </c>
      <c r="AD583" s="9">
        <v>2</v>
      </c>
      <c r="AE583" s="9">
        <v>1</v>
      </c>
      <c r="AF583" s="9">
        <v>2</v>
      </c>
      <c r="AG583" s="9">
        <v>1</v>
      </c>
      <c r="AH583" s="9">
        <v>2</v>
      </c>
      <c r="AI583" s="9">
        <v>1</v>
      </c>
      <c r="AJ583" s="9">
        <v>2</v>
      </c>
      <c r="AK583" s="9">
        <v>1</v>
      </c>
      <c r="AL583" s="10">
        <v>1</v>
      </c>
      <c r="AM583" s="10">
        <v>1</v>
      </c>
      <c r="AN583" s="10">
        <v>2</v>
      </c>
      <c r="AO583" s="10">
        <v>2</v>
      </c>
      <c r="AP583" s="10">
        <v>1</v>
      </c>
      <c r="AQ583" s="10">
        <v>2</v>
      </c>
      <c r="AR583" s="10">
        <v>1</v>
      </c>
      <c r="AS583" s="11">
        <v>2</v>
      </c>
      <c r="AT583" s="11">
        <v>1</v>
      </c>
      <c r="AU583" s="11">
        <v>1</v>
      </c>
      <c r="AV583" s="11">
        <v>1</v>
      </c>
      <c r="AW583" s="11">
        <v>1</v>
      </c>
      <c r="AX583" s="11">
        <v>1</v>
      </c>
      <c r="AY583" s="7">
        <v>1</v>
      </c>
      <c r="AZ583" s="7">
        <v>1</v>
      </c>
      <c r="BA583" s="7">
        <v>1</v>
      </c>
      <c r="BB583" s="7">
        <v>2</v>
      </c>
      <c r="BC583" s="7">
        <v>1</v>
      </c>
      <c r="BD583" s="7">
        <v>2</v>
      </c>
      <c r="BE583" s="7">
        <v>1</v>
      </c>
      <c r="BF583" s="7">
        <v>2</v>
      </c>
      <c r="BG583" s="12">
        <f>SUM(data__22[[#This Row],[N1]:[N4]],data__22[[#This Row],[N10]:[N13]],data__22[[#This Row],[N16]:[N18]])/11</f>
        <v>1.4545454545454546</v>
      </c>
      <c r="BH583" s="13">
        <f>SUM(data__22[[#This Row],[N8]:[N9]],data__22[[#This Row],[N23]:[N25]])/5</f>
        <v>1.4</v>
      </c>
      <c r="BI583" s="12">
        <f>SUM(data__22[[#This Row],[N5]:[N7]])/3</f>
        <v>1.3333333333333333</v>
      </c>
      <c r="BJ583" s="12">
        <f>SUM(data__22[[#This Row],[N14]:[N15]],data__22[[#This Row],[N19]:[N22]],data__22[[#This Row],[N26]:[N28]])/9</f>
        <v>1.3333333333333333</v>
      </c>
      <c r="BK583" s="12">
        <f>SUM(data__22[[#This Row],[N29]:[N33]])/5</f>
        <v>1.2</v>
      </c>
      <c r="BL583" s="12">
        <f>SUM(data__22[[#This Row],[N34]:[N36]])/3</f>
        <v>1.6666666666666667</v>
      </c>
    </row>
    <row r="584" spans="1:64" x14ac:dyDescent="0.3">
      <c r="A584" s="7">
        <v>22</v>
      </c>
      <c r="B584" s="7" t="s">
        <v>70</v>
      </c>
      <c r="C584" s="7" t="s">
        <v>157</v>
      </c>
      <c r="D584" s="7" t="s">
        <v>72</v>
      </c>
      <c r="E584" s="7" t="s">
        <v>114</v>
      </c>
      <c r="F584" s="7" t="s">
        <v>165</v>
      </c>
      <c r="G584" s="7" t="s">
        <v>440</v>
      </c>
      <c r="H584" s="7" t="s">
        <v>165</v>
      </c>
      <c r="I584" s="7" t="s">
        <v>76</v>
      </c>
      <c r="J584" s="7" t="s">
        <v>77</v>
      </c>
      <c r="K584" s="7" t="s">
        <v>125</v>
      </c>
      <c r="L584" s="8" t="s">
        <v>79</v>
      </c>
      <c r="M584" s="8" t="s">
        <v>80</v>
      </c>
      <c r="N584" s="8" t="s">
        <v>79</v>
      </c>
      <c r="O584" s="8" t="s">
        <v>109</v>
      </c>
      <c r="P584" s="8" t="s">
        <v>79</v>
      </c>
      <c r="Q584" s="8" t="s">
        <v>83</v>
      </c>
      <c r="R584" s="8" t="s">
        <v>79</v>
      </c>
      <c r="S584" s="8" t="s">
        <v>79</v>
      </c>
      <c r="T584" s="8" t="s">
        <v>106</v>
      </c>
      <c r="U584" s="8" t="s">
        <v>141</v>
      </c>
      <c r="V584" s="8" t="s">
        <v>112</v>
      </c>
      <c r="W584" s="9">
        <v>1</v>
      </c>
      <c r="X584" s="9">
        <v>1</v>
      </c>
      <c r="Y584" s="9">
        <v>2</v>
      </c>
      <c r="Z584" s="9">
        <v>1</v>
      </c>
      <c r="AA584" s="9">
        <v>1</v>
      </c>
      <c r="AB584" s="9">
        <v>2</v>
      </c>
      <c r="AC584" s="9">
        <v>1</v>
      </c>
      <c r="AD584" s="9">
        <v>2</v>
      </c>
      <c r="AE584" s="9">
        <v>1</v>
      </c>
      <c r="AF584" s="9">
        <v>2</v>
      </c>
      <c r="AG584" s="9">
        <v>1</v>
      </c>
      <c r="AH584" s="9">
        <v>2</v>
      </c>
      <c r="AI584" s="9">
        <v>1</v>
      </c>
      <c r="AJ584" s="9">
        <v>2</v>
      </c>
      <c r="AK584" s="9">
        <v>1</v>
      </c>
      <c r="AL584" s="10">
        <v>1</v>
      </c>
      <c r="AM584" s="10">
        <v>2</v>
      </c>
      <c r="AN584" s="10">
        <v>2</v>
      </c>
      <c r="AO584" s="10">
        <v>1</v>
      </c>
      <c r="AP584" s="10">
        <v>2</v>
      </c>
      <c r="AQ584" s="10">
        <v>1</v>
      </c>
      <c r="AR584" s="10">
        <v>2</v>
      </c>
      <c r="AS584" s="11">
        <v>1</v>
      </c>
      <c r="AT584" s="11">
        <v>2</v>
      </c>
      <c r="AU584" s="11">
        <v>1</v>
      </c>
      <c r="AV584" s="11">
        <v>2</v>
      </c>
      <c r="AW584" s="11">
        <v>1</v>
      </c>
      <c r="AX584" s="11">
        <v>2</v>
      </c>
      <c r="AY584" s="7">
        <v>1</v>
      </c>
      <c r="AZ584" s="7">
        <v>1</v>
      </c>
      <c r="BA584" s="7">
        <v>2</v>
      </c>
      <c r="BB584" s="7">
        <v>1</v>
      </c>
      <c r="BC584" s="7">
        <v>2</v>
      </c>
      <c r="BD584" s="7">
        <v>1</v>
      </c>
      <c r="BE584" s="7">
        <v>2</v>
      </c>
      <c r="BF584" s="7">
        <v>1</v>
      </c>
      <c r="BG584" s="12">
        <f>SUM(data__22[[#This Row],[N1]:[N4]],data__22[[#This Row],[N10]:[N13]],data__22[[#This Row],[N16]:[N18]])/11</f>
        <v>1.4545454545454546</v>
      </c>
      <c r="BH584" s="13">
        <f>SUM(data__22[[#This Row],[N8]:[N9]],data__22[[#This Row],[N23]:[N25]])/5</f>
        <v>1.4</v>
      </c>
      <c r="BI584" s="12">
        <f>SUM(data__22[[#This Row],[N5]:[N7]])/3</f>
        <v>1.3333333333333333</v>
      </c>
      <c r="BJ584" s="12">
        <f>SUM(data__22[[#This Row],[N14]:[N15]],data__22[[#This Row],[N19]:[N22]],data__22[[#This Row],[N26]:[N28]])/9</f>
        <v>1.5555555555555556</v>
      </c>
      <c r="BK584" s="12">
        <f>SUM(data__22[[#This Row],[N29]:[N33]])/5</f>
        <v>1.4</v>
      </c>
      <c r="BL584" s="12">
        <f>SUM(data__22[[#This Row],[N34]:[N36]])/3</f>
        <v>1.3333333333333333</v>
      </c>
    </row>
    <row r="585" spans="1:64" x14ac:dyDescent="0.3">
      <c r="A585" s="7">
        <v>22</v>
      </c>
      <c r="B585" s="7" t="s">
        <v>70</v>
      </c>
      <c r="C585" s="7" t="s">
        <v>113</v>
      </c>
      <c r="D585" s="7" t="s">
        <v>72</v>
      </c>
      <c r="E585" s="7" t="s">
        <v>114</v>
      </c>
      <c r="F585" s="7" t="s">
        <v>136</v>
      </c>
      <c r="G585" s="7" t="s">
        <v>440</v>
      </c>
      <c r="H585" s="7" t="s">
        <v>136</v>
      </c>
      <c r="I585" s="7" t="s">
        <v>76</v>
      </c>
      <c r="J585" s="7" t="s">
        <v>77</v>
      </c>
      <c r="K585" s="7" t="s">
        <v>122</v>
      </c>
      <c r="L585" s="8" t="s">
        <v>82</v>
      </c>
      <c r="M585" s="8" t="s">
        <v>102</v>
      </c>
      <c r="N585" s="8" t="s">
        <v>79</v>
      </c>
      <c r="O585" s="8" t="s">
        <v>81</v>
      </c>
      <c r="P585" s="8" t="s">
        <v>82</v>
      </c>
      <c r="Q585" s="8" t="s">
        <v>83</v>
      </c>
      <c r="R585" s="8" t="s">
        <v>79</v>
      </c>
      <c r="S585" s="8" t="s">
        <v>79</v>
      </c>
      <c r="T585" s="8" t="s">
        <v>86</v>
      </c>
      <c r="U585" s="8" t="s">
        <v>87</v>
      </c>
      <c r="V585" s="8" t="s">
        <v>457</v>
      </c>
      <c r="W585" s="9">
        <v>1</v>
      </c>
      <c r="X585" s="9">
        <v>1</v>
      </c>
      <c r="Y585" s="9">
        <v>2</v>
      </c>
      <c r="Z585" s="9">
        <v>1</v>
      </c>
      <c r="AA585" s="9">
        <v>1</v>
      </c>
      <c r="AB585" s="9">
        <v>1</v>
      </c>
      <c r="AC585" s="9">
        <v>1</v>
      </c>
      <c r="AD585" s="9">
        <v>1</v>
      </c>
      <c r="AE585" s="9">
        <v>1</v>
      </c>
      <c r="AF585" s="9">
        <v>2</v>
      </c>
      <c r="AG585" s="9">
        <v>2</v>
      </c>
      <c r="AH585" s="9">
        <v>1</v>
      </c>
      <c r="AI585" s="9">
        <v>2</v>
      </c>
      <c r="AJ585" s="9">
        <v>2</v>
      </c>
      <c r="AK585" s="9">
        <v>2</v>
      </c>
      <c r="AL585" s="10">
        <v>1</v>
      </c>
      <c r="AM585" s="10">
        <v>1</v>
      </c>
      <c r="AN585" s="10">
        <v>2</v>
      </c>
      <c r="AO585" s="10">
        <v>2</v>
      </c>
      <c r="AP585" s="10">
        <v>1</v>
      </c>
      <c r="AQ585" s="10">
        <v>1</v>
      </c>
      <c r="AR585" s="10">
        <v>2</v>
      </c>
      <c r="AS585" s="11">
        <v>1</v>
      </c>
      <c r="AT585" s="11">
        <v>2</v>
      </c>
      <c r="AU585" s="11">
        <v>2</v>
      </c>
      <c r="AV585" s="11">
        <v>2</v>
      </c>
      <c r="AW585" s="11">
        <v>2</v>
      </c>
      <c r="AX585" s="11">
        <v>2</v>
      </c>
      <c r="AY585" s="7">
        <v>1</v>
      </c>
      <c r="AZ585" s="7">
        <v>1</v>
      </c>
      <c r="BA585" s="7">
        <v>1</v>
      </c>
      <c r="BB585" s="7">
        <v>2</v>
      </c>
      <c r="BC585" s="7">
        <v>2</v>
      </c>
      <c r="BD585" s="7">
        <v>1</v>
      </c>
      <c r="BE585" s="7">
        <v>1</v>
      </c>
      <c r="BF585" s="7">
        <v>2</v>
      </c>
      <c r="BG585" s="12">
        <f>SUM(data__22[[#This Row],[N1]:[N4]],data__22[[#This Row],[N10]:[N13]],data__22[[#This Row],[N16]:[N18]])/11</f>
        <v>1.4545454545454546</v>
      </c>
      <c r="BH585" s="13">
        <f>SUM(data__22[[#This Row],[N8]:[N9]],data__22[[#This Row],[N23]:[N25]])/5</f>
        <v>1.4</v>
      </c>
      <c r="BI585" s="12">
        <f>SUM(data__22[[#This Row],[N5]:[N7]])/3</f>
        <v>1</v>
      </c>
      <c r="BJ585" s="12">
        <f>SUM(data__22[[#This Row],[N14]:[N15]],data__22[[#This Row],[N19]:[N22]],data__22[[#This Row],[N26]:[N28]])/9</f>
        <v>1.7777777777777777</v>
      </c>
      <c r="BK585" s="12">
        <f>SUM(data__22[[#This Row],[N29]:[N33]])/5</f>
        <v>1.4</v>
      </c>
      <c r="BL585" s="12">
        <f>SUM(data__22[[#This Row],[N34]:[N36]])/3</f>
        <v>1.3333333333333333</v>
      </c>
    </row>
    <row r="586" spans="1:64" x14ac:dyDescent="0.3">
      <c r="A586" s="7">
        <v>24</v>
      </c>
      <c r="B586" s="7" t="s">
        <v>70</v>
      </c>
      <c r="C586" s="7" t="s">
        <v>113</v>
      </c>
      <c r="D586" s="7" t="s">
        <v>149</v>
      </c>
      <c r="E586" s="7" t="s">
        <v>73</v>
      </c>
      <c r="F586" s="7" t="s">
        <v>98</v>
      </c>
      <c r="G586" s="7" t="s">
        <v>440</v>
      </c>
      <c r="H586" s="7" t="s">
        <v>100</v>
      </c>
      <c r="I586" s="7" t="s">
        <v>76</v>
      </c>
      <c r="J586" s="7" t="s">
        <v>77</v>
      </c>
      <c r="K586" s="7" t="s">
        <v>125</v>
      </c>
      <c r="L586" s="8" t="s">
        <v>79</v>
      </c>
      <c r="M586" s="8" t="s">
        <v>102</v>
      </c>
      <c r="N586" s="8" t="s">
        <v>79</v>
      </c>
      <c r="O586" s="8" t="s">
        <v>117</v>
      </c>
      <c r="P586" s="8" t="s">
        <v>82</v>
      </c>
      <c r="Q586" s="8" t="s">
        <v>118</v>
      </c>
      <c r="R586" s="8" t="s">
        <v>82</v>
      </c>
      <c r="S586" s="8" t="s">
        <v>79</v>
      </c>
      <c r="T586" s="8" t="s">
        <v>86</v>
      </c>
      <c r="U586" s="8" t="s">
        <v>120</v>
      </c>
      <c r="V586" s="8" t="s">
        <v>455</v>
      </c>
      <c r="W586" s="9">
        <v>2</v>
      </c>
      <c r="X586" s="9">
        <v>3</v>
      </c>
      <c r="Y586" s="9">
        <v>3</v>
      </c>
      <c r="Z586" s="9">
        <v>1</v>
      </c>
      <c r="AA586" s="9">
        <v>2</v>
      </c>
      <c r="AB586" s="9">
        <v>2</v>
      </c>
      <c r="AC586" s="9">
        <v>3</v>
      </c>
      <c r="AD586" s="9">
        <v>0</v>
      </c>
      <c r="AE586" s="9">
        <v>0</v>
      </c>
      <c r="AF586" s="9">
        <v>3</v>
      </c>
      <c r="AG586" s="9">
        <v>3</v>
      </c>
      <c r="AH586" s="9">
        <v>0</v>
      </c>
      <c r="AI586" s="9">
        <v>2</v>
      </c>
      <c r="AJ586" s="9">
        <v>3</v>
      </c>
      <c r="AK586" s="9">
        <v>3</v>
      </c>
      <c r="AL586" s="10">
        <v>3</v>
      </c>
      <c r="AM586" s="10">
        <v>3</v>
      </c>
      <c r="AN586" s="10">
        <v>3</v>
      </c>
      <c r="AO586" s="10">
        <v>3</v>
      </c>
      <c r="AP586" s="10">
        <v>0</v>
      </c>
      <c r="AQ586" s="10">
        <v>0</v>
      </c>
      <c r="AR586" s="10">
        <v>0</v>
      </c>
      <c r="AS586" s="11">
        <v>0</v>
      </c>
      <c r="AT586" s="11">
        <v>0</v>
      </c>
      <c r="AU586" s="11">
        <v>0</v>
      </c>
      <c r="AV586" s="11">
        <v>3</v>
      </c>
      <c r="AW586" s="11">
        <v>3</v>
      </c>
      <c r="AX586" s="11">
        <v>0</v>
      </c>
      <c r="AY586" s="7">
        <v>3</v>
      </c>
      <c r="AZ586" s="7">
        <v>3</v>
      </c>
      <c r="BA586" s="7">
        <v>3</v>
      </c>
      <c r="BB586" s="7">
        <v>3</v>
      </c>
      <c r="BC586" s="7">
        <v>3</v>
      </c>
      <c r="BD586" s="7">
        <v>0</v>
      </c>
      <c r="BE586" s="7">
        <v>3</v>
      </c>
      <c r="BF586" s="7">
        <v>3</v>
      </c>
      <c r="BG586" s="12">
        <f>SUM(data__22[[#This Row],[N1]:[N4]],data__22[[#This Row],[N10]:[N13]],data__22[[#This Row],[N16]:[N18]])/11</f>
        <v>2.3636363636363638</v>
      </c>
      <c r="BH586" s="13">
        <f>SUM(data__22[[#This Row],[N8]:[N9]],data__22[[#This Row],[N23]:[N25]])/5</f>
        <v>0</v>
      </c>
      <c r="BI586" s="12">
        <f>SUM(data__22[[#This Row],[N5]:[N7]])/3</f>
        <v>2.3333333333333335</v>
      </c>
      <c r="BJ586" s="12">
        <f>SUM(data__22[[#This Row],[N14]:[N15]],data__22[[#This Row],[N19]:[N22]],data__22[[#This Row],[N26]:[N28]])/9</f>
        <v>1.6666666666666667</v>
      </c>
      <c r="BK586" s="12">
        <f>SUM(data__22[[#This Row],[N29]:[N33]])/5</f>
        <v>3</v>
      </c>
      <c r="BL586" s="12">
        <f>SUM(data__22[[#This Row],[N34]:[N36]])/3</f>
        <v>2</v>
      </c>
    </row>
    <row r="587" spans="1:64" x14ac:dyDescent="0.3">
      <c r="A587" s="7">
        <v>23</v>
      </c>
      <c r="B587" s="7" t="s">
        <v>70</v>
      </c>
      <c r="C587" s="7" t="s">
        <v>153</v>
      </c>
      <c r="D587" s="7" t="s">
        <v>72</v>
      </c>
      <c r="E587" s="7" t="s">
        <v>108</v>
      </c>
      <c r="F587" s="7" t="s">
        <v>74</v>
      </c>
      <c r="G587" s="7" t="s">
        <v>440</v>
      </c>
      <c r="H587" s="7" t="s">
        <v>98</v>
      </c>
      <c r="I587" s="7" t="s">
        <v>76</v>
      </c>
      <c r="J587" s="7" t="s">
        <v>77</v>
      </c>
      <c r="K587" s="7" t="s">
        <v>125</v>
      </c>
      <c r="L587" s="8" t="s">
        <v>79</v>
      </c>
      <c r="M587" s="8" t="s">
        <v>80</v>
      </c>
      <c r="N587" s="8" t="s">
        <v>79</v>
      </c>
      <c r="O587" s="8" t="s">
        <v>117</v>
      </c>
      <c r="P587" s="8" t="s">
        <v>82</v>
      </c>
      <c r="Q587" s="8" t="s">
        <v>103</v>
      </c>
      <c r="R587" s="8" t="s">
        <v>82</v>
      </c>
      <c r="S587" s="8" t="s">
        <v>82</v>
      </c>
      <c r="T587" s="8" t="s">
        <v>86</v>
      </c>
      <c r="U587" s="8" t="s">
        <v>141</v>
      </c>
      <c r="V587" s="8" t="s">
        <v>112</v>
      </c>
      <c r="W587" s="9">
        <v>2</v>
      </c>
      <c r="X587" s="9">
        <v>3</v>
      </c>
      <c r="Y587" s="9">
        <v>3</v>
      </c>
      <c r="Z587" s="9">
        <v>3</v>
      </c>
      <c r="AA587" s="9">
        <v>3</v>
      </c>
      <c r="AB587" s="9">
        <v>2</v>
      </c>
      <c r="AC587" s="9">
        <v>3</v>
      </c>
      <c r="AD587" s="9">
        <v>2</v>
      </c>
      <c r="AE587" s="9">
        <v>3</v>
      </c>
      <c r="AF587" s="9">
        <v>3</v>
      </c>
      <c r="AG587" s="9">
        <v>2</v>
      </c>
      <c r="AH587" s="9">
        <v>2</v>
      </c>
      <c r="AI587" s="9">
        <v>3</v>
      </c>
      <c r="AJ587" s="9">
        <v>2</v>
      </c>
      <c r="AK587" s="9">
        <v>3</v>
      </c>
      <c r="AL587" s="10">
        <v>2</v>
      </c>
      <c r="AM587" s="10">
        <v>0</v>
      </c>
      <c r="AN587" s="10">
        <v>1</v>
      </c>
      <c r="AO587" s="10">
        <v>1</v>
      </c>
      <c r="AP587" s="10">
        <v>1</v>
      </c>
      <c r="AQ587" s="10">
        <v>1</v>
      </c>
      <c r="AR587" s="10">
        <v>1</v>
      </c>
      <c r="AS587" s="11">
        <v>0</v>
      </c>
      <c r="AT587" s="11">
        <v>0</v>
      </c>
      <c r="AU587" s="11">
        <v>1</v>
      </c>
      <c r="AV587" s="11">
        <v>0</v>
      </c>
      <c r="AW587" s="11">
        <v>1</v>
      </c>
      <c r="AX587" s="11">
        <v>0</v>
      </c>
      <c r="AY587" s="7">
        <v>1</v>
      </c>
      <c r="AZ587" s="7">
        <v>1</v>
      </c>
      <c r="BA587" s="7">
        <v>0</v>
      </c>
      <c r="BB587" s="7">
        <v>0</v>
      </c>
      <c r="BC587" s="7">
        <v>1</v>
      </c>
      <c r="BD587" s="7">
        <v>1</v>
      </c>
      <c r="BE587" s="7">
        <v>0</v>
      </c>
      <c r="BF587" s="7">
        <v>1</v>
      </c>
      <c r="BG587" s="12">
        <f>SUM(data__22[[#This Row],[N1]:[N4]],data__22[[#This Row],[N10]:[N13]],data__22[[#This Row],[N16]:[N18]])/11</f>
        <v>2.1818181818181817</v>
      </c>
      <c r="BH587" s="13">
        <f>SUM(data__22[[#This Row],[N8]:[N9]],data__22[[#This Row],[N23]:[N25]])/5</f>
        <v>1.2</v>
      </c>
      <c r="BI587" s="12">
        <f>SUM(data__22[[#This Row],[N5]:[N7]])/3</f>
        <v>2.6666666666666665</v>
      </c>
      <c r="BJ587" s="12">
        <f>SUM(data__22[[#This Row],[N14]:[N15]],data__22[[#This Row],[N19]:[N22]],data__22[[#This Row],[N26]:[N28]])/9</f>
        <v>1.1111111111111112</v>
      </c>
      <c r="BK587" s="12">
        <f>SUM(data__22[[#This Row],[N29]:[N33]])/5</f>
        <v>0.6</v>
      </c>
      <c r="BL587" s="12">
        <f>SUM(data__22[[#This Row],[N34]:[N36]])/3</f>
        <v>0.66666666666666663</v>
      </c>
    </row>
    <row r="588" spans="1:64" x14ac:dyDescent="0.3">
      <c r="A588" s="7">
        <v>23</v>
      </c>
      <c r="B588" s="7" t="s">
        <v>70</v>
      </c>
      <c r="C588" s="7" t="s">
        <v>113</v>
      </c>
      <c r="D588" s="7" t="s">
        <v>72</v>
      </c>
      <c r="E588" s="7" t="s">
        <v>108</v>
      </c>
      <c r="F588" s="7" t="s">
        <v>136</v>
      </c>
      <c r="G588" s="7" t="s">
        <v>439</v>
      </c>
      <c r="H588" s="7" t="s">
        <v>136</v>
      </c>
      <c r="I588" s="7" t="s">
        <v>76</v>
      </c>
      <c r="J588" s="7" t="s">
        <v>77</v>
      </c>
      <c r="K588" s="7" t="s">
        <v>122</v>
      </c>
      <c r="L588" s="8" t="s">
        <v>79</v>
      </c>
      <c r="M588" s="8" t="s">
        <v>132</v>
      </c>
      <c r="N588" s="8" t="s">
        <v>82</v>
      </c>
      <c r="O588" s="8" t="s">
        <v>138</v>
      </c>
      <c r="P588" s="8" t="s">
        <v>82</v>
      </c>
      <c r="Q588" s="8" t="s">
        <v>118</v>
      </c>
      <c r="R588" s="8" t="s">
        <v>82</v>
      </c>
      <c r="S588" s="8" t="s">
        <v>82</v>
      </c>
      <c r="T588" s="8" t="s">
        <v>106</v>
      </c>
      <c r="U588" s="8" t="s">
        <v>87</v>
      </c>
      <c r="V588" s="8" t="s">
        <v>112</v>
      </c>
      <c r="W588" s="9">
        <v>3</v>
      </c>
      <c r="X588" s="9">
        <v>3</v>
      </c>
      <c r="Y588" s="9">
        <v>3</v>
      </c>
      <c r="Z588" s="9">
        <v>3</v>
      </c>
      <c r="AA588" s="9">
        <v>3</v>
      </c>
      <c r="AB588" s="9">
        <v>3</v>
      </c>
      <c r="AC588" s="9">
        <v>3</v>
      </c>
      <c r="AD588" s="9">
        <v>3</v>
      </c>
      <c r="AE588" s="9">
        <v>3</v>
      </c>
      <c r="AF588" s="9">
        <v>3</v>
      </c>
      <c r="AG588" s="9">
        <v>3</v>
      </c>
      <c r="AH588" s="9">
        <v>3</v>
      </c>
      <c r="AI588" s="9">
        <v>3</v>
      </c>
      <c r="AJ588" s="9">
        <v>3</v>
      </c>
      <c r="AK588" s="9">
        <v>3</v>
      </c>
      <c r="AL588" s="10">
        <v>3</v>
      </c>
      <c r="AM588" s="10">
        <v>3</v>
      </c>
      <c r="AN588" s="10">
        <v>3</v>
      </c>
      <c r="AO588" s="10">
        <v>3</v>
      </c>
      <c r="AP588" s="10">
        <v>3</v>
      </c>
      <c r="AQ588" s="10">
        <v>3</v>
      </c>
      <c r="AR588" s="10">
        <v>3</v>
      </c>
      <c r="AS588" s="11">
        <v>3</v>
      </c>
      <c r="AT588" s="11">
        <v>3</v>
      </c>
      <c r="AU588" s="11">
        <v>3</v>
      </c>
      <c r="AV588" s="11">
        <v>3</v>
      </c>
      <c r="AW588" s="11">
        <v>3</v>
      </c>
      <c r="AX588" s="11">
        <v>3</v>
      </c>
      <c r="AY588" s="7">
        <v>3</v>
      </c>
      <c r="AZ588" s="7">
        <v>3</v>
      </c>
      <c r="BA588" s="7">
        <v>3</v>
      </c>
      <c r="BB588" s="7">
        <v>3</v>
      </c>
      <c r="BC588" s="7">
        <v>3</v>
      </c>
      <c r="BD588" s="7">
        <v>3</v>
      </c>
      <c r="BE588" s="7">
        <v>3</v>
      </c>
      <c r="BF588" s="7">
        <v>3</v>
      </c>
      <c r="BG588" s="12">
        <f>SUM(data__22[[#This Row],[N1]:[N4]],data__22[[#This Row],[N10]:[N13]],data__22[[#This Row],[N16]:[N18]])/11</f>
        <v>3</v>
      </c>
      <c r="BH588" s="13">
        <f>SUM(data__22[[#This Row],[N8]:[N9]],data__22[[#This Row],[N23]:[N25]])/5</f>
        <v>3</v>
      </c>
      <c r="BI588" s="12">
        <f>SUM(data__22[[#This Row],[N5]:[N7]])/3</f>
        <v>3</v>
      </c>
      <c r="BJ588" s="12">
        <f>SUM(data__22[[#This Row],[N14]:[N15]],data__22[[#This Row],[N19]:[N22]],data__22[[#This Row],[N26]:[N28]])/9</f>
        <v>3</v>
      </c>
      <c r="BK588" s="12">
        <f>SUM(data__22[[#This Row],[N29]:[N33]])/5</f>
        <v>3</v>
      </c>
      <c r="BL588" s="12">
        <f>SUM(data__22[[#This Row],[N34]:[N36]])/3</f>
        <v>3</v>
      </c>
    </row>
    <row r="589" spans="1:64" x14ac:dyDescent="0.3">
      <c r="A589" s="7">
        <v>23</v>
      </c>
      <c r="B589" s="7" t="s">
        <v>70</v>
      </c>
      <c r="C589" s="7" t="s">
        <v>113</v>
      </c>
      <c r="D589" s="7" t="s">
        <v>72</v>
      </c>
      <c r="E589" s="7" t="s">
        <v>108</v>
      </c>
      <c r="F589" s="7" t="s">
        <v>98</v>
      </c>
      <c r="G589" s="7" t="s">
        <v>440</v>
      </c>
      <c r="H589" s="7" t="s">
        <v>136</v>
      </c>
      <c r="I589" s="7" t="s">
        <v>439</v>
      </c>
      <c r="J589" s="7" t="s">
        <v>77</v>
      </c>
      <c r="K589" s="7" t="s">
        <v>122</v>
      </c>
      <c r="L589" s="8" t="s">
        <v>79</v>
      </c>
      <c r="M589" s="8" t="s">
        <v>80</v>
      </c>
      <c r="N589" s="8" t="s">
        <v>79</v>
      </c>
      <c r="O589" s="8" t="s">
        <v>81</v>
      </c>
      <c r="P589" s="8" t="s">
        <v>82</v>
      </c>
      <c r="Q589" s="8" t="s">
        <v>83</v>
      </c>
      <c r="R589" s="8" t="s">
        <v>82</v>
      </c>
      <c r="S589" s="8" t="s">
        <v>82</v>
      </c>
      <c r="T589" s="8" t="s">
        <v>86</v>
      </c>
      <c r="U589" s="8" t="s">
        <v>141</v>
      </c>
      <c r="V589" s="8" t="s">
        <v>112</v>
      </c>
      <c r="W589" s="9">
        <v>1</v>
      </c>
      <c r="X589" s="9">
        <v>2</v>
      </c>
      <c r="Y589" s="9">
        <v>1</v>
      </c>
      <c r="Z589" s="9">
        <v>2</v>
      </c>
      <c r="AA589" s="9">
        <v>0</v>
      </c>
      <c r="AB589" s="9">
        <v>1</v>
      </c>
      <c r="AC589" s="9">
        <v>2</v>
      </c>
      <c r="AD589" s="9">
        <v>1</v>
      </c>
      <c r="AE589" s="9">
        <v>1</v>
      </c>
      <c r="AF589" s="9">
        <v>2</v>
      </c>
      <c r="AG589" s="9">
        <v>1</v>
      </c>
      <c r="AH589" s="9">
        <v>2</v>
      </c>
      <c r="AI589" s="9">
        <v>2</v>
      </c>
      <c r="AJ589" s="9">
        <v>1</v>
      </c>
      <c r="AK589" s="9">
        <v>2</v>
      </c>
      <c r="AL589" s="10">
        <v>3</v>
      </c>
      <c r="AM589" s="10">
        <v>0</v>
      </c>
      <c r="AN589" s="10">
        <v>3</v>
      </c>
      <c r="AO589" s="10">
        <v>2</v>
      </c>
      <c r="AP589" s="10">
        <v>1</v>
      </c>
      <c r="AQ589" s="10">
        <v>2</v>
      </c>
      <c r="AR589" s="10">
        <v>2</v>
      </c>
      <c r="AS589" s="11">
        <v>3</v>
      </c>
      <c r="AT589" s="11">
        <v>3</v>
      </c>
      <c r="AU589" s="11">
        <v>0</v>
      </c>
      <c r="AV589" s="11">
        <v>3</v>
      </c>
      <c r="AW589" s="11">
        <v>3</v>
      </c>
      <c r="AX589" s="11">
        <v>3</v>
      </c>
      <c r="AY589" s="7">
        <v>3</v>
      </c>
      <c r="AZ589" s="7">
        <v>0</v>
      </c>
      <c r="BA589" s="7">
        <v>3</v>
      </c>
      <c r="BB589" s="7">
        <v>3</v>
      </c>
      <c r="BC589" s="7">
        <v>3</v>
      </c>
      <c r="BD589" s="7">
        <v>3</v>
      </c>
      <c r="BE589" s="7">
        <v>3</v>
      </c>
      <c r="BF589" s="7">
        <v>3</v>
      </c>
      <c r="BG589" s="12">
        <f>SUM(data__22[[#This Row],[N1]:[N4]],data__22[[#This Row],[N10]:[N13]],data__22[[#This Row],[N16]:[N18]])/11</f>
        <v>1.7272727272727273</v>
      </c>
      <c r="BH589" s="13">
        <f>SUM(data__22[[#This Row],[N8]:[N9]],data__22[[#This Row],[N23]:[N25]])/5</f>
        <v>1.6</v>
      </c>
      <c r="BI589" s="12">
        <f>SUM(data__22[[#This Row],[N5]:[N7]])/3</f>
        <v>1</v>
      </c>
      <c r="BJ589" s="12">
        <f>SUM(data__22[[#This Row],[N14]:[N15]],data__22[[#This Row],[N19]:[N22]],data__22[[#This Row],[N26]:[N28]])/9</f>
        <v>2.1111111111111112</v>
      </c>
      <c r="BK589" s="12">
        <f>SUM(data__22[[#This Row],[N29]:[N33]])/5</f>
        <v>2.4</v>
      </c>
      <c r="BL589" s="12">
        <f>SUM(data__22[[#This Row],[N34]:[N36]])/3</f>
        <v>3</v>
      </c>
    </row>
    <row r="590" spans="1:64" x14ac:dyDescent="0.3">
      <c r="A590" s="7">
        <v>21</v>
      </c>
      <c r="B590" s="7" t="s">
        <v>70</v>
      </c>
      <c r="C590" s="7" t="s">
        <v>113</v>
      </c>
      <c r="D590" s="7" t="s">
        <v>72</v>
      </c>
      <c r="E590" s="7" t="s">
        <v>73</v>
      </c>
      <c r="F590" s="7" t="s">
        <v>74</v>
      </c>
      <c r="G590" s="7" t="s">
        <v>440</v>
      </c>
      <c r="H590" s="7" t="s">
        <v>74</v>
      </c>
      <c r="I590" s="7" t="s">
        <v>76</v>
      </c>
      <c r="J590" s="7" t="s">
        <v>77</v>
      </c>
      <c r="K590" s="7" t="s">
        <v>122</v>
      </c>
      <c r="L590" s="8" t="s">
        <v>82</v>
      </c>
      <c r="M590" s="8" t="s">
        <v>80</v>
      </c>
      <c r="N590" s="8" t="s">
        <v>79</v>
      </c>
      <c r="O590" s="8" t="s">
        <v>109</v>
      </c>
      <c r="P590" s="8" t="s">
        <v>82</v>
      </c>
      <c r="Q590" s="8" t="s">
        <v>103</v>
      </c>
      <c r="R590" s="8" t="s">
        <v>79</v>
      </c>
      <c r="S590" s="8" t="s">
        <v>82</v>
      </c>
      <c r="T590" s="8" t="s">
        <v>86</v>
      </c>
      <c r="U590" s="8" t="s">
        <v>141</v>
      </c>
      <c r="V590" s="8" t="s">
        <v>112</v>
      </c>
      <c r="W590" s="9">
        <v>2</v>
      </c>
      <c r="X590" s="9">
        <v>3</v>
      </c>
      <c r="Y590" s="9">
        <v>2</v>
      </c>
      <c r="Z590" s="9">
        <v>3</v>
      </c>
      <c r="AA590" s="9">
        <v>3</v>
      </c>
      <c r="AB590" s="9">
        <v>3</v>
      </c>
      <c r="AC590" s="9">
        <v>2</v>
      </c>
      <c r="AD590" s="9">
        <v>3</v>
      </c>
      <c r="AE590" s="9">
        <v>1</v>
      </c>
      <c r="AF590" s="9">
        <v>2</v>
      </c>
      <c r="AG590" s="9">
        <v>3</v>
      </c>
      <c r="AH590" s="9">
        <v>3</v>
      </c>
      <c r="AI590" s="9">
        <v>3</v>
      </c>
      <c r="AJ590" s="9">
        <v>1</v>
      </c>
      <c r="AK590" s="9">
        <v>1</v>
      </c>
      <c r="AL590" s="10">
        <v>3</v>
      </c>
      <c r="AM590" s="10">
        <v>3</v>
      </c>
      <c r="AN590" s="10">
        <v>3</v>
      </c>
      <c r="AO590" s="10">
        <v>0</v>
      </c>
      <c r="AP590" s="10">
        <v>0</v>
      </c>
      <c r="AQ590" s="10">
        <v>0</v>
      </c>
      <c r="AR590" s="10">
        <v>0</v>
      </c>
      <c r="AS590" s="11">
        <v>1</v>
      </c>
      <c r="AT590" s="11">
        <v>1</v>
      </c>
      <c r="AU590" s="11">
        <v>0</v>
      </c>
      <c r="AV590" s="11">
        <v>1</v>
      </c>
      <c r="AW590" s="11">
        <v>1</v>
      </c>
      <c r="AX590" s="11">
        <v>1</v>
      </c>
      <c r="AY590" s="7">
        <v>3</v>
      </c>
      <c r="AZ590" s="7">
        <v>3</v>
      </c>
      <c r="BA590" s="7">
        <v>3</v>
      </c>
      <c r="BB590" s="7">
        <v>3</v>
      </c>
      <c r="BC590" s="7">
        <v>2</v>
      </c>
      <c r="BD590" s="7">
        <v>1</v>
      </c>
      <c r="BE590" s="7">
        <v>2</v>
      </c>
      <c r="BF590" s="7">
        <v>2</v>
      </c>
      <c r="BG590" s="12">
        <f>SUM(data__22[[#This Row],[N1]:[N4]],data__22[[#This Row],[N10]:[N13]],data__22[[#This Row],[N16]:[N18]])/11</f>
        <v>2.7272727272727271</v>
      </c>
      <c r="BH590" s="13">
        <f>SUM(data__22[[#This Row],[N8]:[N9]],data__22[[#This Row],[N23]:[N25]])/5</f>
        <v>1.2</v>
      </c>
      <c r="BI590" s="12">
        <f>SUM(data__22[[#This Row],[N5]:[N7]])/3</f>
        <v>2.6666666666666665</v>
      </c>
      <c r="BJ590" s="12">
        <f>SUM(data__22[[#This Row],[N14]:[N15]],data__22[[#This Row],[N19]:[N22]],data__22[[#This Row],[N26]:[N28]])/9</f>
        <v>0.55555555555555558</v>
      </c>
      <c r="BK590" s="12">
        <f>SUM(data__22[[#This Row],[N29]:[N33]])/5</f>
        <v>2.8</v>
      </c>
      <c r="BL590" s="12">
        <f>SUM(data__22[[#This Row],[N34]:[N36]])/3</f>
        <v>1.6666666666666667</v>
      </c>
    </row>
    <row r="591" spans="1:64" x14ac:dyDescent="0.3">
      <c r="A591" s="7">
        <v>23</v>
      </c>
      <c r="B591" s="7" t="s">
        <v>70</v>
      </c>
      <c r="C591" s="7" t="s">
        <v>113</v>
      </c>
      <c r="D591" s="7" t="s">
        <v>72</v>
      </c>
      <c r="E591" s="7" t="s">
        <v>114</v>
      </c>
      <c r="F591" s="7" t="s">
        <v>100</v>
      </c>
      <c r="G591" s="7" t="s">
        <v>438</v>
      </c>
      <c r="H591" s="7" t="s">
        <v>100</v>
      </c>
      <c r="I591" s="7" t="s">
        <v>76</v>
      </c>
      <c r="J591" s="7" t="s">
        <v>101</v>
      </c>
      <c r="K591" s="7" t="s">
        <v>125</v>
      </c>
      <c r="L591" s="8" t="s">
        <v>79</v>
      </c>
      <c r="M591" s="8" t="s">
        <v>80</v>
      </c>
      <c r="N591" s="8" t="s">
        <v>82</v>
      </c>
      <c r="O591" s="8" t="s">
        <v>179</v>
      </c>
      <c r="P591" s="8" t="s">
        <v>79</v>
      </c>
      <c r="Q591" s="8" t="s">
        <v>103</v>
      </c>
      <c r="R591" s="8" t="s">
        <v>79</v>
      </c>
      <c r="S591" s="8" t="s">
        <v>82</v>
      </c>
      <c r="T591" s="8" t="s">
        <v>106</v>
      </c>
      <c r="U591" s="8" t="s">
        <v>141</v>
      </c>
      <c r="V591" s="8" t="s">
        <v>112</v>
      </c>
      <c r="W591" s="9">
        <v>1</v>
      </c>
      <c r="X591" s="9">
        <v>1</v>
      </c>
      <c r="Y591" s="9">
        <v>1</v>
      </c>
      <c r="Z591" s="9">
        <v>1</v>
      </c>
      <c r="AA591" s="9">
        <v>3</v>
      </c>
      <c r="AB591" s="9">
        <v>3</v>
      </c>
      <c r="AC591" s="9">
        <v>2</v>
      </c>
      <c r="AD591" s="9">
        <v>2</v>
      </c>
      <c r="AE591" s="9">
        <v>2</v>
      </c>
      <c r="AF591" s="9">
        <v>2</v>
      </c>
      <c r="AG591" s="9">
        <v>2</v>
      </c>
      <c r="AH591" s="9">
        <v>2</v>
      </c>
      <c r="AI591" s="9">
        <v>2</v>
      </c>
      <c r="AJ591" s="9">
        <v>1</v>
      </c>
      <c r="AK591" s="9">
        <v>1</v>
      </c>
      <c r="AL591" s="10">
        <v>1</v>
      </c>
      <c r="AM591" s="10">
        <v>2</v>
      </c>
      <c r="AN591" s="10">
        <v>1</v>
      </c>
      <c r="AO591" s="10">
        <v>1</v>
      </c>
      <c r="AP591" s="10">
        <v>1</v>
      </c>
      <c r="AQ591" s="10">
        <v>1</v>
      </c>
      <c r="AR591" s="10">
        <v>1</v>
      </c>
      <c r="AS591" s="11">
        <v>1</v>
      </c>
      <c r="AT591" s="11">
        <v>1</v>
      </c>
      <c r="AU591" s="11">
        <v>2</v>
      </c>
      <c r="AV591" s="11">
        <v>2</v>
      </c>
      <c r="AW591" s="11">
        <v>2</v>
      </c>
      <c r="AX591" s="11">
        <v>1</v>
      </c>
      <c r="AY591" s="7">
        <v>1</v>
      </c>
      <c r="AZ591" s="7">
        <v>1</v>
      </c>
      <c r="BA591" s="7">
        <v>2</v>
      </c>
      <c r="BB591" s="7">
        <v>1</v>
      </c>
      <c r="BC591" s="7">
        <v>2</v>
      </c>
      <c r="BD591" s="7">
        <v>2</v>
      </c>
      <c r="BE591" s="7">
        <v>1</v>
      </c>
      <c r="BF591" s="7">
        <v>2</v>
      </c>
      <c r="BG591" s="12">
        <f>SUM(data__22[[#This Row],[N1]:[N4]],data__22[[#This Row],[N10]:[N13]],data__22[[#This Row],[N16]:[N18]])/11</f>
        <v>1.4545454545454546</v>
      </c>
      <c r="BH591" s="13">
        <f>SUM(data__22[[#This Row],[N8]:[N9]],data__22[[#This Row],[N23]:[N25]])/5</f>
        <v>1.6</v>
      </c>
      <c r="BI591" s="12">
        <f>SUM(data__22[[#This Row],[N5]:[N7]])/3</f>
        <v>2.6666666666666665</v>
      </c>
      <c r="BJ591" s="12">
        <f>SUM(data__22[[#This Row],[N14]:[N15]],data__22[[#This Row],[N19]:[N22]],data__22[[#This Row],[N26]:[N28]])/9</f>
        <v>1.2222222222222223</v>
      </c>
      <c r="BK591" s="12">
        <f>SUM(data__22[[#This Row],[N29]:[N33]])/5</f>
        <v>1.4</v>
      </c>
      <c r="BL591" s="12">
        <f>SUM(data__22[[#This Row],[N34]:[N36]])/3</f>
        <v>1.6666666666666667</v>
      </c>
    </row>
    <row r="592" spans="1:64" x14ac:dyDescent="0.3">
      <c r="A592" s="7">
        <v>21</v>
      </c>
      <c r="B592" s="7" t="s">
        <v>70</v>
      </c>
      <c r="C592" s="7" t="s">
        <v>157</v>
      </c>
      <c r="D592" s="7" t="s">
        <v>72</v>
      </c>
      <c r="E592" s="7" t="s">
        <v>73</v>
      </c>
      <c r="F592" s="7" t="s">
        <v>74</v>
      </c>
      <c r="G592" s="7" t="s">
        <v>439</v>
      </c>
      <c r="H592" s="7" t="s">
        <v>74</v>
      </c>
      <c r="I592" s="7" t="s">
        <v>439</v>
      </c>
      <c r="J592" s="7" t="s">
        <v>77</v>
      </c>
      <c r="K592" s="7" t="s">
        <v>131</v>
      </c>
      <c r="L592" s="8" t="s">
        <v>79</v>
      </c>
      <c r="M592" s="8" t="s">
        <v>132</v>
      </c>
      <c r="N592" s="8" t="s">
        <v>79</v>
      </c>
      <c r="O592" s="8" t="s">
        <v>117</v>
      </c>
      <c r="P592" s="8" t="s">
        <v>79</v>
      </c>
      <c r="Q592" s="8" t="s">
        <v>83</v>
      </c>
      <c r="R592" s="8" t="s">
        <v>79</v>
      </c>
      <c r="S592" s="8" t="s">
        <v>82</v>
      </c>
      <c r="T592" s="8" t="s">
        <v>106</v>
      </c>
      <c r="U592" s="8" t="s">
        <v>120</v>
      </c>
      <c r="V592" s="8" t="s">
        <v>112</v>
      </c>
      <c r="W592" s="9">
        <v>3</v>
      </c>
      <c r="X592" s="9">
        <v>3</v>
      </c>
      <c r="Y592" s="9">
        <v>3</v>
      </c>
      <c r="Z592" s="9">
        <v>3</v>
      </c>
      <c r="AA592" s="9">
        <v>2</v>
      </c>
      <c r="AB592" s="9">
        <v>0</v>
      </c>
      <c r="AC592" s="9">
        <v>0</v>
      </c>
      <c r="AD592" s="9">
        <v>2</v>
      </c>
      <c r="AE592" s="9">
        <v>2</v>
      </c>
      <c r="AF592" s="9">
        <v>2</v>
      </c>
      <c r="AG592" s="9">
        <v>2</v>
      </c>
      <c r="AH592" s="9">
        <v>3</v>
      </c>
      <c r="AI592" s="9">
        <v>3</v>
      </c>
      <c r="AJ592" s="9">
        <v>2</v>
      </c>
      <c r="AK592" s="9">
        <v>0</v>
      </c>
      <c r="AL592" s="10">
        <v>3</v>
      </c>
      <c r="AM592" s="10">
        <v>3</v>
      </c>
      <c r="AN592" s="10">
        <v>3</v>
      </c>
      <c r="AO592" s="10">
        <v>0</v>
      </c>
      <c r="AP592" s="10">
        <v>0</v>
      </c>
      <c r="AQ592" s="10">
        <v>0</v>
      </c>
      <c r="AR592" s="10">
        <v>0</v>
      </c>
      <c r="AS592" s="11">
        <v>3</v>
      </c>
      <c r="AT592" s="11">
        <v>3</v>
      </c>
      <c r="AU592" s="11">
        <v>3</v>
      </c>
      <c r="AV592" s="11">
        <v>1</v>
      </c>
      <c r="AW592" s="11">
        <v>1</v>
      </c>
      <c r="AX592" s="11">
        <v>1</v>
      </c>
      <c r="AY592" s="7">
        <v>3</v>
      </c>
      <c r="AZ592" s="7">
        <v>3</v>
      </c>
      <c r="BA592" s="7">
        <v>3</v>
      </c>
      <c r="BB592" s="7">
        <v>3</v>
      </c>
      <c r="BC592" s="7">
        <v>3</v>
      </c>
      <c r="BD592" s="7">
        <v>1</v>
      </c>
      <c r="BE592" s="7">
        <v>1</v>
      </c>
      <c r="BF592" s="7">
        <v>1</v>
      </c>
      <c r="BG592" s="12">
        <f>SUM(data__22[[#This Row],[N1]:[N4]],data__22[[#This Row],[N10]:[N13]],data__22[[#This Row],[N16]:[N18]])/11</f>
        <v>2.8181818181818183</v>
      </c>
      <c r="BH592" s="13">
        <f>SUM(data__22[[#This Row],[N8]:[N9]],data__22[[#This Row],[N23]:[N25]])/5</f>
        <v>2.6</v>
      </c>
      <c r="BI592" s="12">
        <f>SUM(data__22[[#This Row],[N5]:[N7]])/3</f>
        <v>0.66666666666666663</v>
      </c>
      <c r="BJ592" s="12">
        <f>SUM(data__22[[#This Row],[N14]:[N15]],data__22[[#This Row],[N19]:[N22]],data__22[[#This Row],[N26]:[N28]])/9</f>
        <v>0.55555555555555558</v>
      </c>
      <c r="BK592" s="12">
        <f>SUM(data__22[[#This Row],[N29]:[N33]])/5</f>
        <v>3</v>
      </c>
      <c r="BL592" s="12">
        <f>SUM(data__22[[#This Row],[N34]:[N36]])/3</f>
        <v>1</v>
      </c>
    </row>
    <row r="593" spans="1:64" x14ac:dyDescent="0.3">
      <c r="A593" s="7">
        <v>19</v>
      </c>
      <c r="B593" s="7" t="s">
        <v>70</v>
      </c>
      <c r="C593" s="7" t="s">
        <v>157</v>
      </c>
      <c r="D593" s="7" t="s">
        <v>72</v>
      </c>
      <c r="E593" s="7" t="s">
        <v>114</v>
      </c>
      <c r="F593" s="7" t="s">
        <v>74</v>
      </c>
      <c r="G593" s="7" t="s">
        <v>440</v>
      </c>
      <c r="H593" s="7" t="s">
        <v>136</v>
      </c>
      <c r="I593" s="7" t="s">
        <v>76</v>
      </c>
      <c r="J593" s="7" t="s">
        <v>77</v>
      </c>
      <c r="K593" s="7" t="s">
        <v>78</v>
      </c>
      <c r="L593" s="8" t="s">
        <v>79</v>
      </c>
      <c r="M593" s="8" t="s">
        <v>80</v>
      </c>
      <c r="N593" s="8" t="s">
        <v>79</v>
      </c>
      <c r="O593" s="8" t="s">
        <v>138</v>
      </c>
      <c r="P593" s="8" t="s">
        <v>79</v>
      </c>
      <c r="Q593" s="8" t="s">
        <v>83</v>
      </c>
      <c r="R593" s="8" t="s">
        <v>79</v>
      </c>
      <c r="S593" s="8" t="s">
        <v>79</v>
      </c>
      <c r="T593" s="8" t="s">
        <v>106</v>
      </c>
      <c r="U593" s="8" t="s">
        <v>120</v>
      </c>
      <c r="V593" s="8" t="s">
        <v>112</v>
      </c>
      <c r="W593" s="9">
        <v>3</v>
      </c>
      <c r="X593" s="9">
        <v>3</v>
      </c>
      <c r="Y593" s="9">
        <v>3</v>
      </c>
      <c r="Z593" s="9">
        <v>3</v>
      </c>
      <c r="AA593" s="9">
        <v>1</v>
      </c>
      <c r="AB593" s="9">
        <v>1</v>
      </c>
      <c r="AC593" s="9">
        <v>0</v>
      </c>
      <c r="AD593" s="9">
        <v>1</v>
      </c>
      <c r="AE593" s="9">
        <v>1</v>
      </c>
      <c r="AF593" s="9">
        <v>0</v>
      </c>
      <c r="AG593" s="9">
        <v>3</v>
      </c>
      <c r="AH593" s="9">
        <v>3</v>
      </c>
      <c r="AI593" s="9">
        <v>3</v>
      </c>
      <c r="AJ593" s="9">
        <v>1</v>
      </c>
      <c r="AK593" s="9">
        <v>1</v>
      </c>
      <c r="AL593" s="10">
        <v>3</v>
      </c>
      <c r="AM593" s="10">
        <v>3</v>
      </c>
      <c r="AN593" s="10">
        <v>3</v>
      </c>
      <c r="AO593" s="10">
        <v>0</v>
      </c>
      <c r="AP593" s="10">
        <v>1</v>
      </c>
      <c r="AQ593" s="10">
        <v>0</v>
      </c>
      <c r="AR593" s="10">
        <v>3</v>
      </c>
      <c r="AS593" s="11">
        <v>2</v>
      </c>
      <c r="AT593" s="11">
        <v>2</v>
      </c>
      <c r="AU593" s="11">
        <v>3</v>
      </c>
      <c r="AV593" s="11">
        <v>1</v>
      </c>
      <c r="AW593" s="11">
        <v>1</v>
      </c>
      <c r="AX593" s="11">
        <v>0</v>
      </c>
      <c r="AY593" s="7"/>
      <c r="AZ593" s="7"/>
      <c r="BA593" s="7"/>
      <c r="BB593" s="7"/>
      <c r="BC593" s="7"/>
      <c r="BD593" s="7"/>
      <c r="BE593" s="7"/>
      <c r="BF593" s="7"/>
      <c r="BG593" s="12">
        <f>SUM(data__22[[#This Row],[N1]:[N4]],data__22[[#This Row],[N10]:[N13]],data__22[[#This Row],[N16]:[N18]])/11</f>
        <v>2.7272727272727271</v>
      </c>
      <c r="BH593" s="13">
        <f>SUM(data__22[[#This Row],[N8]:[N9]],data__22[[#This Row],[N23]:[N25]])/5</f>
        <v>1.8</v>
      </c>
      <c r="BI593" s="12">
        <f>SUM(data__22[[#This Row],[N5]:[N7]])/3</f>
        <v>0.66666666666666663</v>
      </c>
      <c r="BJ593" s="12">
        <f>SUM(data__22[[#This Row],[N14]:[N15]],data__22[[#This Row],[N19]:[N22]],data__22[[#This Row],[N26]:[N28]])/9</f>
        <v>0.88888888888888884</v>
      </c>
      <c r="BK593" s="12">
        <f>SUM(data__22[[#This Row],[N29]:[N33]])/5</f>
        <v>0</v>
      </c>
      <c r="BL593" s="12">
        <f>SUM(data__22[[#This Row],[N34]:[N36]])/3</f>
        <v>0</v>
      </c>
    </row>
    <row r="594" spans="1:64" x14ac:dyDescent="0.3">
      <c r="A594" s="7">
        <v>20</v>
      </c>
      <c r="B594" s="7" t="s">
        <v>162</v>
      </c>
      <c r="C594" s="7" t="s">
        <v>157</v>
      </c>
      <c r="D594" s="7" t="s">
        <v>72</v>
      </c>
      <c r="E594" s="7" t="s">
        <v>73</v>
      </c>
      <c r="F594" s="7" t="s">
        <v>74</v>
      </c>
      <c r="G594" s="7" t="s">
        <v>99</v>
      </c>
      <c r="H594" s="7" t="s">
        <v>136</v>
      </c>
      <c r="I594" s="7" t="s">
        <v>76</v>
      </c>
      <c r="J594" s="7" t="s">
        <v>77</v>
      </c>
      <c r="K594" s="7" t="s">
        <v>122</v>
      </c>
      <c r="L594" s="8" t="s">
        <v>79</v>
      </c>
      <c r="M594" s="8" t="s">
        <v>80</v>
      </c>
      <c r="N594" s="8" t="s">
        <v>79</v>
      </c>
      <c r="O594" s="8" t="s">
        <v>81</v>
      </c>
      <c r="P594" s="8" t="s">
        <v>82</v>
      </c>
      <c r="Q594" s="8" t="s">
        <v>83</v>
      </c>
      <c r="R594" s="8" t="s">
        <v>82</v>
      </c>
      <c r="S594" s="8" t="s">
        <v>82</v>
      </c>
      <c r="T594" s="8" t="s">
        <v>106</v>
      </c>
      <c r="U594" s="8" t="s">
        <v>141</v>
      </c>
      <c r="V594" s="8" t="s">
        <v>112</v>
      </c>
      <c r="W594" s="9">
        <v>3</v>
      </c>
      <c r="X594" s="9">
        <v>3</v>
      </c>
      <c r="Y594" s="9">
        <v>3</v>
      </c>
      <c r="Z594" s="9">
        <v>3</v>
      </c>
      <c r="AA594" s="9">
        <v>3</v>
      </c>
      <c r="AB594" s="9">
        <v>3</v>
      </c>
      <c r="AC594" s="9">
        <v>3</v>
      </c>
      <c r="AD594" s="9">
        <v>3</v>
      </c>
      <c r="AE594" s="9">
        <v>3</v>
      </c>
      <c r="AF594" s="9">
        <v>3</v>
      </c>
      <c r="AG594" s="9">
        <v>3</v>
      </c>
      <c r="AH594" s="9">
        <v>3</v>
      </c>
      <c r="AI594" s="9">
        <v>3</v>
      </c>
      <c r="AJ594" s="9">
        <v>3</v>
      </c>
      <c r="AK594" s="9">
        <v>3</v>
      </c>
      <c r="AL594" s="10">
        <v>3</v>
      </c>
      <c r="AM594" s="10">
        <v>3</v>
      </c>
      <c r="AN594" s="10">
        <v>3</v>
      </c>
      <c r="AO594" s="10">
        <v>3</v>
      </c>
      <c r="AP594" s="10">
        <v>3</v>
      </c>
      <c r="AQ594" s="10">
        <v>3</v>
      </c>
      <c r="AR594" s="10">
        <v>3</v>
      </c>
      <c r="AS594" s="11">
        <v>3</v>
      </c>
      <c r="AT594" s="11">
        <v>3</v>
      </c>
      <c r="AU594" s="11">
        <v>3</v>
      </c>
      <c r="AV594" s="11">
        <v>3</v>
      </c>
      <c r="AW594" s="11">
        <v>3</v>
      </c>
      <c r="AX594" s="11">
        <v>3</v>
      </c>
      <c r="AY594" s="7">
        <v>3</v>
      </c>
      <c r="AZ594" s="7">
        <v>3</v>
      </c>
      <c r="BA594" s="7">
        <v>3</v>
      </c>
      <c r="BB594" s="7">
        <v>3</v>
      </c>
      <c r="BC594" s="7">
        <v>3</v>
      </c>
      <c r="BD594" s="7">
        <v>3</v>
      </c>
      <c r="BE594" s="7">
        <v>3</v>
      </c>
      <c r="BF594" s="7">
        <v>3</v>
      </c>
      <c r="BG594" s="12">
        <f>SUM(data__22[[#This Row],[N1]:[N4]],data__22[[#This Row],[N10]:[N13]],data__22[[#This Row],[N16]:[N18]])/11</f>
        <v>3</v>
      </c>
      <c r="BH594" s="13">
        <f>SUM(data__22[[#This Row],[N8]:[N9]],data__22[[#This Row],[N23]:[N25]])/5</f>
        <v>3</v>
      </c>
      <c r="BI594" s="12">
        <f>SUM(data__22[[#This Row],[N5]:[N7]])/3</f>
        <v>3</v>
      </c>
      <c r="BJ594" s="12">
        <f>SUM(data__22[[#This Row],[N14]:[N15]],data__22[[#This Row],[N19]:[N22]],data__22[[#This Row],[N26]:[N28]])/9</f>
        <v>3</v>
      </c>
      <c r="BK594" s="12">
        <f>SUM(data__22[[#This Row],[N29]:[N33]])/5</f>
        <v>3</v>
      </c>
      <c r="BL594" s="12">
        <f>SUM(data__22[[#This Row],[N34]:[N36]])/3</f>
        <v>3</v>
      </c>
    </row>
    <row r="595" spans="1:64" x14ac:dyDescent="0.3">
      <c r="A595" s="7">
        <v>20</v>
      </c>
      <c r="B595" s="7" t="s">
        <v>70</v>
      </c>
      <c r="C595" s="7" t="s">
        <v>157</v>
      </c>
      <c r="D595" s="7" t="s">
        <v>72</v>
      </c>
      <c r="E595" s="7" t="s">
        <v>114</v>
      </c>
      <c r="F595" s="7" t="s">
        <v>165</v>
      </c>
      <c r="G595" s="7" t="s">
        <v>438</v>
      </c>
      <c r="H595" s="7" t="s">
        <v>165</v>
      </c>
      <c r="I595" s="7" t="s">
        <v>76</v>
      </c>
      <c r="J595" s="7" t="s">
        <v>101</v>
      </c>
      <c r="K595" s="7" t="s">
        <v>125</v>
      </c>
      <c r="L595" s="8" t="s">
        <v>79</v>
      </c>
      <c r="M595" s="8" t="s">
        <v>80</v>
      </c>
      <c r="N595" s="8" t="s">
        <v>79</v>
      </c>
      <c r="O595" s="8" t="s">
        <v>109</v>
      </c>
      <c r="P595" s="8" t="s">
        <v>79</v>
      </c>
      <c r="Q595" s="8" t="s">
        <v>83</v>
      </c>
      <c r="R595" s="8" t="s">
        <v>79</v>
      </c>
      <c r="S595" s="8" t="s">
        <v>82</v>
      </c>
      <c r="T595" s="8" t="s">
        <v>106</v>
      </c>
      <c r="U595" s="8" t="s">
        <v>87</v>
      </c>
      <c r="V595" s="8" t="s">
        <v>112</v>
      </c>
      <c r="W595" s="9">
        <v>1</v>
      </c>
      <c r="X595" s="9">
        <v>1</v>
      </c>
      <c r="Y595" s="9">
        <v>1</v>
      </c>
      <c r="Z595" s="9">
        <v>1</v>
      </c>
      <c r="AA595" s="9">
        <v>1</v>
      </c>
      <c r="AB595" s="9">
        <v>1</v>
      </c>
      <c r="AC595" s="9">
        <v>1</v>
      </c>
      <c r="AD595" s="9">
        <v>1</v>
      </c>
      <c r="AE595" s="9">
        <v>1</v>
      </c>
      <c r="AF595" s="9">
        <v>1</v>
      </c>
      <c r="AG595" s="9">
        <v>1</v>
      </c>
      <c r="AH595" s="9">
        <v>1</v>
      </c>
      <c r="AI595" s="9">
        <v>1</v>
      </c>
      <c r="AJ595" s="9">
        <v>1</v>
      </c>
      <c r="AK595" s="9">
        <v>0</v>
      </c>
      <c r="AL595" s="10">
        <v>1</v>
      </c>
      <c r="AM595" s="10">
        <v>1</v>
      </c>
      <c r="AN595" s="10">
        <v>1</v>
      </c>
      <c r="AO595" s="10">
        <v>1</v>
      </c>
      <c r="AP595" s="10">
        <v>0</v>
      </c>
      <c r="AQ595" s="10">
        <v>1</v>
      </c>
      <c r="AR595" s="10">
        <v>0</v>
      </c>
      <c r="AS595" s="11">
        <v>1</v>
      </c>
      <c r="AT595" s="11">
        <v>0</v>
      </c>
      <c r="AU595" s="11">
        <v>1</v>
      </c>
      <c r="AV595" s="11">
        <v>0</v>
      </c>
      <c r="AW595" s="11">
        <v>1</v>
      </c>
      <c r="AX595" s="11">
        <v>0</v>
      </c>
      <c r="AY595" s="7">
        <v>1</v>
      </c>
      <c r="AZ595" s="7">
        <v>0</v>
      </c>
      <c r="BA595" s="7">
        <v>1</v>
      </c>
      <c r="BB595" s="7">
        <v>1</v>
      </c>
      <c r="BC595" s="7">
        <v>1</v>
      </c>
      <c r="BD595" s="7">
        <v>1</v>
      </c>
      <c r="BE595" s="7">
        <v>0</v>
      </c>
      <c r="BF595" s="7">
        <v>1</v>
      </c>
      <c r="BG595" s="12">
        <f>SUM(data__22[[#This Row],[N1]:[N4]],data__22[[#This Row],[N10]:[N13]],data__22[[#This Row],[N16]:[N18]])/11</f>
        <v>1</v>
      </c>
      <c r="BH595" s="13">
        <f>SUM(data__22[[#This Row],[N8]:[N9]],data__22[[#This Row],[N23]:[N25]])/5</f>
        <v>0.8</v>
      </c>
      <c r="BI595" s="12">
        <f>SUM(data__22[[#This Row],[N5]:[N7]])/3</f>
        <v>1</v>
      </c>
      <c r="BJ595" s="12">
        <f>SUM(data__22[[#This Row],[N14]:[N15]],data__22[[#This Row],[N19]:[N22]],data__22[[#This Row],[N26]:[N28]])/9</f>
        <v>0.44444444444444442</v>
      </c>
      <c r="BK595" s="12">
        <f>SUM(data__22[[#This Row],[N29]:[N33]])/5</f>
        <v>0.8</v>
      </c>
      <c r="BL595" s="12">
        <f>SUM(data__22[[#This Row],[N34]:[N36]])/3</f>
        <v>0.66666666666666663</v>
      </c>
    </row>
    <row r="596" spans="1:64" x14ac:dyDescent="0.3">
      <c r="A596" s="7">
        <v>21</v>
      </c>
      <c r="B596" s="7" t="s">
        <v>70</v>
      </c>
      <c r="C596" s="7" t="s">
        <v>157</v>
      </c>
      <c r="D596" s="7" t="s">
        <v>97</v>
      </c>
      <c r="E596" s="7" t="s">
        <v>108</v>
      </c>
      <c r="F596" s="7" t="s">
        <v>74</v>
      </c>
      <c r="G596" s="7" t="s">
        <v>439</v>
      </c>
      <c r="H596" s="7" t="s">
        <v>74</v>
      </c>
      <c r="I596" s="7" t="s">
        <v>76</v>
      </c>
      <c r="J596" s="7" t="s">
        <v>77</v>
      </c>
      <c r="K596" s="7" t="s">
        <v>131</v>
      </c>
      <c r="L596" s="8" t="s">
        <v>79</v>
      </c>
      <c r="M596" s="8" t="s">
        <v>80</v>
      </c>
      <c r="N596" s="8" t="s">
        <v>79</v>
      </c>
      <c r="O596" s="8" t="s">
        <v>117</v>
      </c>
      <c r="P596" s="8" t="s">
        <v>82</v>
      </c>
      <c r="Q596" s="8" t="s">
        <v>83</v>
      </c>
      <c r="R596" s="8" t="s">
        <v>82</v>
      </c>
      <c r="S596" s="8" t="s">
        <v>82</v>
      </c>
      <c r="T596" s="8" t="s">
        <v>106</v>
      </c>
      <c r="U596" s="8" t="s">
        <v>87</v>
      </c>
      <c r="V596" s="8" t="s">
        <v>112</v>
      </c>
      <c r="W596" s="9">
        <v>3</v>
      </c>
      <c r="X596" s="9">
        <v>3</v>
      </c>
      <c r="Y596" s="9">
        <v>3</v>
      </c>
      <c r="Z596" s="9">
        <v>3</v>
      </c>
      <c r="AA596" s="9">
        <v>3</v>
      </c>
      <c r="AB596" s="9">
        <v>3</v>
      </c>
      <c r="AC596" s="9">
        <v>3</v>
      </c>
      <c r="AD596" s="9">
        <v>3</v>
      </c>
      <c r="AE596" s="9">
        <v>3</v>
      </c>
      <c r="AF596" s="9">
        <v>3</v>
      </c>
      <c r="AG596" s="9">
        <v>3</v>
      </c>
      <c r="AH596" s="9">
        <v>2</v>
      </c>
      <c r="AI596" s="9">
        <v>2</v>
      </c>
      <c r="AJ596" s="9">
        <v>2</v>
      </c>
      <c r="AK596" s="9">
        <v>2</v>
      </c>
      <c r="AL596" s="10">
        <v>3</v>
      </c>
      <c r="AM596" s="10">
        <v>3</v>
      </c>
      <c r="AN596" s="10">
        <v>3</v>
      </c>
      <c r="AO596" s="10">
        <v>3</v>
      </c>
      <c r="AP596" s="10">
        <v>2</v>
      </c>
      <c r="AQ596" s="10">
        <v>1</v>
      </c>
      <c r="AR596" s="10">
        <v>1</v>
      </c>
      <c r="AS596" s="11">
        <v>2</v>
      </c>
      <c r="AT596" s="11">
        <v>2</v>
      </c>
      <c r="AU596" s="11">
        <v>2</v>
      </c>
      <c r="AV596" s="11">
        <v>2</v>
      </c>
      <c r="AW596" s="11">
        <v>2</v>
      </c>
      <c r="AX596" s="11">
        <v>2</v>
      </c>
      <c r="AY596" s="7">
        <v>3</v>
      </c>
      <c r="AZ596" s="7">
        <v>3</v>
      </c>
      <c r="BA596" s="7">
        <v>3</v>
      </c>
      <c r="BB596" s="7">
        <v>3</v>
      </c>
      <c r="BC596" s="7">
        <v>3</v>
      </c>
      <c r="BD596" s="7">
        <v>2</v>
      </c>
      <c r="BE596" s="7">
        <v>2</v>
      </c>
      <c r="BF596" s="7">
        <v>3</v>
      </c>
      <c r="BG596" s="12">
        <f>SUM(data__22[[#This Row],[N1]:[N4]],data__22[[#This Row],[N10]:[N13]],data__22[[#This Row],[N16]:[N18]])/11</f>
        <v>2.8181818181818183</v>
      </c>
      <c r="BH596" s="13">
        <f>SUM(data__22[[#This Row],[N8]:[N9]],data__22[[#This Row],[N23]:[N25]])/5</f>
        <v>2.4</v>
      </c>
      <c r="BI596" s="12">
        <f>SUM(data__22[[#This Row],[N5]:[N7]])/3</f>
        <v>3</v>
      </c>
      <c r="BJ596" s="12">
        <f>SUM(data__22[[#This Row],[N14]:[N15]],data__22[[#This Row],[N19]:[N22]],data__22[[#This Row],[N26]:[N28]])/9</f>
        <v>1.8888888888888888</v>
      </c>
      <c r="BK596" s="12">
        <f>SUM(data__22[[#This Row],[N29]:[N33]])/5</f>
        <v>3</v>
      </c>
      <c r="BL596" s="12">
        <f>SUM(data__22[[#This Row],[N34]:[N36]])/3</f>
        <v>2.3333333333333335</v>
      </c>
    </row>
    <row r="597" spans="1:64" x14ac:dyDescent="0.3">
      <c r="A597" s="7">
        <v>22</v>
      </c>
      <c r="B597" s="7" t="s">
        <v>70</v>
      </c>
      <c r="C597" s="7" t="s">
        <v>157</v>
      </c>
      <c r="D597" s="7" t="s">
        <v>72</v>
      </c>
      <c r="E597" s="7" t="s">
        <v>114</v>
      </c>
      <c r="F597" s="7" t="s">
        <v>98</v>
      </c>
      <c r="G597" s="7" t="s">
        <v>440</v>
      </c>
      <c r="H597" s="7" t="s">
        <v>98</v>
      </c>
      <c r="I597" s="7" t="s">
        <v>76</v>
      </c>
      <c r="J597" s="7" t="s">
        <v>77</v>
      </c>
      <c r="K597" s="7" t="s">
        <v>125</v>
      </c>
      <c r="L597" s="8" t="s">
        <v>79</v>
      </c>
      <c r="M597" s="8" t="s">
        <v>102</v>
      </c>
      <c r="N597" s="8" t="s">
        <v>79</v>
      </c>
      <c r="O597" s="8" t="s">
        <v>117</v>
      </c>
      <c r="P597" s="8" t="s">
        <v>82</v>
      </c>
      <c r="Q597" s="8" t="s">
        <v>83</v>
      </c>
      <c r="R597" s="8" t="s">
        <v>82</v>
      </c>
      <c r="S597" s="8" t="s">
        <v>82</v>
      </c>
      <c r="T597" s="8" t="s">
        <v>86</v>
      </c>
      <c r="U597" s="8" t="s">
        <v>87</v>
      </c>
      <c r="V597" s="8" t="s">
        <v>455</v>
      </c>
      <c r="W597" s="9">
        <v>3</v>
      </c>
      <c r="X597" s="9">
        <v>3</v>
      </c>
      <c r="Y597" s="9">
        <v>3</v>
      </c>
      <c r="Z597" s="9">
        <v>3</v>
      </c>
      <c r="AA597" s="9">
        <v>1</v>
      </c>
      <c r="AB597" s="9">
        <v>1</v>
      </c>
      <c r="AC597" s="9">
        <v>0</v>
      </c>
      <c r="AD597" s="9">
        <v>3</v>
      </c>
      <c r="AE597" s="9">
        <v>3</v>
      </c>
      <c r="AF597" s="9">
        <v>3</v>
      </c>
      <c r="AG597" s="9">
        <v>3</v>
      </c>
      <c r="AH597" s="9">
        <v>3</v>
      </c>
      <c r="AI597" s="9">
        <v>3</v>
      </c>
      <c r="AJ597" s="9">
        <v>0</v>
      </c>
      <c r="AK597" s="9">
        <v>0</v>
      </c>
      <c r="AL597" s="10">
        <v>3</v>
      </c>
      <c r="AM597" s="10">
        <v>3</v>
      </c>
      <c r="AN597" s="10">
        <v>3</v>
      </c>
      <c r="AO597" s="10">
        <v>0</v>
      </c>
      <c r="AP597" s="10">
        <v>0</v>
      </c>
      <c r="AQ597" s="10">
        <v>0</v>
      </c>
      <c r="AR597" s="10">
        <v>0</v>
      </c>
      <c r="AS597" s="11">
        <v>3</v>
      </c>
      <c r="AT597" s="11">
        <v>3</v>
      </c>
      <c r="AU597" s="11">
        <v>3</v>
      </c>
      <c r="AV597" s="11">
        <v>0</v>
      </c>
      <c r="AW597" s="11">
        <v>0</v>
      </c>
      <c r="AX597" s="11">
        <v>0</v>
      </c>
      <c r="AY597" s="7">
        <v>3</v>
      </c>
      <c r="AZ597" s="7">
        <v>3</v>
      </c>
      <c r="BA597" s="7">
        <v>3</v>
      </c>
      <c r="BB597" s="7">
        <v>3</v>
      </c>
      <c r="BC597" s="7">
        <v>3</v>
      </c>
      <c r="BD597" s="7">
        <v>0</v>
      </c>
      <c r="BE597" s="7">
        <v>0</v>
      </c>
      <c r="BF597" s="7">
        <v>0</v>
      </c>
      <c r="BG597" s="12">
        <f>SUM(data__22[[#This Row],[N1]:[N4]],data__22[[#This Row],[N10]:[N13]],data__22[[#This Row],[N16]:[N18]])/11</f>
        <v>3</v>
      </c>
      <c r="BH597" s="13">
        <f>SUM(data__22[[#This Row],[N8]:[N9]],data__22[[#This Row],[N23]:[N25]])/5</f>
        <v>3</v>
      </c>
      <c r="BI597" s="12">
        <f>SUM(data__22[[#This Row],[N5]:[N7]])/3</f>
        <v>0.66666666666666663</v>
      </c>
      <c r="BJ597" s="12">
        <f>SUM(data__22[[#This Row],[N14]:[N15]],data__22[[#This Row],[N19]:[N22]],data__22[[#This Row],[N26]:[N28]])/9</f>
        <v>0</v>
      </c>
      <c r="BK597" s="12">
        <f>SUM(data__22[[#This Row],[N29]:[N33]])/5</f>
        <v>3</v>
      </c>
      <c r="BL597" s="12">
        <f>SUM(data__22[[#This Row],[N34]:[N36]])/3</f>
        <v>0</v>
      </c>
    </row>
    <row r="598" spans="1:64" x14ac:dyDescent="0.3">
      <c r="A598" s="7">
        <v>22</v>
      </c>
      <c r="B598" s="7" t="s">
        <v>128</v>
      </c>
      <c r="C598" s="7" t="s">
        <v>96</v>
      </c>
      <c r="D598" s="7" t="s">
        <v>97</v>
      </c>
      <c r="E598" s="7" t="s">
        <v>114</v>
      </c>
      <c r="F598" s="7" t="s">
        <v>74</v>
      </c>
      <c r="G598" s="7" t="s">
        <v>440</v>
      </c>
      <c r="H598" s="7" t="s">
        <v>74</v>
      </c>
      <c r="I598" s="7" t="s">
        <v>439</v>
      </c>
      <c r="J598" s="7" t="s">
        <v>101</v>
      </c>
      <c r="K598" s="7" t="s">
        <v>125</v>
      </c>
      <c r="L598" s="8" t="s">
        <v>79</v>
      </c>
      <c r="M598" s="8" t="s">
        <v>80</v>
      </c>
      <c r="N598" s="8" t="s">
        <v>82</v>
      </c>
      <c r="O598" s="8" t="s">
        <v>117</v>
      </c>
      <c r="P598" s="8" t="s">
        <v>82</v>
      </c>
      <c r="Q598" s="8" t="s">
        <v>118</v>
      </c>
      <c r="R598" s="8" t="s">
        <v>82</v>
      </c>
      <c r="S598" s="8" t="s">
        <v>82</v>
      </c>
      <c r="T598" s="8" t="s">
        <v>106</v>
      </c>
      <c r="U598" s="8" t="s">
        <v>87</v>
      </c>
      <c r="V598" s="8" t="s">
        <v>127</v>
      </c>
      <c r="W598" s="9">
        <v>3</v>
      </c>
      <c r="X598" s="9">
        <v>3</v>
      </c>
      <c r="Y598" s="9">
        <v>3</v>
      </c>
      <c r="Z598" s="9">
        <v>2</v>
      </c>
      <c r="AA598" s="9">
        <v>1</v>
      </c>
      <c r="AB598" s="9">
        <v>0</v>
      </c>
      <c r="AC598" s="9">
        <v>1</v>
      </c>
      <c r="AD598" s="9">
        <v>3</v>
      </c>
      <c r="AE598" s="9">
        <v>2</v>
      </c>
      <c r="AF598" s="9">
        <v>0</v>
      </c>
      <c r="AG598" s="9">
        <v>3</v>
      </c>
      <c r="AH598" s="9">
        <v>3</v>
      </c>
      <c r="AI598" s="9">
        <v>3</v>
      </c>
      <c r="AJ598" s="9">
        <v>0</v>
      </c>
      <c r="AK598" s="9">
        <v>0</v>
      </c>
      <c r="AL598" s="10">
        <v>3</v>
      </c>
      <c r="AM598" s="10">
        <v>3</v>
      </c>
      <c r="AN598" s="10">
        <v>3</v>
      </c>
      <c r="AO598" s="10">
        <v>0</v>
      </c>
      <c r="AP598" s="10">
        <v>0</v>
      </c>
      <c r="AQ598" s="10">
        <v>0</v>
      </c>
      <c r="AR598" s="10">
        <v>2</v>
      </c>
      <c r="AS598" s="11">
        <v>3</v>
      </c>
      <c r="AT598" s="11">
        <v>3</v>
      </c>
      <c r="AU598" s="11">
        <v>3</v>
      </c>
      <c r="AV598" s="11">
        <v>0</v>
      </c>
      <c r="AW598" s="11">
        <v>3</v>
      </c>
      <c r="AX598" s="11">
        <v>2</v>
      </c>
      <c r="AY598" s="7">
        <v>3</v>
      </c>
      <c r="AZ598" s="7">
        <v>0</v>
      </c>
      <c r="BA598" s="7">
        <v>3</v>
      </c>
      <c r="BB598" s="7">
        <v>3</v>
      </c>
      <c r="BC598" s="7">
        <v>3</v>
      </c>
      <c r="BD598" s="7">
        <v>0</v>
      </c>
      <c r="BE598" s="7">
        <v>0</v>
      </c>
      <c r="BF598" s="7">
        <v>0</v>
      </c>
      <c r="BG598" s="12">
        <f>SUM(data__22[[#This Row],[N1]:[N4]],data__22[[#This Row],[N10]:[N13]],data__22[[#This Row],[N16]:[N18]])/11</f>
        <v>2.6363636363636362</v>
      </c>
      <c r="BH598" s="13">
        <f>SUM(data__22[[#This Row],[N8]:[N9]],data__22[[#This Row],[N23]:[N25]])/5</f>
        <v>2.8</v>
      </c>
      <c r="BI598" s="12">
        <f>SUM(data__22[[#This Row],[N5]:[N7]])/3</f>
        <v>0.66666666666666663</v>
      </c>
      <c r="BJ598" s="12">
        <f>SUM(data__22[[#This Row],[N14]:[N15]],data__22[[#This Row],[N19]:[N22]],data__22[[#This Row],[N26]:[N28]])/9</f>
        <v>0.77777777777777779</v>
      </c>
      <c r="BK598" s="12">
        <f>SUM(data__22[[#This Row],[N29]:[N33]])/5</f>
        <v>2.4</v>
      </c>
      <c r="BL598" s="12">
        <f>SUM(data__22[[#This Row],[N34]:[N36]])/3</f>
        <v>0</v>
      </c>
    </row>
    <row r="599" spans="1:64" x14ac:dyDescent="0.3">
      <c r="A599" s="7">
        <v>23</v>
      </c>
      <c r="B599" s="7" t="s">
        <v>70</v>
      </c>
      <c r="C599" s="7" t="s">
        <v>113</v>
      </c>
      <c r="D599" s="7" t="s">
        <v>72</v>
      </c>
      <c r="E599" s="7" t="s">
        <v>114</v>
      </c>
      <c r="F599" s="7" t="s">
        <v>136</v>
      </c>
      <c r="G599" s="7" t="s">
        <v>440</v>
      </c>
      <c r="H599" s="7" t="s">
        <v>98</v>
      </c>
      <c r="I599" s="7" t="s">
        <v>76</v>
      </c>
      <c r="J599" s="7" t="s">
        <v>101</v>
      </c>
      <c r="K599" s="7" t="s">
        <v>122</v>
      </c>
      <c r="L599" s="8" t="s">
        <v>82</v>
      </c>
      <c r="M599" s="8" t="s">
        <v>80</v>
      </c>
      <c r="N599" s="8" t="s">
        <v>79</v>
      </c>
      <c r="O599" s="8" t="s">
        <v>81</v>
      </c>
      <c r="P599" s="8" t="s">
        <v>79</v>
      </c>
      <c r="Q599" s="8" t="s">
        <v>83</v>
      </c>
      <c r="R599" s="8" t="s">
        <v>79</v>
      </c>
      <c r="S599" s="8" t="s">
        <v>82</v>
      </c>
      <c r="T599" s="8" t="s">
        <v>106</v>
      </c>
      <c r="U599" s="8" t="s">
        <v>87</v>
      </c>
      <c r="V599" s="8" t="s">
        <v>112</v>
      </c>
      <c r="W599" s="9">
        <v>3</v>
      </c>
      <c r="X599" s="9">
        <v>3</v>
      </c>
      <c r="Y599" s="9">
        <v>3</v>
      </c>
      <c r="Z599" s="9">
        <v>3</v>
      </c>
      <c r="AA599" s="9">
        <v>0</v>
      </c>
      <c r="AB599" s="9">
        <v>0</v>
      </c>
      <c r="AC599" s="9">
        <v>0</v>
      </c>
      <c r="AD599" s="9">
        <v>3</v>
      </c>
      <c r="AE599" s="9">
        <v>3</v>
      </c>
      <c r="AF599" s="9">
        <v>3</v>
      </c>
      <c r="AG599" s="9">
        <v>3</v>
      </c>
      <c r="AH599" s="9">
        <v>3</v>
      </c>
      <c r="AI599" s="9">
        <v>2</v>
      </c>
      <c r="AJ599" s="9">
        <v>2</v>
      </c>
      <c r="AK599" s="9">
        <v>0</v>
      </c>
      <c r="AL599" s="10">
        <v>2</v>
      </c>
      <c r="AM599" s="10">
        <v>1</v>
      </c>
      <c r="AN599" s="10">
        <v>3</v>
      </c>
      <c r="AO599" s="10">
        <v>2</v>
      </c>
      <c r="AP599" s="10">
        <v>0</v>
      </c>
      <c r="AQ599" s="10">
        <v>0</v>
      </c>
      <c r="AR599" s="10">
        <v>0</v>
      </c>
      <c r="AS599" s="11">
        <v>3</v>
      </c>
      <c r="AT599" s="11">
        <v>3</v>
      </c>
      <c r="AU599" s="11">
        <v>3</v>
      </c>
      <c r="AV599" s="11">
        <v>2</v>
      </c>
      <c r="AW599" s="11">
        <v>0</v>
      </c>
      <c r="AX599" s="11">
        <v>0</v>
      </c>
      <c r="AY599" s="7">
        <v>3</v>
      </c>
      <c r="AZ599" s="7">
        <v>3</v>
      </c>
      <c r="BA599" s="7">
        <v>3</v>
      </c>
      <c r="BB599" s="7">
        <v>3</v>
      </c>
      <c r="BC599" s="7">
        <v>3</v>
      </c>
      <c r="BD599" s="7">
        <v>0</v>
      </c>
      <c r="BE599" s="7">
        <v>2</v>
      </c>
      <c r="BF599" s="7">
        <v>0</v>
      </c>
      <c r="BG599" s="12">
        <f>SUM(data__22[[#This Row],[N1]:[N4]],data__22[[#This Row],[N10]:[N13]],data__22[[#This Row],[N16]:[N18]])/11</f>
        <v>2.6363636363636362</v>
      </c>
      <c r="BH599" s="13">
        <f>SUM(data__22[[#This Row],[N8]:[N9]],data__22[[#This Row],[N23]:[N25]])/5</f>
        <v>3</v>
      </c>
      <c r="BI599" s="12">
        <f>SUM(data__22[[#This Row],[N5]:[N7]])/3</f>
        <v>0</v>
      </c>
      <c r="BJ599" s="12">
        <f>SUM(data__22[[#This Row],[N14]:[N15]],data__22[[#This Row],[N19]:[N22]],data__22[[#This Row],[N26]:[N28]])/9</f>
        <v>0.66666666666666663</v>
      </c>
      <c r="BK599" s="12">
        <f>SUM(data__22[[#This Row],[N29]:[N33]])/5</f>
        <v>3</v>
      </c>
      <c r="BL599" s="12">
        <f>SUM(data__22[[#This Row],[N34]:[N36]])/3</f>
        <v>0.66666666666666663</v>
      </c>
    </row>
    <row r="600" spans="1:64" x14ac:dyDescent="0.3">
      <c r="A600" s="7">
        <v>24</v>
      </c>
      <c r="B600" s="7" t="s">
        <v>70</v>
      </c>
      <c r="C600" s="7" t="s">
        <v>113</v>
      </c>
      <c r="D600" s="7" t="s">
        <v>72</v>
      </c>
      <c r="E600" s="7" t="s">
        <v>114</v>
      </c>
      <c r="F600" s="7" t="s">
        <v>136</v>
      </c>
      <c r="G600" s="7" t="s">
        <v>439</v>
      </c>
      <c r="H600" s="7" t="s">
        <v>100</v>
      </c>
      <c r="I600" s="7" t="s">
        <v>76</v>
      </c>
      <c r="J600" s="7" t="s">
        <v>77</v>
      </c>
      <c r="K600" s="7" t="s">
        <v>122</v>
      </c>
      <c r="L600" s="8" t="s">
        <v>79</v>
      </c>
      <c r="M600" s="8" t="s">
        <v>80</v>
      </c>
      <c r="N600" s="8" t="s">
        <v>79</v>
      </c>
      <c r="O600" s="8" t="s">
        <v>138</v>
      </c>
      <c r="P600" s="8" t="s">
        <v>79</v>
      </c>
      <c r="Q600" s="8" t="s">
        <v>83</v>
      </c>
      <c r="R600" s="8" t="s">
        <v>79</v>
      </c>
      <c r="S600" s="8" t="s">
        <v>79</v>
      </c>
      <c r="T600" s="8" t="s">
        <v>86</v>
      </c>
      <c r="U600" s="8" t="s">
        <v>141</v>
      </c>
      <c r="V600" s="8" t="s">
        <v>112</v>
      </c>
      <c r="W600" s="9">
        <v>0</v>
      </c>
      <c r="X600" s="9">
        <v>2</v>
      </c>
      <c r="Y600" s="9">
        <v>1</v>
      </c>
      <c r="Z600" s="9">
        <v>1</v>
      </c>
      <c r="AA600" s="9">
        <v>1</v>
      </c>
      <c r="AB600" s="9">
        <v>1</v>
      </c>
      <c r="AC600" s="9">
        <v>1</v>
      </c>
      <c r="AD600" s="9">
        <v>2</v>
      </c>
      <c r="AE600" s="9">
        <v>2</v>
      </c>
      <c r="AF600" s="9">
        <v>2</v>
      </c>
      <c r="AG600" s="9">
        <v>1</v>
      </c>
      <c r="AH600" s="9">
        <v>2</v>
      </c>
      <c r="AI600" s="9">
        <v>1</v>
      </c>
      <c r="AJ600" s="9">
        <v>2</v>
      </c>
      <c r="AK600" s="9">
        <v>2</v>
      </c>
      <c r="AL600" s="10">
        <v>1</v>
      </c>
      <c r="AM600" s="10">
        <v>2</v>
      </c>
      <c r="AN600" s="10">
        <v>1</v>
      </c>
      <c r="AO600" s="10">
        <v>1</v>
      </c>
      <c r="AP600" s="10">
        <v>1</v>
      </c>
      <c r="AQ600" s="10">
        <v>1</v>
      </c>
      <c r="AR600" s="10">
        <v>1</v>
      </c>
      <c r="AS600" s="11">
        <v>2</v>
      </c>
      <c r="AT600" s="11">
        <v>2</v>
      </c>
      <c r="AU600" s="11">
        <v>1</v>
      </c>
      <c r="AV600" s="11">
        <v>2</v>
      </c>
      <c r="AW600" s="11">
        <v>1</v>
      </c>
      <c r="AX600" s="11">
        <v>0</v>
      </c>
      <c r="AY600" s="7">
        <v>1</v>
      </c>
      <c r="AZ600" s="7">
        <v>0</v>
      </c>
      <c r="BA600" s="7">
        <v>1</v>
      </c>
      <c r="BB600" s="7">
        <v>1</v>
      </c>
      <c r="BC600" s="7">
        <v>2</v>
      </c>
      <c r="BD600" s="7">
        <v>0</v>
      </c>
      <c r="BE600" s="7">
        <v>1</v>
      </c>
      <c r="BF600" s="7">
        <v>1</v>
      </c>
      <c r="BG600" s="12">
        <f>SUM(data__22[[#This Row],[N1]:[N4]],data__22[[#This Row],[N10]:[N13]],data__22[[#This Row],[N16]:[N18]])/11</f>
        <v>1.2727272727272727</v>
      </c>
      <c r="BH600" s="13">
        <f>SUM(data__22[[#This Row],[N8]:[N9]],data__22[[#This Row],[N23]:[N25]])/5</f>
        <v>1.8</v>
      </c>
      <c r="BI600" s="12">
        <f>SUM(data__22[[#This Row],[N5]:[N7]])/3</f>
        <v>1</v>
      </c>
      <c r="BJ600" s="12">
        <f>SUM(data__22[[#This Row],[N14]:[N15]],data__22[[#This Row],[N19]:[N22]],data__22[[#This Row],[N26]:[N28]])/9</f>
        <v>1.2222222222222223</v>
      </c>
      <c r="BK600" s="12">
        <f>SUM(data__22[[#This Row],[N29]:[N33]])/5</f>
        <v>1</v>
      </c>
      <c r="BL600" s="12">
        <f>SUM(data__22[[#This Row],[N34]:[N36]])/3</f>
        <v>0.66666666666666663</v>
      </c>
    </row>
    <row r="601" spans="1:64" x14ac:dyDescent="0.3">
      <c r="A601" s="7">
        <v>22</v>
      </c>
      <c r="B601" s="7" t="s">
        <v>128</v>
      </c>
      <c r="C601" s="7" t="s">
        <v>96</v>
      </c>
      <c r="D601" s="7" t="s">
        <v>72</v>
      </c>
      <c r="E601" s="7" t="s">
        <v>108</v>
      </c>
      <c r="F601" s="7" t="s">
        <v>100</v>
      </c>
      <c r="G601" s="7" t="s">
        <v>440</v>
      </c>
      <c r="H601" s="7" t="s">
        <v>100</v>
      </c>
      <c r="I601" s="7" t="s">
        <v>76</v>
      </c>
      <c r="J601" s="7" t="s">
        <v>77</v>
      </c>
      <c r="K601" s="7" t="s">
        <v>125</v>
      </c>
      <c r="L601" s="8" t="s">
        <v>79</v>
      </c>
      <c r="M601" s="8" t="s">
        <v>80</v>
      </c>
      <c r="N601" s="8" t="s">
        <v>79</v>
      </c>
      <c r="O601" s="8" t="s">
        <v>117</v>
      </c>
      <c r="P601" s="8" t="s">
        <v>79</v>
      </c>
      <c r="Q601" s="8" t="s">
        <v>118</v>
      </c>
      <c r="R601" s="8" t="s">
        <v>82</v>
      </c>
      <c r="S601" s="8" t="s">
        <v>82</v>
      </c>
      <c r="T601" s="8" t="s">
        <v>106</v>
      </c>
      <c r="U601" s="8" t="s">
        <v>87</v>
      </c>
      <c r="V601" s="8" t="s">
        <v>455</v>
      </c>
      <c r="W601" s="9">
        <v>2</v>
      </c>
      <c r="X601" s="9">
        <v>3</v>
      </c>
      <c r="Y601" s="9">
        <v>2</v>
      </c>
      <c r="Z601" s="9">
        <v>3</v>
      </c>
      <c r="AA601" s="9">
        <v>2</v>
      </c>
      <c r="AB601" s="9">
        <v>1</v>
      </c>
      <c r="AC601" s="9">
        <v>1</v>
      </c>
      <c r="AD601" s="9">
        <v>1</v>
      </c>
      <c r="AE601" s="9">
        <v>1</v>
      </c>
      <c r="AF601" s="9">
        <v>1</v>
      </c>
      <c r="AG601" s="9">
        <v>1</v>
      </c>
      <c r="AH601" s="9">
        <v>1</v>
      </c>
      <c r="AI601" s="9">
        <v>1</v>
      </c>
      <c r="AJ601" s="9">
        <v>2</v>
      </c>
      <c r="AK601" s="9">
        <v>1</v>
      </c>
      <c r="AL601" s="10">
        <v>3</v>
      </c>
      <c r="AM601" s="10">
        <v>2</v>
      </c>
      <c r="AN601" s="10">
        <v>2</v>
      </c>
      <c r="AO601" s="10">
        <v>2</v>
      </c>
      <c r="AP601" s="10">
        <v>2</v>
      </c>
      <c r="AQ601" s="10">
        <v>2</v>
      </c>
      <c r="AR601" s="10">
        <v>2</v>
      </c>
      <c r="AS601" s="11">
        <v>2</v>
      </c>
      <c r="AT601" s="11">
        <v>2</v>
      </c>
      <c r="AU601" s="11">
        <v>2</v>
      </c>
      <c r="AV601" s="11">
        <v>2</v>
      </c>
      <c r="AW601" s="11">
        <v>2</v>
      </c>
      <c r="AX601" s="11">
        <v>2</v>
      </c>
      <c r="AY601" s="7">
        <v>2</v>
      </c>
      <c r="AZ601" s="7">
        <v>2</v>
      </c>
      <c r="BA601" s="7">
        <v>2</v>
      </c>
      <c r="BB601" s="7">
        <v>2</v>
      </c>
      <c r="BC601" s="7">
        <v>2</v>
      </c>
      <c r="BD601" s="7">
        <v>2</v>
      </c>
      <c r="BE601" s="7">
        <v>2</v>
      </c>
      <c r="BF601" s="7">
        <v>2</v>
      </c>
      <c r="BG601" s="12">
        <f>SUM(data__22[[#This Row],[N1]:[N4]],data__22[[#This Row],[N10]:[N13]],data__22[[#This Row],[N16]:[N18]])/11</f>
        <v>1.9090909090909092</v>
      </c>
      <c r="BH601" s="13">
        <f>SUM(data__22[[#This Row],[N8]:[N9]],data__22[[#This Row],[N23]:[N25]])/5</f>
        <v>1.6</v>
      </c>
      <c r="BI601" s="12">
        <f>SUM(data__22[[#This Row],[N5]:[N7]])/3</f>
        <v>1.3333333333333333</v>
      </c>
      <c r="BJ601" s="12">
        <f>SUM(data__22[[#This Row],[N14]:[N15]],data__22[[#This Row],[N19]:[N22]],data__22[[#This Row],[N26]:[N28]])/9</f>
        <v>1.8888888888888888</v>
      </c>
      <c r="BK601" s="12">
        <f>SUM(data__22[[#This Row],[N29]:[N33]])/5</f>
        <v>2</v>
      </c>
      <c r="BL601" s="12">
        <f>SUM(data__22[[#This Row],[N34]:[N36]])/3</f>
        <v>2</v>
      </c>
    </row>
    <row r="602" spans="1:64" x14ac:dyDescent="0.3">
      <c r="A602" s="7">
        <v>23</v>
      </c>
      <c r="B602" s="7" t="s">
        <v>70</v>
      </c>
      <c r="C602" s="7" t="s">
        <v>113</v>
      </c>
      <c r="D602" s="7" t="s">
        <v>72</v>
      </c>
      <c r="E602" s="7" t="s">
        <v>73</v>
      </c>
      <c r="F602" s="7" t="s">
        <v>136</v>
      </c>
      <c r="G602" s="7" t="s">
        <v>440</v>
      </c>
      <c r="H602" s="7" t="s">
        <v>136</v>
      </c>
      <c r="I602" s="7" t="s">
        <v>76</v>
      </c>
      <c r="J602" s="7" t="s">
        <v>77</v>
      </c>
      <c r="K602" s="7" t="s">
        <v>131</v>
      </c>
      <c r="L602" s="8" t="s">
        <v>79</v>
      </c>
      <c r="M602" s="8" t="s">
        <v>80</v>
      </c>
      <c r="N602" s="8" t="s">
        <v>79</v>
      </c>
      <c r="O602" s="8" t="s">
        <v>117</v>
      </c>
      <c r="P602" s="8" t="s">
        <v>82</v>
      </c>
      <c r="Q602" s="8" t="s">
        <v>83</v>
      </c>
      <c r="R602" s="8" t="s">
        <v>82</v>
      </c>
      <c r="S602" s="8" t="s">
        <v>82</v>
      </c>
      <c r="T602" s="8" t="s">
        <v>106</v>
      </c>
      <c r="U602" s="8" t="s">
        <v>120</v>
      </c>
      <c r="V602" s="8" t="s">
        <v>112</v>
      </c>
      <c r="W602" s="9">
        <v>2</v>
      </c>
      <c r="X602" s="9">
        <v>2</v>
      </c>
      <c r="Y602" s="9">
        <v>2</v>
      </c>
      <c r="Z602" s="9">
        <v>1</v>
      </c>
      <c r="AA602" s="9">
        <v>1</v>
      </c>
      <c r="AB602" s="9">
        <v>1</v>
      </c>
      <c r="AC602" s="9">
        <v>2</v>
      </c>
      <c r="AD602" s="9">
        <v>1</v>
      </c>
      <c r="AE602" s="9">
        <v>0</v>
      </c>
      <c r="AF602" s="9">
        <v>0</v>
      </c>
      <c r="AG602" s="9">
        <v>2</v>
      </c>
      <c r="AH602" s="9">
        <v>1</v>
      </c>
      <c r="AI602" s="9">
        <v>1</v>
      </c>
      <c r="AJ602" s="9">
        <v>1</v>
      </c>
      <c r="AK602" s="9">
        <v>0</v>
      </c>
      <c r="AL602" s="10">
        <v>2</v>
      </c>
      <c r="AM602" s="10">
        <v>2</v>
      </c>
      <c r="AN602" s="10">
        <v>3</v>
      </c>
      <c r="AO602" s="10">
        <v>3</v>
      </c>
      <c r="AP602" s="10">
        <v>1</v>
      </c>
      <c r="AQ602" s="10">
        <v>1</v>
      </c>
      <c r="AR602" s="10">
        <v>0</v>
      </c>
      <c r="AS602" s="11">
        <v>2</v>
      </c>
      <c r="AT602" s="11">
        <v>2</v>
      </c>
      <c r="AU602" s="11">
        <v>2</v>
      </c>
      <c r="AV602" s="11">
        <v>1</v>
      </c>
      <c r="AW602" s="11">
        <v>1</v>
      </c>
      <c r="AX602" s="11">
        <v>0</v>
      </c>
      <c r="AY602" s="7">
        <v>2</v>
      </c>
      <c r="AZ602" s="7">
        <v>1</v>
      </c>
      <c r="BA602" s="7">
        <v>2</v>
      </c>
      <c r="BB602" s="7">
        <v>2</v>
      </c>
      <c r="BC602" s="7">
        <v>1</v>
      </c>
      <c r="BD602" s="7">
        <v>0</v>
      </c>
      <c r="BE602" s="7">
        <v>1</v>
      </c>
      <c r="BF602" s="7">
        <v>0</v>
      </c>
      <c r="BG602" s="12">
        <f>SUM(data__22[[#This Row],[N1]:[N4]],data__22[[#This Row],[N10]:[N13]],data__22[[#This Row],[N16]:[N18]])/11</f>
        <v>1.6363636363636365</v>
      </c>
      <c r="BH602" s="13">
        <f>SUM(data__22[[#This Row],[N8]:[N9]],data__22[[#This Row],[N23]:[N25]])/5</f>
        <v>1.4</v>
      </c>
      <c r="BI602" s="12">
        <f>SUM(data__22[[#This Row],[N5]:[N7]])/3</f>
        <v>1.3333333333333333</v>
      </c>
      <c r="BJ602" s="12">
        <f>SUM(data__22[[#This Row],[N14]:[N15]],data__22[[#This Row],[N19]:[N22]],data__22[[#This Row],[N26]:[N28]])/9</f>
        <v>0.88888888888888884</v>
      </c>
      <c r="BK602" s="12">
        <f>SUM(data__22[[#This Row],[N29]:[N33]])/5</f>
        <v>1.6</v>
      </c>
      <c r="BL602" s="12">
        <f>SUM(data__22[[#This Row],[N34]:[N36]])/3</f>
        <v>0.33333333333333331</v>
      </c>
    </row>
    <row r="603" spans="1:64" x14ac:dyDescent="0.3">
      <c r="A603" s="7">
        <v>23</v>
      </c>
      <c r="B603" s="7" t="s">
        <v>70</v>
      </c>
      <c r="C603" s="7" t="s">
        <v>113</v>
      </c>
      <c r="D603" s="7" t="s">
        <v>72</v>
      </c>
      <c r="E603" s="7" t="s">
        <v>114</v>
      </c>
      <c r="F603" s="7" t="s">
        <v>136</v>
      </c>
      <c r="G603" s="7" t="s">
        <v>440</v>
      </c>
      <c r="H603" s="7" t="s">
        <v>136</v>
      </c>
      <c r="I603" s="7" t="s">
        <v>76</v>
      </c>
      <c r="J603" s="7" t="s">
        <v>101</v>
      </c>
      <c r="K603" s="7" t="s">
        <v>131</v>
      </c>
      <c r="L603" s="8" t="s">
        <v>82</v>
      </c>
      <c r="M603" s="8" t="s">
        <v>80</v>
      </c>
      <c r="N603" s="8" t="s">
        <v>82</v>
      </c>
      <c r="O603" s="8" t="s">
        <v>138</v>
      </c>
      <c r="P603" s="8" t="s">
        <v>79</v>
      </c>
      <c r="Q603" s="8" t="s">
        <v>103</v>
      </c>
      <c r="R603" s="8" t="s">
        <v>79</v>
      </c>
      <c r="S603" s="8" t="s">
        <v>79</v>
      </c>
      <c r="T603" s="8" t="s">
        <v>86</v>
      </c>
      <c r="U603" s="8" t="s">
        <v>141</v>
      </c>
      <c r="V603" s="8" t="s">
        <v>457</v>
      </c>
      <c r="W603" s="9">
        <v>2</v>
      </c>
      <c r="X603" s="9">
        <v>2</v>
      </c>
      <c r="Y603" s="9">
        <v>2</v>
      </c>
      <c r="Z603" s="9">
        <v>2</v>
      </c>
      <c r="AA603" s="9">
        <v>1</v>
      </c>
      <c r="AB603" s="9">
        <v>1</v>
      </c>
      <c r="AC603" s="9">
        <v>1</v>
      </c>
      <c r="AD603" s="9">
        <v>1</v>
      </c>
      <c r="AE603" s="9">
        <v>1</v>
      </c>
      <c r="AF603" s="9">
        <v>1</v>
      </c>
      <c r="AG603" s="9">
        <v>2</v>
      </c>
      <c r="AH603" s="9">
        <v>1</v>
      </c>
      <c r="AI603" s="9">
        <v>1</v>
      </c>
      <c r="AJ603" s="9">
        <v>1</v>
      </c>
      <c r="AK603" s="9">
        <v>1</v>
      </c>
      <c r="AL603" s="10">
        <v>2</v>
      </c>
      <c r="AM603" s="10">
        <v>2</v>
      </c>
      <c r="AN603" s="10">
        <v>2</v>
      </c>
      <c r="AO603" s="10">
        <v>2</v>
      </c>
      <c r="AP603" s="10">
        <v>0</v>
      </c>
      <c r="AQ603" s="10">
        <v>0</v>
      </c>
      <c r="AR603" s="10">
        <v>0</v>
      </c>
      <c r="AS603" s="11">
        <v>2</v>
      </c>
      <c r="AT603" s="11">
        <v>2</v>
      </c>
      <c r="AU603" s="11">
        <v>2</v>
      </c>
      <c r="AV603" s="11">
        <v>1</v>
      </c>
      <c r="AW603" s="11">
        <v>1</v>
      </c>
      <c r="AX603" s="11">
        <v>0</v>
      </c>
      <c r="AY603" s="7">
        <v>2</v>
      </c>
      <c r="AZ603" s="7">
        <v>1</v>
      </c>
      <c r="BA603" s="7">
        <v>1</v>
      </c>
      <c r="BB603" s="7">
        <v>1</v>
      </c>
      <c r="BC603" s="7">
        <v>1</v>
      </c>
      <c r="BD603" s="7">
        <v>1</v>
      </c>
      <c r="BE603" s="7">
        <v>1</v>
      </c>
      <c r="BF603" s="7">
        <v>1</v>
      </c>
      <c r="BG603" s="12">
        <f>SUM(data__22[[#This Row],[N1]:[N4]],data__22[[#This Row],[N10]:[N13]],data__22[[#This Row],[N16]:[N18]])/11</f>
        <v>1.7272727272727273</v>
      </c>
      <c r="BH603" s="13">
        <f>SUM(data__22[[#This Row],[N8]:[N9]],data__22[[#This Row],[N23]:[N25]])/5</f>
        <v>1.6</v>
      </c>
      <c r="BI603" s="12">
        <f>SUM(data__22[[#This Row],[N5]:[N7]])/3</f>
        <v>1</v>
      </c>
      <c r="BJ603" s="12">
        <f>SUM(data__22[[#This Row],[N14]:[N15]],data__22[[#This Row],[N19]:[N22]],data__22[[#This Row],[N26]:[N28]])/9</f>
        <v>0.66666666666666663</v>
      </c>
      <c r="BK603" s="12">
        <f>SUM(data__22[[#This Row],[N29]:[N33]])/5</f>
        <v>1.2</v>
      </c>
      <c r="BL603" s="12">
        <f>SUM(data__22[[#This Row],[N34]:[N36]])/3</f>
        <v>1</v>
      </c>
    </row>
    <row r="604" spans="1:64" x14ac:dyDescent="0.3">
      <c r="A604" s="7">
        <v>22</v>
      </c>
      <c r="B604" s="7" t="s">
        <v>128</v>
      </c>
      <c r="C604" s="7" t="s">
        <v>96</v>
      </c>
      <c r="D604" s="7" t="s">
        <v>72</v>
      </c>
      <c r="E604" s="7" t="s">
        <v>73</v>
      </c>
      <c r="F604" s="7" t="s">
        <v>74</v>
      </c>
      <c r="G604" s="7" t="s">
        <v>99</v>
      </c>
      <c r="H604" s="7" t="s">
        <v>98</v>
      </c>
      <c r="I604" s="7" t="s">
        <v>76</v>
      </c>
      <c r="J604" s="7" t="s">
        <v>77</v>
      </c>
      <c r="K604" s="7" t="s">
        <v>125</v>
      </c>
      <c r="L604" s="8" t="s">
        <v>79</v>
      </c>
      <c r="M604" s="8" t="s">
        <v>80</v>
      </c>
      <c r="N604" s="8" t="s">
        <v>79</v>
      </c>
      <c r="O604" s="8" t="s">
        <v>117</v>
      </c>
      <c r="P604" s="8" t="s">
        <v>79</v>
      </c>
      <c r="Q604" s="8" t="s">
        <v>83</v>
      </c>
      <c r="R604" s="8" t="s">
        <v>79</v>
      </c>
      <c r="S604" s="8" t="s">
        <v>82</v>
      </c>
      <c r="T604" s="8" t="s">
        <v>106</v>
      </c>
      <c r="U604" s="8" t="s">
        <v>141</v>
      </c>
      <c r="V604" s="8" t="s">
        <v>112</v>
      </c>
      <c r="W604" s="9">
        <v>1</v>
      </c>
      <c r="X604" s="9">
        <v>2</v>
      </c>
      <c r="Y604" s="9">
        <v>1</v>
      </c>
      <c r="Z604" s="9">
        <v>1</v>
      </c>
      <c r="AA604" s="9">
        <v>1</v>
      </c>
      <c r="AB604" s="9">
        <v>1</v>
      </c>
      <c r="AC604" s="9">
        <v>1</v>
      </c>
      <c r="AD604" s="9">
        <v>2</v>
      </c>
      <c r="AE604" s="9">
        <v>2</v>
      </c>
      <c r="AF604" s="9">
        <v>2</v>
      </c>
      <c r="AG604" s="9">
        <v>1</v>
      </c>
      <c r="AH604" s="9">
        <v>2</v>
      </c>
      <c r="AI604" s="9">
        <v>1</v>
      </c>
      <c r="AJ604" s="9">
        <v>2</v>
      </c>
      <c r="AK604" s="9">
        <v>2</v>
      </c>
      <c r="AL604" s="10">
        <v>3</v>
      </c>
      <c r="AM604" s="10">
        <v>3</v>
      </c>
      <c r="AN604" s="10">
        <v>3</v>
      </c>
      <c r="AO604" s="10">
        <v>3</v>
      </c>
      <c r="AP604" s="10">
        <v>3</v>
      </c>
      <c r="AQ604" s="10">
        <v>3</v>
      </c>
      <c r="AR604" s="10">
        <v>3</v>
      </c>
      <c r="AS604" s="11">
        <v>2</v>
      </c>
      <c r="AT604" s="11">
        <v>3</v>
      </c>
      <c r="AU604" s="11">
        <v>3</v>
      </c>
      <c r="AV604" s="11">
        <v>2</v>
      </c>
      <c r="AW604" s="11">
        <v>2</v>
      </c>
      <c r="AX604" s="11">
        <v>2</v>
      </c>
      <c r="AY604" s="7">
        <v>3</v>
      </c>
      <c r="AZ604" s="7">
        <v>2</v>
      </c>
      <c r="BA604" s="7">
        <v>2</v>
      </c>
      <c r="BB604" s="7">
        <v>2</v>
      </c>
      <c r="BC604" s="7">
        <v>2</v>
      </c>
      <c r="BD604" s="7">
        <v>2</v>
      </c>
      <c r="BE604" s="7">
        <v>2</v>
      </c>
      <c r="BF604" s="7">
        <v>2</v>
      </c>
      <c r="BG604" s="12">
        <f>SUM(data__22[[#This Row],[N1]:[N4]],data__22[[#This Row],[N10]:[N13]],data__22[[#This Row],[N16]:[N18]])/11</f>
        <v>1.8181818181818181</v>
      </c>
      <c r="BH604" s="13">
        <f>SUM(data__22[[#This Row],[N8]:[N9]],data__22[[#This Row],[N23]:[N25]])/5</f>
        <v>2.4</v>
      </c>
      <c r="BI604" s="12">
        <f>SUM(data__22[[#This Row],[N5]:[N7]])/3</f>
        <v>1</v>
      </c>
      <c r="BJ604" s="12">
        <f>SUM(data__22[[#This Row],[N14]:[N15]],data__22[[#This Row],[N19]:[N22]],data__22[[#This Row],[N26]:[N28]])/9</f>
        <v>2.4444444444444446</v>
      </c>
      <c r="BK604" s="12">
        <f>SUM(data__22[[#This Row],[N29]:[N33]])/5</f>
        <v>2.2000000000000002</v>
      </c>
      <c r="BL604" s="12">
        <f>SUM(data__22[[#This Row],[N34]:[N36]])/3</f>
        <v>2</v>
      </c>
    </row>
    <row r="605" spans="1:64" x14ac:dyDescent="0.3">
      <c r="A605" s="7">
        <v>22</v>
      </c>
      <c r="B605" s="7" t="s">
        <v>70</v>
      </c>
      <c r="C605" s="7" t="s">
        <v>113</v>
      </c>
      <c r="D605" s="7" t="s">
        <v>72</v>
      </c>
      <c r="E605" s="7" t="s">
        <v>73</v>
      </c>
      <c r="F605" s="7" t="s">
        <v>74</v>
      </c>
      <c r="G605" s="7" t="s">
        <v>439</v>
      </c>
      <c r="H605" s="7" t="s">
        <v>74</v>
      </c>
      <c r="I605" s="7" t="s">
        <v>76</v>
      </c>
      <c r="J605" s="7" t="s">
        <v>77</v>
      </c>
      <c r="K605" s="7" t="s">
        <v>122</v>
      </c>
      <c r="L605" s="8" t="s">
        <v>79</v>
      </c>
      <c r="M605" s="8" t="s">
        <v>102</v>
      </c>
      <c r="N605" s="8" t="s">
        <v>79</v>
      </c>
      <c r="O605" s="8" t="s">
        <v>81</v>
      </c>
      <c r="P605" s="8" t="s">
        <v>79</v>
      </c>
      <c r="Q605" s="8" t="s">
        <v>83</v>
      </c>
      <c r="R605" s="8" t="s">
        <v>79</v>
      </c>
      <c r="S605" s="8" t="s">
        <v>82</v>
      </c>
      <c r="T605" s="8" t="s">
        <v>148</v>
      </c>
      <c r="U605" s="8" t="s">
        <v>141</v>
      </c>
      <c r="V605" s="8" t="s">
        <v>112</v>
      </c>
      <c r="W605" s="9">
        <v>2</v>
      </c>
      <c r="X605" s="9">
        <v>2</v>
      </c>
      <c r="Y605" s="9">
        <v>2</v>
      </c>
      <c r="Z605" s="9">
        <v>2</v>
      </c>
      <c r="AA605" s="9">
        <v>2</v>
      </c>
      <c r="AB605" s="9">
        <v>2</v>
      </c>
      <c r="AC605" s="9">
        <v>2</v>
      </c>
      <c r="AD605" s="9">
        <v>2</v>
      </c>
      <c r="AE605" s="9">
        <v>2</v>
      </c>
      <c r="AF605" s="9">
        <v>2</v>
      </c>
      <c r="AG605" s="9">
        <v>2</v>
      </c>
      <c r="AH605" s="9">
        <v>2</v>
      </c>
      <c r="AI605" s="9">
        <v>2</v>
      </c>
      <c r="AJ605" s="9">
        <v>2</v>
      </c>
      <c r="AK605" s="9">
        <v>2</v>
      </c>
      <c r="AL605" s="10">
        <v>2</v>
      </c>
      <c r="AM605" s="10">
        <v>2</v>
      </c>
      <c r="AN605" s="10">
        <v>2</v>
      </c>
      <c r="AO605" s="10">
        <v>2</v>
      </c>
      <c r="AP605" s="10">
        <v>2</v>
      </c>
      <c r="AQ605" s="10">
        <v>2</v>
      </c>
      <c r="AR605" s="10">
        <v>2</v>
      </c>
      <c r="AS605" s="11">
        <v>2</v>
      </c>
      <c r="AT605" s="11">
        <v>2</v>
      </c>
      <c r="AU605" s="11">
        <v>2</v>
      </c>
      <c r="AV605" s="11">
        <v>2</v>
      </c>
      <c r="AW605" s="11">
        <v>2</v>
      </c>
      <c r="AX605" s="11">
        <v>2</v>
      </c>
      <c r="AY605" s="7">
        <v>2</v>
      </c>
      <c r="AZ605" s="7">
        <v>2</v>
      </c>
      <c r="BA605" s="7">
        <v>2</v>
      </c>
      <c r="BB605" s="7">
        <v>2</v>
      </c>
      <c r="BC605" s="7">
        <v>2</v>
      </c>
      <c r="BD605" s="7">
        <v>2</v>
      </c>
      <c r="BE605" s="7">
        <v>2</v>
      </c>
      <c r="BF605" s="7">
        <v>2</v>
      </c>
      <c r="BG605" s="12">
        <f>SUM(data__22[[#This Row],[N1]:[N4]],data__22[[#This Row],[N10]:[N13]],data__22[[#This Row],[N16]:[N18]])/11</f>
        <v>2</v>
      </c>
      <c r="BH605" s="13">
        <f>SUM(data__22[[#This Row],[N8]:[N9]],data__22[[#This Row],[N23]:[N25]])/5</f>
        <v>2</v>
      </c>
      <c r="BI605" s="12">
        <f>SUM(data__22[[#This Row],[N5]:[N7]])/3</f>
        <v>2</v>
      </c>
      <c r="BJ605" s="12">
        <f>SUM(data__22[[#This Row],[N14]:[N15]],data__22[[#This Row],[N19]:[N22]],data__22[[#This Row],[N26]:[N28]])/9</f>
        <v>2</v>
      </c>
      <c r="BK605" s="12">
        <f>SUM(data__22[[#This Row],[N29]:[N33]])/5</f>
        <v>2</v>
      </c>
      <c r="BL605" s="12">
        <f>SUM(data__22[[#This Row],[N34]:[N36]])/3</f>
        <v>2</v>
      </c>
    </row>
    <row r="606" spans="1:64" x14ac:dyDescent="0.3">
      <c r="A606" s="7">
        <v>23</v>
      </c>
      <c r="B606" s="7" t="s">
        <v>70</v>
      </c>
      <c r="C606" s="7" t="s">
        <v>71</v>
      </c>
      <c r="D606" s="7" t="s">
        <v>72</v>
      </c>
      <c r="E606" s="7" t="s">
        <v>114</v>
      </c>
      <c r="F606" s="7" t="s">
        <v>74</v>
      </c>
      <c r="G606" s="7" t="s">
        <v>440</v>
      </c>
      <c r="H606" s="7" t="s">
        <v>74</v>
      </c>
      <c r="I606" s="7" t="s">
        <v>76</v>
      </c>
      <c r="J606" s="7" t="s">
        <v>77</v>
      </c>
      <c r="K606" s="7" t="s">
        <v>78</v>
      </c>
      <c r="L606" s="8" t="s">
        <v>79</v>
      </c>
      <c r="M606" s="8" t="s">
        <v>102</v>
      </c>
      <c r="N606" s="8" t="s">
        <v>79</v>
      </c>
      <c r="O606" s="8" t="s">
        <v>81</v>
      </c>
      <c r="P606" s="8" t="s">
        <v>79</v>
      </c>
      <c r="Q606" s="8" t="s">
        <v>83</v>
      </c>
      <c r="R606" s="8" t="s">
        <v>79</v>
      </c>
      <c r="S606" s="8" t="s">
        <v>79</v>
      </c>
      <c r="T606" s="8" t="s">
        <v>86</v>
      </c>
      <c r="U606" s="8" t="s">
        <v>141</v>
      </c>
      <c r="V606" s="8" t="s">
        <v>112</v>
      </c>
      <c r="W606" s="9">
        <v>2</v>
      </c>
      <c r="X606" s="9">
        <v>2</v>
      </c>
      <c r="Y606" s="9">
        <v>2</v>
      </c>
      <c r="Z606" s="9">
        <v>2</v>
      </c>
      <c r="AA606" s="9">
        <v>2</v>
      </c>
      <c r="AB606" s="9">
        <v>2</v>
      </c>
      <c r="AC606" s="9">
        <v>2</v>
      </c>
      <c r="AD606" s="9">
        <v>2</v>
      </c>
      <c r="AE606" s="9">
        <v>2</v>
      </c>
      <c r="AF606" s="9">
        <v>2</v>
      </c>
      <c r="AG606" s="9">
        <v>2</v>
      </c>
      <c r="AH606" s="9">
        <v>2</v>
      </c>
      <c r="AI606" s="9">
        <v>2</v>
      </c>
      <c r="AJ606" s="9">
        <v>2</v>
      </c>
      <c r="AK606" s="9">
        <v>2</v>
      </c>
      <c r="AL606" s="10">
        <v>2</v>
      </c>
      <c r="AM606" s="10">
        <v>2</v>
      </c>
      <c r="AN606" s="10">
        <v>2</v>
      </c>
      <c r="AO606" s="10">
        <v>2</v>
      </c>
      <c r="AP606" s="10">
        <v>2</v>
      </c>
      <c r="AQ606" s="10">
        <v>2</v>
      </c>
      <c r="AR606" s="10">
        <v>2</v>
      </c>
      <c r="AS606" s="11">
        <v>2</v>
      </c>
      <c r="AT606" s="11">
        <v>2</v>
      </c>
      <c r="AU606" s="11">
        <v>2</v>
      </c>
      <c r="AV606" s="11">
        <v>2</v>
      </c>
      <c r="AW606" s="11">
        <v>2</v>
      </c>
      <c r="AX606" s="11">
        <v>2</v>
      </c>
      <c r="AY606" s="7">
        <v>2</v>
      </c>
      <c r="AZ606" s="7">
        <v>2</v>
      </c>
      <c r="BA606" s="7">
        <v>2</v>
      </c>
      <c r="BB606" s="7">
        <v>2</v>
      </c>
      <c r="BC606" s="7">
        <v>2</v>
      </c>
      <c r="BD606" s="7">
        <v>2</v>
      </c>
      <c r="BE606" s="7">
        <v>2</v>
      </c>
      <c r="BF606" s="7">
        <v>2</v>
      </c>
      <c r="BG606" s="12">
        <f>SUM(data__22[[#This Row],[N1]:[N4]],data__22[[#This Row],[N10]:[N13]],data__22[[#This Row],[N16]:[N18]])/11</f>
        <v>2</v>
      </c>
      <c r="BH606" s="13">
        <f>SUM(data__22[[#This Row],[N8]:[N9]],data__22[[#This Row],[N23]:[N25]])/5</f>
        <v>2</v>
      </c>
      <c r="BI606" s="12">
        <f>SUM(data__22[[#This Row],[N5]:[N7]])/3</f>
        <v>2</v>
      </c>
      <c r="BJ606" s="12">
        <f>SUM(data__22[[#This Row],[N14]:[N15]],data__22[[#This Row],[N19]:[N22]],data__22[[#This Row],[N26]:[N28]])/9</f>
        <v>2</v>
      </c>
      <c r="BK606" s="12">
        <f>SUM(data__22[[#This Row],[N29]:[N33]])/5</f>
        <v>2</v>
      </c>
      <c r="BL606" s="12">
        <f>SUM(data__22[[#This Row],[N34]:[N36]])/3</f>
        <v>2</v>
      </c>
    </row>
    <row r="607" spans="1:64" x14ac:dyDescent="0.3">
      <c r="A607" s="7">
        <v>21</v>
      </c>
      <c r="B607" s="7" t="s">
        <v>70</v>
      </c>
      <c r="C607" s="7" t="s">
        <v>96</v>
      </c>
      <c r="D607" s="7" t="s">
        <v>72</v>
      </c>
      <c r="E607" s="7" t="s">
        <v>73</v>
      </c>
      <c r="F607" s="7" t="s">
        <v>74</v>
      </c>
      <c r="G607" s="7" t="s">
        <v>439</v>
      </c>
      <c r="H607" s="7" t="s">
        <v>74</v>
      </c>
      <c r="I607" s="7" t="s">
        <v>76</v>
      </c>
      <c r="J607" s="7" t="s">
        <v>77</v>
      </c>
      <c r="K607" s="7" t="s">
        <v>122</v>
      </c>
      <c r="L607" s="8" t="s">
        <v>79</v>
      </c>
      <c r="M607" s="8" t="s">
        <v>80</v>
      </c>
      <c r="N607" s="8" t="s">
        <v>79</v>
      </c>
      <c r="O607" s="8" t="s">
        <v>81</v>
      </c>
      <c r="P607" s="8" t="s">
        <v>79</v>
      </c>
      <c r="Q607" s="8" t="s">
        <v>83</v>
      </c>
      <c r="R607" s="8" t="s">
        <v>79</v>
      </c>
      <c r="S607" s="8" t="s">
        <v>82</v>
      </c>
      <c r="T607" s="8" t="s">
        <v>86</v>
      </c>
      <c r="U607" s="8" t="s">
        <v>141</v>
      </c>
      <c r="V607" s="8" t="s">
        <v>112</v>
      </c>
      <c r="W607" s="9">
        <v>2</v>
      </c>
      <c r="X607" s="9">
        <v>2</v>
      </c>
      <c r="Y607" s="9">
        <v>2</v>
      </c>
      <c r="Z607" s="9">
        <v>2</v>
      </c>
      <c r="AA607" s="9">
        <v>2</v>
      </c>
      <c r="AB607" s="9">
        <v>2</v>
      </c>
      <c r="AC607" s="9">
        <v>2</v>
      </c>
      <c r="AD607" s="9">
        <v>2</v>
      </c>
      <c r="AE607" s="9">
        <v>2</v>
      </c>
      <c r="AF607" s="9">
        <v>2</v>
      </c>
      <c r="AG607" s="9">
        <v>2</v>
      </c>
      <c r="AH607" s="9">
        <v>2</v>
      </c>
      <c r="AI607" s="9">
        <v>2</v>
      </c>
      <c r="AJ607" s="9">
        <v>2</v>
      </c>
      <c r="AK607" s="9">
        <v>2</v>
      </c>
      <c r="AL607" s="10">
        <v>2</v>
      </c>
      <c r="AM607" s="10">
        <v>2</v>
      </c>
      <c r="AN607" s="10">
        <v>2</v>
      </c>
      <c r="AO607" s="10">
        <v>2</v>
      </c>
      <c r="AP607" s="10">
        <v>2</v>
      </c>
      <c r="AQ607" s="10">
        <v>2</v>
      </c>
      <c r="AR607" s="10">
        <v>2</v>
      </c>
      <c r="AS607" s="11">
        <v>2</v>
      </c>
      <c r="AT607" s="11">
        <v>2</v>
      </c>
      <c r="AU607" s="11">
        <v>2</v>
      </c>
      <c r="AV607" s="11">
        <v>2</v>
      </c>
      <c r="AW607" s="11">
        <v>2</v>
      </c>
      <c r="AX607" s="11">
        <v>2</v>
      </c>
      <c r="AY607" s="7">
        <v>2</v>
      </c>
      <c r="AZ607" s="7">
        <v>2</v>
      </c>
      <c r="BA607" s="7">
        <v>2</v>
      </c>
      <c r="BB607" s="7">
        <v>2</v>
      </c>
      <c r="BC607" s="7">
        <v>2</v>
      </c>
      <c r="BD607" s="7">
        <v>2</v>
      </c>
      <c r="BE607" s="7">
        <v>2</v>
      </c>
      <c r="BF607" s="7">
        <v>2</v>
      </c>
      <c r="BG607" s="12">
        <f>SUM(data__22[[#This Row],[N1]:[N4]],data__22[[#This Row],[N10]:[N13]],data__22[[#This Row],[N16]:[N18]])/11</f>
        <v>2</v>
      </c>
      <c r="BH607" s="13">
        <f>SUM(data__22[[#This Row],[N8]:[N9]],data__22[[#This Row],[N23]:[N25]])/5</f>
        <v>2</v>
      </c>
      <c r="BI607" s="12">
        <f>SUM(data__22[[#This Row],[N5]:[N7]])/3</f>
        <v>2</v>
      </c>
      <c r="BJ607" s="12">
        <f>SUM(data__22[[#This Row],[N14]:[N15]],data__22[[#This Row],[N19]:[N22]],data__22[[#This Row],[N26]:[N28]])/9</f>
        <v>2</v>
      </c>
      <c r="BK607" s="12">
        <f>SUM(data__22[[#This Row],[N29]:[N33]])/5</f>
        <v>2</v>
      </c>
      <c r="BL607" s="12">
        <f>SUM(data__22[[#This Row],[N34]:[N36]])/3</f>
        <v>2</v>
      </c>
    </row>
    <row r="608" spans="1:64" x14ac:dyDescent="0.3">
      <c r="A608" s="7">
        <v>22</v>
      </c>
      <c r="B608" s="7" t="s">
        <v>70</v>
      </c>
      <c r="C608" s="7" t="s">
        <v>96</v>
      </c>
      <c r="D608" s="7" t="s">
        <v>72</v>
      </c>
      <c r="E608" s="7" t="s">
        <v>108</v>
      </c>
      <c r="F608" s="7" t="s">
        <v>74</v>
      </c>
      <c r="G608" s="7" t="s">
        <v>440</v>
      </c>
      <c r="H608" s="7" t="s">
        <v>74</v>
      </c>
      <c r="I608" s="7" t="s">
        <v>439</v>
      </c>
      <c r="J608" s="7" t="s">
        <v>77</v>
      </c>
      <c r="K608" s="7" t="s">
        <v>122</v>
      </c>
      <c r="L608" s="8" t="s">
        <v>79</v>
      </c>
      <c r="M608" s="8" t="s">
        <v>102</v>
      </c>
      <c r="N608" s="8" t="s">
        <v>79</v>
      </c>
      <c r="O608" s="8" t="s">
        <v>81</v>
      </c>
      <c r="P608" s="8" t="s">
        <v>79</v>
      </c>
      <c r="Q608" s="8" t="s">
        <v>83</v>
      </c>
      <c r="R608" s="8" t="s">
        <v>79</v>
      </c>
      <c r="S608" s="8" t="s">
        <v>82</v>
      </c>
      <c r="T608" s="8" t="s">
        <v>86</v>
      </c>
      <c r="U608" s="8" t="s">
        <v>141</v>
      </c>
      <c r="V608" s="8" t="s">
        <v>112</v>
      </c>
      <c r="W608" s="9">
        <v>2</v>
      </c>
      <c r="X608" s="9">
        <v>2</v>
      </c>
      <c r="Y608" s="9">
        <v>2</v>
      </c>
      <c r="Z608" s="9">
        <v>2</v>
      </c>
      <c r="AA608" s="9">
        <v>2</v>
      </c>
      <c r="AB608" s="9">
        <v>2</v>
      </c>
      <c r="AC608" s="9">
        <v>2</v>
      </c>
      <c r="AD608" s="9">
        <v>2</v>
      </c>
      <c r="AE608" s="9">
        <v>2</v>
      </c>
      <c r="AF608" s="9">
        <v>2</v>
      </c>
      <c r="AG608" s="9">
        <v>2</v>
      </c>
      <c r="AH608" s="9">
        <v>2</v>
      </c>
      <c r="AI608" s="9">
        <v>2</v>
      </c>
      <c r="AJ608" s="9">
        <v>2</v>
      </c>
      <c r="AK608" s="9">
        <v>2</v>
      </c>
      <c r="AL608" s="10">
        <v>2</v>
      </c>
      <c r="AM608" s="10">
        <v>2</v>
      </c>
      <c r="AN608" s="10">
        <v>2</v>
      </c>
      <c r="AO608" s="10">
        <v>2</v>
      </c>
      <c r="AP608" s="10">
        <v>2</v>
      </c>
      <c r="AQ608" s="10">
        <v>2</v>
      </c>
      <c r="AR608" s="10">
        <v>2</v>
      </c>
      <c r="AS608" s="11">
        <v>2</v>
      </c>
      <c r="AT608" s="11">
        <v>2</v>
      </c>
      <c r="AU608" s="11">
        <v>2</v>
      </c>
      <c r="AV608" s="11">
        <v>2</v>
      </c>
      <c r="AW608" s="11">
        <v>2</v>
      </c>
      <c r="AX608" s="11">
        <v>2</v>
      </c>
      <c r="AY608" s="7">
        <v>2</v>
      </c>
      <c r="AZ608" s="7">
        <v>2</v>
      </c>
      <c r="BA608" s="7">
        <v>2</v>
      </c>
      <c r="BB608" s="7">
        <v>2</v>
      </c>
      <c r="BC608" s="7">
        <v>2</v>
      </c>
      <c r="BD608" s="7">
        <v>2</v>
      </c>
      <c r="BE608" s="7">
        <v>2</v>
      </c>
      <c r="BF608" s="7">
        <v>2</v>
      </c>
      <c r="BG608" s="12">
        <f>SUM(data__22[[#This Row],[N1]:[N4]],data__22[[#This Row],[N10]:[N13]],data__22[[#This Row],[N16]:[N18]])/11</f>
        <v>2</v>
      </c>
      <c r="BH608" s="13">
        <f>SUM(data__22[[#This Row],[N8]:[N9]],data__22[[#This Row],[N23]:[N25]])/5</f>
        <v>2</v>
      </c>
      <c r="BI608" s="12">
        <f>SUM(data__22[[#This Row],[N5]:[N7]])/3</f>
        <v>2</v>
      </c>
      <c r="BJ608" s="12">
        <f>SUM(data__22[[#This Row],[N14]:[N15]],data__22[[#This Row],[N19]:[N22]],data__22[[#This Row],[N26]:[N28]])/9</f>
        <v>2</v>
      </c>
      <c r="BK608" s="12">
        <f>SUM(data__22[[#This Row],[N29]:[N33]])/5</f>
        <v>2</v>
      </c>
      <c r="BL608" s="12">
        <f>SUM(data__22[[#This Row],[N34]:[N36]])/3</f>
        <v>2</v>
      </c>
    </row>
    <row r="609" spans="1:64" x14ac:dyDescent="0.3">
      <c r="A609" s="7">
        <v>22</v>
      </c>
      <c r="B609" s="7" t="s">
        <v>70</v>
      </c>
      <c r="C609" s="7" t="s">
        <v>96</v>
      </c>
      <c r="D609" s="7" t="s">
        <v>149</v>
      </c>
      <c r="E609" s="7" t="s">
        <v>114</v>
      </c>
      <c r="F609" s="7" t="s">
        <v>74</v>
      </c>
      <c r="G609" s="7" t="s">
        <v>439</v>
      </c>
      <c r="H609" s="7" t="s">
        <v>74</v>
      </c>
      <c r="I609" s="7" t="s">
        <v>76</v>
      </c>
      <c r="J609" s="7" t="s">
        <v>77</v>
      </c>
      <c r="K609" s="7" t="s">
        <v>122</v>
      </c>
      <c r="L609" s="8" t="s">
        <v>79</v>
      </c>
      <c r="M609" s="8" t="s">
        <v>80</v>
      </c>
      <c r="N609" s="8" t="s">
        <v>79</v>
      </c>
      <c r="O609" s="8" t="s">
        <v>133</v>
      </c>
      <c r="P609" s="8" t="s">
        <v>79</v>
      </c>
      <c r="Q609" s="8" t="s">
        <v>103</v>
      </c>
      <c r="R609" s="8" t="s">
        <v>79</v>
      </c>
      <c r="S609" s="8" t="s">
        <v>79</v>
      </c>
      <c r="T609" s="8" t="s">
        <v>106</v>
      </c>
      <c r="U609" s="8" t="s">
        <v>87</v>
      </c>
      <c r="V609" s="8" t="s">
        <v>127</v>
      </c>
      <c r="W609" s="9">
        <v>1</v>
      </c>
      <c r="X609" s="9">
        <v>2</v>
      </c>
      <c r="Y609" s="9">
        <v>3</v>
      </c>
      <c r="Z609" s="9">
        <v>3</v>
      </c>
      <c r="AA609" s="9">
        <v>3</v>
      </c>
      <c r="AB609" s="9">
        <v>2</v>
      </c>
      <c r="AC609" s="9">
        <v>1</v>
      </c>
      <c r="AD609" s="9">
        <v>3</v>
      </c>
      <c r="AE609" s="9">
        <v>3</v>
      </c>
      <c r="AF609" s="9">
        <v>3</v>
      </c>
      <c r="AG609" s="9">
        <v>3</v>
      </c>
      <c r="AH609" s="9">
        <v>3</v>
      </c>
      <c r="AI609" s="9">
        <v>3</v>
      </c>
      <c r="AJ609" s="9">
        <v>1</v>
      </c>
      <c r="AK609" s="9">
        <v>2</v>
      </c>
      <c r="AL609" s="10">
        <v>3</v>
      </c>
      <c r="AM609" s="10">
        <v>3</v>
      </c>
      <c r="AN609" s="10">
        <v>3</v>
      </c>
      <c r="AO609" s="10">
        <v>0</v>
      </c>
      <c r="AP609" s="10">
        <v>1</v>
      </c>
      <c r="AQ609" s="10">
        <v>0</v>
      </c>
      <c r="AR609" s="10">
        <v>1</v>
      </c>
      <c r="AS609" s="11">
        <v>2</v>
      </c>
      <c r="AT609" s="11">
        <v>0</v>
      </c>
      <c r="AU609" s="11">
        <v>0</v>
      </c>
      <c r="AV609" s="11">
        <v>3</v>
      </c>
      <c r="AW609" s="11">
        <v>3</v>
      </c>
      <c r="AX609" s="11">
        <v>0</v>
      </c>
      <c r="AY609" s="7">
        <v>3</v>
      </c>
      <c r="AZ609" s="7">
        <v>3</v>
      </c>
      <c r="BA609" s="7">
        <v>3</v>
      </c>
      <c r="BB609" s="7">
        <v>3</v>
      </c>
      <c r="BC609" s="7">
        <v>3</v>
      </c>
      <c r="BD609" s="7">
        <v>1</v>
      </c>
      <c r="BE609" s="7">
        <v>2</v>
      </c>
      <c r="BF609" s="7">
        <v>2</v>
      </c>
      <c r="BG609" s="12">
        <f>SUM(data__22[[#This Row],[N1]:[N4]],data__22[[#This Row],[N10]:[N13]],data__22[[#This Row],[N16]:[N18]])/11</f>
        <v>2.7272727272727271</v>
      </c>
      <c r="BH609" s="13">
        <f>SUM(data__22[[#This Row],[N8]:[N9]],data__22[[#This Row],[N23]:[N25]])/5</f>
        <v>1.6</v>
      </c>
      <c r="BI609" s="12">
        <f>SUM(data__22[[#This Row],[N5]:[N7]])/3</f>
        <v>2</v>
      </c>
      <c r="BJ609" s="12">
        <f>SUM(data__22[[#This Row],[N14]:[N15]],data__22[[#This Row],[N19]:[N22]],data__22[[#This Row],[N26]:[N28]])/9</f>
        <v>1.2222222222222223</v>
      </c>
      <c r="BK609" s="12">
        <f>SUM(data__22[[#This Row],[N29]:[N33]])/5</f>
        <v>3</v>
      </c>
      <c r="BL609" s="12">
        <f>SUM(data__22[[#This Row],[N34]:[N36]])/3</f>
        <v>1.6666666666666667</v>
      </c>
    </row>
    <row r="610" spans="1:64" x14ac:dyDescent="0.3">
      <c r="A610" s="7">
        <v>23</v>
      </c>
      <c r="B610" s="7" t="s">
        <v>128</v>
      </c>
      <c r="C610" s="7" t="s">
        <v>113</v>
      </c>
      <c r="D610" s="7" t="s">
        <v>72</v>
      </c>
      <c r="E610" s="7" t="s">
        <v>108</v>
      </c>
      <c r="F610" s="7" t="s">
        <v>98</v>
      </c>
      <c r="G610" s="7" t="s">
        <v>440</v>
      </c>
      <c r="H610" s="7" t="s">
        <v>136</v>
      </c>
      <c r="I610" s="7" t="s">
        <v>439</v>
      </c>
      <c r="J610" s="7" t="s">
        <v>77</v>
      </c>
      <c r="K610" s="7" t="s">
        <v>122</v>
      </c>
      <c r="L610" s="8" t="s">
        <v>79</v>
      </c>
      <c r="M610" s="8" t="s">
        <v>80</v>
      </c>
      <c r="N610" s="8" t="s">
        <v>79</v>
      </c>
      <c r="O610" s="8" t="s">
        <v>138</v>
      </c>
      <c r="P610" s="8" t="s">
        <v>79</v>
      </c>
      <c r="Q610" s="8" t="s">
        <v>118</v>
      </c>
      <c r="R610" s="8" t="s">
        <v>79</v>
      </c>
      <c r="S610" s="8" t="s">
        <v>79</v>
      </c>
      <c r="T610" s="8" t="s">
        <v>86</v>
      </c>
      <c r="U610" s="8" t="s">
        <v>141</v>
      </c>
      <c r="V610" s="8" t="s">
        <v>127</v>
      </c>
      <c r="W610" s="9">
        <v>1</v>
      </c>
      <c r="X610" s="9">
        <v>2</v>
      </c>
      <c r="Y610" s="9">
        <v>2</v>
      </c>
      <c r="Z610" s="9">
        <v>1</v>
      </c>
      <c r="AA610" s="9">
        <v>1</v>
      </c>
      <c r="AB610" s="9">
        <v>1</v>
      </c>
      <c r="AC610" s="9">
        <v>1</v>
      </c>
      <c r="AD610" s="9">
        <v>2</v>
      </c>
      <c r="AE610" s="9">
        <v>1</v>
      </c>
      <c r="AF610" s="9">
        <v>2</v>
      </c>
      <c r="AG610" s="9">
        <v>2</v>
      </c>
      <c r="AH610" s="9">
        <v>1</v>
      </c>
      <c r="AI610" s="9">
        <v>2</v>
      </c>
      <c r="AJ610" s="9">
        <v>2</v>
      </c>
      <c r="AK610" s="9">
        <v>3</v>
      </c>
      <c r="AL610" s="10">
        <v>1</v>
      </c>
      <c r="AM610" s="10">
        <v>2</v>
      </c>
      <c r="AN610" s="10">
        <v>1</v>
      </c>
      <c r="AO610" s="10">
        <v>1</v>
      </c>
      <c r="AP610" s="10">
        <v>1</v>
      </c>
      <c r="AQ610" s="10">
        <v>2</v>
      </c>
      <c r="AR610" s="10">
        <v>2</v>
      </c>
      <c r="AS610" s="11">
        <v>1</v>
      </c>
      <c r="AT610" s="11">
        <v>1</v>
      </c>
      <c r="AU610" s="11">
        <v>0</v>
      </c>
      <c r="AV610" s="11">
        <v>1</v>
      </c>
      <c r="AW610" s="11">
        <v>1</v>
      </c>
      <c r="AX610" s="11">
        <v>1</v>
      </c>
      <c r="AY610" s="7">
        <v>1</v>
      </c>
      <c r="AZ610" s="7">
        <v>2</v>
      </c>
      <c r="BA610" s="7">
        <v>2</v>
      </c>
      <c r="BB610" s="7">
        <v>1</v>
      </c>
      <c r="BC610" s="7">
        <v>1</v>
      </c>
      <c r="BD610" s="7">
        <v>0</v>
      </c>
      <c r="BE610" s="7">
        <v>0</v>
      </c>
      <c r="BF610" s="7">
        <v>1</v>
      </c>
      <c r="BG610" s="12">
        <f>SUM(data__22[[#This Row],[N1]:[N4]],data__22[[#This Row],[N10]:[N13]],data__22[[#This Row],[N16]:[N18]])/11</f>
        <v>1.5454545454545454</v>
      </c>
      <c r="BH610" s="13">
        <f>SUM(data__22[[#This Row],[N8]:[N9]],data__22[[#This Row],[N23]:[N25]])/5</f>
        <v>1</v>
      </c>
      <c r="BI610" s="12">
        <f>SUM(data__22[[#This Row],[N5]:[N7]])/3</f>
        <v>1</v>
      </c>
      <c r="BJ610" s="12">
        <f>SUM(data__22[[#This Row],[N14]:[N15]],data__22[[#This Row],[N19]:[N22]],data__22[[#This Row],[N26]:[N28]])/9</f>
        <v>1.5555555555555556</v>
      </c>
      <c r="BK610" s="12">
        <f>SUM(data__22[[#This Row],[N29]:[N33]])/5</f>
        <v>1.4</v>
      </c>
      <c r="BL610" s="12">
        <f>SUM(data__22[[#This Row],[N34]:[N36]])/3</f>
        <v>0.33333333333333331</v>
      </c>
    </row>
    <row r="611" spans="1:64" x14ac:dyDescent="0.3">
      <c r="A611" s="7">
        <v>22</v>
      </c>
      <c r="B611" s="7" t="s">
        <v>70</v>
      </c>
      <c r="C611" s="7" t="s">
        <v>113</v>
      </c>
      <c r="D611" s="7" t="s">
        <v>149</v>
      </c>
      <c r="E611" s="7" t="s">
        <v>73</v>
      </c>
      <c r="F611" s="7" t="s">
        <v>100</v>
      </c>
      <c r="G611" s="7" t="s">
        <v>439</v>
      </c>
      <c r="H611" s="7" t="s">
        <v>98</v>
      </c>
      <c r="I611" s="7" t="s">
        <v>166</v>
      </c>
      <c r="J611" s="7" t="s">
        <v>77</v>
      </c>
      <c r="K611" s="7" t="s">
        <v>122</v>
      </c>
      <c r="L611" s="8" t="s">
        <v>79</v>
      </c>
      <c r="M611" s="8" t="s">
        <v>80</v>
      </c>
      <c r="N611" s="8" t="s">
        <v>79</v>
      </c>
      <c r="O611" s="8" t="s">
        <v>138</v>
      </c>
      <c r="P611" s="8" t="s">
        <v>79</v>
      </c>
      <c r="Q611" s="8" t="s">
        <v>83</v>
      </c>
      <c r="R611" s="8" t="s">
        <v>79</v>
      </c>
      <c r="S611" s="8" t="s">
        <v>79</v>
      </c>
      <c r="T611" s="8" t="s">
        <v>86</v>
      </c>
      <c r="U611" s="8" t="s">
        <v>120</v>
      </c>
      <c r="V611" s="8" t="s">
        <v>127</v>
      </c>
      <c r="W611" s="9">
        <v>1</v>
      </c>
      <c r="X611" s="9">
        <v>2</v>
      </c>
      <c r="Y611" s="9">
        <v>2</v>
      </c>
      <c r="Z611" s="9">
        <v>1</v>
      </c>
      <c r="AA611" s="9">
        <v>1</v>
      </c>
      <c r="AB611" s="9">
        <v>2</v>
      </c>
      <c r="AC611" s="9">
        <v>1</v>
      </c>
      <c r="AD611" s="9">
        <v>2</v>
      </c>
      <c r="AE611" s="9">
        <v>1</v>
      </c>
      <c r="AF611" s="9">
        <v>1</v>
      </c>
      <c r="AG611" s="9">
        <v>1</v>
      </c>
      <c r="AH611" s="9">
        <v>2</v>
      </c>
      <c r="AI611" s="9">
        <v>2</v>
      </c>
      <c r="AJ611" s="9">
        <v>2</v>
      </c>
      <c r="AK611" s="9">
        <v>1</v>
      </c>
      <c r="AL611" s="10">
        <v>1</v>
      </c>
      <c r="AM611" s="10">
        <v>2</v>
      </c>
      <c r="AN611" s="10">
        <v>2</v>
      </c>
      <c r="AO611" s="10">
        <v>1</v>
      </c>
      <c r="AP611" s="10">
        <v>1</v>
      </c>
      <c r="AQ611" s="10">
        <v>1</v>
      </c>
      <c r="AR611" s="10">
        <v>2</v>
      </c>
      <c r="AS611" s="11">
        <v>1</v>
      </c>
      <c r="AT611" s="11">
        <v>1</v>
      </c>
      <c r="AU611" s="11">
        <v>2</v>
      </c>
      <c r="AV611" s="11">
        <v>1</v>
      </c>
      <c r="AW611" s="11">
        <v>0</v>
      </c>
      <c r="AX611" s="11">
        <v>1</v>
      </c>
      <c r="AY611" s="7">
        <v>1</v>
      </c>
      <c r="AZ611" s="7">
        <v>2</v>
      </c>
      <c r="BA611" s="7">
        <v>1</v>
      </c>
      <c r="BB611" s="7">
        <v>1</v>
      </c>
      <c r="BC611" s="7">
        <v>2</v>
      </c>
      <c r="BD611" s="7">
        <v>2</v>
      </c>
      <c r="BE611" s="7">
        <v>1</v>
      </c>
      <c r="BF611" s="7">
        <v>2</v>
      </c>
      <c r="BG611" s="12">
        <f>SUM(data__22[[#This Row],[N1]:[N4]],data__22[[#This Row],[N10]:[N13]],data__22[[#This Row],[N16]:[N18]])/11</f>
        <v>1.5454545454545454</v>
      </c>
      <c r="BH611" s="13">
        <f>SUM(data__22[[#This Row],[N8]:[N9]],data__22[[#This Row],[N23]:[N25]])/5</f>
        <v>1.4</v>
      </c>
      <c r="BI611" s="12">
        <f>SUM(data__22[[#This Row],[N5]:[N7]])/3</f>
        <v>1.3333333333333333</v>
      </c>
      <c r="BJ611" s="12">
        <f>SUM(data__22[[#This Row],[N14]:[N15]],data__22[[#This Row],[N19]:[N22]],data__22[[#This Row],[N26]:[N28]])/9</f>
        <v>1.1111111111111112</v>
      </c>
      <c r="BK611" s="12">
        <f>SUM(data__22[[#This Row],[N29]:[N33]])/5</f>
        <v>1.4</v>
      </c>
      <c r="BL611" s="12">
        <f>SUM(data__22[[#This Row],[N34]:[N36]])/3</f>
        <v>1.6666666666666667</v>
      </c>
    </row>
    <row r="612" spans="1:64" x14ac:dyDescent="0.3">
      <c r="A612" s="7">
        <v>22</v>
      </c>
      <c r="B612" s="7" t="s">
        <v>70</v>
      </c>
      <c r="C612" s="7" t="s">
        <v>96</v>
      </c>
      <c r="D612" s="7" t="s">
        <v>72</v>
      </c>
      <c r="E612" s="7" t="s">
        <v>114</v>
      </c>
      <c r="F612" s="7" t="s">
        <v>136</v>
      </c>
      <c r="G612" s="7" t="s">
        <v>99</v>
      </c>
      <c r="H612" s="7" t="s">
        <v>74</v>
      </c>
      <c r="I612" s="7" t="s">
        <v>439</v>
      </c>
      <c r="J612" s="7" t="s">
        <v>77</v>
      </c>
      <c r="K612" s="7" t="s">
        <v>125</v>
      </c>
      <c r="L612" s="8" t="s">
        <v>79</v>
      </c>
      <c r="M612" s="8" t="s">
        <v>102</v>
      </c>
      <c r="N612" s="8" t="s">
        <v>79</v>
      </c>
      <c r="O612" s="8" t="s">
        <v>133</v>
      </c>
      <c r="P612" s="8" t="s">
        <v>82</v>
      </c>
      <c r="Q612" s="8" t="s">
        <v>83</v>
      </c>
      <c r="R612" s="8" t="s">
        <v>79</v>
      </c>
      <c r="S612" s="8" t="s">
        <v>79</v>
      </c>
      <c r="T612" s="8" t="s">
        <v>106</v>
      </c>
      <c r="U612" s="8" t="s">
        <v>87</v>
      </c>
      <c r="V612" s="8" t="s">
        <v>112</v>
      </c>
      <c r="W612" s="9">
        <v>1</v>
      </c>
      <c r="X612" s="9">
        <v>1</v>
      </c>
      <c r="Y612" s="9">
        <v>2</v>
      </c>
      <c r="Z612" s="9">
        <v>1</v>
      </c>
      <c r="AA612" s="9">
        <v>1</v>
      </c>
      <c r="AB612" s="9">
        <v>1</v>
      </c>
      <c r="AC612" s="9">
        <v>1</v>
      </c>
      <c r="AD612" s="9">
        <v>1</v>
      </c>
      <c r="AE612" s="9">
        <v>1</v>
      </c>
      <c r="AF612" s="9">
        <v>1</v>
      </c>
      <c r="AG612" s="9">
        <v>1</v>
      </c>
      <c r="AH612" s="9">
        <v>1</v>
      </c>
      <c r="AI612" s="9">
        <v>2</v>
      </c>
      <c r="AJ612" s="9">
        <v>1</v>
      </c>
      <c r="AK612" s="9">
        <v>2</v>
      </c>
      <c r="AL612" s="10">
        <v>1</v>
      </c>
      <c r="AM612" s="10">
        <v>1</v>
      </c>
      <c r="AN612" s="10">
        <v>3</v>
      </c>
      <c r="AO612" s="10">
        <v>1</v>
      </c>
      <c r="AP612" s="10">
        <v>1</v>
      </c>
      <c r="AQ612" s="10">
        <v>1</v>
      </c>
      <c r="AR612" s="10">
        <v>2</v>
      </c>
      <c r="AS612" s="11">
        <v>1</v>
      </c>
      <c r="AT612" s="11">
        <v>2</v>
      </c>
      <c r="AU612" s="11">
        <v>1</v>
      </c>
      <c r="AV612" s="11">
        <v>2</v>
      </c>
      <c r="AW612" s="11">
        <v>1</v>
      </c>
      <c r="AX612" s="11">
        <v>1</v>
      </c>
      <c r="AY612" s="7">
        <v>1</v>
      </c>
      <c r="AZ612" s="7">
        <v>2</v>
      </c>
      <c r="BA612" s="7">
        <v>1</v>
      </c>
      <c r="BB612" s="7">
        <v>2</v>
      </c>
      <c r="BC612" s="7">
        <v>1</v>
      </c>
      <c r="BD612" s="7">
        <v>1</v>
      </c>
      <c r="BE612" s="7">
        <v>2</v>
      </c>
      <c r="BF612" s="7">
        <v>1</v>
      </c>
      <c r="BG612" s="12">
        <f>SUM(data__22[[#This Row],[N1]:[N4]],data__22[[#This Row],[N10]:[N13]],data__22[[#This Row],[N16]:[N18]])/11</f>
        <v>1.3636363636363635</v>
      </c>
      <c r="BH612" s="13">
        <f>SUM(data__22[[#This Row],[N8]:[N9]],data__22[[#This Row],[N23]:[N25]])/5</f>
        <v>1.2</v>
      </c>
      <c r="BI612" s="12">
        <f>SUM(data__22[[#This Row],[N5]:[N7]])/3</f>
        <v>1</v>
      </c>
      <c r="BJ612" s="12">
        <f>SUM(data__22[[#This Row],[N14]:[N15]],data__22[[#This Row],[N19]:[N22]],data__22[[#This Row],[N26]:[N28]])/9</f>
        <v>1.3333333333333333</v>
      </c>
      <c r="BK612" s="12">
        <f>SUM(data__22[[#This Row],[N29]:[N33]])/5</f>
        <v>1.4</v>
      </c>
      <c r="BL612" s="12">
        <f>SUM(data__22[[#This Row],[N34]:[N36]])/3</f>
        <v>1.3333333333333333</v>
      </c>
    </row>
    <row r="613" spans="1:64" x14ac:dyDescent="0.3">
      <c r="A613" s="7">
        <v>23</v>
      </c>
      <c r="B613" s="7" t="s">
        <v>70</v>
      </c>
      <c r="C613" s="7" t="s">
        <v>113</v>
      </c>
      <c r="D613" s="7" t="s">
        <v>72</v>
      </c>
      <c r="E613" s="7" t="s">
        <v>108</v>
      </c>
      <c r="F613" s="7" t="s">
        <v>98</v>
      </c>
      <c r="G613" s="7" t="s">
        <v>439</v>
      </c>
      <c r="H613" s="7" t="s">
        <v>100</v>
      </c>
      <c r="I613" s="7" t="s">
        <v>76</v>
      </c>
      <c r="J613" s="7" t="s">
        <v>77</v>
      </c>
      <c r="K613" s="7" t="s">
        <v>122</v>
      </c>
      <c r="L613" s="8" t="s">
        <v>79</v>
      </c>
      <c r="M613" s="8" t="s">
        <v>80</v>
      </c>
      <c r="N613" s="8" t="s">
        <v>79</v>
      </c>
      <c r="O613" s="8" t="s">
        <v>117</v>
      </c>
      <c r="P613" s="8" t="s">
        <v>79</v>
      </c>
      <c r="Q613" s="8" t="s">
        <v>83</v>
      </c>
      <c r="R613" s="8" t="s">
        <v>79</v>
      </c>
      <c r="S613" s="8" t="s">
        <v>79</v>
      </c>
      <c r="T613" s="8" t="s">
        <v>86</v>
      </c>
      <c r="U613" s="8" t="s">
        <v>141</v>
      </c>
      <c r="V613" s="8" t="s">
        <v>127</v>
      </c>
      <c r="W613" s="9">
        <v>1</v>
      </c>
      <c r="X613" s="9">
        <v>2</v>
      </c>
      <c r="Y613" s="9">
        <v>2</v>
      </c>
      <c r="Z613" s="9">
        <v>2</v>
      </c>
      <c r="AA613" s="9">
        <v>2</v>
      </c>
      <c r="AB613" s="9">
        <v>1</v>
      </c>
      <c r="AC613" s="9">
        <v>1</v>
      </c>
      <c r="AD613" s="9">
        <v>2</v>
      </c>
      <c r="AE613" s="9">
        <v>2</v>
      </c>
      <c r="AF613" s="9">
        <v>1</v>
      </c>
      <c r="AG613" s="9">
        <v>1</v>
      </c>
      <c r="AH613" s="9">
        <v>1</v>
      </c>
      <c r="AI613" s="9">
        <v>2</v>
      </c>
      <c r="AJ613" s="9">
        <v>2</v>
      </c>
      <c r="AK613" s="9">
        <v>2</v>
      </c>
      <c r="AL613" s="10">
        <v>1</v>
      </c>
      <c r="AM613" s="10">
        <v>2</v>
      </c>
      <c r="AN613" s="10">
        <v>2</v>
      </c>
      <c r="AO613" s="10">
        <v>2</v>
      </c>
      <c r="AP613" s="10">
        <v>1</v>
      </c>
      <c r="AQ613" s="10">
        <v>1</v>
      </c>
      <c r="AR613" s="10">
        <v>1</v>
      </c>
      <c r="AS613" s="11">
        <v>1</v>
      </c>
      <c r="AT613" s="11">
        <v>2</v>
      </c>
      <c r="AU613" s="11">
        <v>2</v>
      </c>
      <c r="AV613" s="11">
        <v>3</v>
      </c>
      <c r="AW613" s="11">
        <v>1</v>
      </c>
      <c r="AX613" s="11">
        <v>2</v>
      </c>
      <c r="AY613" s="7">
        <v>1</v>
      </c>
      <c r="AZ613" s="7">
        <v>0</v>
      </c>
      <c r="BA613" s="7">
        <v>1</v>
      </c>
      <c r="BB613" s="7">
        <v>1</v>
      </c>
      <c r="BC613" s="7">
        <v>2</v>
      </c>
      <c r="BD613" s="7">
        <v>2</v>
      </c>
      <c r="BE613" s="7">
        <v>0</v>
      </c>
      <c r="BF613" s="7">
        <v>1</v>
      </c>
      <c r="BG613" s="12">
        <f>SUM(data__22[[#This Row],[N1]:[N4]],data__22[[#This Row],[N10]:[N13]],data__22[[#This Row],[N16]:[N18]])/11</f>
        <v>1.5454545454545454</v>
      </c>
      <c r="BH613" s="13">
        <f>SUM(data__22[[#This Row],[N8]:[N9]],data__22[[#This Row],[N23]:[N25]])/5</f>
        <v>1.8</v>
      </c>
      <c r="BI613" s="12">
        <f>SUM(data__22[[#This Row],[N5]:[N7]])/3</f>
        <v>1.3333333333333333</v>
      </c>
      <c r="BJ613" s="12">
        <f>SUM(data__22[[#This Row],[N14]:[N15]],data__22[[#This Row],[N19]:[N22]],data__22[[#This Row],[N26]:[N28]])/9</f>
        <v>1.6666666666666667</v>
      </c>
      <c r="BK613" s="12">
        <f>SUM(data__22[[#This Row],[N29]:[N33]])/5</f>
        <v>1</v>
      </c>
      <c r="BL613" s="12">
        <f>SUM(data__22[[#This Row],[N34]:[N36]])/3</f>
        <v>1</v>
      </c>
    </row>
    <row r="614" spans="1:64" x14ac:dyDescent="0.3">
      <c r="A614" s="7">
        <v>23</v>
      </c>
      <c r="B614" s="7" t="s">
        <v>70</v>
      </c>
      <c r="C614" s="7" t="s">
        <v>113</v>
      </c>
      <c r="D614" s="7" t="s">
        <v>72</v>
      </c>
      <c r="E614" s="7" t="s">
        <v>108</v>
      </c>
      <c r="F614" s="7" t="s">
        <v>100</v>
      </c>
      <c r="G614" s="7" t="s">
        <v>440</v>
      </c>
      <c r="H614" s="7" t="s">
        <v>100</v>
      </c>
      <c r="I614" s="7" t="s">
        <v>439</v>
      </c>
      <c r="J614" s="7" t="s">
        <v>77</v>
      </c>
      <c r="K614" s="7" t="s">
        <v>122</v>
      </c>
      <c r="L614" s="8" t="s">
        <v>79</v>
      </c>
      <c r="M614" s="8" t="s">
        <v>80</v>
      </c>
      <c r="N614" s="8" t="s">
        <v>79</v>
      </c>
      <c r="O614" s="8" t="s">
        <v>138</v>
      </c>
      <c r="P614" s="8" t="s">
        <v>79</v>
      </c>
      <c r="Q614" s="8" t="s">
        <v>83</v>
      </c>
      <c r="R614" s="8" t="s">
        <v>79</v>
      </c>
      <c r="S614" s="8" t="s">
        <v>79</v>
      </c>
      <c r="T614" s="8" t="s">
        <v>86</v>
      </c>
      <c r="U614" s="8" t="s">
        <v>87</v>
      </c>
      <c r="V614" s="8" t="s">
        <v>127</v>
      </c>
      <c r="W614" s="9">
        <v>2</v>
      </c>
      <c r="X614" s="9">
        <v>3</v>
      </c>
      <c r="Y614" s="9">
        <v>3</v>
      </c>
      <c r="Z614" s="9">
        <v>3</v>
      </c>
      <c r="AA614" s="9">
        <v>3</v>
      </c>
      <c r="AB614" s="9">
        <v>3</v>
      </c>
      <c r="AC614" s="9">
        <v>3</v>
      </c>
      <c r="AD614" s="9">
        <v>3</v>
      </c>
      <c r="AE614" s="9">
        <v>3</v>
      </c>
      <c r="AF614" s="9">
        <v>3</v>
      </c>
      <c r="AG614" s="9">
        <v>3</v>
      </c>
      <c r="AH614" s="9">
        <v>3</v>
      </c>
      <c r="AI614" s="9">
        <v>3</v>
      </c>
      <c r="AJ614" s="9">
        <v>3</v>
      </c>
      <c r="AK614" s="9">
        <v>3</v>
      </c>
      <c r="AL614" s="10">
        <v>0</v>
      </c>
      <c r="AM614" s="10">
        <v>2</v>
      </c>
      <c r="AN614" s="10">
        <v>1</v>
      </c>
      <c r="AO614" s="10">
        <v>1</v>
      </c>
      <c r="AP614" s="10">
        <v>1</v>
      </c>
      <c r="AQ614" s="10">
        <v>2</v>
      </c>
      <c r="AR614" s="10">
        <v>2</v>
      </c>
      <c r="AS614" s="11">
        <v>2</v>
      </c>
      <c r="AT614" s="11">
        <v>2</v>
      </c>
      <c r="AU614" s="11">
        <v>2</v>
      </c>
      <c r="AV614" s="11">
        <v>1</v>
      </c>
      <c r="AW614" s="11">
        <v>1</v>
      </c>
      <c r="AX614" s="11">
        <v>1</v>
      </c>
      <c r="AY614" s="7">
        <v>1</v>
      </c>
      <c r="AZ614" s="7">
        <v>2</v>
      </c>
      <c r="BA614" s="7">
        <v>1</v>
      </c>
      <c r="BB614" s="7">
        <v>1</v>
      </c>
      <c r="BC614" s="7">
        <v>2</v>
      </c>
      <c r="BD614" s="7">
        <v>1</v>
      </c>
      <c r="BE614" s="7">
        <v>2</v>
      </c>
      <c r="BF614" s="7">
        <v>0</v>
      </c>
      <c r="BG614" s="12">
        <f>SUM(data__22[[#This Row],[N1]:[N4]],data__22[[#This Row],[N10]:[N13]],data__22[[#This Row],[N16]:[N18]])/11</f>
        <v>2.3636363636363638</v>
      </c>
      <c r="BH614" s="13">
        <f>SUM(data__22[[#This Row],[N8]:[N9]],data__22[[#This Row],[N23]:[N25]])/5</f>
        <v>2.4</v>
      </c>
      <c r="BI614" s="12">
        <f>SUM(data__22[[#This Row],[N5]:[N7]])/3</f>
        <v>3</v>
      </c>
      <c r="BJ614" s="12">
        <f>SUM(data__22[[#This Row],[N14]:[N15]],data__22[[#This Row],[N19]:[N22]],data__22[[#This Row],[N26]:[N28]])/9</f>
        <v>1.6666666666666667</v>
      </c>
      <c r="BK614" s="12">
        <f>SUM(data__22[[#This Row],[N29]:[N33]])/5</f>
        <v>1.4</v>
      </c>
      <c r="BL614" s="12">
        <f>SUM(data__22[[#This Row],[N34]:[N36]])/3</f>
        <v>1</v>
      </c>
    </row>
    <row r="615" spans="1:64" x14ac:dyDescent="0.3">
      <c r="A615" s="7">
        <v>24</v>
      </c>
      <c r="B615" s="7" t="s">
        <v>70</v>
      </c>
      <c r="C615" s="7" t="s">
        <v>113</v>
      </c>
      <c r="D615" s="7" t="s">
        <v>149</v>
      </c>
      <c r="E615" s="7" t="s">
        <v>108</v>
      </c>
      <c r="F615" s="7" t="s">
        <v>136</v>
      </c>
      <c r="G615" s="7" t="s">
        <v>439</v>
      </c>
      <c r="H615" s="7" t="s">
        <v>100</v>
      </c>
      <c r="I615" s="7" t="s">
        <v>76</v>
      </c>
      <c r="J615" s="7" t="s">
        <v>77</v>
      </c>
      <c r="K615" s="7" t="s">
        <v>122</v>
      </c>
      <c r="L615" s="8" t="s">
        <v>82</v>
      </c>
      <c r="M615" s="8" t="s">
        <v>80</v>
      </c>
      <c r="N615" s="8" t="s">
        <v>82</v>
      </c>
      <c r="O615" s="8" t="s">
        <v>117</v>
      </c>
      <c r="P615" s="8" t="s">
        <v>79</v>
      </c>
      <c r="Q615" s="8" t="s">
        <v>83</v>
      </c>
      <c r="R615" s="8" t="s">
        <v>79</v>
      </c>
      <c r="S615" s="8" t="s">
        <v>79</v>
      </c>
      <c r="T615" s="8" t="s">
        <v>106</v>
      </c>
      <c r="U615" s="8" t="s">
        <v>141</v>
      </c>
      <c r="V615" s="8" t="s">
        <v>112</v>
      </c>
      <c r="W615" s="9">
        <v>0</v>
      </c>
      <c r="X615" s="9">
        <v>1</v>
      </c>
      <c r="Y615" s="9">
        <v>0</v>
      </c>
      <c r="Z615" s="9">
        <v>1</v>
      </c>
      <c r="AA615" s="9">
        <v>1</v>
      </c>
      <c r="AB615" s="9">
        <v>1</v>
      </c>
      <c r="AC615" s="9">
        <v>2</v>
      </c>
      <c r="AD615" s="9">
        <v>1</v>
      </c>
      <c r="AE615" s="9">
        <v>1</v>
      </c>
      <c r="AF615" s="9">
        <v>2</v>
      </c>
      <c r="AG615" s="9">
        <v>2</v>
      </c>
      <c r="AH615" s="9">
        <v>2</v>
      </c>
      <c r="AI615" s="9">
        <v>1</v>
      </c>
      <c r="AJ615" s="9">
        <v>2</v>
      </c>
      <c r="AK615" s="9">
        <v>1</v>
      </c>
      <c r="AL615" s="10">
        <v>1</v>
      </c>
      <c r="AM615" s="10">
        <v>1</v>
      </c>
      <c r="AN615" s="10">
        <v>1</v>
      </c>
      <c r="AO615" s="10">
        <v>1</v>
      </c>
      <c r="AP615" s="10">
        <v>2</v>
      </c>
      <c r="AQ615" s="10">
        <v>2</v>
      </c>
      <c r="AR615" s="10">
        <v>1</v>
      </c>
      <c r="AS615" s="11">
        <v>1</v>
      </c>
      <c r="AT615" s="11">
        <v>1</v>
      </c>
      <c r="AU615" s="11">
        <v>1</v>
      </c>
      <c r="AV615" s="11">
        <v>2</v>
      </c>
      <c r="AW615" s="11">
        <v>1</v>
      </c>
      <c r="AX615" s="11">
        <v>1</v>
      </c>
      <c r="AY615" s="7">
        <v>1</v>
      </c>
      <c r="AZ615" s="7">
        <v>1</v>
      </c>
      <c r="BA615" s="7">
        <v>1</v>
      </c>
      <c r="BB615" s="7">
        <v>2</v>
      </c>
      <c r="BC615" s="7">
        <v>1</v>
      </c>
      <c r="BD615" s="7">
        <v>2</v>
      </c>
      <c r="BE615" s="7">
        <v>2</v>
      </c>
      <c r="BF615" s="7">
        <v>1</v>
      </c>
      <c r="BG615" s="12">
        <f>SUM(data__22[[#This Row],[N1]:[N4]],data__22[[#This Row],[N10]:[N13]],data__22[[#This Row],[N16]:[N18]])/11</f>
        <v>1.0909090909090908</v>
      </c>
      <c r="BH615" s="13">
        <f>SUM(data__22[[#This Row],[N8]:[N9]],data__22[[#This Row],[N23]:[N25]])/5</f>
        <v>1</v>
      </c>
      <c r="BI615" s="12">
        <f>SUM(data__22[[#This Row],[N5]:[N7]])/3</f>
        <v>1.3333333333333333</v>
      </c>
      <c r="BJ615" s="12">
        <f>SUM(data__22[[#This Row],[N14]:[N15]],data__22[[#This Row],[N19]:[N22]],data__22[[#This Row],[N26]:[N28]])/9</f>
        <v>1.4444444444444444</v>
      </c>
      <c r="BK615" s="12">
        <f>SUM(data__22[[#This Row],[N29]:[N33]])/5</f>
        <v>1.2</v>
      </c>
      <c r="BL615" s="12">
        <f>SUM(data__22[[#This Row],[N34]:[N36]])/3</f>
        <v>1.6666666666666667</v>
      </c>
    </row>
    <row r="616" spans="1:64" x14ac:dyDescent="0.3">
      <c r="A616" s="7">
        <v>21</v>
      </c>
      <c r="B616" s="7" t="s">
        <v>70</v>
      </c>
      <c r="C616" s="7" t="s">
        <v>96</v>
      </c>
      <c r="D616" s="7" t="s">
        <v>72</v>
      </c>
      <c r="E616" s="7" t="s">
        <v>114</v>
      </c>
      <c r="F616" s="7" t="s">
        <v>100</v>
      </c>
      <c r="G616" s="7" t="s">
        <v>439</v>
      </c>
      <c r="H616" s="7" t="s">
        <v>98</v>
      </c>
      <c r="I616" s="7" t="s">
        <v>76</v>
      </c>
      <c r="J616" s="7" t="s">
        <v>77</v>
      </c>
      <c r="K616" s="7" t="s">
        <v>125</v>
      </c>
      <c r="L616" s="8" t="s">
        <v>82</v>
      </c>
      <c r="M616" s="8" t="s">
        <v>80</v>
      </c>
      <c r="N616" s="8" t="s">
        <v>79</v>
      </c>
      <c r="O616" s="8" t="s">
        <v>138</v>
      </c>
      <c r="P616" s="8" t="s">
        <v>79</v>
      </c>
      <c r="Q616" s="8" t="s">
        <v>83</v>
      </c>
      <c r="R616" s="8" t="s">
        <v>79</v>
      </c>
      <c r="S616" s="8" t="s">
        <v>82</v>
      </c>
      <c r="T616" s="8" t="s">
        <v>148</v>
      </c>
      <c r="U616" s="8" t="s">
        <v>87</v>
      </c>
      <c r="V616" s="8" t="s">
        <v>112</v>
      </c>
      <c r="W616" s="9">
        <v>1</v>
      </c>
      <c r="X616" s="9">
        <v>2</v>
      </c>
      <c r="Y616" s="9">
        <v>3</v>
      </c>
      <c r="Z616" s="9">
        <v>2</v>
      </c>
      <c r="AA616" s="9">
        <v>2</v>
      </c>
      <c r="AB616" s="9">
        <v>1</v>
      </c>
      <c r="AC616" s="9">
        <v>1</v>
      </c>
      <c r="AD616" s="9">
        <v>2</v>
      </c>
      <c r="AE616" s="9">
        <v>1</v>
      </c>
      <c r="AF616" s="9">
        <v>2</v>
      </c>
      <c r="AG616" s="9">
        <v>3</v>
      </c>
      <c r="AH616" s="9">
        <v>2</v>
      </c>
      <c r="AI616" s="9">
        <v>3</v>
      </c>
      <c r="AJ616" s="9">
        <v>1</v>
      </c>
      <c r="AK616" s="9">
        <v>2</v>
      </c>
      <c r="AL616" s="10">
        <v>3</v>
      </c>
      <c r="AM616" s="10">
        <v>3</v>
      </c>
      <c r="AN616" s="10">
        <v>3</v>
      </c>
      <c r="AO616" s="10">
        <v>0</v>
      </c>
      <c r="AP616" s="10">
        <v>0</v>
      </c>
      <c r="AQ616" s="10">
        <v>0</v>
      </c>
      <c r="AR616" s="10">
        <v>0</v>
      </c>
      <c r="AS616" s="11">
        <v>3</v>
      </c>
      <c r="AT616" s="11">
        <v>2</v>
      </c>
      <c r="AU616" s="11">
        <v>1</v>
      </c>
      <c r="AV616" s="11">
        <v>0</v>
      </c>
      <c r="AW616" s="11">
        <v>0</v>
      </c>
      <c r="AX616" s="11">
        <v>0</v>
      </c>
      <c r="AY616" s="7">
        <v>3</v>
      </c>
      <c r="AZ616" s="7">
        <v>2</v>
      </c>
      <c r="BA616" s="7">
        <v>2</v>
      </c>
      <c r="BB616" s="7">
        <v>3</v>
      </c>
      <c r="BC616" s="7">
        <v>3</v>
      </c>
      <c r="BD616" s="7">
        <v>2</v>
      </c>
      <c r="BE616" s="7">
        <v>1</v>
      </c>
      <c r="BF616" s="7">
        <v>0</v>
      </c>
      <c r="BG616" s="12">
        <f>SUM(data__22[[#This Row],[N1]:[N4]],data__22[[#This Row],[N10]:[N13]],data__22[[#This Row],[N16]:[N18]])/11</f>
        <v>2.4545454545454546</v>
      </c>
      <c r="BH616" s="13">
        <f>SUM(data__22[[#This Row],[N8]:[N9]],data__22[[#This Row],[N23]:[N25]])/5</f>
        <v>1.8</v>
      </c>
      <c r="BI616" s="12">
        <f>SUM(data__22[[#This Row],[N5]:[N7]])/3</f>
        <v>1.3333333333333333</v>
      </c>
      <c r="BJ616" s="12">
        <f>SUM(data__22[[#This Row],[N14]:[N15]],data__22[[#This Row],[N19]:[N22]],data__22[[#This Row],[N26]:[N28]])/9</f>
        <v>0.33333333333333331</v>
      </c>
      <c r="BK616" s="12">
        <f>SUM(data__22[[#This Row],[N29]:[N33]])/5</f>
        <v>2.6</v>
      </c>
      <c r="BL616" s="12">
        <f>SUM(data__22[[#This Row],[N34]:[N36]])/3</f>
        <v>1</v>
      </c>
    </row>
    <row r="617" spans="1:64" x14ac:dyDescent="0.3">
      <c r="A617" s="7">
        <v>22</v>
      </c>
      <c r="B617" s="7" t="s">
        <v>128</v>
      </c>
      <c r="C617" s="7" t="s">
        <v>96</v>
      </c>
      <c r="D617" s="7" t="s">
        <v>97</v>
      </c>
      <c r="E617" s="7" t="s">
        <v>108</v>
      </c>
      <c r="F617" s="7" t="s">
        <v>74</v>
      </c>
      <c r="G617" s="7" t="s">
        <v>439</v>
      </c>
      <c r="H617" s="7" t="s">
        <v>136</v>
      </c>
      <c r="I617" s="7" t="s">
        <v>76</v>
      </c>
      <c r="J617" s="7" t="s">
        <v>77</v>
      </c>
      <c r="K617" s="7" t="s">
        <v>131</v>
      </c>
      <c r="L617" s="8" t="s">
        <v>79</v>
      </c>
      <c r="M617" s="8" t="s">
        <v>80</v>
      </c>
      <c r="N617" s="8" t="s">
        <v>82</v>
      </c>
      <c r="O617" s="8" t="s">
        <v>81</v>
      </c>
      <c r="P617" s="8" t="s">
        <v>79</v>
      </c>
      <c r="Q617" s="8" t="s">
        <v>118</v>
      </c>
      <c r="R617" s="8" t="s">
        <v>79</v>
      </c>
      <c r="S617" s="8" t="s">
        <v>82</v>
      </c>
      <c r="T617" s="8" t="s">
        <v>86</v>
      </c>
      <c r="U617" s="8" t="s">
        <v>141</v>
      </c>
      <c r="V617" s="8" t="s">
        <v>160</v>
      </c>
      <c r="W617" s="9">
        <v>2</v>
      </c>
      <c r="X617" s="9">
        <v>2</v>
      </c>
      <c r="Y617" s="9">
        <v>2</v>
      </c>
      <c r="Z617" s="9">
        <v>1</v>
      </c>
      <c r="AA617" s="9">
        <v>1</v>
      </c>
      <c r="AB617" s="9">
        <v>1</v>
      </c>
      <c r="AC617" s="9">
        <v>1</v>
      </c>
      <c r="AD617" s="9">
        <v>1</v>
      </c>
      <c r="AE617" s="9">
        <v>2</v>
      </c>
      <c r="AF617" s="9">
        <v>2</v>
      </c>
      <c r="AG617" s="9">
        <v>1</v>
      </c>
      <c r="AH617" s="9">
        <v>1</v>
      </c>
      <c r="AI617" s="9">
        <v>1</v>
      </c>
      <c r="AJ617" s="9">
        <v>1</v>
      </c>
      <c r="AK617" s="9">
        <v>1</v>
      </c>
      <c r="AL617" s="10">
        <v>2</v>
      </c>
      <c r="AM617" s="10">
        <v>2</v>
      </c>
      <c r="AN617" s="10">
        <v>3</v>
      </c>
      <c r="AO617" s="10">
        <v>2</v>
      </c>
      <c r="AP617" s="10">
        <v>2</v>
      </c>
      <c r="AQ617" s="10">
        <v>1</v>
      </c>
      <c r="AR617" s="10">
        <v>1</v>
      </c>
      <c r="AS617" s="11">
        <v>2</v>
      </c>
      <c r="AT617" s="11">
        <v>2</v>
      </c>
      <c r="AU617" s="11">
        <v>1</v>
      </c>
      <c r="AV617" s="11">
        <v>2</v>
      </c>
      <c r="AW617" s="11">
        <v>1</v>
      </c>
      <c r="AX617" s="11">
        <v>1</v>
      </c>
      <c r="AY617" s="7">
        <v>2</v>
      </c>
      <c r="AZ617" s="7">
        <v>1</v>
      </c>
      <c r="BA617" s="7">
        <v>2</v>
      </c>
      <c r="BB617" s="7">
        <v>1</v>
      </c>
      <c r="BC617" s="7">
        <v>1</v>
      </c>
      <c r="BD617" s="7">
        <v>1</v>
      </c>
      <c r="BE617" s="7">
        <v>0</v>
      </c>
      <c r="BF617" s="7">
        <v>0</v>
      </c>
      <c r="BG617" s="12">
        <f>SUM(data__22[[#This Row],[N1]:[N4]],data__22[[#This Row],[N10]:[N13]],data__22[[#This Row],[N16]:[N18]])/11</f>
        <v>1.7272727272727273</v>
      </c>
      <c r="BH617" s="13">
        <f>SUM(data__22[[#This Row],[N8]:[N9]],data__22[[#This Row],[N23]:[N25]])/5</f>
        <v>1.6</v>
      </c>
      <c r="BI617" s="12">
        <f>SUM(data__22[[#This Row],[N5]:[N7]])/3</f>
        <v>1</v>
      </c>
      <c r="BJ617" s="12">
        <f>SUM(data__22[[#This Row],[N14]:[N15]],data__22[[#This Row],[N19]:[N22]],data__22[[#This Row],[N26]:[N28]])/9</f>
        <v>1.3333333333333333</v>
      </c>
      <c r="BK617" s="12">
        <f>SUM(data__22[[#This Row],[N29]:[N33]])/5</f>
        <v>1.4</v>
      </c>
      <c r="BL617" s="12">
        <f>SUM(data__22[[#This Row],[N34]:[N36]])/3</f>
        <v>0.33333333333333331</v>
      </c>
    </row>
    <row r="618" spans="1:64" x14ac:dyDescent="0.3">
      <c r="A618" s="7">
        <v>22</v>
      </c>
      <c r="B618" s="7" t="s">
        <v>70</v>
      </c>
      <c r="C618" s="7" t="s">
        <v>113</v>
      </c>
      <c r="D618" s="7" t="s">
        <v>72</v>
      </c>
      <c r="E618" s="7" t="s">
        <v>114</v>
      </c>
      <c r="F618" s="7" t="s">
        <v>98</v>
      </c>
      <c r="G618" s="7" t="s">
        <v>99</v>
      </c>
      <c r="H618" s="7" t="s">
        <v>98</v>
      </c>
      <c r="I618" s="7" t="s">
        <v>76</v>
      </c>
      <c r="J618" s="7" t="s">
        <v>77</v>
      </c>
      <c r="K618" s="7" t="s">
        <v>122</v>
      </c>
      <c r="L618" s="8" t="s">
        <v>82</v>
      </c>
      <c r="M618" s="8" t="s">
        <v>80</v>
      </c>
      <c r="N618" s="8" t="s">
        <v>79</v>
      </c>
      <c r="O618" s="8" t="s">
        <v>179</v>
      </c>
      <c r="P618" s="8" t="s">
        <v>82</v>
      </c>
      <c r="Q618" s="8" t="s">
        <v>103</v>
      </c>
      <c r="R618" s="8" t="s">
        <v>82</v>
      </c>
      <c r="S618" s="8" t="s">
        <v>82</v>
      </c>
      <c r="T618" s="8" t="s">
        <v>106</v>
      </c>
      <c r="U618" s="8" t="s">
        <v>87</v>
      </c>
      <c r="V618" s="8" t="s">
        <v>457</v>
      </c>
      <c r="W618" s="9">
        <v>1</v>
      </c>
      <c r="X618" s="9">
        <v>1</v>
      </c>
      <c r="Y618" s="9">
        <v>1</v>
      </c>
      <c r="Z618" s="9">
        <v>1</v>
      </c>
      <c r="AA618" s="9">
        <v>1</v>
      </c>
      <c r="AB618" s="9">
        <v>1</v>
      </c>
      <c r="AC618" s="9">
        <v>1</v>
      </c>
      <c r="AD618" s="9">
        <v>1</v>
      </c>
      <c r="AE618" s="9">
        <v>1</v>
      </c>
      <c r="AF618" s="9">
        <v>1</v>
      </c>
      <c r="AG618" s="9">
        <v>1</v>
      </c>
      <c r="AH618" s="9">
        <v>1</v>
      </c>
      <c r="AI618" s="9">
        <v>1</v>
      </c>
      <c r="AJ618" s="9">
        <v>1</v>
      </c>
      <c r="AK618" s="9">
        <v>1</v>
      </c>
      <c r="AL618" s="10">
        <v>2</v>
      </c>
      <c r="AM618" s="10">
        <v>2</v>
      </c>
      <c r="AN618" s="10">
        <v>1</v>
      </c>
      <c r="AO618" s="10">
        <v>1</v>
      </c>
      <c r="AP618" s="10">
        <v>1</v>
      </c>
      <c r="AQ618" s="10">
        <v>2</v>
      </c>
      <c r="AR618" s="10">
        <v>1</v>
      </c>
      <c r="AS618" s="11">
        <v>2</v>
      </c>
      <c r="AT618" s="11">
        <v>2</v>
      </c>
      <c r="AU618" s="11">
        <v>2</v>
      </c>
      <c r="AV618" s="11">
        <v>2</v>
      </c>
      <c r="AW618" s="11">
        <v>1</v>
      </c>
      <c r="AX618" s="11">
        <v>1</v>
      </c>
      <c r="AY618" s="7">
        <v>1</v>
      </c>
      <c r="AZ618" s="7">
        <v>2</v>
      </c>
      <c r="BA618" s="7">
        <v>1</v>
      </c>
      <c r="BB618" s="7">
        <v>1</v>
      </c>
      <c r="BC618" s="7">
        <v>2</v>
      </c>
      <c r="BD618" s="7">
        <v>1</v>
      </c>
      <c r="BE618" s="7">
        <v>2</v>
      </c>
      <c r="BF618" s="7">
        <v>1</v>
      </c>
      <c r="BG618" s="12">
        <f>SUM(data__22[[#This Row],[N1]:[N4]],data__22[[#This Row],[N10]:[N13]],data__22[[#This Row],[N16]:[N18]])/11</f>
        <v>1.1818181818181819</v>
      </c>
      <c r="BH618" s="13">
        <f>SUM(data__22[[#This Row],[N8]:[N9]],data__22[[#This Row],[N23]:[N25]])/5</f>
        <v>1.6</v>
      </c>
      <c r="BI618" s="12">
        <f>SUM(data__22[[#This Row],[N5]:[N7]])/3</f>
        <v>1</v>
      </c>
      <c r="BJ618" s="12">
        <f>SUM(data__22[[#This Row],[N14]:[N15]],data__22[[#This Row],[N19]:[N22]],data__22[[#This Row],[N26]:[N28]])/9</f>
        <v>1.2222222222222223</v>
      </c>
      <c r="BK618" s="12">
        <f>SUM(data__22[[#This Row],[N29]:[N33]])/5</f>
        <v>1.4</v>
      </c>
      <c r="BL618" s="12">
        <f>SUM(data__22[[#This Row],[N34]:[N36]])/3</f>
        <v>1.3333333333333333</v>
      </c>
    </row>
    <row r="619" spans="1:64" x14ac:dyDescent="0.3">
      <c r="A619" s="7">
        <v>25</v>
      </c>
      <c r="B619" s="7" t="s">
        <v>128</v>
      </c>
      <c r="C619" s="7" t="s">
        <v>71</v>
      </c>
      <c r="D619" s="7" t="s">
        <v>97</v>
      </c>
      <c r="E619" s="7" t="s">
        <v>108</v>
      </c>
      <c r="F619" s="7" t="s">
        <v>136</v>
      </c>
      <c r="G619" s="7" t="s">
        <v>440</v>
      </c>
      <c r="H619" s="7" t="s">
        <v>100</v>
      </c>
      <c r="I619" s="7" t="s">
        <v>76</v>
      </c>
      <c r="J619" s="7" t="s">
        <v>77</v>
      </c>
      <c r="K619" s="7" t="s">
        <v>131</v>
      </c>
      <c r="L619" s="8" t="s">
        <v>79</v>
      </c>
      <c r="M619" s="8" t="s">
        <v>80</v>
      </c>
      <c r="N619" s="8" t="s">
        <v>79</v>
      </c>
      <c r="O619" s="8" t="s">
        <v>179</v>
      </c>
      <c r="P619" s="8" t="s">
        <v>79</v>
      </c>
      <c r="Q619" s="8" t="s">
        <v>83</v>
      </c>
      <c r="R619" s="8" t="s">
        <v>79</v>
      </c>
      <c r="S619" s="8" t="s">
        <v>79</v>
      </c>
      <c r="T619" s="8" t="s">
        <v>86</v>
      </c>
      <c r="U619" s="8" t="s">
        <v>141</v>
      </c>
      <c r="V619" s="8" t="s">
        <v>455</v>
      </c>
      <c r="W619" s="9">
        <v>2</v>
      </c>
      <c r="X619" s="9">
        <v>2</v>
      </c>
      <c r="Y619" s="9">
        <v>1</v>
      </c>
      <c r="Z619" s="9">
        <v>1</v>
      </c>
      <c r="AA619" s="9">
        <v>3</v>
      </c>
      <c r="AB619" s="9">
        <v>2</v>
      </c>
      <c r="AC619" s="9">
        <v>2</v>
      </c>
      <c r="AD619" s="9">
        <v>1</v>
      </c>
      <c r="AE619" s="9">
        <v>2</v>
      </c>
      <c r="AF619" s="9">
        <v>3</v>
      </c>
      <c r="AG619" s="9">
        <v>2</v>
      </c>
      <c r="AH619" s="9">
        <v>2</v>
      </c>
      <c r="AI619" s="9">
        <v>2</v>
      </c>
      <c r="AJ619" s="9">
        <v>2</v>
      </c>
      <c r="AK619" s="9">
        <v>1</v>
      </c>
      <c r="AL619" s="10">
        <v>2</v>
      </c>
      <c r="AM619" s="10">
        <v>1</v>
      </c>
      <c r="AN619" s="10">
        <v>2</v>
      </c>
      <c r="AO619" s="10">
        <v>2</v>
      </c>
      <c r="AP619" s="10">
        <v>2</v>
      </c>
      <c r="AQ619" s="10">
        <v>3</v>
      </c>
      <c r="AR619" s="10">
        <v>1</v>
      </c>
      <c r="AS619" s="11">
        <v>2</v>
      </c>
      <c r="AT619" s="11">
        <v>1</v>
      </c>
      <c r="AU619" s="11">
        <v>2</v>
      </c>
      <c r="AV619" s="11">
        <v>3</v>
      </c>
      <c r="AW619" s="11">
        <v>2</v>
      </c>
      <c r="AX619" s="11">
        <v>2</v>
      </c>
      <c r="AY619" s="7">
        <v>2</v>
      </c>
      <c r="AZ619" s="7">
        <v>3</v>
      </c>
      <c r="BA619" s="7">
        <v>1</v>
      </c>
      <c r="BB619" s="7">
        <v>2</v>
      </c>
      <c r="BC619" s="7">
        <v>1</v>
      </c>
      <c r="BD619" s="7">
        <v>1</v>
      </c>
      <c r="BE619" s="7">
        <v>0</v>
      </c>
      <c r="BF619" s="7">
        <v>0</v>
      </c>
      <c r="BG619" s="12">
        <f>SUM(data__22[[#This Row],[N1]:[N4]],data__22[[#This Row],[N10]:[N13]],data__22[[#This Row],[N16]:[N18]])/11</f>
        <v>1.8181818181818181</v>
      </c>
      <c r="BH619" s="13">
        <f>SUM(data__22[[#This Row],[N8]:[N9]],data__22[[#This Row],[N23]:[N25]])/5</f>
        <v>1.6</v>
      </c>
      <c r="BI619" s="12">
        <f>SUM(data__22[[#This Row],[N5]:[N7]])/3</f>
        <v>2.3333333333333335</v>
      </c>
      <c r="BJ619" s="12">
        <f>SUM(data__22[[#This Row],[N14]:[N15]],data__22[[#This Row],[N19]:[N22]],data__22[[#This Row],[N26]:[N28]])/9</f>
        <v>2</v>
      </c>
      <c r="BK619" s="12">
        <f>SUM(data__22[[#This Row],[N29]:[N33]])/5</f>
        <v>1.8</v>
      </c>
      <c r="BL619" s="12">
        <f>SUM(data__22[[#This Row],[N34]:[N36]])/3</f>
        <v>0.33333333333333331</v>
      </c>
    </row>
    <row r="620" spans="1:64" x14ac:dyDescent="0.3">
      <c r="A620" s="7">
        <v>22</v>
      </c>
      <c r="B620" s="7" t="s">
        <v>70</v>
      </c>
      <c r="C620" s="7" t="s">
        <v>96</v>
      </c>
      <c r="D620" s="7" t="s">
        <v>72</v>
      </c>
      <c r="E620" s="7" t="s">
        <v>114</v>
      </c>
      <c r="F620" s="7" t="s">
        <v>98</v>
      </c>
      <c r="G620" s="7" t="s">
        <v>440</v>
      </c>
      <c r="H620" s="7" t="s">
        <v>100</v>
      </c>
      <c r="I620" s="7" t="s">
        <v>76</v>
      </c>
      <c r="J620" s="7" t="s">
        <v>101</v>
      </c>
      <c r="K620" s="7" t="s">
        <v>78</v>
      </c>
      <c r="L620" s="8" t="s">
        <v>79</v>
      </c>
      <c r="M620" s="8" t="s">
        <v>80</v>
      </c>
      <c r="N620" s="8" t="s">
        <v>79</v>
      </c>
      <c r="O620" s="8" t="s">
        <v>138</v>
      </c>
      <c r="P620" s="8" t="s">
        <v>79</v>
      </c>
      <c r="Q620" s="8" t="s">
        <v>83</v>
      </c>
      <c r="R620" s="8" t="s">
        <v>79</v>
      </c>
      <c r="S620" s="8" t="s">
        <v>79</v>
      </c>
      <c r="T620" s="8" t="s">
        <v>86</v>
      </c>
      <c r="U620" s="8" t="s">
        <v>120</v>
      </c>
      <c r="V620" s="8" t="s">
        <v>112</v>
      </c>
      <c r="W620" s="9">
        <v>2</v>
      </c>
      <c r="X620" s="9">
        <v>2</v>
      </c>
      <c r="Y620" s="9">
        <v>3</v>
      </c>
      <c r="Z620" s="9">
        <v>2</v>
      </c>
      <c r="AA620" s="9">
        <v>1</v>
      </c>
      <c r="AB620" s="9">
        <v>2</v>
      </c>
      <c r="AC620" s="9">
        <v>2</v>
      </c>
      <c r="AD620" s="9">
        <v>1</v>
      </c>
      <c r="AE620" s="9">
        <v>2</v>
      </c>
      <c r="AF620" s="9">
        <v>3</v>
      </c>
      <c r="AG620" s="9">
        <v>2</v>
      </c>
      <c r="AH620" s="9">
        <v>2</v>
      </c>
      <c r="AI620" s="9">
        <v>2</v>
      </c>
      <c r="AJ620" s="9">
        <v>2</v>
      </c>
      <c r="AK620" s="9">
        <v>2</v>
      </c>
      <c r="AL620" s="10">
        <v>2</v>
      </c>
      <c r="AM620" s="10">
        <v>2</v>
      </c>
      <c r="AN620" s="10">
        <v>3</v>
      </c>
      <c r="AO620" s="10">
        <v>2</v>
      </c>
      <c r="AP620" s="10">
        <v>2</v>
      </c>
      <c r="AQ620" s="10">
        <v>1</v>
      </c>
      <c r="AR620" s="10">
        <v>1</v>
      </c>
      <c r="AS620" s="11">
        <v>2</v>
      </c>
      <c r="AT620" s="11">
        <v>1</v>
      </c>
      <c r="AU620" s="11">
        <v>2</v>
      </c>
      <c r="AV620" s="11">
        <v>3</v>
      </c>
      <c r="AW620" s="11">
        <v>2</v>
      </c>
      <c r="AX620" s="11">
        <v>2</v>
      </c>
      <c r="AY620" s="7">
        <v>2</v>
      </c>
      <c r="AZ620" s="7">
        <v>3</v>
      </c>
      <c r="BA620" s="7">
        <v>1</v>
      </c>
      <c r="BB620" s="7">
        <v>2</v>
      </c>
      <c r="BC620" s="7">
        <v>2</v>
      </c>
      <c r="BD620" s="7">
        <v>3</v>
      </c>
      <c r="BE620" s="7">
        <v>2</v>
      </c>
      <c r="BF620" s="7">
        <v>1</v>
      </c>
      <c r="BG620" s="12">
        <f>SUM(data__22[[#This Row],[N1]:[N4]],data__22[[#This Row],[N10]:[N13]],data__22[[#This Row],[N16]:[N18]])/11</f>
        <v>2.2727272727272729</v>
      </c>
      <c r="BH620" s="13">
        <f>SUM(data__22[[#This Row],[N8]:[N9]],data__22[[#This Row],[N23]:[N25]])/5</f>
        <v>1.6</v>
      </c>
      <c r="BI620" s="12">
        <f>SUM(data__22[[#This Row],[N5]:[N7]])/3</f>
        <v>1.6666666666666667</v>
      </c>
      <c r="BJ620" s="12">
        <f>SUM(data__22[[#This Row],[N14]:[N15]],data__22[[#This Row],[N19]:[N22]],data__22[[#This Row],[N26]:[N28]])/9</f>
        <v>1.8888888888888888</v>
      </c>
      <c r="BK620" s="12">
        <f>SUM(data__22[[#This Row],[N29]:[N33]])/5</f>
        <v>2</v>
      </c>
      <c r="BL620" s="12">
        <f>SUM(data__22[[#This Row],[N34]:[N36]])/3</f>
        <v>2</v>
      </c>
    </row>
    <row r="621" spans="1:64" x14ac:dyDescent="0.3">
      <c r="A621" s="7">
        <v>24</v>
      </c>
      <c r="B621" s="7" t="s">
        <v>70</v>
      </c>
      <c r="C621" s="7" t="s">
        <v>113</v>
      </c>
      <c r="D621" s="7" t="s">
        <v>72</v>
      </c>
      <c r="E621" s="7" t="s">
        <v>114</v>
      </c>
      <c r="F621" s="7" t="s">
        <v>136</v>
      </c>
      <c r="G621" s="7" t="s">
        <v>440</v>
      </c>
      <c r="H621" s="7" t="s">
        <v>136</v>
      </c>
      <c r="I621" s="7" t="s">
        <v>76</v>
      </c>
      <c r="J621" s="7" t="s">
        <v>101</v>
      </c>
      <c r="K621" s="7" t="s">
        <v>131</v>
      </c>
      <c r="L621" s="8" t="s">
        <v>79</v>
      </c>
      <c r="M621" s="8" t="s">
        <v>80</v>
      </c>
      <c r="N621" s="8" t="s">
        <v>79</v>
      </c>
      <c r="O621" s="8" t="s">
        <v>117</v>
      </c>
      <c r="P621" s="8" t="s">
        <v>79</v>
      </c>
      <c r="Q621" s="8" t="s">
        <v>83</v>
      </c>
      <c r="R621" s="8" t="s">
        <v>79</v>
      </c>
      <c r="S621" s="8" t="s">
        <v>79</v>
      </c>
      <c r="T621" s="8" t="s">
        <v>106</v>
      </c>
      <c r="U621" s="8" t="s">
        <v>120</v>
      </c>
      <c r="V621" s="8" t="s">
        <v>112</v>
      </c>
      <c r="W621" s="9">
        <v>2</v>
      </c>
      <c r="X621" s="9">
        <v>2</v>
      </c>
      <c r="Y621" s="9">
        <v>1</v>
      </c>
      <c r="Z621" s="9">
        <v>2</v>
      </c>
      <c r="AA621" s="9">
        <v>3</v>
      </c>
      <c r="AB621" s="9">
        <v>2</v>
      </c>
      <c r="AC621" s="9">
        <v>2</v>
      </c>
      <c r="AD621" s="9">
        <v>2</v>
      </c>
      <c r="AE621" s="9">
        <v>1</v>
      </c>
      <c r="AF621" s="9">
        <v>1</v>
      </c>
      <c r="AG621" s="9">
        <v>1</v>
      </c>
      <c r="AH621" s="9">
        <v>2</v>
      </c>
      <c r="AI621" s="9">
        <v>2</v>
      </c>
      <c r="AJ621" s="9">
        <v>2</v>
      </c>
      <c r="AK621" s="9">
        <v>1</v>
      </c>
      <c r="AL621" s="10">
        <v>3</v>
      </c>
      <c r="AM621" s="10">
        <v>2</v>
      </c>
      <c r="AN621" s="10">
        <v>3</v>
      </c>
      <c r="AO621" s="10">
        <v>1</v>
      </c>
      <c r="AP621" s="10">
        <v>3</v>
      </c>
      <c r="AQ621" s="10">
        <v>2</v>
      </c>
      <c r="AR621" s="10">
        <v>2</v>
      </c>
      <c r="AS621" s="11">
        <v>3</v>
      </c>
      <c r="AT621" s="11">
        <v>2</v>
      </c>
      <c r="AU621" s="11">
        <v>1</v>
      </c>
      <c r="AV621" s="11">
        <v>3</v>
      </c>
      <c r="AW621" s="11">
        <v>2</v>
      </c>
      <c r="AX621" s="11">
        <v>1</v>
      </c>
      <c r="AY621" s="7">
        <v>2</v>
      </c>
      <c r="AZ621" s="7">
        <v>3</v>
      </c>
      <c r="BA621" s="7">
        <v>1</v>
      </c>
      <c r="BB621" s="7">
        <v>2</v>
      </c>
      <c r="BC621" s="7">
        <v>2</v>
      </c>
      <c r="BD621" s="7">
        <v>2</v>
      </c>
      <c r="BE621" s="7">
        <v>3</v>
      </c>
      <c r="BF621" s="7">
        <v>1</v>
      </c>
      <c r="BG621" s="12">
        <f>SUM(data__22[[#This Row],[N1]:[N4]],data__22[[#This Row],[N10]:[N13]],data__22[[#This Row],[N16]:[N18]])/11</f>
        <v>1.9090909090909092</v>
      </c>
      <c r="BH621" s="13">
        <f>SUM(data__22[[#This Row],[N8]:[N9]],data__22[[#This Row],[N23]:[N25]])/5</f>
        <v>1.8</v>
      </c>
      <c r="BI621" s="12">
        <f>SUM(data__22[[#This Row],[N5]:[N7]])/3</f>
        <v>2.3333333333333335</v>
      </c>
      <c r="BJ621" s="12">
        <f>SUM(data__22[[#This Row],[N14]:[N15]],data__22[[#This Row],[N19]:[N22]],data__22[[#This Row],[N26]:[N28]])/9</f>
        <v>1.8888888888888888</v>
      </c>
      <c r="BK621" s="12">
        <f>SUM(data__22[[#This Row],[N29]:[N33]])/5</f>
        <v>2</v>
      </c>
      <c r="BL621" s="12">
        <f>SUM(data__22[[#This Row],[N34]:[N36]])/3</f>
        <v>2</v>
      </c>
    </row>
    <row r="622" spans="1:64" x14ac:dyDescent="0.3">
      <c r="A622" s="7">
        <v>22</v>
      </c>
      <c r="B622" s="7" t="s">
        <v>70</v>
      </c>
      <c r="C622" s="7" t="s">
        <v>113</v>
      </c>
      <c r="D622" s="7" t="s">
        <v>72</v>
      </c>
      <c r="E622" s="7" t="s">
        <v>108</v>
      </c>
      <c r="F622" s="7" t="s">
        <v>74</v>
      </c>
      <c r="G622" s="7" t="s">
        <v>439</v>
      </c>
      <c r="H622" s="7" t="s">
        <v>74</v>
      </c>
      <c r="I622" s="7" t="s">
        <v>76</v>
      </c>
      <c r="J622" s="7" t="s">
        <v>101</v>
      </c>
      <c r="K622" s="7" t="s">
        <v>131</v>
      </c>
      <c r="L622" s="8" t="s">
        <v>79</v>
      </c>
      <c r="M622" s="8" t="s">
        <v>80</v>
      </c>
      <c r="N622" s="8" t="s">
        <v>79</v>
      </c>
      <c r="O622" s="8" t="s">
        <v>117</v>
      </c>
      <c r="P622" s="8" t="s">
        <v>82</v>
      </c>
      <c r="Q622" s="8" t="s">
        <v>83</v>
      </c>
      <c r="R622" s="8" t="s">
        <v>82</v>
      </c>
      <c r="S622" s="8" t="s">
        <v>82</v>
      </c>
      <c r="T622" s="8" t="s">
        <v>106</v>
      </c>
      <c r="U622" s="8" t="s">
        <v>120</v>
      </c>
      <c r="V622" s="8" t="s">
        <v>112</v>
      </c>
      <c r="W622" s="9">
        <v>1</v>
      </c>
      <c r="X622" s="9">
        <v>0</v>
      </c>
      <c r="Y622" s="9">
        <v>3</v>
      </c>
      <c r="Z622" s="9">
        <v>0</v>
      </c>
      <c r="AA622" s="9">
        <v>1</v>
      </c>
      <c r="AB622" s="9">
        <v>1</v>
      </c>
      <c r="AC622" s="9">
        <v>1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1</v>
      </c>
      <c r="AK622" s="9">
        <v>0</v>
      </c>
      <c r="AL622" s="10">
        <v>3</v>
      </c>
      <c r="AM622" s="10">
        <v>3</v>
      </c>
      <c r="AN622" s="10">
        <v>3</v>
      </c>
      <c r="AO622" s="10">
        <v>3</v>
      </c>
      <c r="AP622" s="10">
        <v>0</v>
      </c>
      <c r="AQ622" s="10">
        <v>0</v>
      </c>
      <c r="AR622" s="10">
        <v>1</v>
      </c>
      <c r="AS622" s="11">
        <v>1</v>
      </c>
      <c r="AT622" s="11">
        <v>1</v>
      </c>
      <c r="AU622" s="11">
        <v>0</v>
      </c>
      <c r="AV622" s="11">
        <v>2</v>
      </c>
      <c r="AW622" s="11">
        <v>3</v>
      </c>
      <c r="AX622" s="11">
        <v>0</v>
      </c>
      <c r="AY622" s="7">
        <v>3</v>
      </c>
      <c r="AZ622" s="7">
        <v>3</v>
      </c>
      <c r="BA622" s="7">
        <v>3</v>
      </c>
      <c r="BB622" s="7">
        <v>3</v>
      </c>
      <c r="BC622" s="7">
        <v>3</v>
      </c>
      <c r="BD622" s="7">
        <v>2</v>
      </c>
      <c r="BE622" s="7">
        <v>2</v>
      </c>
      <c r="BF622" s="7">
        <v>2</v>
      </c>
      <c r="BG622" s="12">
        <f>SUM(data__22[[#This Row],[N1]:[N4]],data__22[[#This Row],[N10]:[N13]],data__22[[#This Row],[N16]:[N18]])/11</f>
        <v>1.1818181818181819</v>
      </c>
      <c r="BH622" s="13">
        <f>SUM(data__22[[#This Row],[N8]:[N9]],data__22[[#This Row],[N23]:[N25]])/5</f>
        <v>0.4</v>
      </c>
      <c r="BI622" s="12">
        <f>SUM(data__22[[#This Row],[N5]:[N7]])/3</f>
        <v>1</v>
      </c>
      <c r="BJ622" s="12">
        <f>SUM(data__22[[#This Row],[N14]:[N15]],data__22[[#This Row],[N19]:[N22]],data__22[[#This Row],[N26]:[N28]])/9</f>
        <v>1.1111111111111112</v>
      </c>
      <c r="BK622" s="12">
        <f>SUM(data__22[[#This Row],[N29]:[N33]])/5</f>
        <v>3</v>
      </c>
      <c r="BL622" s="12">
        <f>SUM(data__22[[#This Row],[N34]:[N36]])/3</f>
        <v>2</v>
      </c>
    </row>
    <row r="623" spans="1:64" x14ac:dyDescent="0.3">
      <c r="A623" s="7">
        <v>22</v>
      </c>
      <c r="B623" s="7" t="s">
        <v>70</v>
      </c>
      <c r="C623" s="7" t="s">
        <v>96</v>
      </c>
      <c r="D623" s="7" t="s">
        <v>97</v>
      </c>
      <c r="E623" s="7" t="s">
        <v>73</v>
      </c>
      <c r="F623" s="7" t="s">
        <v>74</v>
      </c>
      <c r="G623" s="7" t="s">
        <v>440</v>
      </c>
      <c r="H623" s="7" t="s">
        <v>100</v>
      </c>
      <c r="I623" s="7" t="s">
        <v>76</v>
      </c>
      <c r="J623" s="7" t="s">
        <v>77</v>
      </c>
      <c r="K623" s="7" t="s">
        <v>125</v>
      </c>
      <c r="L623" s="8" t="s">
        <v>82</v>
      </c>
      <c r="M623" s="8" t="s">
        <v>80</v>
      </c>
      <c r="N623" s="8" t="s">
        <v>79</v>
      </c>
      <c r="O623" s="8" t="s">
        <v>179</v>
      </c>
      <c r="P623" s="8" t="s">
        <v>82</v>
      </c>
      <c r="Q623" s="8" t="s">
        <v>83</v>
      </c>
      <c r="R623" s="8" t="s">
        <v>79</v>
      </c>
      <c r="S623" s="8" t="s">
        <v>79</v>
      </c>
      <c r="T623" s="8" t="s">
        <v>106</v>
      </c>
      <c r="U623" s="8" t="s">
        <v>141</v>
      </c>
      <c r="V623" s="8" t="s">
        <v>112</v>
      </c>
      <c r="W623" s="9">
        <v>1</v>
      </c>
      <c r="X623" s="9">
        <v>1</v>
      </c>
      <c r="Y623" s="9">
        <v>1</v>
      </c>
      <c r="Z623" s="9">
        <v>1</v>
      </c>
      <c r="AA623" s="9">
        <v>1</v>
      </c>
      <c r="AB623" s="9">
        <v>1</v>
      </c>
      <c r="AC623" s="9">
        <v>1</v>
      </c>
      <c r="AD623" s="9">
        <v>1</v>
      </c>
      <c r="AE623" s="9">
        <v>1</v>
      </c>
      <c r="AF623" s="9">
        <v>1</v>
      </c>
      <c r="AG623" s="9">
        <v>1</v>
      </c>
      <c r="AH623" s="9">
        <v>1</v>
      </c>
      <c r="AI623" s="9">
        <v>1</v>
      </c>
      <c r="AJ623" s="9">
        <v>1</v>
      </c>
      <c r="AK623" s="9">
        <v>1</v>
      </c>
      <c r="AL623" s="10">
        <v>1</v>
      </c>
      <c r="AM623" s="10">
        <v>1</v>
      </c>
      <c r="AN623" s="10">
        <v>1</v>
      </c>
      <c r="AO623" s="10">
        <v>1</v>
      </c>
      <c r="AP623" s="10">
        <v>1</v>
      </c>
      <c r="AQ623" s="10">
        <v>1</v>
      </c>
      <c r="AR623" s="10">
        <v>1</v>
      </c>
      <c r="AS623" s="11">
        <v>1</v>
      </c>
      <c r="AT623" s="11">
        <v>1</v>
      </c>
      <c r="AU623" s="11">
        <v>1</v>
      </c>
      <c r="AV623" s="11">
        <v>1</v>
      </c>
      <c r="AW623" s="11">
        <v>1</v>
      </c>
      <c r="AX623" s="11">
        <v>1</v>
      </c>
      <c r="AY623" s="7">
        <v>1</v>
      </c>
      <c r="AZ623" s="7">
        <v>1</v>
      </c>
      <c r="BA623" s="7">
        <v>1</v>
      </c>
      <c r="BB623" s="7">
        <v>1</v>
      </c>
      <c r="BC623" s="7">
        <v>1</v>
      </c>
      <c r="BD623" s="7">
        <v>1</v>
      </c>
      <c r="BE623" s="7">
        <v>1</v>
      </c>
      <c r="BF623" s="7">
        <v>1</v>
      </c>
      <c r="BG623" s="12">
        <f>SUM(data__22[[#This Row],[N1]:[N4]],data__22[[#This Row],[N10]:[N13]],data__22[[#This Row],[N16]:[N18]])/11</f>
        <v>1</v>
      </c>
      <c r="BH623" s="13">
        <f>SUM(data__22[[#This Row],[N8]:[N9]],data__22[[#This Row],[N23]:[N25]])/5</f>
        <v>1</v>
      </c>
      <c r="BI623" s="12">
        <f>SUM(data__22[[#This Row],[N5]:[N7]])/3</f>
        <v>1</v>
      </c>
      <c r="BJ623" s="12">
        <f>SUM(data__22[[#This Row],[N14]:[N15]],data__22[[#This Row],[N19]:[N22]],data__22[[#This Row],[N26]:[N28]])/9</f>
        <v>1</v>
      </c>
      <c r="BK623" s="12">
        <f>SUM(data__22[[#This Row],[N29]:[N33]])/5</f>
        <v>1</v>
      </c>
      <c r="BL623" s="12">
        <f>SUM(data__22[[#This Row],[N34]:[N36]])/3</f>
        <v>1</v>
      </c>
    </row>
    <row r="624" spans="1:64" x14ac:dyDescent="0.3">
      <c r="A624" s="7">
        <v>22</v>
      </c>
      <c r="B624" s="7" t="s">
        <v>70</v>
      </c>
      <c r="C624" s="7" t="s">
        <v>96</v>
      </c>
      <c r="D624" s="7" t="s">
        <v>72</v>
      </c>
      <c r="E624" s="7" t="s">
        <v>114</v>
      </c>
      <c r="F624" s="7" t="s">
        <v>100</v>
      </c>
      <c r="G624" s="7" t="s">
        <v>440</v>
      </c>
      <c r="H624" s="7" t="s">
        <v>165</v>
      </c>
      <c r="I624" s="7" t="s">
        <v>76</v>
      </c>
      <c r="J624" s="7" t="s">
        <v>77</v>
      </c>
      <c r="K624" s="7" t="s">
        <v>125</v>
      </c>
      <c r="L624" s="8" t="s">
        <v>79</v>
      </c>
      <c r="M624" s="8" t="s">
        <v>132</v>
      </c>
      <c r="N624" s="8" t="s">
        <v>79</v>
      </c>
      <c r="O624" s="8" t="s">
        <v>109</v>
      </c>
      <c r="P624" s="8" t="s">
        <v>79</v>
      </c>
      <c r="Q624" s="8" t="s">
        <v>118</v>
      </c>
      <c r="R624" s="8" t="s">
        <v>79</v>
      </c>
      <c r="S624" s="8" t="s">
        <v>79</v>
      </c>
      <c r="T624" s="8" t="s">
        <v>106</v>
      </c>
      <c r="U624" s="8" t="s">
        <v>141</v>
      </c>
      <c r="V624" s="8" t="s">
        <v>112</v>
      </c>
      <c r="W624" s="9">
        <v>1</v>
      </c>
      <c r="X624" s="9">
        <v>1</v>
      </c>
      <c r="Y624" s="9">
        <v>1</v>
      </c>
      <c r="Z624" s="9">
        <v>1</v>
      </c>
      <c r="AA624" s="9">
        <v>1</v>
      </c>
      <c r="AB624" s="9">
        <v>2</v>
      </c>
      <c r="AC624" s="9">
        <v>2</v>
      </c>
      <c r="AD624" s="9">
        <v>2</v>
      </c>
      <c r="AE624" s="9">
        <v>2</v>
      </c>
      <c r="AF624" s="9">
        <v>1</v>
      </c>
      <c r="AG624" s="9">
        <v>1</v>
      </c>
      <c r="AH624" s="9">
        <v>1</v>
      </c>
      <c r="AI624" s="9">
        <v>1</v>
      </c>
      <c r="AJ624" s="9">
        <v>2</v>
      </c>
      <c r="AK624" s="9">
        <v>1</v>
      </c>
      <c r="AL624" s="10">
        <v>1</v>
      </c>
      <c r="AM624" s="10">
        <v>1</v>
      </c>
      <c r="AN624" s="10">
        <v>1</v>
      </c>
      <c r="AO624" s="10">
        <v>2</v>
      </c>
      <c r="AP624" s="10">
        <v>2</v>
      </c>
      <c r="AQ624" s="10">
        <v>1</v>
      </c>
      <c r="AR624" s="10">
        <v>1</v>
      </c>
      <c r="AS624" s="11">
        <v>1</v>
      </c>
      <c r="AT624" s="11">
        <v>1</v>
      </c>
      <c r="AU624" s="11">
        <v>1</v>
      </c>
      <c r="AV624" s="11">
        <v>2</v>
      </c>
      <c r="AW624" s="11">
        <v>2</v>
      </c>
      <c r="AX624" s="11">
        <v>1</v>
      </c>
      <c r="AY624" s="7">
        <v>1</v>
      </c>
      <c r="AZ624" s="7">
        <v>1</v>
      </c>
      <c r="BA624" s="7">
        <v>1</v>
      </c>
      <c r="BB624" s="7">
        <v>1</v>
      </c>
      <c r="BC624" s="7">
        <v>1</v>
      </c>
      <c r="BD624" s="7">
        <v>1</v>
      </c>
      <c r="BE624" s="7">
        <v>1</v>
      </c>
      <c r="BF624" s="7">
        <v>1</v>
      </c>
      <c r="BG624" s="12">
        <f>SUM(data__22[[#This Row],[N1]:[N4]],data__22[[#This Row],[N10]:[N13]],data__22[[#This Row],[N16]:[N18]])/11</f>
        <v>1</v>
      </c>
      <c r="BH624" s="13">
        <f>SUM(data__22[[#This Row],[N8]:[N9]],data__22[[#This Row],[N23]:[N25]])/5</f>
        <v>1.4</v>
      </c>
      <c r="BI624" s="12">
        <f>SUM(data__22[[#This Row],[N5]:[N7]])/3</f>
        <v>1.6666666666666667</v>
      </c>
      <c r="BJ624" s="12">
        <f>SUM(data__22[[#This Row],[N14]:[N15]],data__22[[#This Row],[N19]:[N22]],data__22[[#This Row],[N26]:[N28]])/9</f>
        <v>1.5555555555555556</v>
      </c>
      <c r="BK624" s="12">
        <f>SUM(data__22[[#This Row],[N29]:[N33]])/5</f>
        <v>1</v>
      </c>
      <c r="BL624" s="12">
        <f>SUM(data__22[[#This Row],[N34]:[N36]])/3</f>
        <v>1</v>
      </c>
    </row>
    <row r="625" spans="1:64" x14ac:dyDescent="0.3">
      <c r="A625" s="7">
        <v>23</v>
      </c>
      <c r="B625" s="7" t="s">
        <v>70</v>
      </c>
      <c r="C625" s="7" t="s">
        <v>113</v>
      </c>
      <c r="D625" s="7" t="s">
        <v>72</v>
      </c>
      <c r="E625" s="7" t="s">
        <v>108</v>
      </c>
      <c r="F625" s="7" t="s">
        <v>74</v>
      </c>
      <c r="G625" s="7" t="s">
        <v>439</v>
      </c>
      <c r="H625" s="7" t="s">
        <v>136</v>
      </c>
      <c r="I625" s="7" t="s">
        <v>439</v>
      </c>
      <c r="J625" s="7" t="s">
        <v>77</v>
      </c>
      <c r="K625" s="7" t="s">
        <v>131</v>
      </c>
      <c r="L625" s="8" t="s">
        <v>79</v>
      </c>
      <c r="M625" s="8" t="s">
        <v>80</v>
      </c>
      <c r="N625" s="8" t="s">
        <v>79</v>
      </c>
      <c r="O625" s="8" t="s">
        <v>117</v>
      </c>
      <c r="P625" s="8" t="s">
        <v>79</v>
      </c>
      <c r="Q625" s="8" t="s">
        <v>83</v>
      </c>
      <c r="R625" s="8" t="s">
        <v>79</v>
      </c>
      <c r="S625" s="8" t="s">
        <v>79</v>
      </c>
      <c r="T625" s="8" t="s">
        <v>86</v>
      </c>
      <c r="U625" s="8" t="s">
        <v>87</v>
      </c>
      <c r="V625" s="8" t="s">
        <v>455</v>
      </c>
      <c r="W625" s="9">
        <v>2</v>
      </c>
      <c r="X625" s="9">
        <v>1</v>
      </c>
      <c r="Y625" s="9">
        <v>2</v>
      </c>
      <c r="Z625" s="9">
        <v>2</v>
      </c>
      <c r="AA625" s="9">
        <v>1</v>
      </c>
      <c r="AB625" s="9">
        <v>2</v>
      </c>
      <c r="AC625" s="9">
        <v>2</v>
      </c>
      <c r="AD625" s="9">
        <v>1</v>
      </c>
      <c r="AE625" s="9">
        <v>1</v>
      </c>
      <c r="AF625" s="9">
        <v>1</v>
      </c>
      <c r="AG625" s="9">
        <v>2</v>
      </c>
      <c r="AH625" s="9">
        <v>2</v>
      </c>
      <c r="AI625" s="9">
        <v>3</v>
      </c>
      <c r="AJ625" s="9">
        <v>2</v>
      </c>
      <c r="AK625" s="9">
        <v>1</v>
      </c>
      <c r="AL625" s="10">
        <v>1</v>
      </c>
      <c r="AM625" s="10">
        <v>2</v>
      </c>
      <c r="AN625" s="10">
        <v>1</v>
      </c>
      <c r="AO625" s="10">
        <v>3</v>
      </c>
      <c r="AP625" s="10">
        <v>2</v>
      </c>
      <c r="AQ625" s="10">
        <v>1</v>
      </c>
      <c r="AR625" s="10">
        <v>2</v>
      </c>
      <c r="AS625" s="11">
        <v>1</v>
      </c>
      <c r="AT625" s="11">
        <v>2</v>
      </c>
      <c r="AU625" s="11">
        <v>1</v>
      </c>
      <c r="AV625" s="11">
        <v>3</v>
      </c>
      <c r="AW625" s="11">
        <v>2</v>
      </c>
      <c r="AX625" s="11">
        <v>3</v>
      </c>
      <c r="AY625" s="7">
        <v>1</v>
      </c>
      <c r="AZ625" s="7">
        <v>2</v>
      </c>
      <c r="BA625" s="7">
        <v>3</v>
      </c>
      <c r="BB625" s="7">
        <v>1</v>
      </c>
      <c r="BC625" s="7">
        <v>2</v>
      </c>
      <c r="BD625" s="7">
        <v>2</v>
      </c>
      <c r="BE625" s="7">
        <v>3</v>
      </c>
      <c r="BF625" s="7">
        <v>2</v>
      </c>
      <c r="BG625" s="12">
        <f>SUM(data__22[[#This Row],[N1]:[N4]],data__22[[#This Row],[N10]:[N13]],data__22[[#This Row],[N16]:[N18]])/11</f>
        <v>1.7272727272727273</v>
      </c>
      <c r="BH625" s="13">
        <f>SUM(data__22[[#This Row],[N8]:[N9]],data__22[[#This Row],[N23]:[N25]])/5</f>
        <v>1.2</v>
      </c>
      <c r="BI625" s="12">
        <f>SUM(data__22[[#This Row],[N5]:[N7]])/3</f>
        <v>1.6666666666666667</v>
      </c>
      <c r="BJ625" s="12">
        <f>SUM(data__22[[#This Row],[N14]:[N15]],data__22[[#This Row],[N19]:[N22]],data__22[[#This Row],[N26]:[N28]])/9</f>
        <v>2.1111111111111112</v>
      </c>
      <c r="BK625" s="12">
        <f>SUM(data__22[[#This Row],[N29]:[N33]])/5</f>
        <v>1.8</v>
      </c>
      <c r="BL625" s="12">
        <f>SUM(data__22[[#This Row],[N34]:[N36]])/3</f>
        <v>2.3333333333333335</v>
      </c>
    </row>
    <row r="626" spans="1:64" x14ac:dyDescent="0.3">
      <c r="A626" s="7">
        <v>21</v>
      </c>
      <c r="B626" s="7" t="s">
        <v>70</v>
      </c>
      <c r="C626" s="7" t="s">
        <v>153</v>
      </c>
      <c r="D626" s="7" t="s">
        <v>72</v>
      </c>
      <c r="E626" s="7" t="s">
        <v>73</v>
      </c>
      <c r="F626" s="7" t="s">
        <v>136</v>
      </c>
      <c r="G626" s="7" t="s">
        <v>99</v>
      </c>
      <c r="H626" s="7" t="s">
        <v>74</v>
      </c>
      <c r="I626" s="7" t="s">
        <v>99</v>
      </c>
      <c r="J626" s="7" t="s">
        <v>101</v>
      </c>
      <c r="K626" s="7" t="s">
        <v>131</v>
      </c>
      <c r="L626" s="8" t="s">
        <v>82</v>
      </c>
      <c r="M626" s="8" t="s">
        <v>201</v>
      </c>
      <c r="N626" s="8" t="s">
        <v>82</v>
      </c>
      <c r="O626" s="8" t="s">
        <v>138</v>
      </c>
      <c r="P626" s="8" t="s">
        <v>82</v>
      </c>
      <c r="Q626" s="8" t="s">
        <v>103</v>
      </c>
      <c r="R626" s="8" t="s">
        <v>82</v>
      </c>
      <c r="S626" s="8" t="s">
        <v>79</v>
      </c>
      <c r="T626" s="8" t="s">
        <v>86</v>
      </c>
      <c r="U626" s="8" t="s">
        <v>141</v>
      </c>
      <c r="V626" s="8" t="s">
        <v>160</v>
      </c>
      <c r="W626" s="9">
        <v>2</v>
      </c>
      <c r="X626" s="9">
        <v>2</v>
      </c>
      <c r="Y626" s="9">
        <v>2</v>
      </c>
      <c r="Z626" s="9">
        <v>2</v>
      </c>
      <c r="AA626" s="9">
        <v>2</v>
      </c>
      <c r="AB626" s="9">
        <v>3</v>
      </c>
      <c r="AC626" s="9">
        <v>2</v>
      </c>
      <c r="AD626" s="9">
        <v>3</v>
      </c>
      <c r="AE626" s="9">
        <v>2</v>
      </c>
      <c r="AF626" s="9">
        <v>3</v>
      </c>
      <c r="AG626" s="9">
        <v>2</v>
      </c>
      <c r="AH626" s="9">
        <v>3</v>
      </c>
      <c r="AI626" s="9">
        <v>3</v>
      </c>
      <c r="AJ626" s="9">
        <v>2</v>
      </c>
      <c r="AK626" s="9">
        <v>2</v>
      </c>
      <c r="AL626" s="10">
        <v>3</v>
      </c>
      <c r="AM626" s="10">
        <v>2</v>
      </c>
      <c r="AN626" s="10">
        <v>2</v>
      </c>
      <c r="AO626" s="10">
        <v>2</v>
      </c>
      <c r="AP626" s="10">
        <v>2</v>
      </c>
      <c r="AQ626" s="10">
        <v>2</v>
      </c>
      <c r="AR626" s="10">
        <v>2</v>
      </c>
      <c r="AS626" s="11">
        <v>2</v>
      </c>
      <c r="AT626" s="11">
        <v>3</v>
      </c>
      <c r="AU626" s="11">
        <v>2</v>
      </c>
      <c r="AV626" s="11">
        <v>2</v>
      </c>
      <c r="AW626" s="11">
        <v>2</v>
      </c>
      <c r="AX626" s="11">
        <v>2</v>
      </c>
      <c r="AY626" s="7">
        <v>2</v>
      </c>
      <c r="AZ626" s="7">
        <v>2</v>
      </c>
      <c r="BA626" s="7">
        <v>1</v>
      </c>
      <c r="BB626" s="7">
        <v>2</v>
      </c>
      <c r="BC626" s="7">
        <v>2</v>
      </c>
      <c r="BD626" s="7">
        <v>2</v>
      </c>
      <c r="BE626" s="7">
        <v>2</v>
      </c>
      <c r="BF626" s="7">
        <v>1</v>
      </c>
      <c r="BG626" s="12">
        <f>SUM(data__22[[#This Row],[N1]:[N4]],data__22[[#This Row],[N10]:[N13]],data__22[[#This Row],[N16]:[N18]])/11</f>
        <v>2.3636363636363638</v>
      </c>
      <c r="BH626" s="13">
        <f>SUM(data__22[[#This Row],[N8]:[N9]],data__22[[#This Row],[N23]:[N25]])/5</f>
        <v>2.4</v>
      </c>
      <c r="BI626" s="12">
        <f>SUM(data__22[[#This Row],[N5]:[N7]])/3</f>
        <v>2.3333333333333335</v>
      </c>
      <c r="BJ626" s="12">
        <f>SUM(data__22[[#This Row],[N14]:[N15]],data__22[[#This Row],[N19]:[N22]],data__22[[#This Row],[N26]:[N28]])/9</f>
        <v>2</v>
      </c>
      <c r="BK626" s="12">
        <f>SUM(data__22[[#This Row],[N29]:[N33]])/5</f>
        <v>1.8</v>
      </c>
      <c r="BL626" s="12">
        <f>SUM(data__22[[#This Row],[N34]:[N36]])/3</f>
        <v>1.6666666666666667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887D-86F0-4AFC-B87D-93C1DA6E859E}">
  <dimension ref="A2:F106"/>
  <sheetViews>
    <sheetView topLeftCell="A90" workbookViewId="0">
      <selection activeCell="B32" sqref="B32"/>
    </sheetView>
  </sheetViews>
  <sheetFormatPr defaultRowHeight="14.4" x14ac:dyDescent="0.3"/>
  <cols>
    <col min="1" max="1" width="13.109375" bestFit="1" customWidth="1"/>
    <col min="2" max="2" width="112.88671875" bestFit="1" customWidth="1"/>
    <col min="3" max="3" width="14.88671875" bestFit="1" customWidth="1"/>
    <col min="6" max="6" width="12.5546875" bestFit="1" customWidth="1"/>
  </cols>
  <sheetData>
    <row r="2" spans="1:6" x14ac:dyDescent="0.3">
      <c r="A2" t="s">
        <v>316</v>
      </c>
      <c r="B2" t="s">
        <v>317</v>
      </c>
      <c r="C2" s="14" t="s">
        <v>318</v>
      </c>
      <c r="D2" s="14"/>
      <c r="E2" s="14"/>
      <c r="F2" s="14"/>
    </row>
    <row r="3" spans="1:6" x14ac:dyDescent="0.3">
      <c r="B3" t="s">
        <v>315</v>
      </c>
      <c r="C3" t="s">
        <v>89</v>
      </c>
      <c r="D3" t="s">
        <v>107</v>
      </c>
      <c r="E3" t="s">
        <v>91</v>
      </c>
      <c r="F3" t="s">
        <v>90</v>
      </c>
    </row>
    <row r="4" spans="1:6" x14ac:dyDescent="0.3">
      <c r="A4" t="s">
        <v>320</v>
      </c>
      <c r="B4" t="s">
        <v>470</v>
      </c>
      <c r="C4">
        <v>1</v>
      </c>
      <c r="D4">
        <v>0.5</v>
      </c>
      <c r="E4">
        <v>0</v>
      </c>
      <c r="F4">
        <v>0</v>
      </c>
    </row>
    <row r="5" spans="1:6" x14ac:dyDescent="0.3">
      <c r="A5" t="s">
        <v>321</v>
      </c>
      <c r="B5" t="s">
        <v>471</v>
      </c>
      <c r="C5">
        <v>1</v>
      </c>
      <c r="D5">
        <v>0.5</v>
      </c>
      <c r="E5">
        <v>0</v>
      </c>
      <c r="F5">
        <v>0</v>
      </c>
    </row>
    <row r="6" spans="1:6" x14ac:dyDescent="0.3">
      <c r="A6" t="s">
        <v>322</v>
      </c>
      <c r="B6" t="s">
        <v>472</v>
      </c>
      <c r="C6">
        <v>0</v>
      </c>
      <c r="D6">
        <v>0</v>
      </c>
      <c r="E6">
        <v>0.5</v>
      </c>
      <c r="F6">
        <v>1</v>
      </c>
    </row>
    <row r="7" spans="1:6" x14ac:dyDescent="0.3">
      <c r="A7" t="s">
        <v>323</v>
      </c>
      <c r="B7" t="s">
        <v>473</v>
      </c>
      <c r="C7">
        <v>0</v>
      </c>
      <c r="D7">
        <v>0</v>
      </c>
      <c r="E7">
        <v>0.5</v>
      </c>
      <c r="F7">
        <v>1</v>
      </c>
    </row>
    <row r="8" spans="1:6" x14ac:dyDescent="0.3">
      <c r="A8" t="s">
        <v>324</v>
      </c>
      <c r="B8" t="s">
        <v>474</v>
      </c>
      <c r="C8">
        <v>1</v>
      </c>
      <c r="D8">
        <v>0.5</v>
      </c>
      <c r="E8">
        <v>0</v>
      </c>
      <c r="F8">
        <v>0</v>
      </c>
    </row>
    <row r="9" spans="1:6" x14ac:dyDescent="0.3">
      <c r="A9" t="s">
        <v>325</v>
      </c>
      <c r="B9" t="s">
        <v>475</v>
      </c>
      <c r="C9">
        <v>1</v>
      </c>
      <c r="D9">
        <v>0.5</v>
      </c>
      <c r="E9">
        <v>0</v>
      </c>
      <c r="F9">
        <v>0</v>
      </c>
    </row>
    <row r="10" spans="1:6" x14ac:dyDescent="0.3">
      <c r="A10" t="s">
        <v>326</v>
      </c>
      <c r="B10" t="s">
        <v>476</v>
      </c>
      <c r="C10">
        <v>1</v>
      </c>
      <c r="D10">
        <v>0.5</v>
      </c>
      <c r="E10">
        <v>0</v>
      </c>
      <c r="F10">
        <v>0</v>
      </c>
    </row>
    <row r="11" spans="1:6" x14ac:dyDescent="0.3">
      <c r="A11" t="s">
        <v>327</v>
      </c>
      <c r="B11" t="s">
        <v>477</v>
      </c>
      <c r="C11">
        <v>1</v>
      </c>
      <c r="D11">
        <v>0.5</v>
      </c>
      <c r="E11">
        <v>0</v>
      </c>
      <c r="F11">
        <v>0</v>
      </c>
    </row>
    <row r="12" spans="1:6" x14ac:dyDescent="0.3">
      <c r="B12" t="s">
        <v>319</v>
      </c>
    </row>
    <row r="13" spans="1:6" x14ac:dyDescent="0.3">
      <c r="A13" t="s">
        <v>328</v>
      </c>
      <c r="B13" t="s">
        <v>478</v>
      </c>
      <c r="C13">
        <v>1</v>
      </c>
      <c r="D13">
        <v>0.5</v>
      </c>
      <c r="E13">
        <v>0</v>
      </c>
      <c r="F13">
        <v>0</v>
      </c>
    </row>
    <row r="14" spans="1:6" x14ac:dyDescent="0.3">
      <c r="A14" t="s">
        <v>329</v>
      </c>
      <c r="B14" t="s">
        <v>479</v>
      </c>
      <c r="C14">
        <v>1</v>
      </c>
      <c r="D14">
        <v>0.5</v>
      </c>
      <c r="E14">
        <v>0</v>
      </c>
      <c r="F14">
        <v>0</v>
      </c>
    </row>
    <row r="15" spans="1:6" x14ac:dyDescent="0.3">
      <c r="A15" t="s">
        <v>330</v>
      </c>
      <c r="B15" t="s">
        <v>480</v>
      </c>
      <c r="C15">
        <v>1</v>
      </c>
      <c r="D15">
        <v>0.5</v>
      </c>
      <c r="E15">
        <v>0</v>
      </c>
      <c r="F15">
        <v>0</v>
      </c>
    </row>
    <row r="16" spans="1:6" x14ac:dyDescent="0.3">
      <c r="B16" t="s">
        <v>331</v>
      </c>
    </row>
    <row r="17" spans="1:6" x14ac:dyDescent="0.3">
      <c r="A17" t="s">
        <v>332</v>
      </c>
      <c r="B17" t="s">
        <v>481</v>
      </c>
      <c r="C17">
        <v>1</v>
      </c>
      <c r="D17">
        <v>0.5</v>
      </c>
      <c r="E17">
        <v>0</v>
      </c>
      <c r="F17">
        <v>0</v>
      </c>
    </row>
    <row r="18" spans="1:6" x14ac:dyDescent="0.3">
      <c r="A18" t="s">
        <v>333</v>
      </c>
      <c r="B18" t="s">
        <v>482</v>
      </c>
      <c r="C18">
        <v>1</v>
      </c>
      <c r="D18">
        <v>0.5</v>
      </c>
      <c r="E18">
        <v>0</v>
      </c>
      <c r="F18">
        <v>0</v>
      </c>
    </row>
    <row r="19" spans="1:6" x14ac:dyDescent="0.3">
      <c r="B19" t="s">
        <v>334</v>
      </c>
    </row>
    <row r="20" spans="1:6" x14ac:dyDescent="0.3">
      <c r="A20" t="s">
        <v>340</v>
      </c>
      <c r="B20" t="s">
        <v>335</v>
      </c>
      <c r="C20">
        <v>1</v>
      </c>
      <c r="D20">
        <v>0.5</v>
      </c>
      <c r="E20">
        <v>0</v>
      </c>
      <c r="F20">
        <v>0</v>
      </c>
    </row>
    <row r="21" spans="1:6" x14ac:dyDescent="0.3">
      <c r="A21" t="s">
        <v>341</v>
      </c>
      <c r="B21" t="s">
        <v>336</v>
      </c>
      <c r="C21">
        <v>1</v>
      </c>
      <c r="D21">
        <v>0.5</v>
      </c>
      <c r="E21">
        <v>0</v>
      </c>
      <c r="F21">
        <v>0</v>
      </c>
    </row>
    <row r="22" spans="1:6" x14ac:dyDescent="0.3">
      <c r="A22" t="s">
        <v>342</v>
      </c>
      <c r="B22" t="s">
        <v>337</v>
      </c>
      <c r="C22">
        <v>1</v>
      </c>
      <c r="D22">
        <v>0.5</v>
      </c>
      <c r="E22">
        <v>0</v>
      </c>
      <c r="F22">
        <v>0</v>
      </c>
    </row>
    <row r="23" spans="1:6" x14ac:dyDescent="0.3">
      <c r="A23" t="s">
        <v>343</v>
      </c>
      <c r="B23" t="s">
        <v>338</v>
      </c>
      <c r="C23">
        <v>1</v>
      </c>
      <c r="D23">
        <v>0.5</v>
      </c>
      <c r="E23">
        <v>0</v>
      </c>
      <c r="F23">
        <v>0</v>
      </c>
    </row>
    <row r="24" spans="1:6" x14ac:dyDescent="0.3">
      <c r="A24" t="s">
        <v>344</v>
      </c>
      <c r="B24" t="s">
        <v>339</v>
      </c>
      <c r="C24">
        <v>1</v>
      </c>
      <c r="D24">
        <v>0.5</v>
      </c>
      <c r="E24">
        <v>0</v>
      </c>
      <c r="F24">
        <v>0</v>
      </c>
    </row>
    <row r="29" spans="1:6" x14ac:dyDescent="0.3">
      <c r="A29" t="s">
        <v>345</v>
      </c>
      <c r="B29" t="s">
        <v>24</v>
      </c>
    </row>
    <row r="30" spans="1:6" x14ac:dyDescent="0.3">
      <c r="A30" t="s">
        <v>346</v>
      </c>
      <c r="B30" t="s">
        <v>25</v>
      </c>
    </row>
    <row r="31" spans="1:6" x14ac:dyDescent="0.3">
      <c r="A31" t="s">
        <v>347</v>
      </c>
      <c r="B31" t="s">
        <v>26</v>
      </c>
    </row>
    <row r="32" spans="1:6" x14ac:dyDescent="0.3">
      <c r="A32" t="s">
        <v>348</v>
      </c>
      <c r="B32" t="s">
        <v>27</v>
      </c>
    </row>
    <row r="33" spans="1:2" x14ac:dyDescent="0.3">
      <c r="A33" t="s">
        <v>349</v>
      </c>
      <c r="B33" t="s">
        <v>28</v>
      </c>
    </row>
    <row r="34" spans="1:2" x14ac:dyDescent="0.3">
      <c r="A34" t="s">
        <v>350</v>
      </c>
      <c r="B34" t="s">
        <v>29</v>
      </c>
    </row>
    <row r="35" spans="1:2" x14ac:dyDescent="0.3">
      <c r="A35" t="s">
        <v>351</v>
      </c>
      <c r="B35" t="s">
        <v>30</v>
      </c>
    </row>
    <row r="36" spans="1:2" x14ac:dyDescent="0.3">
      <c r="A36" t="s">
        <v>352</v>
      </c>
      <c r="B36" t="s">
        <v>31</v>
      </c>
    </row>
    <row r="37" spans="1:2" x14ac:dyDescent="0.3">
      <c r="A37" t="s">
        <v>353</v>
      </c>
      <c r="B37" t="s">
        <v>32</v>
      </c>
    </row>
    <row r="38" spans="1:2" x14ac:dyDescent="0.3">
      <c r="A38" t="s">
        <v>354</v>
      </c>
      <c r="B38" t="s">
        <v>33</v>
      </c>
    </row>
    <row r="41" spans="1:2" x14ac:dyDescent="0.3">
      <c r="B41" t="s">
        <v>355</v>
      </c>
    </row>
    <row r="42" spans="1:2" x14ac:dyDescent="0.3">
      <c r="A42" t="s">
        <v>370</v>
      </c>
      <c r="B42" t="s">
        <v>356</v>
      </c>
    </row>
    <row r="43" spans="1:2" x14ac:dyDescent="0.3">
      <c r="A43" t="s">
        <v>371</v>
      </c>
      <c r="B43" t="s">
        <v>357</v>
      </c>
    </row>
    <row r="44" spans="1:2" x14ac:dyDescent="0.3">
      <c r="A44" t="s">
        <v>372</v>
      </c>
      <c r="B44" t="s">
        <v>358</v>
      </c>
    </row>
    <row r="45" spans="1:2" x14ac:dyDescent="0.3">
      <c r="A45" t="s">
        <v>373</v>
      </c>
      <c r="B45" t="s">
        <v>359</v>
      </c>
    </row>
    <row r="46" spans="1:2" x14ac:dyDescent="0.3">
      <c r="A46" t="s">
        <v>374</v>
      </c>
      <c r="B46" t="s">
        <v>360</v>
      </c>
    </row>
    <row r="47" spans="1:2" x14ac:dyDescent="0.3">
      <c r="A47" t="s">
        <v>375</v>
      </c>
      <c r="B47" t="s">
        <v>361</v>
      </c>
    </row>
    <row r="48" spans="1:2" x14ac:dyDescent="0.3">
      <c r="A48" t="s">
        <v>376</v>
      </c>
      <c r="B48" t="s">
        <v>362</v>
      </c>
    </row>
    <row r="49" spans="1:2" x14ac:dyDescent="0.3">
      <c r="A49" t="s">
        <v>377</v>
      </c>
      <c r="B49" t="s">
        <v>363</v>
      </c>
    </row>
    <row r="50" spans="1:2" x14ac:dyDescent="0.3">
      <c r="A50" t="s">
        <v>378</v>
      </c>
      <c r="B50" t="s">
        <v>364</v>
      </c>
    </row>
    <row r="51" spans="1:2" x14ac:dyDescent="0.3">
      <c r="A51" t="s">
        <v>379</v>
      </c>
      <c r="B51" t="s">
        <v>393</v>
      </c>
    </row>
    <row r="52" spans="1:2" x14ac:dyDescent="0.3">
      <c r="A52" t="s">
        <v>380</v>
      </c>
      <c r="B52" t="s">
        <v>365</v>
      </c>
    </row>
    <row r="53" spans="1:2" x14ac:dyDescent="0.3">
      <c r="A53" t="s">
        <v>381</v>
      </c>
      <c r="B53" t="s">
        <v>366</v>
      </c>
    </row>
    <row r="54" spans="1:2" x14ac:dyDescent="0.3">
      <c r="A54" t="s">
        <v>382</v>
      </c>
      <c r="B54" t="s">
        <v>367</v>
      </c>
    </row>
    <row r="55" spans="1:2" x14ac:dyDescent="0.3">
      <c r="A55" t="s">
        <v>383</v>
      </c>
      <c r="B55" t="s">
        <v>368</v>
      </c>
    </row>
    <row r="56" spans="1:2" x14ac:dyDescent="0.3">
      <c r="A56" t="s">
        <v>384</v>
      </c>
      <c r="B56" t="s">
        <v>369</v>
      </c>
    </row>
    <row r="58" spans="1:2" x14ac:dyDescent="0.3">
      <c r="B58" t="s">
        <v>385</v>
      </c>
    </row>
    <row r="59" spans="1:2" x14ac:dyDescent="0.3">
      <c r="A59" t="s">
        <v>417</v>
      </c>
      <c r="B59" t="s">
        <v>386</v>
      </c>
    </row>
    <row r="60" spans="1:2" x14ac:dyDescent="0.3">
      <c r="A60" t="s">
        <v>418</v>
      </c>
      <c r="B60" t="s">
        <v>387</v>
      </c>
    </row>
    <row r="61" spans="1:2" x14ac:dyDescent="0.3">
      <c r="A61" t="s">
        <v>419</v>
      </c>
      <c r="B61" t="s">
        <v>388</v>
      </c>
    </row>
    <row r="62" spans="1:2" x14ac:dyDescent="0.3">
      <c r="A62" t="s">
        <v>420</v>
      </c>
      <c r="B62" t="s">
        <v>389</v>
      </c>
    </row>
    <row r="63" spans="1:2" x14ac:dyDescent="0.3">
      <c r="A63" t="s">
        <v>421</v>
      </c>
      <c r="B63" t="s">
        <v>390</v>
      </c>
    </row>
    <row r="64" spans="1:2" x14ac:dyDescent="0.3">
      <c r="A64" t="s">
        <v>422</v>
      </c>
      <c r="B64" t="s">
        <v>391</v>
      </c>
    </row>
    <row r="65" spans="1:2" x14ac:dyDescent="0.3">
      <c r="A65" t="s">
        <v>423</v>
      </c>
      <c r="B65" t="s">
        <v>392</v>
      </c>
    </row>
    <row r="68" spans="1:2" x14ac:dyDescent="0.3">
      <c r="A68" t="s">
        <v>424</v>
      </c>
      <c r="B68" t="s">
        <v>394</v>
      </c>
    </row>
    <row r="69" spans="1:2" x14ac:dyDescent="0.3">
      <c r="A69" t="s">
        <v>425</v>
      </c>
      <c r="B69" t="s">
        <v>395</v>
      </c>
    </row>
    <row r="70" spans="1:2" x14ac:dyDescent="0.3">
      <c r="A70" t="s">
        <v>426</v>
      </c>
      <c r="B70" t="s">
        <v>396</v>
      </c>
    </row>
    <row r="71" spans="1:2" x14ac:dyDescent="0.3">
      <c r="A71" t="s">
        <v>427</v>
      </c>
      <c r="B71" t="s">
        <v>397</v>
      </c>
    </row>
    <row r="72" spans="1:2" x14ac:dyDescent="0.3">
      <c r="A72" t="s">
        <v>428</v>
      </c>
      <c r="B72" t="s">
        <v>398</v>
      </c>
    </row>
    <row r="73" spans="1:2" x14ac:dyDescent="0.3">
      <c r="A73" t="s">
        <v>429</v>
      </c>
      <c r="B73" t="s">
        <v>399</v>
      </c>
    </row>
    <row r="77" spans="1:2" x14ac:dyDescent="0.3">
      <c r="A77" t="s">
        <v>430</v>
      </c>
      <c r="B77" t="s">
        <v>400</v>
      </c>
    </row>
    <row r="78" spans="1:2" x14ac:dyDescent="0.3">
      <c r="A78" t="s">
        <v>431</v>
      </c>
      <c r="B78" t="s">
        <v>401</v>
      </c>
    </row>
    <row r="79" spans="1:2" x14ac:dyDescent="0.3">
      <c r="A79" t="s">
        <v>432</v>
      </c>
      <c r="B79" t="s">
        <v>402</v>
      </c>
    </row>
    <row r="80" spans="1:2" x14ac:dyDescent="0.3">
      <c r="A80" t="s">
        <v>433</v>
      </c>
      <c r="B80" t="s">
        <v>403</v>
      </c>
    </row>
    <row r="81" spans="1:2" x14ac:dyDescent="0.3">
      <c r="A81" t="s">
        <v>434</v>
      </c>
      <c r="B81" t="s">
        <v>404</v>
      </c>
    </row>
    <row r="82" spans="1:2" x14ac:dyDescent="0.3">
      <c r="A82" t="s">
        <v>435</v>
      </c>
      <c r="B82" t="s">
        <v>405</v>
      </c>
    </row>
    <row r="83" spans="1:2" x14ac:dyDescent="0.3">
      <c r="A83" t="s">
        <v>436</v>
      </c>
      <c r="B83" t="s">
        <v>406</v>
      </c>
    </row>
    <row r="84" spans="1:2" x14ac:dyDescent="0.3">
      <c r="A84" t="s">
        <v>437</v>
      </c>
      <c r="B84" t="s">
        <v>407</v>
      </c>
    </row>
    <row r="86" spans="1:2" x14ac:dyDescent="0.3">
      <c r="A86" t="s">
        <v>441</v>
      </c>
      <c r="B86" t="s">
        <v>11</v>
      </c>
    </row>
    <row r="87" spans="1:2" x14ac:dyDescent="0.3">
      <c r="A87" t="s">
        <v>442</v>
      </c>
      <c r="B87" t="s">
        <v>12</v>
      </c>
    </row>
    <row r="88" spans="1:2" x14ac:dyDescent="0.3">
      <c r="A88" t="s">
        <v>443</v>
      </c>
      <c r="B88" t="s">
        <v>13</v>
      </c>
    </row>
    <row r="89" spans="1:2" x14ac:dyDescent="0.3">
      <c r="A89" t="s">
        <v>444</v>
      </c>
      <c r="B89" t="s">
        <v>14</v>
      </c>
    </row>
    <row r="90" spans="1:2" x14ac:dyDescent="0.3">
      <c r="A90" t="s">
        <v>445</v>
      </c>
      <c r="B90" t="s">
        <v>15</v>
      </c>
    </row>
    <row r="91" spans="1:2" x14ac:dyDescent="0.3">
      <c r="A91" t="s">
        <v>446</v>
      </c>
      <c r="B91" t="s">
        <v>16</v>
      </c>
    </row>
    <row r="92" spans="1:2" x14ac:dyDescent="0.3">
      <c r="A92" t="s">
        <v>447</v>
      </c>
      <c r="B92" t="s">
        <v>17</v>
      </c>
    </row>
    <row r="93" spans="1:2" x14ac:dyDescent="0.3">
      <c r="A93" t="s">
        <v>448</v>
      </c>
      <c r="B93" t="s">
        <v>18</v>
      </c>
    </row>
    <row r="94" spans="1:2" x14ac:dyDescent="0.3">
      <c r="A94" t="s">
        <v>449</v>
      </c>
      <c r="B94" t="s">
        <v>19</v>
      </c>
    </row>
    <row r="95" spans="1:2" x14ac:dyDescent="0.3">
      <c r="A95" t="s">
        <v>450</v>
      </c>
      <c r="B95" t="s">
        <v>20</v>
      </c>
    </row>
    <row r="96" spans="1:2" x14ac:dyDescent="0.3">
      <c r="A96" t="s">
        <v>451</v>
      </c>
      <c r="B96" t="s">
        <v>21</v>
      </c>
    </row>
    <row r="97" spans="1:2" x14ac:dyDescent="0.3">
      <c r="A97" t="s">
        <v>452</v>
      </c>
      <c r="B97" t="s">
        <v>22</v>
      </c>
    </row>
    <row r="98" spans="1:2" x14ac:dyDescent="0.3">
      <c r="A98" t="s">
        <v>453</v>
      </c>
      <c r="B98" t="s">
        <v>23</v>
      </c>
    </row>
    <row r="101" spans="1:2" x14ac:dyDescent="0.3">
      <c r="A101" t="s">
        <v>464</v>
      </c>
      <c r="B101" t="s">
        <v>458</v>
      </c>
    </row>
    <row r="102" spans="1:2" x14ac:dyDescent="0.3">
      <c r="A102" t="s">
        <v>465</v>
      </c>
      <c r="B102" t="s">
        <v>459</v>
      </c>
    </row>
    <row r="103" spans="1:2" x14ac:dyDescent="0.3">
      <c r="A103" t="s">
        <v>466</v>
      </c>
      <c r="B103" t="s">
        <v>460</v>
      </c>
    </row>
    <row r="104" spans="1:2" x14ac:dyDescent="0.3">
      <c r="A104" t="s">
        <v>467</v>
      </c>
      <c r="B104" t="s">
        <v>461</v>
      </c>
    </row>
    <row r="105" spans="1:2" x14ac:dyDescent="0.3">
      <c r="A105" t="s">
        <v>469</v>
      </c>
      <c r="B105" t="s">
        <v>462</v>
      </c>
    </row>
    <row r="106" spans="1:2" x14ac:dyDescent="0.3">
      <c r="A106" t="s">
        <v>468</v>
      </c>
      <c r="B106" t="s">
        <v>463</v>
      </c>
    </row>
  </sheetData>
  <mergeCells count="1">
    <mergeCell ref="C2:F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01262-3396-455B-A61C-10F78EC29E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final</vt:lpstr>
      <vt:lpstr>coded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Mahadi Hassan</dc:creator>
  <cp:lastModifiedBy>Md. Mahadi Hassan</cp:lastModifiedBy>
  <dcterms:created xsi:type="dcterms:W3CDTF">2015-06-05T18:17:20Z</dcterms:created>
  <dcterms:modified xsi:type="dcterms:W3CDTF">2025-12-23T16:25:26Z</dcterms:modified>
</cp:coreProperties>
</file>